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85A1F8F6-3C79-40B2-AB64-869FB83A1026}" xr6:coauthVersionLast="45" xr6:coauthVersionMax="45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21" l="1"/>
  <c r="L18" i="21"/>
  <c r="L19" i="21"/>
  <c r="L20" i="21"/>
  <c r="L21" i="21"/>
  <c r="L22" i="21"/>
  <c r="L23" i="21"/>
  <c r="L24" i="21"/>
  <c r="L16" i="21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 s="1"/>
  <c r="N20" i="28"/>
  <c r="O20" i="28" s="1"/>
  <c r="P20" i="28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6" i="32" l="1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17" i="20"/>
  <c r="K17" i="19"/>
  <c r="L16" i="17"/>
  <c r="M16" i="17" s="1"/>
  <c r="K20" i="18"/>
  <c r="M20" i="18" s="1"/>
  <c r="L17" i="17"/>
  <c r="L19" i="20"/>
  <c r="K16" i="23"/>
  <c r="L24" i="24"/>
  <c r="L25" i="24" s="1"/>
  <c r="P29" i="24" s="1"/>
  <c r="L18" i="24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M23" i="2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N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N16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16" i="15" l="1"/>
  <c r="P31" i="21"/>
  <c r="M17" i="15"/>
  <c r="P31" i="17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<sst xmlns="http://schemas.openxmlformats.org/spreadsheetml/2006/main" count="1583" uniqueCount="118">
  <si>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</si>
  <si>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</si>
  <si>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</si>
  <si>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</si>
  <si>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</si>
  <si>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</si>
  <si>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</si>
  <si>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</si>
  <si>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</si>
  <si>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</si>
  <si>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</si>
  <si>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</si>
  <si>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</si>
  <si>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</si>
  <si>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</si>
  <si>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</si>
  <si>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</si>
  <si>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</si>
  <si>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</si>
  <si>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</si>
  <si>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</si>
  <si>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</si>
  <si>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</si>
  <si>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</si>
  <si>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</si>
  <si>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</si>
  <si>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</si>
  <si>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</si>
  <si>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</si>
  <si>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</si>
  <si>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</si>
  <si>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</si>
  <si>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</si>
  <si>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</si>
  <si>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</si>
  <si>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</si>
  <si>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</si>
  <si>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</si>
  <si>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</si>
  <si>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</si>
  <si>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</si>
  <si>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</si>
  <si>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</si>
  <si>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</si>
  <si>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</si>
  <si>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</si>
  <si>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</si>
  <si>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</si>
  <si>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</si>
  <si>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</si>
  <si>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</si>
  <si>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</si>
  <si>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</si>
  <si>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</si>
  <si>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</si>
  <si>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</si>
  <si>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</si>
  <si>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</si>
  <si>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</si>
  <si>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</si>
  <si>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</si>
  <si>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</si>
  <si>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</si>
  <si>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</si>
  <si>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</si>
  <si>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</si>
  <si>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</si>
  <si>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</si>
  <si>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</si>
  <si>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</si>
  <si>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</si>
  <si>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</si>
  <si>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</si>
  <si>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</si>
  <si>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</si>
  <si>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</si>
  <si>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</si>
  <si>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</si>
  <si>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</si>
  <si>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</si>
  <si>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</si>
  <si>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</si>
  <si>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</si>
  <si>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</si>
  <si>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</si>
  <si>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</si>
  <si>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</si>
  <si>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</si>
  <si>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</si>
  <si>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</si>
  <si>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</si>
  <si>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</si>
  <si>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</si>
  <si>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</si>
  <si>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</si>
  <si>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</si>
  <si>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</si>
  <si>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</si>
  <si>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</si>
  <si>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</si>
  <si>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</si>
  <si>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</si>
  <si>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Shop Name</t>
  </si>
  <si>
    <t>Address: A</t>
  </si>
  <si>
    <t xml:space="preserve">Customer Name : Dil Mart </t>
  </si>
  <si>
    <t>Address: Center Park</t>
  </si>
  <si>
    <t>Customer Name : Alsafa Mart</t>
  </si>
  <si>
    <t>Address: Central Park</t>
  </si>
  <si>
    <t>7539738-6</t>
  </si>
  <si>
    <t>Customer Name : Sheen Mart</t>
  </si>
  <si>
    <t>4733136-5</t>
  </si>
  <si>
    <t>Customer Name : As Store</t>
  </si>
  <si>
    <t xml:space="preserve">Address: Central Park </t>
  </si>
  <si>
    <t>Customer Name : Khan Store</t>
  </si>
  <si>
    <t>Zeshan</t>
  </si>
  <si>
    <t>Shop Bill Summary (Zeshan)</t>
  </si>
  <si>
    <t xml:space="preserve">Customer Name :Altaf Cash &amp; Carry </t>
  </si>
  <si>
    <t>D483661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</si>
</sst>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1" fontId="1" fillId="0" borderId="0" xfId="0" applyNumberFormat="1" applyFont="1" applyAlignment="1">
      <alignment vertical="top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4" sqref="G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10" zoomScale="70" zoomScaleNormal="70" workbookViewId="0">
      <selection activeCell="T34" sqref="T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9" t="s">
        <v>45</v>
      </c>
      <c r="B2" s="249"/>
      <c r="C2" s="249"/>
    </row>
    <row r="3" spans="1:21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8" t="s">
        <v>114</v>
      </c>
      <c r="B5" s="248"/>
      <c r="C5" s="248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21 16383:16384" ht="15" customHeight="1" x14ac:dyDescent="0.35">
      <c r="A6" s="248"/>
      <c r="B6" s="248"/>
      <c r="C6" s="248"/>
      <c r="F6" s="70"/>
      <c r="G6" s="74"/>
      <c r="K6" s="233" t="s">
        <v>52</v>
      </c>
      <c r="L6" s="233"/>
      <c r="M6" s="233"/>
      <c r="N6" s="246" t="s">
        <v>42</v>
      </c>
      <c r="O6" s="246"/>
      <c r="P6" s="246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21 16383:16384" hidden="1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21 16383:16384" x14ac:dyDescent="0.35">
      <c r="A10" s="231"/>
      <c r="B10" s="75"/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21 16383:16384" ht="15" thickBot="1" x14ac:dyDescent="0.4">
      <c r="A11" s="231"/>
      <c r="B11" s="76"/>
      <c r="C11" s="77"/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21 16383:16384" ht="14.65" customHeight="1" x14ac:dyDescent="0.35">
      <c r="A12" s="231"/>
      <c r="B12" s="76"/>
      <c r="C12" s="77"/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T12" s="203" t="s">
        <v>115</v>
      </c>
      <c r="U12" s="204"/>
      <c r="XFD12" t="s">
        <v>62</v>
      </c>
    </row>
    <row r="13" spans="1:21 16383:16384" ht="15" thickBot="1" x14ac:dyDescent="0.4">
      <c r="A13" s="232"/>
      <c r="J13" s="78"/>
      <c r="K13" s="78"/>
      <c r="L13" s="79">
        <v>0.05</v>
      </c>
      <c r="T13" s="205"/>
      <c r="U13" s="206"/>
      <c r="XFD13" t="s">
        <v>63</v>
      </c>
    </row>
    <row r="14" spans="1:21 16383:16384" ht="29.25" customHeight="1" x14ac:dyDescent="0.6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41" t="s">
        <v>68</v>
      </c>
      <c r="H14" s="242"/>
      <c r="I14" s="242" t="s">
        <v>69</v>
      </c>
      <c r="J14" s="242" t="s">
        <v>70</v>
      </c>
      <c r="K14" s="242"/>
      <c r="L14" s="244"/>
      <c r="M14" s="236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Dil Mart </v>
      </c>
      <c r="U14" s="164">
        <f>+'1'!P35</f>
        <v>6751.0744320000003</v>
      </c>
      <c r="XFD14" t="s">
        <v>75</v>
      </c>
    </row>
    <row r="15" spans="1:21 16383:16384" ht="29.25" customHeight="1" thickBot="1" x14ac:dyDescent="0.65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3"/>
      <c r="J15" s="171" t="s">
        <v>78</v>
      </c>
      <c r="K15" s="171" t="s">
        <v>79</v>
      </c>
      <c r="L15" s="174" t="s">
        <v>80</v>
      </c>
      <c r="M15" s="23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Alsafa Mart</v>
      </c>
      <c r="U15" s="164">
        <f>+'2'!P35</f>
        <v>7207.6118655000009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75</v>
      </c>
      <c r="I16" s="1">
        <f>(G16*D16)*F16+H16*F16</f>
        <v>3934.6875</v>
      </c>
      <c r="J16" s="172">
        <f>+'1'!J16+'2'!J16+'4'!J16+'3'!J16+'5'!J16+'6'!J16+'7'!J16+'8'!J16+'9'!J16+'10'!J16+'11'!J16+'12'!J16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398.71499999999997</v>
      </c>
      <c r="M16" s="106">
        <f>I16-K16-L16</f>
        <v>3535.9724999999999</v>
      </c>
      <c r="N16" s="101">
        <f>+'1'!N16+'2'!N16+'4'!N16+'3'!N16+'5'!N16+'6'!N16+'7'!N16+'8'!N16+'9'!N16+'10'!N16</f>
        <v>693.76409999999998</v>
      </c>
      <c r="O16" s="101">
        <f>+'1'!O16+'2'!O16+'4'!O16+'3'!O16+'5'!O16+'6'!O16+'7'!O16+'8'!O16+'9'!O16+'10'!O16</f>
        <v>21.148682999999998</v>
      </c>
      <c r="P16" s="105">
        <f t="shared" ref="P16:P24" si="0">M16+N16+O16</f>
        <v>4250.8852830000005</v>
      </c>
      <c r="Q16" s="108"/>
      <c r="T16" s="163" t="str">
        <f>+'4'!A5</f>
        <v>Customer Name : As Store</v>
      </c>
      <c r="U16" s="164">
        <f>+'4'!P35</f>
        <v>2390.3320994999999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110</v>
      </c>
      <c r="I17" s="1">
        <f t="shared" ref="I17:I23" si="1">(G17*D17)*F17+H17*F17</f>
        <v>5770.875</v>
      </c>
      <c r="J17" s="172">
        <f>+'1'!J17+'2'!J17+'4'!J17+'3'!J17+'5'!J17+'6'!J17+'7'!J17+'8'!J17+'9'!J17+'10'!J17+'11'!J17+'12'!J17</f>
        <v>7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545.6099999999999</v>
      </c>
      <c r="M17" s="118">
        <f t="shared" ref="M17:M23" si="2">I17-K17-L17</f>
        <v>5225.2650000000003</v>
      </c>
      <c r="N17" s="101">
        <f>+'1'!N17+'2'!N17+'4'!N17+'3'!N17+'5'!N17+'6'!N17+'7'!N17+'8'!N17+'9'!N17+'10'!N17</f>
        <v>1111.57545</v>
      </c>
      <c r="O17" s="101">
        <f>+'1'!O17+'2'!O17+'4'!O17+'3'!O17+'5'!O17+'6'!O17+'7'!O17+'8'!O17+'9'!O17+'10'!O17</f>
        <v>31.684202250000002</v>
      </c>
      <c r="P17" s="120">
        <f t="shared" si="0"/>
        <v>6368.5246522500011</v>
      </c>
      <c r="S17" s="64"/>
      <c r="T17" s="163" t="str">
        <f>+'3'!A5</f>
        <v>Customer Name : Sheen Mart</v>
      </c>
      <c r="U17" s="164">
        <f>+'3'!P35</f>
        <v>7460.4616245000007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55</v>
      </c>
      <c r="I18" s="1">
        <f t="shared" si="1"/>
        <v>2885.4375</v>
      </c>
      <c r="J18" s="172">
        <f>+'1'!J18+'2'!J18+'4'!J18+'3'!J18+'5'!J18+'6'!J18+'7'!J18+'8'!J18+'9'!J18+'10'!J18+'11'!J18+'12'!J18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314.77499999999998</v>
      </c>
      <c r="M18" s="118">
        <f t="shared" si="2"/>
        <v>2570.6624999999999</v>
      </c>
      <c r="N18" s="101">
        <f>+'1'!N18+'2'!N18+'4'!N18+'3'!N18+'5'!N18+'6'!N18+'7'!N18+'8'!N18+'9'!N18+'10'!N18</f>
        <v>510.56505000000004</v>
      </c>
      <c r="O18" s="101">
        <f>+'1'!O18+'2'!O18+'4'!O18+'3'!O18+'5'!O18+'6'!O18+'7'!O18+'8'!O18+'9'!O18+'10'!O18</f>
        <v>15.406137749999999</v>
      </c>
      <c r="P18" s="120">
        <f t="shared" si="0"/>
        <v>3096.6336877500003</v>
      </c>
      <c r="T18" s="163" t="str">
        <f>+'5'!A5</f>
        <v>Customer Name : Khan Store</v>
      </c>
      <c r="U18" s="164">
        <f>+'5'!P35</f>
        <v>1795.4904090000002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100</v>
      </c>
      <c r="I19" s="1">
        <f t="shared" si="1"/>
        <v>7264</v>
      </c>
      <c r="J19" s="172">
        <f>+'1'!J19+'2'!J19+'4'!J19+'3'!J19+'5'!J19+'6'!J19+'7'!J19+'8'!J19+'9'!J19+'10'!J19+'11'!J19+'12'!J19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697.34400000000005</v>
      </c>
      <c r="M19" s="118">
        <f t="shared" si="2"/>
        <v>6566.6559999999999</v>
      </c>
      <c r="N19" s="101">
        <f>+'1'!N19+'2'!N19+'4'!N19+'3'!N19+'5'!N19+'6'!N19+'7'!N19+'8'!N19+'9'!N19+'10'!N19</f>
        <v>1360.1113599999999</v>
      </c>
      <c r="O19" s="101">
        <f>+'1'!O19+'2'!O19+'4'!O19+'3'!O19+'5'!O19+'6'!O19+'7'!O19+'8'!O19+'9'!O19+'10'!O19</f>
        <v>105.49797760000001</v>
      </c>
      <c r="P19" s="120">
        <f t="shared" si="0"/>
        <v>8032.2653375999998</v>
      </c>
      <c r="T19" s="163" t="str">
        <f>+'6'!A5</f>
        <v xml:space="preserve">Customer Name :Altaf Cash &amp; Carry </v>
      </c>
      <c r="U19" s="164">
        <f>+'6'!P35</f>
        <v>12743.960367900001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140</v>
      </c>
      <c r="I20" s="1">
        <f t="shared" si="1"/>
        <v>10169.6</v>
      </c>
      <c r="J20" s="172">
        <f>+'1'!J20+'2'!J20+'4'!J20+'3'!J20+'5'!J20+'6'!J20+'7'!J20+'8'!J20+'9'!J20+'10'!J20+'11'!J20+'12'!J20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929.79199999999992</v>
      </c>
      <c r="M20" s="118">
        <f t="shared" si="2"/>
        <v>9239.8080000000009</v>
      </c>
      <c r="N20" s="101">
        <f>+'1'!N20+'2'!N20+'4'!N20+'3'!N20+'5'!N20+'6'!N20+'7'!N20+'8'!N20+'9'!N20+'10'!N20</f>
        <v>1980.1663999999998</v>
      </c>
      <c r="O20" s="101">
        <f>+'1'!O20+'2'!O20+'4'!O20+'3'!O20+'5'!O20+'6'!O20+'7'!O20+'8'!O20+'9'!O20+'10'!O20</f>
        <v>121.96401280000001</v>
      </c>
      <c r="P20" s="120">
        <f t="shared" si="0"/>
        <v>11341.9384128</v>
      </c>
      <c r="T20" s="163" t="str">
        <f>+'7'!A5</f>
        <v>Customer Name : Shop Name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>Customer Name : Shop Name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120</v>
      </c>
      <c r="I22" s="1">
        <f t="shared" si="1"/>
        <v>4707.6000000000004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164.76600000000002</v>
      </c>
      <c r="L22" s="175">
        <f>+'1'!L22+'2'!L22+'4'!L22+'3'!L22+'5'!L22+'6'!L22+'7'!L22+'8'!L22+'9'!L22+'10'!L22</f>
        <v>235.38000000000005</v>
      </c>
      <c r="M22" s="118">
        <f t="shared" si="2"/>
        <v>4307.4540000000006</v>
      </c>
      <c r="N22" s="101">
        <f>+'1'!N22+'2'!N22+'4'!N22+'3'!N22+'5'!N22+'6'!N22+'7'!N22+'8'!N22+'9'!N22+'10'!N22</f>
        <v>890.20716000000016</v>
      </c>
      <c r="O22" s="101">
        <f>+'1'!O22+'2'!O22+'4'!O22+'3'!O22+'5'!O22+'6'!O22+'7'!O22+'8'!O22+'9'!O22+'10'!O22</f>
        <v>61.022265000000004</v>
      </c>
      <c r="P22" s="120">
        <f t="shared" si="0"/>
        <v>5258.6834250000002</v>
      </c>
      <c r="T22" s="163" t="str">
        <f>+'9'!A5</f>
        <v>Customer Name : Shop Name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Shop Name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Shop Name</v>
      </c>
      <c r="U24" s="164">
        <f>+'11'!P35</f>
        <v>0</v>
      </c>
    </row>
    <row r="25" spans="1:21 16384:16384" ht="26.5" thickBot="1" x14ac:dyDescent="0.65">
      <c r="A25" s="213" t="s">
        <v>84</v>
      </c>
      <c r="B25" s="214"/>
      <c r="C25" s="215">
        <f>H25/40</f>
        <v>15</v>
      </c>
      <c r="D25" s="209"/>
      <c r="E25" s="209"/>
      <c r="F25" s="209"/>
      <c r="G25" s="176">
        <f t="shared" ref="G25:M25" si="3">SUM(G16:G24)</f>
        <v>0</v>
      </c>
      <c r="H25" s="177">
        <f t="shared" si="3"/>
        <v>600</v>
      </c>
      <c r="I25" s="178">
        <f t="shared" si="3"/>
        <v>34732.199999999997</v>
      </c>
      <c r="J25" s="177">
        <f t="shared" si="3"/>
        <v>24</v>
      </c>
      <c r="K25" s="178">
        <f t="shared" si="3"/>
        <v>164.76600000000002</v>
      </c>
      <c r="L25" s="179">
        <f t="shared" si="3"/>
        <v>3121.616</v>
      </c>
      <c r="M25" s="141">
        <f t="shared" si="3"/>
        <v>31445.818000000003</v>
      </c>
      <c r="N25" s="142">
        <f>SUM(N16:N24)</f>
        <v>6546.3895199999997</v>
      </c>
      <c r="O25" s="143">
        <f>SUM(O16:O24)</f>
        <v>356.72327840000003</v>
      </c>
      <c r="P25" s="144">
        <f>SUM(P16:P24)</f>
        <v>38348.930798400004</v>
      </c>
      <c r="T25" s="163" t="str">
        <f>+'12'!A5</f>
        <v>Customer Name : Shop Name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38348.930798400004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34732.199999999997</v>
      </c>
    </row>
    <row r="29" spans="1:21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3121.616</v>
      </c>
    </row>
    <row r="30" spans="1:21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164.76600000000002</v>
      </c>
    </row>
    <row r="31" spans="1:21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31445.817999999996</v>
      </c>
    </row>
    <row r="32" spans="1:21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6546.3895199999997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37992.207519999996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949.80518799999993</v>
      </c>
    </row>
    <row r="35" spans="2:16" ht="15.75" customHeight="1" thickBot="1" x14ac:dyDescent="0.4">
      <c r="N35" s="207" t="s">
        <v>92</v>
      </c>
      <c r="O35" s="208"/>
      <c r="P35" s="160">
        <f>P33+P34</f>
        <v>38942.012707999995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104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105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82.330176000000009</v>
      </c>
      <c r="P19" s="120">
        <f t="shared" si="2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82.330176000000009</v>
      </c>
      <c r="P20" s="120">
        <f t="shared" si="2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5811.2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464.89600000000002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5346.3040000000001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6586.4140800000005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07" t="s">
        <v>92</v>
      </c>
      <c r="O35" s="208"/>
      <c r="P35" s="160">
        <f>P33+P34</f>
        <v>6751.0744320000003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8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2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107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 t="s">
        <v>108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168">
        <v>3520115707091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478.78800000000001</v>
      </c>
      <c r="M25" s="141">
        <f t="shared" si="9"/>
        <v>6039.59</v>
      </c>
      <c r="N25" s="142">
        <f>SUM(N16:N24)</f>
        <v>1132.1631</v>
      </c>
      <c r="O25" s="143">
        <f>SUM(O16:O24)</f>
        <v>35.858765499999997</v>
      </c>
      <c r="P25" s="144">
        <f>SUM(P16:P24)</f>
        <v>7207.6118655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6573.3000000000011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478.78800000000001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54.922000000000011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6039.5900000000011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1132.1631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7171.7531000000008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07" t="s">
        <v>92</v>
      </c>
      <c r="O35" s="208"/>
      <c r="P35" s="160">
        <f>P33+P34</f>
        <v>7207.6118655000009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4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109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107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 t="s">
        <v>110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478.78800000000001</v>
      </c>
      <c r="M25" s="141">
        <f t="shared" si="9"/>
        <v>6039.59</v>
      </c>
      <c r="N25" s="142">
        <f>SUM(N16:N24)</f>
        <v>1383.7548999999999</v>
      </c>
      <c r="O25" s="143">
        <f>SUM(O16:O24)</f>
        <v>37.116724500000004</v>
      </c>
      <c r="P25" s="144">
        <f>SUM(P16:P24)</f>
        <v>7460.4616244999997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6573.3000000000011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478.78800000000001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54.922000000000011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6039.5900000000011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1383.7548999999999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7423.344900000001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37.116724500000004</v>
      </c>
    </row>
    <row r="35" spans="2:16" ht="15.75" customHeight="1" thickBot="1" x14ac:dyDescent="0.4">
      <c r="N35" s="207" t="s">
        <v>92</v>
      </c>
      <c r="O35" s="208"/>
      <c r="P35" s="160">
        <f>P33+P34</f>
        <v>7460.4616245000007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3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111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257">
        <v>3520143554037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3.0596130000000001</v>
      </c>
      <c r="P17" s="120">
        <f t="shared" si="1"/>
        <v>614.982213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2098.5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167.88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1930.62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2378.4398999999999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7" t="s">
        <v>92</v>
      </c>
      <c r="O35" s="208"/>
      <c r="P35" s="160">
        <f>P33+P34</f>
        <v>2390.3320994999999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5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113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112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1569.2000000000003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78.460000000000022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54.922000000000011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1435.8180000000002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1751.6979600000002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7" t="s">
        <v>92</v>
      </c>
      <c r="O35" s="208"/>
      <c r="P35" s="160">
        <f>P33+P34</f>
        <v>1795.4904090000002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6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116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107</v>
      </c>
      <c r="B6" s="233"/>
      <c r="C6" s="233"/>
      <c r="F6" s="70"/>
      <c r="G6" s="74"/>
      <c r="K6" s="233" t="s">
        <v>52</v>
      </c>
      <c r="L6" s="233"/>
      <c r="M6" s="233"/>
      <c r="N6" s="246" t="s">
        <v>41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 t="s">
        <v>117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48</v>
      </c>
      <c r="C11" s="77" t="str">
        <f>IF($O34&gt;2.49%,"No","Yes")</f>
        <v>Yes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 t="s">
        <v>117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351.28890000000001</v>
      </c>
      <c r="O16" s="107">
        <f>(N16+M16)*$O$15</f>
        <v>10.9898445</v>
      </c>
      <c r="P16" s="105">
        <f t="shared" ref="P16:P24" si="1">M16+N16+O16</f>
        <v>2208.9587444999997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4" si="4">I17*12%</f>
        <v>251.82</v>
      </c>
      <c r="M17" s="118">
        <f t="shared" ref="M17:M23" si="5">I17-K17-L17</f>
        <v>1846.68</v>
      </c>
      <c r="N17" s="118">
        <f t="shared" si="0"/>
        <v>351.28890000000001</v>
      </c>
      <c r="O17" s="119">
        <f t="shared" ref="O17:O24" si="6">(N17+M17)*$O$15</f>
        <v>10.9898445</v>
      </c>
      <c r="P17" s="120">
        <f t="shared" si="1"/>
        <v>2208.9587444999997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351.28890000000001</v>
      </c>
      <c r="O18" s="119">
        <f t="shared" si="6"/>
        <v>10.9898445</v>
      </c>
      <c r="P18" s="120">
        <f t="shared" si="1"/>
        <v>2208.9587444999997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348.67199999999997</v>
      </c>
      <c r="M19" s="118">
        <f t="shared" si="5"/>
        <v>2556.9279999999999</v>
      </c>
      <c r="N19" s="118">
        <f t="shared" si="0"/>
        <v>486.39743999999996</v>
      </c>
      <c r="O19" s="119">
        <f t="shared" si="6"/>
        <v>15.216627199999998</v>
      </c>
      <c r="P19" s="120">
        <f t="shared" si="1"/>
        <v>3058.5420671999996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348.67199999999997</v>
      </c>
      <c r="M20" s="118">
        <f t="shared" si="5"/>
        <v>2556.9279999999999</v>
      </c>
      <c r="N20" s="118">
        <f t="shared" si="0"/>
        <v>486.39743999999996</v>
      </c>
      <c r="O20" s="119">
        <f t="shared" si="6"/>
        <v>15.216627199999998</v>
      </c>
      <c r="P20" s="120">
        <f t="shared" si="1"/>
        <v>3058.5420671999996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8">SUM(G16:G24)</f>
        <v>0</v>
      </c>
      <c r="H25" s="136">
        <f t="shared" si="8"/>
        <v>200</v>
      </c>
      <c r="I25" s="137">
        <f t="shared" si="8"/>
        <v>12106.7</v>
      </c>
      <c r="J25" s="138"/>
      <c r="K25" s="139">
        <f t="shared" si="8"/>
        <v>0</v>
      </c>
      <c r="L25" s="140">
        <f t="shared" si="8"/>
        <v>1452.8040000000001</v>
      </c>
      <c r="M25" s="141">
        <f t="shared" si="8"/>
        <v>10653.896000000001</v>
      </c>
      <c r="N25" s="142">
        <f>SUM(N16:N24)</f>
        <v>2026.66158</v>
      </c>
      <c r="O25" s="143">
        <f>SUM(O16:O24)</f>
        <v>63.402787899999993</v>
      </c>
      <c r="P25" s="144">
        <f>SUM(P16:P24)</f>
        <v>12743.960367899999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12106.7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1452.8040000000001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10653.896000000001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0.18</v>
      </c>
      <c r="P32" s="153">
        <f>N25</f>
        <v>2026.66158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12680.557580000001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5.0000000000000001E-3</v>
      </c>
      <c r="P34" s="153">
        <f>O34*P33</f>
        <v>63.402787900000007</v>
      </c>
    </row>
    <row r="35" spans="2:16" ht="15.75" customHeight="1" thickBot="1" x14ac:dyDescent="0.4">
      <c r="N35" s="207" t="s">
        <v>92</v>
      </c>
      <c r="O35" s="208"/>
      <c r="P35" s="160">
        <f>P33+P34</f>
        <v>12743.960367900001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7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9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8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9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167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44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70"/>
      <c r="G3" s="71"/>
      <c r="K3" s="233" t="s">
        <v>47</v>
      </c>
      <c r="L3" s="233"/>
      <c r="M3" s="233"/>
      <c r="N3" s="234">
        <v>10</v>
      </c>
      <c r="O3" s="234"/>
      <c r="P3" s="23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7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70"/>
      <c r="S5" s="71"/>
    </row>
    <row r="6" spans="1:19 16383:16384" ht="15" customHeight="1" x14ac:dyDescent="0.35">
      <c r="A6" s="233" t="s">
        <v>103</v>
      </c>
      <c r="B6" s="233"/>
      <c r="C6" s="233"/>
      <c r="F6" s="70"/>
      <c r="G6" s="74"/>
      <c r="K6" s="233" t="s">
        <v>52</v>
      </c>
      <c r="L6" s="233"/>
      <c r="M6" s="233"/>
      <c r="N6" s="246" t="s">
        <v>97</v>
      </c>
      <c r="O6" s="246"/>
      <c r="P6" s="246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70"/>
      <c r="G7" s="74"/>
      <c r="K7" s="233"/>
      <c r="L7" s="233"/>
      <c r="M7" s="233"/>
      <c r="N7" s="246"/>
      <c r="O7" s="246"/>
      <c r="P7" s="246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70"/>
      <c r="G8" s="74"/>
      <c r="K8" s="233"/>
      <c r="L8" s="233"/>
      <c r="M8" s="233"/>
      <c r="N8" s="246"/>
      <c r="O8" s="246"/>
      <c r="P8" s="246"/>
      <c r="R8" s="70"/>
      <c r="S8" s="74"/>
    </row>
    <row r="9" spans="1:19 16383:16384" x14ac:dyDescent="0.35">
      <c r="A9" s="245"/>
      <c r="B9" s="245"/>
      <c r="C9" s="245"/>
      <c r="F9" s="70"/>
      <c r="G9" s="74"/>
      <c r="K9" s="233"/>
      <c r="L9" s="233"/>
      <c r="M9" s="233"/>
      <c r="N9" s="246"/>
      <c r="O9" s="246"/>
      <c r="P9" s="246"/>
      <c r="R9" s="7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7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70"/>
      <c r="S10" s="71"/>
      <c r="XFD10" t="s">
        <v>58</v>
      </c>
    </row>
    <row r="11" spans="1:19 16383:16384" x14ac:dyDescent="0.35">
      <c r="A11" s="231"/>
      <c r="B11" s="76" t="s">
        <v>50</v>
      </c>
      <c r="C11" s="77" t="str">
        <f>IF($O34&gt;2.49%,"No","Yes")</f>
        <v>No</v>
      </c>
      <c r="F11" s="7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70"/>
      <c r="S11" s="71"/>
    </row>
    <row r="12" spans="1:19 16383:16384" ht="14.65" customHeight="1" x14ac:dyDescent="0.35">
      <c r="A12" s="231" t="s">
        <v>60</v>
      </c>
      <c r="B12" s="76" t="s">
        <v>54</v>
      </c>
      <c r="C12" s="77" t="str">
        <f>IF($O32&gt;21.99%,"No","Yes")</f>
        <v>No</v>
      </c>
      <c r="F12" s="70"/>
      <c r="G12" s="71"/>
      <c r="K12" s="233" t="s">
        <v>61</v>
      </c>
      <c r="L12" s="233"/>
      <c r="M12" s="233"/>
      <c r="N12" s="234"/>
      <c r="O12" s="234"/>
      <c r="P12" s="234"/>
      <c r="R12" s="7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61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9" t="s">
        <v>45</v>
      </c>
      <c r="B2" s="249"/>
      <c r="C2" s="249"/>
    </row>
    <row r="3" spans="1:19 16383:16384" ht="15" customHeight="1" x14ac:dyDescent="0.35">
      <c r="A3" s="234" t="s">
        <v>46</v>
      </c>
      <c r="B3" s="234"/>
      <c r="C3" s="234"/>
      <c r="F3" s="180"/>
      <c r="G3" s="71"/>
      <c r="K3" s="233" t="s">
        <v>47</v>
      </c>
      <c r="L3" s="233"/>
      <c r="M3" s="233"/>
      <c r="N3" s="234">
        <v>10</v>
      </c>
      <c r="O3" s="234"/>
      <c r="P3" s="23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34" t="s">
        <v>94</v>
      </c>
      <c r="B4" s="234"/>
      <c r="C4" s="234"/>
      <c r="F4" s="180"/>
      <c r="G4" s="71"/>
      <c r="K4" s="233" t="s">
        <v>49</v>
      </c>
      <c r="L4" s="233"/>
      <c r="M4" s="233"/>
      <c r="N4" s="247">
        <f ca="1">TODAY()</f>
        <v>46184</v>
      </c>
      <c r="O4" s="247"/>
      <c r="P4" s="247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180"/>
      <c r="G5" s="71"/>
      <c r="K5" s="233" t="s">
        <v>51</v>
      </c>
      <c r="L5" s="233"/>
      <c r="M5" s="233"/>
      <c r="N5" s="247">
        <f ca="1">N4-1</f>
        <v>46183</v>
      </c>
      <c r="O5" s="234"/>
      <c r="P5" s="234"/>
      <c r="R5" s="180"/>
      <c r="S5" s="71"/>
    </row>
    <row r="6" spans="1:19 16383:16384" ht="15" customHeight="1" x14ac:dyDescent="0.35">
      <c r="A6" s="233" t="s">
        <v>103</v>
      </c>
      <c r="B6" s="233"/>
      <c r="C6" s="233"/>
      <c r="F6" s="180"/>
      <c r="G6" s="74"/>
      <c r="K6" s="233" t="s">
        <v>52</v>
      </c>
      <c r="L6" s="233"/>
      <c r="M6" s="233"/>
      <c r="N6" s="246" t="s">
        <v>97</v>
      </c>
      <c r="O6" s="246"/>
      <c r="P6" s="246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33"/>
      <c r="B7" s="233"/>
      <c r="C7" s="233"/>
      <c r="F7" s="180"/>
      <c r="G7" s="74"/>
      <c r="K7" s="233"/>
      <c r="L7" s="233"/>
      <c r="M7" s="233"/>
      <c r="N7" s="246"/>
      <c r="O7" s="246"/>
      <c r="P7" s="246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45"/>
      <c r="B8" s="245"/>
      <c r="C8" s="245"/>
      <c r="F8" s="180"/>
      <c r="G8" s="74"/>
      <c r="K8" s="233"/>
      <c r="L8" s="233"/>
      <c r="M8" s="233"/>
      <c r="N8" s="246"/>
      <c r="O8" s="246"/>
      <c r="P8" s="246"/>
      <c r="R8" s="180"/>
      <c r="S8" s="74"/>
    </row>
    <row r="9" spans="1:19 16383:16384" x14ac:dyDescent="0.35">
      <c r="A9" s="245"/>
      <c r="B9" s="245"/>
      <c r="C9" s="245"/>
      <c r="F9" s="180"/>
      <c r="G9" s="74"/>
      <c r="K9" s="233"/>
      <c r="L9" s="233"/>
      <c r="M9" s="233"/>
      <c r="N9" s="246"/>
      <c r="O9" s="246"/>
      <c r="P9" s="246"/>
      <c r="R9" s="180"/>
      <c r="S9" s="74"/>
      <c r="XFD9" t="s">
        <v>55</v>
      </c>
    </row>
    <row r="10" spans="1:19 16383:16384" x14ac:dyDescent="0.35">
      <c r="A10" s="231" t="s">
        <v>95</v>
      </c>
      <c r="B10" s="75">
        <v>0</v>
      </c>
      <c r="C10" s="75"/>
      <c r="F10" s="180"/>
      <c r="G10" s="71"/>
      <c r="K10" s="233" t="s">
        <v>56</v>
      </c>
      <c r="L10" s="233"/>
      <c r="M10" s="233"/>
      <c r="N10" s="234" t="s">
        <v>57</v>
      </c>
      <c r="O10" s="234"/>
      <c r="P10" s="234"/>
      <c r="R10" s="180"/>
      <c r="S10" s="71"/>
      <c r="XFD10" t="s">
        <v>58</v>
      </c>
    </row>
    <row r="11" spans="1:19 16383:16384" x14ac:dyDescent="0.35">
      <c r="A11" s="231"/>
      <c r="B11" s="76" t="s">
        <v>50</v>
      </c>
      <c r="C11" s="181" t="str">
        <f>IF($O34&gt;2.49%,"No","Yes")</f>
        <v>No</v>
      </c>
      <c r="F11" s="180"/>
      <c r="G11" s="71"/>
      <c r="K11" s="233" t="s">
        <v>59</v>
      </c>
      <c r="L11" s="233"/>
      <c r="M11" s="233"/>
      <c r="N11" s="234" t="s">
        <v>55</v>
      </c>
      <c r="O11" s="234"/>
      <c r="P11" s="234"/>
      <c r="R11" s="180"/>
      <c r="S11" s="71"/>
    </row>
    <row r="12" spans="1:19 16383:16384" ht="14.65" customHeight="1" x14ac:dyDescent="0.35">
      <c r="A12" s="231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33" t="s">
        <v>61</v>
      </c>
      <c r="L12" s="233"/>
      <c r="M12" s="233"/>
      <c r="N12" s="234"/>
      <c r="O12" s="234"/>
      <c r="P12" s="234"/>
      <c r="R12" s="180"/>
      <c r="S12" s="71"/>
      <c r="XFD12" t="s">
        <v>62</v>
      </c>
    </row>
    <row r="13" spans="1:19 16383:16384" ht="15" thickBot="1" x14ac:dyDescent="0.4">
      <c r="A13" s="232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5" t="s">
        <v>64</v>
      </c>
      <c r="B14" s="236"/>
      <c r="C14" s="239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37"/>
      <c r="B15" s="238"/>
      <c r="C15" s="24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3" t="s">
        <v>84</v>
      </c>
      <c r="B25" s="214"/>
      <c r="C25" s="215"/>
      <c r="D25" s="209"/>
      <c r="E25" s="20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6" t="s">
        <v>85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8"/>
      <c r="N28" s="225" t="s">
        <v>86</v>
      </c>
      <c r="O28" s="226"/>
      <c r="P28" s="152">
        <f>I25</f>
        <v>0</v>
      </c>
    </row>
    <row r="29" spans="1:19 16384:16384" ht="15" customHeight="1" x14ac:dyDescent="0.35">
      <c r="B29" s="219"/>
      <c r="C29" s="220"/>
      <c r="D29" s="220"/>
      <c r="E29" s="220"/>
      <c r="F29" s="220"/>
      <c r="G29" s="220"/>
      <c r="H29" s="220"/>
      <c r="I29" s="220"/>
      <c r="J29" s="220"/>
      <c r="K29" s="220"/>
      <c r="L29" s="221"/>
      <c r="N29" s="227" t="s">
        <v>87</v>
      </c>
      <c r="O29" s="228"/>
      <c r="P29" s="153">
        <f>L25</f>
        <v>0</v>
      </c>
    </row>
    <row r="30" spans="1:19 16384:16384" ht="15" customHeight="1" x14ac:dyDescent="0.35">
      <c r="B30" s="219"/>
      <c r="C30" s="220"/>
      <c r="D30" s="220"/>
      <c r="E30" s="220"/>
      <c r="F30" s="220"/>
      <c r="G30" s="220"/>
      <c r="H30" s="220"/>
      <c r="I30" s="220"/>
      <c r="J30" s="220"/>
      <c r="K30" s="220"/>
      <c r="L30" s="221"/>
      <c r="N30" s="227" t="s">
        <v>4</v>
      </c>
      <c r="O30" s="228"/>
      <c r="P30" s="154">
        <f>K25</f>
        <v>0</v>
      </c>
    </row>
    <row r="31" spans="1:19 16384:16384" ht="15" customHeight="1" x14ac:dyDescent="0.35">
      <c r="B31" s="219"/>
      <c r="C31" s="220"/>
      <c r="D31" s="220"/>
      <c r="E31" s="220"/>
      <c r="F31" s="220"/>
      <c r="G31" s="220"/>
      <c r="H31" s="220"/>
      <c r="I31" s="220"/>
      <c r="J31" s="220"/>
      <c r="K31" s="220"/>
      <c r="L31" s="221"/>
      <c r="M31" s="2"/>
      <c r="N31" s="227" t="s">
        <v>88</v>
      </c>
      <c r="O31" s="228"/>
      <c r="P31" s="153">
        <f>P28-P29-P30</f>
        <v>0</v>
      </c>
    </row>
    <row r="32" spans="1:19 16384:16384" ht="15" customHeight="1" x14ac:dyDescent="0.35">
      <c r="B32" s="219"/>
      <c r="C32" s="220"/>
      <c r="D32" s="220"/>
      <c r="E32" s="220"/>
      <c r="F32" s="220"/>
      <c r="G32" s="220"/>
      <c r="H32" s="220"/>
      <c r="I32" s="220"/>
      <c r="J32" s="220"/>
      <c r="K32" s="220"/>
      <c r="L32" s="221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9"/>
      <c r="C33" s="220"/>
      <c r="D33" s="220"/>
      <c r="E33" s="220"/>
      <c r="F33" s="220"/>
      <c r="G33" s="220"/>
      <c r="H33" s="220"/>
      <c r="I33" s="220"/>
      <c r="J33" s="220"/>
      <c r="K33" s="220"/>
      <c r="L33" s="221"/>
      <c r="M33" s="2"/>
      <c r="N33" s="229" t="s">
        <v>90</v>
      </c>
      <c r="O33" s="230"/>
      <c r="P33" s="153">
        <f>P31+P32</f>
        <v>0</v>
      </c>
    </row>
    <row r="34" spans="2:16" ht="15" customHeight="1" thickBot="1" x14ac:dyDescent="0.4">
      <c r="B34" s="222"/>
      <c r="C34" s="223"/>
      <c r="D34" s="223"/>
      <c r="E34" s="223"/>
      <c r="F34" s="223"/>
      <c r="G34" s="223"/>
      <c r="H34" s="223"/>
      <c r="I34" s="223"/>
      <c r="J34" s="223"/>
      <c r="K34" s="223"/>
      <c r="L34" s="224"/>
      <c r="M34" s="157"/>
      <c r="N34" s="185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7" t="s">
        <v>92</v>
      </c>
      <c r="O35" s="208"/>
      <c r="P35" s="160">
        <f>P33+P34</f>
        <v>0</v>
      </c>
    </row>
    <row r="36" spans="2:16" ht="15" thickBot="1" x14ac:dyDescent="0.4">
      <c r="B36" s="186" t="s">
        <v>93</v>
      </c>
      <c r="C36" s="209"/>
      <c r="D36" s="209"/>
      <c r="E36" s="209"/>
      <c r="F36" s="209"/>
      <c r="G36" s="209"/>
      <c r="H36" s="209"/>
      <c r="I36" s="210"/>
      <c r="J36" s="211"/>
      <c r="K36" s="21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2026-06-11T06:51:52Z</dcterms:modified>
</cp:coreProperties>
</file>