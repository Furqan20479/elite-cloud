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4207D98-8B95-40FC-82A8-2DF5187C504A}" xr6:coauthVersionLast="47" xr6:coauthVersionMax="47" xr10:uidLastSave="{00000000-0000-0000-0000-000000000000}"/>
  <bookViews>
    <workbookView xWindow="-110" yWindow="-110" windowWidth="19420" windowHeight="10420" tabRatio="949" activeTab="4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K18" i="15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17" i="15" l="1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M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0" i="16"/>
  <c r="N20" i="16" s="1"/>
  <c r="M22" i="16" l="1"/>
  <c r="N22" i="16" s="1"/>
  <c r="P31" i="17"/>
  <c r="L25" i="16"/>
  <c r="P29" i="16" s="1"/>
  <c r="M18" i="16"/>
  <c r="N18" i="16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<sst xmlns="http://schemas.openxmlformats.org/spreadsheetml/2006/main" count="1579" uniqueCount="109">
  <si>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</si>
  <si>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</si>
  <si>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</si>
  <si>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</si>
  <si>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</si>
  <si>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</si>
  <si>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</si>
  <si>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</si>
  <si>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</si>
  <si>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</si>
  <si>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</si>
  <si>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</si>
  <si>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</si>
  <si>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</si>
  <si>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</si>
  <si>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</si>
  <si>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</si>
  <si>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</si>
  <si>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</si>
  <si>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</si>
  <si>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</si>
  <si>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</si>
  <si>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</si>
  <si>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</si>
  <si>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</si>
  <si>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</si>
  <si>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</si>
  <si>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</si>
  <si>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</si>
  <si>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</si>
  <si>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</si>
  <si>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</si>
  <si>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</si>
  <si>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</si>
  <si>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</si>
  <si>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</si>
  <si>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</si>
  <si>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</si>
  <si>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</si>
  <si>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</si>
  <si>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</si>
  <si>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</si>
  <si>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</si>
  <si>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</si>
  <si>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</si>
  <si>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</si>
  <si>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</si>
  <si>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</si>
  <si>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</si>
  <si>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</si>
  <si>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</si>
  <si>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</si>
  <si>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</si>
  <si>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</si>
  <si>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</si>
  <si>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</si>
  <si>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</si>
  <si>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</si>
  <si>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</si>
  <si>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</si>
  <si>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</si>
  <si>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</si>
  <si>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</si>
  <si>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</si>
  <si>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</si>
  <si>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</si>
  <si>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</si>
  <si>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</si>
  <si>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</si>
  <si>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</si>
  <si>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</si>
  <si>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</si>
  <si>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</si>
  <si>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</si>
  <si>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</si>
  <si>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</si>
  <si>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</si>
  <si>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</si>
  <si>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</si>
  <si>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</si>
  <si>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</si>
  <si>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</si>
  <si>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</si>
  <si>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</si>
  <si>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</si>
  <si>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</si>
  <si>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</si>
  <si>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</si>
  <si>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</si>
  <si>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</si>
  <si>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</si>
  <si>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</si>
  <si>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</si>
  <si>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</si>
  <si>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</si>
  <si>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</si>
  <si>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</si>
  <si>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</si>
  <si>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</si>
  <si>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</si>
  <si>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</si>
  <si>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</si>
  <si>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Customer Name : Shop Name</t>
  </si>
  <si>
    <t>Address: A</t>
  </si>
  <si>
    <t>Customer Name : Ghose Bakery</t>
  </si>
  <si>
    <t>Address: Abid Market</t>
  </si>
  <si>
    <t>Shop Bill Summary (Furqan)</t>
  </si>
  <si>
    <t>Customer Name : Yasir Store</t>
  </si>
  <si>
    <t>Address: Kank Madi Mazang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</si>
</sst>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4" sqref="G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4" sqref="G4"/>
      <selection pane="topRight" activeCell="G4" sqref="G4"/>
      <selection pane="bottomLeft" activeCell="G4" sqref="G4"/>
      <selection pane="bottomRight" activeCell="F4" sqref="F4:G4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opLeftCell="A5" zoomScale="85" zoomScaleNormal="85" workbookViewId="0">
      <selection activeCell="Q14" sqref="Q1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customWidth="1"/>
    <col min="6" max="6" width="6.54296875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customWidth="1"/>
    <col min="12" max="12" width="7.453125" customWidth="1"/>
    <col min="13" max="13" width="8" customWidth="1"/>
    <col min="14" max="14" width="10" style="69" customWidth="1"/>
    <col min="15" max="15" width="9.54296875" customWidth="1"/>
    <col min="16" max="16" width="9.7265625" customWidth="1"/>
    <col min="17" max="17" width="4.54296875" customWidth="1"/>
    <col min="18" max="18" width="7.26953125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96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106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Ghose Bakery</v>
      </c>
      <c r="U14" s="164">
        <f>+'1'!P35</f>
        <v>13790.342448900001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Yasir Store</v>
      </c>
      <c r="U15" s="164">
        <f>+'2'!P35</f>
        <v>6751.0744320000003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</v>
      </c>
      <c r="I16" s="1">
        <f>(G16*D16)*F16+H16*F16</f>
        <v>2098.5</v>
      </c>
      <c r="J16" s="172">
        <f>+'1'!J16+'2'!J16+'4'!J16+'3'!J16+'5'!J16+'6'!J16+'7'!J16+'8'!J16+'9'!J16+'10'!J16+'11'!J16+'12'!J16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447.81990000000002</v>
      </c>
      <c r="O16" s="101">
        <f>+'1'!O16+'2'!O16+'4'!O16+'3'!O16+'5'!O16+'6'!O16+'7'!O16+'8'!O16+'9'!O16+'10'!O16</f>
        <v>11.8921995</v>
      </c>
      <c r="P16" s="105">
        <f t="shared" ref="P16:P24" si="0">M16+N16+O16</f>
        <v>2390.3320994999999</v>
      </c>
      <c r="Q16" s="108"/>
      <c r="T16" s="163" t="str">
        <f>+'4'!A5</f>
        <v>Customer Name : Shop Name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447.81990000000002</v>
      </c>
      <c r="O17" s="101">
        <f>+'1'!O17+'2'!O17+'4'!O17+'3'!O17+'5'!O17+'6'!O17+'7'!O17+'8'!O17+'9'!O17+'10'!O17</f>
        <v>11.8921995</v>
      </c>
      <c r="P17" s="120">
        <f t="shared" si="0"/>
        <v>2390.3320994999999</v>
      </c>
      <c r="S17" s="64"/>
      <c r="T17" s="163" t="str">
        <f>+'3'!A5</f>
        <v>Customer Name : Shop Name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</v>
      </c>
      <c r="I18" s="1">
        <f t="shared" si="1"/>
        <v>2098.5</v>
      </c>
      <c r="J18" s="172">
        <f>+'1'!J18+'2'!J18+'4'!J18+'3'!J18+'5'!J18+'6'!J18+'7'!J18+'8'!J18+'9'!J18+'10'!J18+'11'!J18+'12'!J18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167.88</v>
      </c>
      <c r="M18" s="118">
        <f t="shared" si="2"/>
        <v>1930.62</v>
      </c>
      <c r="N18" s="101">
        <f>+'1'!N18+'2'!N18+'4'!N18+'3'!N18+'5'!N18+'6'!N18+'7'!N18+'8'!N18+'9'!N18+'10'!N18</f>
        <v>447.81990000000002</v>
      </c>
      <c r="O18" s="101">
        <f>+'1'!O18+'2'!O18+'4'!O18+'3'!O18+'5'!O18+'6'!O18+'7'!O18+'8'!O18+'9'!O18+'10'!O18</f>
        <v>11.8921995</v>
      </c>
      <c r="P18" s="120">
        <f t="shared" si="0"/>
        <v>2390.3320994999999</v>
      </c>
      <c r="T18" s="163" t="str">
        <f>+'5'!A5</f>
        <v>Customer Name : Shop Name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60</v>
      </c>
      <c r="I19" s="1">
        <f t="shared" si="1"/>
        <v>4358.3999999999996</v>
      </c>
      <c r="J19" s="172">
        <f>+'1'!J19+'2'!J19+'4'!J19+'3'!J19+'5'!J19+'6'!J19+'7'!J19+'8'!J19+'9'!J19+'10'!J19+'11'!J19+'12'!J19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348.67200000000003</v>
      </c>
      <c r="M19" s="118">
        <f t="shared" si="2"/>
        <v>4009.7279999999996</v>
      </c>
      <c r="N19" s="101">
        <f>+'1'!N19+'2'!N19+'4'!N19+'3'!N19+'5'!N19+'6'!N19+'7'!N19+'8'!N19+'9'!N19+'10'!N19</f>
        <v>914.10176000000001</v>
      </c>
      <c r="O19" s="101">
        <f>+'1'!O19+'2'!O19+'4'!O19+'3'!O19+'5'!O19+'6'!O19+'7'!O19+'8'!O19+'9'!O19+'10'!O19</f>
        <v>57.231603200000002</v>
      </c>
      <c r="P19" s="120">
        <f t="shared" si="0"/>
        <v>4981.0613631999995</v>
      </c>
      <c r="T19" s="163" t="str">
        <f>+'6'!A5</f>
        <v>Customer Name : Shop Name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70</v>
      </c>
      <c r="I20" s="1">
        <f t="shared" si="1"/>
        <v>5084.8</v>
      </c>
      <c r="J20" s="172">
        <f>+'1'!J20+'2'!J20+'4'!J20+'3'!J20+'5'!J20+'6'!J20+'7'!J20+'8'!J20+'9'!J20+'10'!J20+'11'!J20+'12'!J20</f>
        <v>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406.78399999999999</v>
      </c>
      <c r="M20" s="118">
        <f t="shared" si="2"/>
        <v>4678.0160000000005</v>
      </c>
      <c r="N20" s="101">
        <f>+'1'!N20+'2'!N20+'4'!N20+'3'!N20+'5'!N20+'6'!N20+'7'!N20+'8'!N20+'9'!N20+'10'!N20</f>
        <v>1093.0867199999998</v>
      </c>
      <c r="O20" s="101">
        <f>+'1'!O20+'2'!O20+'4'!O20+'3'!O20+'5'!O20+'6'!O20+'7'!O20+'8'!O20+'9'!O20+'10'!O20</f>
        <v>78.413427200000001</v>
      </c>
      <c r="P20" s="120">
        <f t="shared" si="0"/>
        <v>5849.5161472000009</v>
      </c>
      <c r="T20" s="163" t="str">
        <f>+'7'!A5</f>
        <v>Customer Name : Shop Name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30</v>
      </c>
      <c r="I21" s="1">
        <f t="shared" si="1"/>
        <v>2179.1999999999998</v>
      </c>
      <c r="J21" s="172">
        <f>+'1'!J21+'2'!J21+'4'!J21+'3'!J21+'5'!J21+'6'!J21+'7'!J21+'8'!J21+'9'!J21+'10'!J21+'11'!J21+'12'!J21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174.33599999999998</v>
      </c>
      <c r="M21" s="118">
        <f t="shared" si="2"/>
        <v>2004.8639999999998</v>
      </c>
      <c r="N21" s="101">
        <f>+'1'!N21+'2'!N21+'4'!N21+'3'!N21+'5'!N21+'6'!N21+'7'!N21+'8'!N21+'9'!N21+'10'!N21</f>
        <v>473.03167999999994</v>
      </c>
      <c r="O21" s="101">
        <f>+'1'!O21+'2'!O21+'4'!O21+'3'!O21+'5'!O21+'6'!O21+'7'!O21+'8'!O21+'9'!O21+'10'!O21</f>
        <v>61.947391999999994</v>
      </c>
      <c r="P21" s="120">
        <f t="shared" si="0"/>
        <v>2539.8430719999997</v>
      </c>
      <c r="T21" s="163" t="str">
        <f>+'8'!A5</f>
        <v>Customer Name : Shop Name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Shop Name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Shop Name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Shop Name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>
        <f>H25/40</f>
        <v>7</v>
      </c>
      <c r="D25" s="218"/>
      <c r="E25" s="218"/>
      <c r="F25" s="218"/>
      <c r="G25" s="176">
        <f t="shared" ref="G25:M25" si="3">SUM(G16:G24)</f>
        <v>0</v>
      </c>
      <c r="H25" s="177">
        <f t="shared" si="3"/>
        <v>280</v>
      </c>
      <c r="I25" s="178">
        <f t="shared" si="3"/>
        <v>17917.900000000001</v>
      </c>
      <c r="J25" s="177">
        <f t="shared" si="3"/>
        <v>14</v>
      </c>
      <c r="K25" s="178">
        <f t="shared" si="3"/>
        <v>0</v>
      </c>
      <c r="L25" s="179">
        <f t="shared" si="3"/>
        <v>1433.432</v>
      </c>
      <c r="M25" s="141">
        <f t="shared" si="3"/>
        <v>16484.468000000001</v>
      </c>
      <c r="N25" s="142">
        <f>SUM(N16:N24)</f>
        <v>3823.6798599999997</v>
      </c>
      <c r="O25" s="143">
        <f>SUM(O16:O24)</f>
        <v>233.26902089999999</v>
      </c>
      <c r="P25" s="144">
        <f>SUM(P16:P24)</f>
        <v>20541.4168809</v>
      </c>
      <c r="T25" s="163" t="str">
        <f>+'12'!A5</f>
        <v>Customer Name : Shop Name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20541.4168809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17917.900000000001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1433.432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16484.468000000001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3823.6798599999997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20308.147860000001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507.70369650000004</v>
      </c>
    </row>
    <row r="35" spans="2:16" ht="15.75" customHeight="1" thickBot="1" x14ac:dyDescent="0.4">
      <c r="N35" s="216" t="s">
        <v>92</v>
      </c>
      <c r="O35" s="217"/>
      <c r="P35" s="160">
        <f>P33+P34</f>
        <v>20815.851556500002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5"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1620169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48</v>
      </c>
      <c r="C11" s="77" t="str">
        <f>IF($O34&gt;2.49%,"No","Yes")</f>
        <v>Yes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200</v>
      </c>
      <c r="I25" s="137">
        <f t="shared" si="9"/>
        <v>12106.7</v>
      </c>
      <c r="J25" s="138"/>
      <c r="K25" s="139">
        <f t="shared" si="9"/>
        <v>0</v>
      </c>
      <c r="L25" s="140">
        <f t="shared" si="9"/>
        <v>968.53599999999994</v>
      </c>
      <c r="M25" s="141">
        <f t="shared" si="9"/>
        <v>11138.163999999999</v>
      </c>
      <c r="N25" s="142">
        <f>SUM(N16:N24)</f>
        <v>2583.5697799999998</v>
      </c>
      <c r="O25" s="143">
        <f>SUM(O16:O24)</f>
        <v>68.608668899999998</v>
      </c>
      <c r="P25" s="144">
        <f>SUM(P16:P24)</f>
        <v>13790.342448900001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12106.7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968.53599999999994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11138.164000000001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2583.5697799999998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13721.73378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5.0000000000000001E-3</v>
      </c>
      <c r="P34" s="153">
        <f>O34*P33</f>
        <v>68.608668899999998</v>
      </c>
    </row>
    <row r="35" spans="2:16" ht="15.75" customHeight="1" thickBot="1" x14ac:dyDescent="0.4">
      <c r="N35" s="216" t="s">
        <v>92</v>
      </c>
      <c r="O35" s="217"/>
      <c r="P35" s="160">
        <f>P33+P34</f>
        <v>13790.342448900001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abSelected="1" workbookViewId="0">
      <selection activeCell="S18" sqref="S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107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108</v>
      </c>
      <c r="B6" s="198"/>
      <c r="C6" s="198"/>
      <c r="F6" s="70"/>
      <c r="G6" s="74"/>
      <c r="K6" s="198" t="s">
        <v>52</v>
      </c>
      <c r="L6" s="198"/>
      <c r="M6" s="198"/>
      <c r="N6" s="200" t="s">
        <v>96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/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294.04671999999999</v>
      </c>
      <c r="O19" s="119">
        <f t="shared" si="6"/>
        <v>40.765568000000002</v>
      </c>
      <c r="P19" s="120">
        <f t="shared" si="1"/>
        <v>1671.3882880000001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30</v>
      </c>
      <c r="I20" s="116">
        <f t="shared" si="2"/>
        <v>2179.1999999999998</v>
      </c>
      <c r="J20" s="117">
        <v>2</v>
      </c>
      <c r="K20" s="1">
        <f t="shared" si="3"/>
        <v>0</v>
      </c>
      <c r="L20" s="105">
        <f t="shared" si="4"/>
        <v>174.33599999999998</v>
      </c>
      <c r="M20" s="118">
        <f t="shared" si="5"/>
        <v>2004.8639999999998</v>
      </c>
      <c r="N20" s="118">
        <f t="shared" si="0"/>
        <v>473.03167999999994</v>
      </c>
      <c r="O20" s="119">
        <f t="shared" si="6"/>
        <v>61.947391999999994</v>
      </c>
      <c r="P20" s="120">
        <f t="shared" si="1"/>
        <v>2539.8430719999997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30</v>
      </c>
      <c r="I21" s="116">
        <f t="shared" si="2"/>
        <v>2179.1999999999998</v>
      </c>
      <c r="J21" s="117">
        <v>2</v>
      </c>
      <c r="K21" s="1">
        <f t="shared" si="3"/>
        <v>0</v>
      </c>
      <c r="L21" s="105">
        <f t="shared" si="4"/>
        <v>174.33599999999998</v>
      </c>
      <c r="M21" s="118">
        <f t="shared" si="5"/>
        <v>2004.8639999999998</v>
      </c>
      <c r="N21" s="118">
        <f t="shared" si="0"/>
        <v>473.03167999999994</v>
      </c>
      <c r="O21" s="119">
        <f t="shared" si="6"/>
        <v>61.947391999999994</v>
      </c>
      <c r="P21" s="120">
        <f t="shared" si="1"/>
        <v>2539.8430719999997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80</v>
      </c>
      <c r="I25" s="137">
        <f t="shared" si="9"/>
        <v>5811.2</v>
      </c>
      <c r="J25" s="138"/>
      <c r="K25" s="139">
        <f t="shared" si="9"/>
        <v>0</v>
      </c>
      <c r="L25" s="140">
        <f t="shared" si="9"/>
        <v>464.89599999999996</v>
      </c>
      <c r="M25" s="141">
        <f t="shared" si="9"/>
        <v>5346.3039999999992</v>
      </c>
      <c r="N25" s="142">
        <f>SUM(N16:N24)</f>
        <v>1240.1100799999999</v>
      </c>
      <c r="O25" s="143">
        <f>SUM(O16:O24)</f>
        <v>164.66035199999999</v>
      </c>
      <c r="P25" s="144">
        <f>SUM(P16:P24)</f>
        <v>6751.0744319999994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5811.2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464.89599999999996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5346.3040000000001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1240.1100799999999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6586.4140800000005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164.66035200000002</v>
      </c>
    </row>
    <row r="35" spans="2:16" ht="15.75" customHeight="1" thickBot="1" x14ac:dyDescent="0.4">
      <c r="N35" s="216" t="s">
        <v>92</v>
      </c>
      <c r="O35" s="217"/>
      <c r="P35" s="160">
        <f>P33+P34</f>
        <v>6751.0744320000003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7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7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102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103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2026-06-11T14:11:56Z</dcterms:modified>
</cp:coreProperties>
</file>