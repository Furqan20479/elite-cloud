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37D84D21-9AE1-45B1-BEEA-5B0DF1EB0412}" xr6:coauthVersionLast="45" xr6:coauthVersionMax="45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C11" i="28" s="1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 s="1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 s="1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 s="1"/>
  <c r="N20" i="32"/>
  <c r="O20" i="32" s="1"/>
  <c r="M25" i="32"/>
  <c r="N16" i="32"/>
  <c r="L25" i="32"/>
  <c r="P29" i="32" s="1"/>
  <c r="P31" i="32" s="1"/>
  <c r="N22" i="32"/>
  <c r="O22" i="32" s="1"/>
  <c r="P22" i="32" s="1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 s="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N18" i="30"/>
  <c r="O18" i="30" s="1"/>
  <c r="P18" i="30" s="1"/>
  <c r="K25" i="30"/>
  <c r="P30" i="30" s="1"/>
  <c r="P31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 s="1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 s="1"/>
  <c r="N20" i="28"/>
  <c r="O20" i="28" s="1"/>
  <c r="P20" i="28"/>
  <c r="N22" i="28"/>
  <c r="O22" i="28" s="1"/>
  <c r="P22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8" i="28"/>
  <c r="O18" i="28" s="1"/>
  <c r="P18" i="28" s="1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16" i="32" l="1"/>
  <c r="P25" i="32" s="1"/>
  <c r="P16" i="30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17" i="15" l="1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P31" i="17" l="1"/>
  <c r="L25" i="16"/>
  <c r="P29" i="16" s="1"/>
  <c r="M18" i="16"/>
  <c r="N18" i="16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<sst xmlns="http://schemas.openxmlformats.org/spreadsheetml/2006/main" count="1579" uniqueCount="109">
  <si>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</si>
  <si>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</si>
  <si>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</si>
  <si>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</si>
  <si>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</si>
  <si>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</si>
  <si>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</si>
  <si>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</si>
  <si>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</si>
  <si>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</si>
  <si>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</si>
  <si>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</si>
  <si>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</si>
  <si>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</si>
  <si>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</si>
  <si>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</si>
  <si>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</si>
  <si>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</si>
  <si>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</si>
  <si>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</si>
  <si>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</si>
  <si>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</si>
  <si>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</si>
  <si>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</si>
  <si>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</si>
  <si>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</si>
  <si>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</si>
  <si>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</si>
  <si>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</si>
  <si>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</si>
  <si>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</si>
  <si>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</si>
  <si>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</si>
  <si>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</si>
  <si>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</si>
  <si>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</si>
  <si>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</si>
  <si>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</si>
  <si>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</si>
  <si>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</si>
  <si>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</si>
  <si>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</si>
  <si>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</si>
  <si>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</si>
  <si>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</si>
  <si>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</si>
  <si>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</si>
  <si>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</si>
  <si>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</si>
  <si>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</si>
  <si>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</si>
  <si>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</si>
  <si>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</si>
  <si>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</si>
  <si>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</si>
  <si>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</si>
  <si>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</si>
  <si>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</si>
  <si>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</si>
  <si>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</si>
  <si>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</si>
  <si>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</si>
  <si>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</si>
  <si>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</si>
  <si>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</si>
  <si>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</si>
  <si>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</si>
  <si>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</si>
  <si>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</si>
  <si>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</si>
  <si>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</si>
  <si>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</si>
  <si>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</si>
  <si>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</si>
  <si>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</si>
  <si>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</si>
  <si>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</si>
  <si>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</si>
  <si>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</si>
  <si>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</si>
  <si>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</si>
  <si>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</si>
  <si>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</si>
  <si>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</si>
  <si>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</si>
  <si>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</si>
  <si>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</si>
  <si>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</si>
  <si>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</si>
  <si>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</si>
  <si>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</si>
  <si>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</si>
  <si>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</si>
  <si>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</si>
  <si>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</si>
  <si>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</si>
  <si>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</si>
  <si>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</si>
  <si>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</si>
  <si>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</si>
  <si>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</si>
  <si>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</si>
  <si>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Customer Name : Shop Name</t>
  </si>
  <si>
    <t>Address: A</t>
  </si>
  <si>
    <t>Customer Name : Ghose Bakery</t>
  </si>
  <si>
    <t>Address: Abid Market</t>
  </si>
  <si>
    <t>Shop Bill Summary (Furqan)</t>
  </si>
  <si>
    <t>Customer Name : Yasir Store</t>
  </si>
  <si>
    <t>Address: Kank Madi Mazang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</si>
</sst>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4" sqref="G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4" sqref="G4"/>
      <selection pane="topRight" activeCell="G4" sqref="G4"/>
      <selection pane="bottomLeft" activeCell="G4" sqref="G4"/>
      <selection pane="bottomRight" activeCell="F4" sqref="F4:G4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topLeftCell="A17" zoomScale="70" zoomScaleNormal="70" workbookViewId="0">
      <selection activeCell="S30" sqref="S3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9" t="s">
        <v>45</v>
      </c>
      <c r="B2" s="249"/>
      <c r="C2" s="249"/>
    </row>
    <row r="3" spans="1:21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8" t="s">
        <v>96</v>
      </c>
      <c r="B5" s="248"/>
      <c r="C5" s="248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21 16383:16384" ht="15" customHeight="1" x14ac:dyDescent="0.35">
      <c r="A6" s="248"/>
      <c r="B6" s="248"/>
      <c r="C6" s="248"/>
      <c r="F6" s="70"/>
      <c r="G6" s="74"/>
      <c r="K6" s="233" t="s">
        <v>52</v>
      </c>
      <c r="L6" s="233"/>
      <c r="M6" s="233"/>
      <c r="N6" s="246" t="s">
        <v>42</v>
      </c>
      <c r="O6" s="246"/>
      <c r="P6" s="246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21 16383:16384" hidden="1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21 16383:16384" x14ac:dyDescent="0.35">
      <c r="A10" s="231"/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21 16383:16384" ht="15" thickBot="1" x14ac:dyDescent="0.4">
      <c r="A11" s="231"/>
      <c r="B11" s="76"/>
      <c r="C11" s="77"/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21 16383:16384" ht="14.65" customHeight="1" x14ac:dyDescent="0.35">
      <c r="A12" s="231"/>
      <c r="B12" s="76"/>
      <c r="C12" s="77"/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T12" s="203" t="s">
        <v>106</v>
      </c>
      <c r="U12" s="204"/>
      <c r="XFD12" t="s">
        <v>62</v>
      </c>
    </row>
    <row r="13" spans="1:21 16383:16384" ht="15" thickBot="1" x14ac:dyDescent="0.4">
      <c r="A13" s="232"/>
      <c r="J13" s="78"/>
      <c r="K13" s="78"/>
      <c r="L13" s="79">
        <v>0.05</v>
      </c>
      <c r="T13" s="205"/>
      <c r="U13" s="206"/>
      <c r="XFD13" t="s">
        <v>63</v>
      </c>
    </row>
    <row r="14" spans="1:21 16383:16384" ht="29.25" customHeight="1" x14ac:dyDescent="0.6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41" t="s">
        <v>68</v>
      </c>
      <c r="H14" s="242"/>
      <c r="I14" s="242" t="s">
        <v>69</v>
      </c>
      <c r="J14" s="242" t="s">
        <v>70</v>
      </c>
      <c r="K14" s="242"/>
      <c r="L14" s="244"/>
      <c r="M14" s="236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Ghose Bakery</v>
      </c>
      <c r="U14" s="164">
        <f>+'1'!P35</f>
        <v>15550.798898700003</v>
      </c>
      <c r="XFD14" t="s">
        <v>75</v>
      </c>
    </row>
    <row r="15" spans="1:21 16383:16384" ht="29.25" customHeight="1" thickBot="1" x14ac:dyDescent="0.65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3"/>
      <c r="J15" s="171" t="s">
        <v>78</v>
      </c>
      <c r="K15" s="171" t="s">
        <v>79</v>
      </c>
      <c r="L15" s="174" t="s">
        <v>80</v>
      </c>
      <c r="M15" s="23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Yasir Store</v>
      </c>
      <c r="U15" s="164">
        <f>+'2'!P35</f>
        <v>6751.0744320000003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40</v>
      </c>
      <c r="I16" s="1">
        <f>(G16*D16)*F16+H16*F16</f>
        <v>2098.5</v>
      </c>
      <c r="J16" s="172">
        <f>+'1'!J16+'2'!J16+'4'!J16+'3'!J16+'5'!J16+'6'!J16+'7'!J16+'8'!J16+'9'!J16+'10'!J16+'11'!J16+'12'!J16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167.88</v>
      </c>
      <c r="M16" s="106">
        <f>I16-K16-L16</f>
        <v>1930.62</v>
      </c>
      <c r="N16" s="101">
        <f>+'1'!N16+'2'!N16+'4'!N16+'3'!N16+'5'!N16+'6'!N16+'7'!N16+'8'!N16+'9'!N16+'10'!N16</f>
        <v>447.81990000000002</v>
      </c>
      <c r="O16" s="101">
        <f>+'1'!O16+'2'!O16+'4'!O16+'3'!O16+'5'!O16+'6'!O16+'7'!O16+'8'!O16+'9'!O16+'10'!O16</f>
        <v>11.8921995</v>
      </c>
      <c r="P16" s="105">
        <f t="shared" ref="P16:P24" si="0">M16+N16+O16</f>
        <v>2390.3320994999999</v>
      </c>
      <c r="Q16" s="108"/>
      <c r="T16" s="163" t="str">
        <f>+'4'!A5</f>
        <v>Customer Name : Shop Name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447.81990000000002</v>
      </c>
      <c r="O17" s="101">
        <f>+'1'!O17+'2'!O17+'4'!O17+'3'!O17+'5'!O17+'6'!O17+'7'!O17+'8'!O17+'9'!O17+'10'!O17</f>
        <v>11.8921995</v>
      </c>
      <c r="P17" s="120">
        <f t="shared" si="0"/>
        <v>2390.3320994999999</v>
      </c>
      <c r="S17" s="64"/>
      <c r="T17" s="163" t="str">
        <f>+'3'!A5</f>
        <v>Customer Name : Shop Name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40</v>
      </c>
      <c r="I18" s="1">
        <f t="shared" si="1"/>
        <v>2098.5</v>
      </c>
      <c r="J18" s="172">
        <f>+'1'!J18+'2'!J18+'4'!J18+'3'!J18+'5'!J18+'6'!J18+'7'!J18+'8'!J18+'9'!J18+'10'!J18+'11'!J18+'12'!J18</f>
        <v>2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167.88</v>
      </c>
      <c r="M18" s="118">
        <f t="shared" si="2"/>
        <v>1930.62</v>
      </c>
      <c r="N18" s="101">
        <f>+'1'!N18+'2'!N18+'4'!N18+'3'!N18+'5'!N18+'6'!N18+'7'!N18+'8'!N18+'9'!N18+'10'!N18</f>
        <v>447.81990000000002</v>
      </c>
      <c r="O18" s="101">
        <f>+'1'!O18+'2'!O18+'4'!O18+'3'!O18+'5'!O18+'6'!O18+'7'!O18+'8'!O18+'9'!O18+'10'!O18</f>
        <v>11.8921995</v>
      </c>
      <c r="P18" s="120">
        <f t="shared" si="0"/>
        <v>2390.3320994999999</v>
      </c>
      <c r="T18" s="163" t="str">
        <f>+'5'!A5</f>
        <v>Customer Name : Shop Name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60</v>
      </c>
      <c r="I19" s="1">
        <f t="shared" si="1"/>
        <v>4358.3999999999996</v>
      </c>
      <c r="J19" s="172">
        <f>+'1'!J19+'2'!J19+'4'!J19+'3'!J19+'5'!J19+'6'!J19+'7'!J19+'8'!J19+'9'!J19+'10'!J19+'11'!J19+'12'!J19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348.67200000000003</v>
      </c>
      <c r="M19" s="118">
        <f t="shared" si="2"/>
        <v>4009.7279999999996</v>
      </c>
      <c r="N19" s="101">
        <f>+'1'!N19+'2'!N19+'4'!N19+'3'!N19+'5'!N19+'6'!N19+'7'!N19+'8'!N19+'9'!N19+'10'!N19</f>
        <v>914.10176000000001</v>
      </c>
      <c r="O19" s="101">
        <f>+'1'!O19+'2'!O19+'4'!O19+'3'!O19+'5'!O19+'6'!O19+'7'!O19+'8'!O19+'9'!O19+'10'!O19</f>
        <v>57.231603200000002</v>
      </c>
      <c r="P19" s="120">
        <f t="shared" si="0"/>
        <v>4981.0613631999995</v>
      </c>
      <c r="T19" s="163" t="str">
        <f>+'6'!A5</f>
        <v>Customer Name : Shop Name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70</v>
      </c>
      <c r="I20" s="1">
        <f t="shared" si="1"/>
        <v>5084.8</v>
      </c>
      <c r="J20" s="172">
        <f>+'1'!J20+'2'!J20+'4'!J20+'3'!J20+'5'!J20+'6'!J20+'7'!J20+'8'!J20+'9'!J20+'10'!J20+'11'!J20+'12'!J20</f>
        <v>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406.78399999999999</v>
      </c>
      <c r="M20" s="118">
        <f t="shared" si="2"/>
        <v>4678.0160000000005</v>
      </c>
      <c r="N20" s="101">
        <f>+'1'!N20+'2'!N20+'4'!N20+'3'!N20+'5'!N20+'6'!N20+'7'!N20+'8'!N20+'9'!N20+'10'!N20</f>
        <v>1093.0867199999998</v>
      </c>
      <c r="O20" s="101">
        <f>+'1'!O20+'2'!O20+'4'!O20+'3'!O20+'5'!O20+'6'!O20+'7'!O20+'8'!O20+'9'!O20+'10'!O20</f>
        <v>78.413427200000001</v>
      </c>
      <c r="P20" s="120">
        <f t="shared" si="0"/>
        <v>5849.5161472000009</v>
      </c>
      <c r="T20" s="163" t="str">
        <f>+'7'!A5</f>
        <v>Customer Name : Shop Name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30</v>
      </c>
      <c r="I21" s="1">
        <f t="shared" si="1"/>
        <v>2179.1999999999998</v>
      </c>
      <c r="J21" s="172">
        <f>+'1'!J21+'2'!J21+'4'!J21+'3'!J21+'5'!J21+'6'!J21+'7'!J21+'8'!J21+'9'!J21+'10'!J21+'11'!J21+'12'!J21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174.33599999999998</v>
      </c>
      <c r="M21" s="118">
        <f t="shared" si="2"/>
        <v>2004.8639999999998</v>
      </c>
      <c r="N21" s="101">
        <f>+'1'!N21+'2'!N21+'4'!N21+'3'!N21+'5'!N21+'6'!N21+'7'!N21+'8'!N21+'9'!N21+'10'!N21</f>
        <v>473.03167999999994</v>
      </c>
      <c r="O21" s="101">
        <f>+'1'!O21+'2'!O21+'4'!O21+'3'!O21+'5'!O21+'6'!O21+'7'!O21+'8'!O21+'9'!O21+'10'!O21</f>
        <v>61.947391999999994</v>
      </c>
      <c r="P21" s="120">
        <f t="shared" si="0"/>
        <v>2539.8430719999997</v>
      </c>
      <c r="T21" s="163" t="str">
        <f>+'8'!A5</f>
        <v>Customer Name : Shop Name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40</v>
      </c>
      <c r="I22" s="1">
        <f t="shared" si="1"/>
        <v>1569.2000000000003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315.87996000000004</v>
      </c>
      <c r="O22" s="101">
        <f>+'1'!O22+'2'!O22+'4'!O22+'3'!O22+'5'!O22+'6'!O22+'7'!O22+'8'!O22+'9'!O22+'10'!O22</f>
        <v>8.7584898000000013</v>
      </c>
      <c r="P22" s="120">
        <f t="shared" si="0"/>
        <v>1760.4564498000002</v>
      </c>
      <c r="T22" s="163" t="str">
        <f>+'9'!A5</f>
        <v>Customer Name : Shop Name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Shop Name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Shop Name</v>
      </c>
      <c r="U24" s="164">
        <f>+'11'!P35</f>
        <v>0</v>
      </c>
    </row>
    <row r="25" spans="1:21 16384:16384" ht="26.5" thickBot="1" x14ac:dyDescent="0.65">
      <c r="A25" s="213" t="s">
        <v>84</v>
      </c>
      <c r="B25" s="214"/>
      <c r="C25" s="215">
        <f>H25/40</f>
        <v>8</v>
      </c>
      <c r="D25" s="209"/>
      <c r="E25" s="209"/>
      <c r="F25" s="209"/>
      <c r="G25" s="176">
        <f t="shared" ref="G25:M25" si="3">SUM(G16:G24)</f>
        <v>0</v>
      </c>
      <c r="H25" s="177">
        <f t="shared" si="3"/>
        <v>320</v>
      </c>
      <c r="I25" s="178">
        <f t="shared" si="3"/>
        <v>19487.100000000002</v>
      </c>
      <c r="J25" s="177">
        <f t="shared" si="3"/>
        <v>14</v>
      </c>
      <c r="K25" s="178">
        <f t="shared" si="3"/>
        <v>54.922000000000011</v>
      </c>
      <c r="L25" s="179">
        <f t="shared" si="3"/>
        <v>1511.8920000000001</v>
      </c>
      <c r="M25" s="141">
        <f t="shared" si="3"/>
        <v>17920.286</v>
      </c>
      <c r="N25" s="142">
        <f>SUM(N16:N24)</f>
        <v>4139.5598199999995</v>
      </c>
      <c r="O25" s="143">
        <f>SUM(O16:O24)</f>
        <v>242.02751069999999</v>
      </c>
      <c r="P25" s="144">
        <f>SUM(P16:P24)</f>
        <v>22301.8733307</v>
      </c>
      <c r="T25" s="163" t="str">
        <f>+'12'!A5</f>
        <v>Customer Name : Shop Name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22301.873330700004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19487.100000000002</v>
      </c>
    </row>
    <row r="29" spans="1:21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1511.8920000000001</v>
      </c>
    </row>
    <row r="30" spans="1:21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54.922000000000011</v>
      </c>
    </row>
    <row r="31" spans="1:21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17920.286000000004</v>
      </c>
    </row>
    <row r="32" spans="1:21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4139.5598199999995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22059.845820000002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551.49614550000013</v>
      </c>
    </row>
    <row r="35" spans="2:16" ht="15.75" customHeight="1" thickBot="1" x14ac:dyDescent="0.4">
      <c r="N35" s="207" t="s">
        <v>92</v>
      </c>
      <c r="O35" s="208"/>
      <c r="P35" s="160">
        <f>P33+P34</f>
        <v>22611.341965500003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105</v>
      </c>
      <c r="B6" s="233"/>
      <c r="C6" s="233"/>
      <c r="F6" s="70"/>
      <c r="G6" s="74"/>
      <c r="K6" s="233" t="s">
        <v>52</v>
      </c>
      <c r="L6" s="233"/>
      <c r="M6" s="233"/>
      <c r="N6" s="246" t="s">
        <v>96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1620169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 t="shared" ref="O16:O24" si="1">(N16+M16)*$O$15</f>
        <v>11.8921995</v>
      </c>
      <c r="P16" s="105">
        <f t="shared" ref="P16:P24" si="2">M16+N16+O16</f>
        <v>2390.3320994999999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>
        <v>2</v>
      </c>
      <c r="K17" s="1">
        <f t="shared" ref="K17:K21" si="4">I17*$K$13</f>
        <v>0</v>
      </c>
      <c r="L17" s="105">
        <f t="shared" ref="L17:L21" si="5">I17*8%</f>
        <v>167.88</v>
      </c>
      <c r="M17" s="118">
        <f t="shared" ref="M17:M23" si="6">I17-K17-L17</f>
        <v>1930.62</v>
      </c>
      <c r="N17" s="118">
        <f t="shared" si="0"/>
        <v>447.81990000000002</v>
      </c>
      <c r="O17" s="119">
        <f t="shared" si="1"/>
        <v>11.8921995</v>
      </c>
      <c r="P17" s="120">
        <f t="shared" si="2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3"/>
        <v>2098.5</v>
      </c>
      <c r="J18" s="117">
        <v>2</v>
      </c>
      <c r="K18" s="1">
        <f t="shared" si="4"/>
        <v>0</v>
      </c>
      <c r="L18" s="105">
        <f t="shared" si="5"/>
        <v>167.88</v>
      </c>
      <c r="M18" s="118">
        <f t="shared" si="6"/>
        <v>1930.62</v>
      </c>
      <c r="N18" s="118">
        <f t="shared" si="0"/>
        <v>447.81990000000002</v>
      </c>
      <c r="O18" s="119">
        <f t="shared" si="1"/>
        <v>11.8921995</v>
      </c>
      <c r="P18" s="120">
        <f t="shared" si="2"/>
        <v>2390.3320994999999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16.4660352</v>
      </c>
      <c r="P19" s="120">
        <f t="shared" si="2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>
        <v>2</v>
      </c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620.05503999999996</v>
      </c>
      <c r="O20" s="119">
        <f t="shared" si="1"/>
        <v>16.4660352</v>
      </c>
      <c r="P20" s="120">
        <f t="shared" si="2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315.87996000000004</v>
      </c>
      <c r="O22" s="119">
        <f t="shared" si="1"/>
        <v>8.7584898000000013</v>
      </c>
      <c r="P22" s="120">
        <f t="shared" si="2"/>
        <v>1760.4564498000002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240</v>
      </c>
      <c r="I25" s="137">
        <f t="shared" si="9"/>
        <v>13675.900000000001</v>
      </c>
      <c r="J25" s="138"/>
      <c r="K25" s="139">
        <f t="shared" si="9"/>
        <v>54.922000000000011</v>
      </c>
      <c r="L25" s="140">
        <f t="shared" si="9"/>
        <v>1046.9959999999999</v>
      </c>
      <c r="M25" s="141">
        <f t="shared" si="9"/>
        <v>12573.982</v>
      </c>
      <c r="N25" s="142">
        <f>SUM(N16:N24)</f>
        <v>2899.44974</v>
      </c>
      <c r="O25" s="143">
        <f>SUM(O16:O24)</f>
        <v>77.367158700000005</v>
      </c>
      <c r="P25" s="144">
        <f>SUM(P16:P24)</f>
        <v>15550.798898700001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13675.900000000001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1046.9959999999999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54.922000000000011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12573.982000000002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2899.44974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15473.431740000002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77.367158700000005</v>
      </c>
    </row>
    <row r="35" spans="2:16" ht="15.75" customHeight="1" thickBot="1" x14ac:dyDescent="0.4">
      <c r="N35" s="207" t="s">
        <v>92</v>
      </c>
      <c r="O35" s="208"/>
      <c r="P35" s="160">
        <f>P33+P34</f>
        <v>15550.798898700003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C11" workbookViewId="0">
      <selection activeCell="S18" sqref="S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2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107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108</v>
      </c>
      <c r="B6" s="233"/>
      <c r="C6" s="233"/>
      <c r="F6" s="70"/>
      <c r="G6" s="74"/>
      <c r="K6" s="233" t="s">
        <v>52</v>
      </c>
      <c r="L6" s="233"/>
      <c r="M6" s="233"/>
      <c r="N6" s="246" t="s">
        <v>96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294.04671999999999</v>
      </c>
      <c r="O19" s="119">
        <f t="shared" si="6"/>
        <v>40.765568000000002</v>
      </c>
      <c r="P19" s="120">
        <f t="shared" si="1"/>
        <v>1671.3882880000001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30</v>
      </c>
      <c r="I20" s="116">
        <f t="shared" si="2"/>
        <v>2179.1999999999998</v>
      </c>
      <c r="J20" s="117">
        <v>2</v>
      </c>
      <c r="K20" s="1">
        <f t="shared" si="3"/>
        <v>0</v>
      </c>
      <c r="L20" s="105">
        <f t="shared" si="4"/>
        <v>174.33599999999998</v>
      </c>
      <c r="M20" s="118">
        <f t="shared" si="5"/>
        <v>2004.8639999999998</v>
      </c>
      <c r="N20" s="118">
        <f t="shared" si="0"/>
        <v>473.03167999999994</v>
      </c>
      <c r="O20" s="119">
        <f t="shared" si="6"/>
        <v>61.947391999999994</v>
      </c>
      <c r="P20" s="120">
        <f t="shared" si="1"/>
        <v>2539.8430719999997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30</v>
      </c>
      <c r="I21" s="116">
        <f t="shared" si="2"/>
        <v>2179.1999999999998</v>
      </c>
      <c r="J21" s="117">
        <v>2</v>
      </c>
      <c r="K21" s="1">
        <f t="shared" si="3"/>
        <v>0</v>
      </c>
      <c r="L21" s="105">
        <f t="shared" si="4"/>
        <v>174.33599999999998</v>
      </c>
      <c r="M21" s="118">
        <f t="shared" si="5"/>
        <v>2004.8639999999998</v>
      </c>
      <c r="N21" s="118">
        <f t="shared" si="0"/>
        <v>473.03167999999994</v>
      </c>
      <c r="O21" s="119">
        <f t="shared" si="6"/>
        <v>61.947391999999994</v>
      </c>
      <c r="P21" s="120">
        <f t="shared" si="1"/>
        <v>2539.8430719999997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464.89599999999996</v>
      </c>
      <c r="M25" s="141">
        <f t="shared" si="9"/>
        <v>5346.3039999999992</v>
      </c>
      <c r="N25" s="142">
        <f>SUM(N16:N24)</f>
        <v>1240.1100799999999</v>
      </c>
      <c r="O25" s="143">
        <f>SUM(O16:O24)</f>
        <v>164.66035199999999</v>
      </c>
      <c r="P25" s="144">
        <f>SUM(P16:P24)</f>
        <v>6751.0744319999994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5811.2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464.89599999999996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5346.3040000000001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6586.4140800000005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164.66035200000002</v>
      </c>
    </row>
    <row r="35" spans="2:16" ht="15.75" customHeight="1" thickBot="1" x14ac:dyDescent="0.4">
      <c r="N35" s="207" t="s">
        <v>92</v>
      </c>
      <c r="O35" s="208"/>
      <c r="P35" s="160">
        <f>P33+P34</f>
        <v>6751.0744320000003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4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169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3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5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169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6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7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169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8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9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167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97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97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2026-06-11T04:32:51Z</dcterms:modified>
</cp:coreProperties>
</file>