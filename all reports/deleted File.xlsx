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6b9705f06d2f94/Desktop/"/>
    </mc:Choice>
  </mc:AlternateContent>
  <xr:revisionPtr revIDLastSave="55" documentId="8_{26DD9000-F268-4A54-894F-AE18441EB818}" xr6:coauthVersionLast="47" xr6:coauthVersionMax="47" xr10:uidLastSave="{79F24043-9590-4F02-A23D-CE33A4E3DD96}"/>
  <bookViews>
    <workbookView xWindow="-120" yWindow="-120" windowWidth="20730" windowHeight="11160" activeTab="1" xr2:uid="{DF0D8BB1-68CC-4A2F-804A-87CE7709DA79}"/>
  </bookViews>
  <sheets>
    <sheet name="MAR-26" sheetId="1" r:id="rId1"/>
    <sheet name="APR-26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D12" i="2"/>
  <c r="H11" i="2"/>
  <c r="F11" i="2"/>
  <c r="G11" i="2" s="1"/>
  <c r="H10" i="2"/>
  <c r="F10" i="2"/>
  <c r="G10" i="2" s="1"/>
  <c r="H9" i="2"/>
  <c r="F9" i="2"/>
  <c r="G9" i="2" s="1"/>
  <c r="H8" i="2"/>
  <c r="F8" i="2"/>
  <c r="G8" i="2" s="1"/>
  <c r="H7" i="2"/>
  <c r="F7" i="2"/>
  <c r="G7" i="2" s="1"/>
  <c r="H6" i="2"/>
  <c r="F6" i="2"/>
  <c r="G6" i="2" s="1"/>
  <c r="G12" i="1"/>
  <c r="H12" i="1" s="1"/>
  <c r="I12" i="1"/>
  <c r="H12" i="2" l="1"/>
  <c r="G12" i="2"/>
  <c r="F12" i="2"/>
  <c r="G11" i="1"/>
  <c r="H11" i="1" s="1"/>
  <c r="I11" i="1"/>
  <c r="G10" i="1"/>
  <c r="H10" i="1"/>
  <c r="I10" i="1"/>
  <c r="I9" i="1"/>
  <c r="G9" i="1"/>
  <c r="H9" i="1" s="1"/>
  <c r="F13" i="1"/>
  <c r="E13" i="1"/>
  <c r="I8" i="1"/>
  <c r="G8" i="1"/>
  <c r="H8" i="1" s="1"/>
  <c r="I7" i="1"/>
  <c r="G7" i="1"/>
  <c r="H7" i="1" s="1"/>
  <c r="I6" i="1"/>
  <c r="G6" i="1"/>
  <c r="H6" i="1" s="1"/>
  <c r="H13" i="1" l="1"/>
  <c r="I13" i="1"/>
  <c r="G13" i="1"/>
</calcChain>
</file>

<file path=xl/sharedStrings.xml><?xml version="1.0" encoding="utf-8"?>
<sst xmlns="http://schemas.openxmlformats.org/spreadsheetml/2006/main" count="46" uniqueCount="24">
  <si>
    <t>NAME</t>
  </si>
  <si>
    <t>Distribution</t>
  </si>
  <si>
    <t>Target</t>
  </si>
  <si>
    <t>Ach</t>
  </si>
  <si>
    <t>Balance</t>
  </si>
  <si>
    <t>PDR</t>
  </si>
  <si>
    <t>PD ACH</t>
  </si>
  <si>
    <t>Zafar Ali (LMT)</t>
  </si>
  <si>
    <t>Baig Enterprises</t>
  </si>
  <si>
    <t>Usman Akbar</t>
  </si>
  <si>
    <t>Salman Butt</t>
  </si>
  <si>
    <t xml:space="preserve">Total </t>
  </si>
  <si>
    <t>Order Booker Wise Sales Report</t>
  </si>
  <si>
    <t>Target Vs Acheviement Mar-26</t>
  </si>
  <si>
    <t xml:space="preserve">M. Shahazad </t>
  </si>
  <si>
    <t>Baig (SD Waseem)</t>
  </si>
  <si>
    <t>Rana Maqbool</t>
  </si>
  <si>
    <t xml:space="preserve">Malik Aqeel </t>
  </si>
  <si>
    <t>Nabeel Tareder</t>
  </si>
  <si>
    <t>Waseem Brother (Shahdara)</t>
  </si>
  <si>
    <t>Tariq Mirza</t>
  </si>
  <si>
    <t>Target Vs Acheviement APR-26</t>
  </si>
  <si>
    <t>Ghulam Ahmed</t>
  </si>
  <si>
    <t>Waseem Brother (SD Baig)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</si>
</sst>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7" fontId="2" fillId="3" borderId="4" xfId="0" applyNumberFormat="1" applyFont="1" applyFill="1" applyBorder="1" applyAlignment="1">
      <alignment horizontal="center" vertical="center"/>
    </xf>
    <xf numFmtId="17" fontId="2" fillId="3" borderId="5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" fontId="0" fillId="0" borderId="9" xfId="1" applyNumberFormat="1" applyFont="1" applyBorder="1" applyAlignment="1">
      <alignment horizontal="center" vertical="center"/>
    </xf>
    <xf numFmtId="1" fontId="0" fillId="0" borderId="10" xfId="2" applyNumberFormat="1" applyFont="1" applyBorder="1" applyAlignment="1">
      <alignment horizontal="center" vertical="center"/>
    </xf>
    <xf numFmtId="1" fontId="0" fillId="0" borderId="11" xfId="2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" fontId="0" fillId="0" borderId="14" xfId="1" applyNumberFormat="1" applyFont="1" applyBorder="1" applyAlignment="1">
      <alignment horizontal="center" vertical="center"/>
    </xf>
    <xf numFmtId="1" fontId="0" fillId="0" borderId="15" xfId="2" applyNumberFormat="1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" fontId="0" fillId="0" borderId="18" xfId="1" applyNumberFormat="1" applyFont="1" applyBorder="1" applyAlignment="1">
      <alignment horizontal="center" vertical="center"/>
    </xf>
    <xf numFmtId="1" fontId="0" fillId="0" borderId="19" xfId="2" applyNumberFormat="1" applyFont="1" applyBorder="1" applyAlignment="1">
      <alignment horizontal="center" vertical="center"/>
    </xf>
    <xf numFmtId="1" fontId="0" fillId="0" borderId="20" xfId="2" applyNumberFormat="1" applyFon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2" fillId="0" borderId="5" xfId="1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4B60-59FC-4E68-9B39-58050EEEF40F}">
  <dimension ref="C2:I13"/>
  <sheetViews>
    <sheetView workbookViewId="0">
      <selection activeCell="C3" sqref="C3:I13"/>
    </sheetView>
  </sheetViews>
  <sheetFormatPr defaultRowHeight="15" x14ac:dyDescent="0.25"/>
  <cols>
    <col min="3" max="3" width="15" bestFit="1" customWidth="1"/>
    <col min="4" max="4" width="26.5703125" bestFit="1" customWidth="1"/>
    <col min="5" max="6" width="7.85546875" customWidth="1"/>
    <col min="7" max="7" width="7.85546875" bestFit="1" customWidth="1"/>
    <col min="8" max="8" width="4.5703125" bestFit="1" customWidth="1"/>
    <col min="9" max="9" width="7.5703125" bestFit="1" customWidth="1"/>
  </cols>
  <sheetData>
    <row r="2" spans="3:9" ht="15.75" thickBot="1" x14ac:dyDescent="0.3"/>
    <row r="3" spans="3:9" ht="19.5" thickBot="1" x14ac:dyDescent="0.3">
      <c r="C3" s="26" t="s">
        <v>12</v>
      </c>
      <c r="D3" s="27"/>
      <c r="E3" s="27"/>
      <c r="F3" s="27"/>
      <c r="G3" s="27"/>
      <c r="H3" s="27"/>
      <c r="I3" s="28"/>
    </row>
    <row r="4" spans="3:9" ht="19.5" thickBot="1" x14ac:dyDescent="0.3">
      <c r="C4" s="26" t="s">
        <v>13</v>
      </c>
      <c r="D4" s="27"/>
      <c r="E4" s="27"/>
      <c r="F4" s="27"/>
      <c r="G4" s="27"/>
      <c r="H4" s="27"/>
      <c r="I4" s="28"/>
    </row>
    <row r="5" spans="3:9" ht="15.75" thickBot="1" x14ac:dyDescent="0.3">
      <c r="C5" s="1" t="s">
        <v>0</v>
      </c>
      <c r="D5" s="2" t="s">
        <v>1</v>
      </c>
      <c r="E5" s="3" t="s">
        <v>2</v>
      </c>
      <c r="F5" s="4" t="s">
        <v>3</v>
      </c>
      <c r="G5" s="5" t="s">
        <v>4</v>
      </c>
      <c r="H5" s="4" t="s">
        <v>5</v>
      </c>
      <c r="I5" s="5" t="s">
        <v>6</v>
      </c>
    </row>
    <row r="6" spans="3:9" x14ac:dyDescent="0.25">
      <c r="C6" s="6" t="s">
        <v>7</v>
      </c>
      <c r="D6" s="6" t="s">
        <v>8</v>
      </c>
      <c r="E6" s="7">
        <v>450</v>
      </c>
      <c r="F6" s="8">
        <v>210</v>
      </c>
      <c r="G6" s="9">
        <f t="shared" ref="G6:G12" si="0">E6-F6</f>
        <v>240</v>
      </c>
      <c r="H6" s="10">
        <f t="shared" ref="H6:H12" si="1">G6/26</f>
        <v>9.2307692307692299</v>
      </c>
      <c r="I6" s="11">
        <f t="shared" ref="I6:I8" si="2">F6/21</f>
        <v>10</v>
      </c>
    </row>
    <row r="7" spans="3:9" x14ac:dyDescent="0.25">
      <c r="C7" s="12" t="s">
        <v>20</v>
      </c>
      <c r="D7" s="12" t="s">
        <v>8</v>
      </c>
      <c r="E7" s="13">
        <v>350</v>
      </c>
      <c r="F7" s="14">
        <v>120</v>
      </c>
      <c r="G7" s="14">
        <f t="shared" si="0"/>
        <v>230</v>
      </c>
      <c r="H7" s="15">
        <f t="shared" si="1"/>
        <v>8.8461538461538467</v>
      </c>
      <c r="I7" s="16">
        <f t="shared" si="2"/>
        <v>5.7142857142857144</v>
      </c>
    </row>
    <row r="8" spans="3:9" x14ac:dyDescent="0.25">
      <c r="C8" s="17" t="s">
        <v>9</v>
      </c>
      <c r="D8" s="17" t="s">
        <v>8</v>
      </c>
      <c r="E8" s="13">
        <v>350</v>
      </c>
      <c r="F8" s="14">
        <v>190</v>
      </c>
      <c r="G8" s="14">
        <f t="shared" si="0"/>
        <v>160</v>
      </c>
      <c r="H8" s="15">
        <f t="shared" si="1"/>
        <v>6.1538461538461542</v>
      </c>
      <c r="I8" s="16">
        <f t="shared" si="2"/>
        <v>9.0476190476190474</v>
      </c>
    </row>
    <row r="9" spans="3:9" x14ac:dyDescent="0.25">
      <c r="C9" s="17" t="s">
        <v>10</v>
      </c>
      <c r="D9" s="17" t="s">
        <v>8</v>
      </c>
      <c r="E9" s="18">
        <v>350</v>
      </c>
      <c r="F9" s="19">
        <v>58</v>
      </c>
      <c r="G9" s="20">
        <f t="shared" si="0"/>
        <v>292</v>
      </c>
      <c r="H9" s="15">
        <f t="shared" si="1"/>
        <v>11.23076923076923</v>
      </c>
      <c r="I9" s="16">
        <f t="shared" ref="I9:I12" si="3">F9/21</f>
        <v>2.7619047619047619</v>
      </c>
    </row>
    <row r="10" spans="3:9" x14ac:dyDescent="0.25">
      <c r="C10" s="17" t="s">
        <v>14</v>
      </c>
      <c r="D10" s="17" t="s">
        <v>15</v>
      </c>
      <c r="E10" s="18">
        <v>300</v>
      </c>
      <c r="F10" s="19">
        <v>195</v>
      </c>
      <c r="G10" s="20">
        <f t="shared" si="0"/>
        <v>105</v>
      </c>
      <c r="H10" s="15">
        <f t="shared" si="1"/>
        <v>4.0384615384615383</v>
      </c>
      <c r="I10" s="16">
        <f t="shared" si="3"/>
        <v>9.2857142857142865</v>
      </c>
    </row>
    <row r="11" spans="3:9" x14ac:dyDescent="0.25">
      <c r="C11" s="17" t="s">
        <v>16</v>
      </c>
      <c r="D11" s="17" t="s">
        <v>19</v>
      </c>
      <c r="E11" s="18">
        <v>300</v>
      </c>
      <c r="F11" s="19">
        <v>133</v>
      </c>
      <c r="G11" s="20">
        <f t="shared" si="0"/>
        <v>167</v>
      </c>
      <c r="H11" s="15">
        <f t="shared" si="1"/>
        <v>6.4230769230769234</v>
      </c>
      <c r="I11" s="16">
        <f t="shared" si="3"/>
        <v>6.333333333333333</v>
      </c>
    </row>
    <row r="12" spans="3:9" ht="15.75" thickBot="1" x14ac:dyDescent="0.3">
      <c r="C12" s="17" t="s">
        <v>17</v>
      </c>
      <c r="D12" s="17" t="s">
        <v>18</v>
      </c>
      <c r="E12" s="18">
        <v>400</v>
      </c>
      <c r="F12" s="19">
        <v>494</v>
      </c>
      <c r="G12" s="20">
        <f t="shared" si="0"/>
        <v>-94</v>
      </c>
      <c r="H12" s="21">
        <f t="shared" si="1"/>
        <v>-3.6153846153846154</v>
      </c>
      <c r="I12" s="16">
        <f t="shared" si="3"/>
        <v>23.523809523809526</v>
      </c>
    </row>
    <row r="13" spans="3:9" ht="15.75" thickBot="1" x14ac:dyDescent="0.3">
      <c r="C13" s="29" t="s">
        <v>11</v>
      </c>
      <c r="D13" s="30"/>
      <c r="E13" s="22">
        <f>SUM(E6:E12)</f>
        <v>2500</v>
      </c>
      <c r="F13" s="23">
        <f>SUM(F6:F12)</f>
        <v>1400</v>
      </c>
      <c r="G13" s="23">
        <f>SUM(G6:G12)</f>
        <v>1100</v>
      </c>
      <c r="H13" s="24">
        <f>SUM(H6:H12)</f>
        <v>42.307692307692307</v>
      </c>
      <c r="I13" s="25">
        <f>SUM(I6:I12)</f>
        <v>66.666666666666671</v>
      </c>
    </row>
  </sheetData>
  <mergeCells count="3">
    <mergeCell ref="C3:I3"/>
    <mergeCell ref="C4:I4"/>
    <mergeCell ref="C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FA75-99DB-4943-AC48-A47CF8EEF268}">
  <dimension ref="B2:H12"/>
  <sheetViews>
    <sheetView tabSelected="1" workbookViewId="0">
      <selection activeCell="G8" sqref="G8"/>
    </sheetView>
  </sheetViews>
  <sheetFormatPr defaultRowHeight="15" x14ac:dyDescent="0.25"/>
  <cols>
    <col min="2" max="2" width="15" bestFit="1" customWidth="1"/>
    <col min="3" max="3" width="26.5703125" bestFit="1" customWidth="1"/>
    <col min="4" max="4" width="6.5703125" bestFit="1" customWidth="1"/>
    <col min="5" max="5" width="5" bestFit="1" customWidth="1"/>
    <col min="6" max="6" width="7.85546875" bestFit="1" customWidth="1"/>
    <col min="7" max="7" width="4.5703125" bestFit="1" customWidth="1"/>
    <col min="8" max="8" width="7.5703125" bestFit="1" customWidth="1"/>
  </cols>
  <sheetData>
    <row r="2" spans="2:8" ht="15.75" thickBot="1" x14ac:dyDescent="0.3"/>
    <row r="3" spans="2:8" ht="19.5" thickBot="1" x14ac:dyDescent="0.3">
      <c r="B3" s="26" t="s">
        <v>12</v>
      </c>
      <c r="C3" s="27"/>
      <c r="D3" s="27"/>
      <c r="E3" s="27"/>
      <c r="F3" s="27"/>
      <c r="G3" s="27"/>
      <c r="H3" s="28"/>
    </row>
    <row r="4" spans="2:8" ht="19.5" thickBot="1" x14ac:dyDescent="0.3">
      <c r="B4" s="26" t="s">
        <v>21</v>
      </c>
      <c r="C4" s="27"/>
      <c r="D4" s="27"/>
      <c r="E4" s="27"/>
      <c r="F4" s="27"/>
      <c r="G4" s="27"/>
      <c r="H4" s="28"/>
    </row>
    <row r="5" spans="2:8" ht="15.75" thickBot="1" x14ac:dyDescent="0.3">
      <c r="B5" s="1" t="s">
        <v>0</v>
      </c>
      <c r="C5" s="2" t="s">
        <v>1</v>
      </c>
      <c r="D5" s="3" t="s">
        <v>2</v>
      </c>
      <c r="E5" s="4" t="s">
        <v>3</v>
      </c>
      <c r="F5" s="5" t="s">
        <v>4</v>
      </c>
      <c r="G5" s="4" t="s">
        <v>5</v>
      </c>
      <c r="H5" s="5" t="s">
        <v>6</v>
      </c>
    </row>
    <row r="6" spans="2:8" x14ac:dyDescent="0.25">
      <c r="B6" s="12" t="s">
        <v>22</v>
      </c>
      <c r="C6" s="12" t="s">
        <v>8</v>
      </c>
      <c r="D6" s="13">
        <v>350</v>
      </c>
      <c r="E6" s="14">
        <v>289</v>
      </c>
      <c r="F6" s="14">
        <f t="shared" ref="F6:F11" si="0">D6-E6</f>
        <v>61</v>
      </c>
      <c r="G6" s="15">
        <f t="shared" ref="G6:G11" si="1">F6/26</f>
        <v>2.3461538461538463</v>
      </c>
      <c r="H6" s="16">
        <f t="shared" ref="H6:H11" si="2">E6/21</f>
        <v>13.761904761904763</v>
      </c>
    </row>
    <row r="7" spans="2:8" x14ac:dyDescent="0.25">
      <c r="B7" s="17" t="s">
        <v>9</v>
      </c>
      <c r="C7" s="17" t="s">
        <v>8</v>
      </c>
      <c r="D7" s="13">
        <v>350</v>
      </c>
      <c r="E7" s="14">
        <v>307</v>
      </c>
      <c r="F7" s="14">
        <f t="shared" si="0"/>
        <v>43</v>
      </c>
      <c r="G7" s="15">
        <f t="shared" si="1"/>
        <v>1.6538461538461537</v>
      </c>
      <c r="H7" s="16">
        <f t="shared" si="2"/>
        <v>14.619047619047619</v>
      </c>
    </row>
    <row r="8" spans="2:8" x14ac:dyDescent="0.25">
      <c r="B8" s="17" t="s">
        <v>10</v>
      </c>
      <c r="C8" s="17" t="s">
        <v>8</v>
      </c>
      <c r="D8" s="18">
        <v>350</v>
      </c>
      <c r="E8" s="19">
        <v>308</v>
      </c>
      <c r="F8" s="20">
        <f t="shared" si="0"/>
        <v>42</v>
      </c>
      <c r="G8" s="15">
        <f t="shared" si="1"/>
        <v>1.6153846153846154</v>
      </c>
      <c r="H8" s="16">
        <f t="shared" si="2"/>
        <v>14.666666666666666</v>
      </c>
    </row>
    <row r="9" spans="2:8" x14ac:dyDescent="0.25">
      <c r="B9" s="17" t="s">
        <v>14</v>
      </c>
      <c r="C9" s="17" t="s">
        <v>23</v>
      </c>
      <c r="D9" s="18">
        <v>300</v>
      </c>
      <c r="E9" s="19">
        <v>297</v>
      </c>
      <c r="F9" s="20">
        <f t="shared" si="0"/>
        <v>3</v>
      </c>
      <c r="G9" s="15">
        <f t="shared" si="1"/>
        <v>0.11538461538461539</v>
      </c>
      <c r="H9" s="16">
        <f t="shared" si="2"/>
        <v>14.142857142857142</v>
      </c>
    </row>
    <row r="10" spans="2:8" x14ac:dyDescent="0.25">
      <c r="B10" s="17" t="s">
        <v>16</v>
      </c>
      <c r="C10" s="17" t="s">
        <v>19</v>
      </c>
      <c r="D10" s="18">
        <v>300</v>
      </c>
      <c r="E10" s="19">
        <v>190</v>
      </c>
      <c r="F10" s="20">
        <f t="shared" si="0"/>
        <v>110</v>
      </c>
      <c r="G10" s="15">
        <f t="shared" si="1"/>
        <v>4.2307692307692308</v>
      </c>
      <c r="H10" s="16">
        <f t="shared" si="2"/>
        <v>9.0476190476190474</v>
      </c>
    </row>
    <row r="11" spans="2:8" ht="15.75" thickBot="1" x14ac:dyDescent="0.3">
      <c r="B11" s="17" t="s">
        <v>17</v>
      </c>
      <c r="C11" s="17" t="s">
        <v>18</v>
      </c>
      <c r="D11" s="18">
        <v>400</v>
      </c>
      <c r="E11" s="19">
        <v>615</v>
      </c>
      <c r="F11" s="20">
        <f t="shared" si="0"/>
        <v>-215</v>
      </c>
      <c r="G11" s="21">
        <f t="shared" si="1"/>
        <v>-8.2692307692307701</v>
      </c>
      <c r="H11" s="16">
        <f t="shared" si="2"/>
        <v>29.285714285714285</v>
      </c>
    </row>
    <row r="12" spans="2:8" ht="15.75" thickBot="1" x14ac:dyDescent="0.3">
      <c r="B12" s="29" t="s">
        <v>11</v>
      </c>
      <c r="C12" s="30"/>
      <c r="D12" s="22">
        <f>SUM(D6:D11)</f>
        <v>2050</v>
      </c>
      <c r="E12" s="23">
        <f>SUM(E6:E11)</f>
        <v>2006</v>
      </c>
      <c r="F12" s="23">
        <f>SUM(F6:F11)</f>
        <v>44</v>
      </c>
      <c r="G12" s="24">
        <f>SUM(G6:G11)</f>
        <v>1.6923076923076898</v>
      </c>
      <c r="H12" s="25">
        <f>SUM(H6:H11)</f>
        <v>95.523809523809518</v>
      </c>
    </row>
  </sheetData>
  <mergeCells count="3">
    <mergeCell ref="B3:H3"/>
    <mergeCell ref="B4:H4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MAR-26</vt:lpstr>
      <vt:lpstr>APR-26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2026-04-07T07:27:19Z</dcterms:created>
  <dcterms:modified xsi:type="dcterms:W3CDTF">2026-05-08T09:52:39Z</dcterms:modified>
</cp:coreProperties>
</file>