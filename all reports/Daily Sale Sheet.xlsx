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807B085F-7675-4A25-B6F9-FEBFDFA6AB46}" xr6:coauthVersionLast="47" xr6:coauthVersionMax="47" xr10:uidLastSave="{00000000-0000-0000-0000-000000000000}"/>
  <bookViews>
    <workbookView xWindow="-110" yWindow="-110" windowWidth="19420" windowHeight="10420" tabRatio="584" firstSheet="15" activeTab="20" xr2:uid="{00000000-000D-0000-FFFF-FFFF00000000}"/>
  </bookViews>
  <sheets>
    <sheet name="01 Oct 26" sheetId="2208" r:id="rId1"/>
    <sheet name="02 Oct 26" sheetId="2209" r:id="rId2"/>
    <sheet name="03 Oct 26" sheetId="2210" r:id="rId3"/>
    <sheet name="05 Oct 26" sheetId="2211" r:id="rId4"/>
    <sheet name="06 Oct 26" sheetId="2212" r:id="rId5"/>
    <sheet name="07 Oct 26" sheetId="2213" r:id="rId6"/>
    <sheet name="08 Oct 26" sheetId="2214" r:id="rId7"/>
    <sheet name="09 Oct 26" sheetId="2215" r:id="rId8"/>
    <sheet name="10 Oct 26" sheetId="2216" r:id="rId9"/>
    <sheet name="12 Oct 26" sheetId="2217" r:id="rId10"/>
    <sheet name="13 Oct 26" sheetId="2218" r:id="rId11"/>
    <sheet name="16 Oct 26" sheetId="2219" r:id="rId12"/>
    <sheet name="17 Oct 26" sheetId="2220" r:id="rId13"/>
    <sheet name="19 Oct 26" sheetId="2221" r:id="rId14"/>
    <sheet name="20 Oct 26" sheetId="2222" r:id="rId15"/>
    <sheet name="21 Oct 26" sheetId="2223" r:id="rId16"/>
    <sheet name="22 Oct 26" sheetId="2224" r:id="rId17"/>
    <sheet name="23 Oct 26" sheetId="2225" r:id="rId18"/>
    <sheet name="24 Oct 26" sheetId="2226" r:id="rId19"/>
    <sheet name="26 Oct 26" sheetId="2227" r:id="rId20"/>
    <sheet name="27 Oct 26" sheetId="2228" r:id="rId21"/>
  </sheets>
  <definedNames>
    <definedName name="_xlnm._FilterDatabase" localSheetId="0" hidden="1">'01 Oct 26'!$X$24:$AH$27</definedName>
    <definedName name="_xlnm._FilterDatabase" localSheetId="1" hidden="1">'02 Oct 26'!$X$24:$AH$27</definedName>
    <definedName name="_xlnm._FilterDatabase" localSheetId="2" hidden="1">'03 Oct 26'!$X$24:$AH$27</definedName>
    <definedName name="_xlnm._FilterDatabase" localSheetId="3" hidden="1">'05 Oct 26'!$X$24:$AH$27</definedName>
    <definedName name="_xlnm._FilterDatabase" localSheetId="4" hidden="1">'06 Oct 26'!$X$24:$AH$27</definedName>
    <definedName name="_xlnm._FilterDatabase" localSheetId="5" hidden="1">'07 Oct 26'!$X$24:$AH$27</definedName>
    <definedName name="_xlnm._FilterDatabase" localSheetId="6" hidden="1">'08 Oct 26'!$X$24:$AH$27</definedName>
    <definedName name="_xlnm._FilterDatabase" localSheetId="7" hidden="1">'09 Oct 26'!$X$24:$AH$27</definedName>
    <definedName name="_xlnm._FilterDatabase" localSheetId="8" hidden="1">'10 Oct 26'!$X$24:$AH$27</definedName>
    <definedName name="_xlnm._FilterDatabase" localSheetId="9" hidden="1">'12 Oct 26'!$X$24:$AH$27</definedName>
    <definedName name="_xlnm._FilterDatabase" localSheetId="10" hidden="1">'13 Oct 26'!$X$24:$AH$27</definedName>
    <definedName name="_xlnm._FilterDatabase" localSheetId="11" hidden="1">'16 Oct 26'!$X$24:$AH$27</definedName>
    <definedName name="_xlnm._FilterDatabase" localSheetId="12" hidden="1">'17 Oct 26'!$X$24:$AH$27</definedName>
    <definedName name="_xlnm._FilterDatabase" localSheetId="13" hidden="1">'19 Oct 26'!$X$24:$AH$27</definedName>
    <definedName name="_xlnm._FilterDatabase" localSheetId="14" hidden="1">'20 Oct 26'!$X$24:$AH$27</definedName>
    <definedName name="_xlnm._FilterDatabase" localSheetId="15" hidden="1">'21 Oct 26'!$X$24:$AH$27</definedName>
    <definedName name="_xlnm._FilterDatabase" localSheetId="16" hidden="1">'22 Oct 26'!$X$24:$AH$27</definedName>
    <definedName name="_xlnm._FilterDatabase" localSheetId="17" hidden="1">'23 Oct 26'!$X$24:$AH$27</definedName>
    <definedName name="_xlnm._FilterDatabase" localSheetId="18" hidden="1">'24 Oct 26'!$X$24:$AH$27</definedName>
    <definedName name="_xlnm._FilterDatabase" localSheetId="19" hidden="1">'26 Oct 26'!$X$24:$AH$27</definedName>
    <definedName name="_xlnm._FilterDatabase" localSheetId="20" hidden="1">'27 Oct 26'!$X$24:$AH$27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6" i="2228" l="1"/>
  <c r="AH17" i="2228" l="1"/>
  <c r="AH14" i="2228"/>
  <c r="AH16" i="2228"/>
  <c r="AH15" i="2228"/>
  <c r="V14" i="2228"/>
  <c r="V17" i="2228"/>
  <c r="V15" i="2228"/>
  <c r="V16" i="2228"/>
  <c r="S26" i="2228"/>
  <c r="BR35" i="2228" l="1"/>
  <c r="BO35" i="2228"/>
  <c r="BK35" i="2228"/>
  <c r="BF35" i="2228"/>
  <c r="BC35" i="2228"/>
  <c r="AY35" i="2228"/>
  <c r="BF19" i="2228" s="1"/>
  <c r="AT35" i="2228"/>
  <c r="AT18" i="2228" s="1"/>
  <c r="AQ35" i="2228"/>
  <c r="AM35" i="2228"/>
  <c r="AT19" i="2228" s="1"/>
  <c r="AE35" i="2228"/>
  <c r="AH35" i="2228" s="1"/>
  <c r="AH18" i="2228" s="1"/>
  <c r="AA35" i="2228"/>
  <c r="AH19" i="2228" s="1"/>
  <c r="S35" i="2228"/>
  <c r="V26" i="2228" s="1"/>
  <c r="V35" i="2228" s="1"/>
  <c r="V18" i="2228" s="1"/>
  <c r="O35" i="2228"/>
  <c r="V19" i="2228" s="1"/>
  <c r="C35" i="2228"/>
  <c r="J19" i="2228" s="1"/>
  <c r="G35" i="2228"/>
  <c r="J35" i="2228" s="1"/>
  <c r="J18" i="2228" s="1"/>
  <c r="BA22" i="2228"/>
  <c r="AO22" i="2228"/>
  <c r="AC22" i="2228"/>
  <c r="Q22" i="2228"/>
  <c r="E22" i="2228"/>
  <c r="BR21" i="2228"/>
  <c r="BA21" i="2228"/>
  <c r="AO21" i="2228"/>
  <c r="AC21" i="2228"/>
  <c r="Q21" i="2228"/>
  <c r="E21" i="2228"/>
  <c r="BR20" i="2228"/>
  <c r="BA20" i="2228"/>
  <c r="AO20" i="2228"/>
  <c r="AC20" i="2228"/>
  <c r="Q20" i="2228"/>
  <c r="E20" i="2228"/>
  <c r="BA19" i="2228"/>
  <c r="AO19" i="2228"/>
  <c r="AC19" i="2228"/>
  <c r="Q19" i="2228"/>
  <c r="E19" i="2228"/>
  <c r="BF18" i="2228"/>
  <c r="BA18" i="2228"/>
  <c r="AO18" i="2228"/>
  <c r="AC18" i="2228"/>
  <c r="Q18" i="2228"/>
  <c r="E18" i="2228"/>
  <c r="BR17" i="2228"/>
  <c r="BA17" i="2228"/>
  <c r="AO17" i="2228"/>
  <c r="AC17" i="2228"/>
  <c r="Q17" i="2228"/>
  <c r="E17" i="2228"/>
  <c r="BA16" i="2228"/>
  <c r="AO16" i="2228"/>
  <c r="AC16" i="2228"/>
  <c r="Q16" i="2228"/>
  <c r="BR16" i="2228"/>
  <c r="E16" i="2228"/>
  <c r="BR15" i="2228"/>
  <c r="BR14" i="2228"/>
  <c r="BN13" i="2228"/>
  <c r="BC13" i="2228"/>
  <c r="BB13" i="2228"/>
  <c r="BA13" i="2228"/>
  <c r="AZ13" i="2228"/>
  <c r="AQ13" i="2228"/>
  <c r="AP13" i="2228"/>
  <c r="AO13" i="2228"/>
  <c r="AN13" i="2228"/>
  <c r="AE13" i="2228"/>
  <c r="AD13" i="2228"/>
  <c r="AC13" i="2228"/>
  <c r="AB13" i="2228"/>
  <c r="S13" i="2228"/>
  <c r="R13" i="2228"/>
  <c r="Q13" i="2228"/>
  <c r="G13" i="2228"/>
  <c r="F13" i="2228"/>
  <c r="E13" i="2228"/>
  <c r="D13" i="2228"/>
  <c r="BO12" i="2228"/>
  <c r="BS12" i="2228" s="1"/>
  <c r="BM12" i="2228"/>
  <c r="BL12" i="2228"/>
  <c r="BP12" i="2228" s="1"/>
  <c r="BR12" i="2228" s="1"/>
  <c r="BG12" i="2228"/>
  <c r="BD12" i="2228"/>
  <c r="BF12" i="2228" s="1"/>
  <c r="AU12" i="2228"/>
  <c r="AR12" i="2228"/>
  <c r="AT12" i="2228" s="1"/>
  <c r="AI12" i="2228"/>
  <c r="AH12" i="2228"/>
  <c r="AF12" i="2228"/>
  <c r="W12" i="2228"/>
  <c r="T12" i="2228"/>
  <c r="V12" i="2228" s="1"/>
  <c r="K12" i="2228"/>
  <c r="H12" i="2228"/>
  <c r="J12" i="2228" s="1"/>
  <c r="BO11" i="2228"/>
  <c r="BS11" i="2228" s="1"/>
  <c r="BM11" i="2228"/>
  <c r="BL11" i="2228"/>
  <c r="BG11" i="2228"/>
  <c r="BD11" i="2228"/>
  <c r="BF11" i="2228" s="1"/>
  <c r="AU11" i="2228"/>
  <c r="AR11" i="2228"/>
  <c r="AT11" i="2228" s="1"/>
  <c r="AI11" i="2228"/>
  <c r="AF11" i="2228"/>
  <c r="AH11" i="2228" s="1"/>
  <c r="W11" i="2228"/>
  <c r="T11" i="2228"/>
  <c r="V11" i="2228" s="1"/>
  <c r="K11" i="2228"/>
  <c r="H11" i="2228"/>
  <c r="J11" i="2228" s="1"/>
  <c r="BS10" i="2228"/>
  <c r="BO10" i="2228"/>
  <c r="BM10" i="2228"/>
  <c r="BL10" i="2228"/>
  <c r="BG10" i="2228"/>
  <c r="BD10" i="2228"/>
  <c r="BF10" i="2228" s="1"/>
  <c r="AU10" i="2228"/>
  <c r="AR10" i="2228"/>
  <c r="AT10" i="2228" s="1"/>
  <c r="AI10" i="2228"/>
  <c r="AF10" i="2228"/>
  <c r="AH10" i="2228" s="1"/>
  <c r="W10" i="2228"/>
  <c r="T10" i="2228"/>
  <c r="V10" i="2228" s="1"/>
  <c r="K10" i="2228"/>
  <c r="H10" i="2228"/>
  <c r="J10" i="2228" s="1"/>
  <c r="BO9" i="2228"/>
  <c r="BS9" i="2228" s="1"/>
  <c r="BM9" i="2228"/>
  <c r="BG9" i="2228"/>
  <c r="BD9" i="2228"/>
  <c r="BF9" i="2228" s="1"/>
  <c r="AU9" i="2228"/>
  <c r="AR9" i="2228"/>
  <c r="AT9" i="2228" s="1"/>
  <c r="AI9" i="2228"/>
  <c r="AF9" i="2228"/>
  <c r="AH9" i="2228" s="1"/>
  <c r="W9" i="2228"/>
  <c r="P13" i="2228"/>
  <c r="K9" i="2228"/>
  <c r="H9" i="2228"/>
  <c r="J9" i="2228" s="1"/>
  <c r="BO8" i="2228"/>
  <c r="BM8" i="2228"/>
  <c r="BL8" i="2228"/>
  <c r="BG8" i="2228"/>
  <c r="BD8" i="2228"/>
  <c r="BF8" i="2228" s="1"/>
  <c r="AU8" i="2228"/>
  <c r="AR8" i="2228"/>
  <c r="AT8" i="2228" s="1"/>
  <c r="AI8" i="2228"/>
  <c r="AF8" i="2228"/>
  <c r="AH8" i="2228" s="1"/>
  <c r="W8" i="2228"/>
  <c r="T8" i="2228"/>
  <c r="V8" i="2228" s="1"/>
  <c r="K8" i="2228"/>
  <c r="H8" i="2228"/>
  <c r="J8" i="2228" s="1"/>
  <c r="BO7" i="2228"/>
  <c r="BS7" i="2228" s="1"/>
  <c r="BM7" i="2228"/>
  <c r="BL7" i="2228"/>
  <c r="BG7" i="2228"/>
  <c r="BF7" i="2228"/>
  <c r="BD7" i="2228"/>
  <c r="AU7" i="2228"/>
  <c r="AR7" i="2228"/>
  <c r="AT7" i="2228" s="1"/>
  <c r="AI7" i="2228"/>
  <c r="AF7" i="2228"/>
  <c r="AH7" i="2228" s="1"/>
  <c r="W7" i="2228"/>
  <c r="T7" i="2228"/>
  <c r="V7" i="2228" s="1"/>
  <c r="K7" i="2228"/>
  <c r="H7" i="2228"/>
  <c r="J7" i="2228" s="1"/>
  <c r="BO6" i="2228"/>
  <c r="BS6" i="2228" s="1"/>
  <c r="BM6" i="2228"/>
  <c r="BL6" i="2228"/>
  <c r="BG6" i="2228"/>
  <c r="BD6" i="2228"/>
  <c r="BF6" i="2228" s="1"/>
  <c r="AU6" i="2228"/>
  <c r="AR6" i="2228"/>
  <c r="AT6" i="2228" s="1"/>
  <c r="AI6" i="2228"/>
  <c r="AF6" i="2228"/>
  <c r="AH6" i="2228" s="1"/>
  <c r="W6" i="2228"/>
  <c r="T6" i="2228"/>
  <c r="V6" i="2228" s="1"/>
  <c r="K6" i="2228"/>
  <c r="H6" i="2228"/>
  <c r="J6" i="2228" s="1"/>
  <c r="BO5" i="2228"/>
  <c r="BS5" i="2228" s="1"/>
  <c r="BM5" i="2228"/>
  <c r="BL5" i="2228"/>
  <c r="BP5" i="2228" s="1"/>
  <c r="BG5" i="2228"/>
  <c r="BD5" i="2228"/>
  <c r="BF5" i="2228" s="1"/>
  <c r="AU5" i="2228"/>
  <c r="AR5" i="2228"/>
  <c r="AI5" i="2228"/>
  <c r="AF5" i="2228"/>
  <c r="AH5" i="2228" s="1"/>
  <c r="W5" i="2228"/>
  <c r="T5" i="2228"/>
  <c r="V5" i="2228" s="1"/>
  <c r="K5" i="2228"/>
  <c r="H5" i="2228"/>
  <c r="J5" i="2228" s="1"/>
  <c r="BO4" i="2228"/>
  <c r="BS4" i="2228" s="1"/>
  <c r="BM4" i="2228"/>
  <c r="BL4" i="2228"/>
  <c r="BG4" i="2228"/>
  <c r="BD4" i="2228"/>
  <c r="AU4" i="2228"/>
  <c r="AR4" i="2228"/>
  <c r="AT4" i="2228" s="1"/>
  <c r="AI4" i="2228"/>
  <c r="AI13" i="2228" s="1"/>
  <c r="AF4" i="2228"/>
  <c r="W4" i="2228"/>
  <c r="T4" i="2228"/>
  <c r="V4" i="2228" s="1"/>
  <c r="K4" i="2228"/>
  <c r="H4" i="2228"/>
  <c r="J4" i="2228" s="1"/>
  <c r="BR2" i="2228"/>
  <c r="BQ2" i="2228"/>
  <c r="BF2" i="2228"/>
  <c r="AT2" i="2228"/>
  <c r="AH2" i="2228"/>
  <c r="V2" i="2228"/>
  <c r="V26" i="2227"/>
  <c r="BO13" i="2228" l="1"/>
  <c r="AR13" i="2228"/>
  <c r="K13" i="2228"/>
  <c r="BD13" i="2228"/>
  <c r="AU13" i="2228"/>
  <c r="BG13" i="2228"/>
  <c r="W13" i="2228"/>
  <c r="BP11" i="2228"/>
  <c r="BR11" i="2228" s="1"/>
  <c r="BP8" i="2228"/>
  <c r="BT8" i="2228" s="1"/>
  <c r="BP7" i="2228"/>
  <c r="BT7" i="2228" s="1"/>
  <c r="AF13" i="2228"/>
  <c r="BP10" i="2228"/>
  <c r="BT10" i="2228" s="1"/>
  <c r="AH4" i="2228"/>
  <c r="AH13" i="2228" s="1"/>
  <c r="BR23" i="2228"/>
  <c r="BR5" i="2228"/>
  <c r="BT5" i="2228"/>
  <c r="BM13" i="2228"/>
  <c r="BP6" i="2228"/>
  <c r="BR6" i="2228" s="1"/>
  <c r="J13" i="2228"/>
  <c r="J22" i="2228" s="1"/>
  <c r="BR18" i="2228"/>
  <c r="BR19" i="2228"/>
  <c r="AT5" i="2228"/>
  <c r="AT13" i="2228" s="1"/>
  <c r="BP4" i="2228"/>
  <c r="T9" i="2228"/>
  <c r="V9" i="2228" s="1"/>
  <c r="V13" i="2228" s="1"/>
  <c r="BL9" i="2228"/>
  <c r="BP9" i="2228" s="1"/>
  <c r="H13" i="2228"/>
  <c r="BS8" i="2228"/>
  <c r="BS13" i="2228" s="1"/>
  <c r="BF4" i="2228"/>
  <c r="BF13" i="2228" s="1"/>
  <c r="V14" i="2227"/>
  <c r="BT11" i="2228" l="1"/>
  <c r="BR8" i="2228"/>
  <c r="BR7" i="2228"/>
  <c r="BR10" i="2228"/>
  <c r="BT6" i="2228"/>
  <c r="I16" i="2228"/>
  <c r="V22" i="2228"/>
  <c r="U16" i="2228"/>
  <c r="AS16" i="2228"/>
  <c r="AT22" i="2228"/>
  <c r="AU14" i="2228" s="1"/>
  <c r="BT9" i="2228"/>
  <c r="BR9" i="2228"/>
  <c r="BT4" i="2228"/>
  <c r="BP13" i="2228"/>
  <c r="BU14" i="2228" s="1"/>
  <c r="BR4" i="2228"/>
  <c r="T13" i="2228"/>
  <c r="BE16" i="2228"/>
  <c r="BF22" i="2228"/>
  <c r="AH22" i="2228"/>
  <c r="AI14" i="2228" s="1"/>
  <c r="AG16" i="2228"/>
  <c r="BL13" i="2228"/>
  <c r="J26" i="2227"/>
  <c r="BR13" i="2228" l="1"/>
  <c r="BQ16" i="2228" s="1"/>
  <c r="BT12" i="2228"/>
  <c r="P9" i="2227"/>
  <c r="BR22" i="2228" l="1"/>
  <c r="BS14" i="2228" s="1"/>
  <c r="V17" i="2227"/>
  <c r="V15" i="2227"/>
  <c r="V16" i="2227"/>
  <c r="J17" i="2227" l="1"/>
  <c r="J14" i="2227"/>
  <c r="J15" i="2227"/>
  <c r="J16" i="2227"/>
  <c r="G26" i="2227"/>
  <c r="BR35" i="2227" l="1"/>
  <c r="BO35" i="2227"/>
  <c r="BK35" i="2227"/>
  <c r="BF35" i="2227"/>
  <c r="BF18" i="2227" s="1"/>
  <c r="BC35" i="2227"/>
  <c r="AY35" i="2227"/>
  <c r="BF19" i="2227" s="1"/>
  <c r="AT35" i="2227"/>
  <c r="AT18" i="2227" s="1"/>
  <c r="AQ35" i="2227"/>
  <c r="AM35" i="2227"/>
  <c r="AT19" i="2227" s="1"/>
  <c r="AE35" i="2227"/>
  <c r="AA35" i="2227"/>
  <c r="AH19" i="2227" s="1"/>
  <c r="S35" i="2227"/>
  <c r="V35" i="2227" s="1"/>
  <c r="V18" i="2227" s="1"/>
  <c r="O35" i="2227"/>
  <c r="C35" i="2227"/>
  <c r="J19" i="2227" s="1"/>
  <c r="AH35" i="2227"/>
  <c r="AH18" i="2227" s="1"/>
  <c r="G35" i="2227"/>
  <c r="BA22" i="2227"/>
  <c r="AO22" i="2227"/>
  <c r="AC22" i="2227"/>
  <c r="Q22" i="2227"/>
  <c r="E22" i="2227"/>
  <c r="BR21" i="2227"/>
  <c r="BA21" i="2227"/>
  <c r="AO21" i="2227"/>
  <c r="AC21" i="2227"/>
  <c r="Q21" i="2227"/>
  <c r="E21" i="2227"/>
  <c r="BR20" i="2227"/>
  <c r="BA20" i="2227"/>
  <c r="AO20" i="2227"/>
  <c r="AC20" i="2227"/>
  <c r="Q20" i="2227"/>
  <c r="E20" i="2227"/>
  <c r="BA19" i="2227"/>
  <c r="AO19" i="2227"/>
  <c r="AC19" i="2227"/>
  <c r="V19" i="2227"/>
  <c r="Q19" i="2227"/>
  <c r="E19" i="2227"/>
  <c r="BA18" i="2227"/>
  <c r="AO18" i="2227"/>
  <c r="AC18" i="2227"/>
  <c r="Q18" i="2227"/>
  <c r="E18" i="2227"/>
  <c r="BR17" i="2227"/>
  <c r="BA17" i="2227"/>
  <c r="AO17" i="2227"/>
  <c r="AC17" i="2227"/>
  <c r="Q17" i="2227"/>
  <c r="E17" i="2227"/>
  <c r="BR16" i="2227"/>
  <c r="BA16" i="2227"/>
  <c r="AO16" i="2227"/>
  <c r="AC16" i="2227"/>
  <c r="Q16" i="2227"/>
  <c r="E16" i="2227"/>
  <c r="BR15" i="2227"/>
  <c r="BN13" i="2227"/>
  <c r="BC13" i="2227"/>
  <c r="BB13" i="2227"/>
  <c r="BA13" i="2227"/>
  <c r="AZ13" i="2227"/>
  <c r="AQ13" i="2227"/>
  <c r="AP13" i="2227"/>
  <c r="AO13" i="2227"/>
  <c r="AN13" i="2227"/>
  <c r="AE13" i="2227"/>
  <c r="AD13" i="2227"/>
  <c r="AC13" i="2227"/>
  <c r="AB13" i="2227"/>
  <c r="S13" i="2227"/>
  <c r="R13" i="2227"/>
  <c r="Q13" i="2227"/>
  <c r="P13" i="2227"/>
  <c r="G13" i="2227"/>
  <c r="F13" i="2227"/>
  <c r="E13" i="2227"/>
  <c r="D13" i="2227"/>
  <c r="BO12" i="2227"/>
  <c r="BS12" i="2227" s="1"/>
  <c r="BM12" i="2227"/>
  <c r="BP12" i="2227" s="1"/>
  <c r="BR12" i="2227" s="1"/>
  <c r="BL12" i="2227"/>
  <c r="BG12" i="2227"/>
  <c r="BD12" i="2227"/>
  <c r="BF12" i="2227" s="1"/>
  <c r="AU12" i="2227"/>
  <c r="AR12" i="2227"/>
  <c r="AT12" i="2227" s="1"/>
  <c r="AI12" i="2227"/>
  <c r="AF12" i="2227"/>
  <c r="AH12" i="2227" s="1"/>
  <c r="W12" i="2227"/>
  <c r="T12" i="2227"/>
  <c r="V12" i="2227" s="1"/>
  <c r="K12" i="2227"/>
  <c r="H12" i="2227"/>
  <c r="J12" i="2227" s="1"/>
  <c r="BO11" i="2227"/>
  <c r="BS11" i="2227" s="1"/>
  <c r="BM11" i="2227"/>
  <c r="BL11" i="2227"/>
  <c r="BG11" i="2227"/>
  <c r="BF11" i="2227"/>
  <c r="BD11" i="2227"/>
  <c r="AU11" i="2227"/>
  <c r="AR11" i="2227"/>
  <c r="AT11" i="2227" s="1"/>
  <c r="AI11" i="2227"/>
  <c r="AF11" i="2227"/>
  <c r="AH11" i="2227" s="1"/>
  <c r="W11" i="2227"/>
  <c r="V11" i="2227"/>
  <c r="T11" i="2227"/>
  <c r="K11" i="2227"/>
  <c r="J11" i="2227"/>
  <c r="H11" i="2227"/>
  <c r="BO10" i="2227"/>
  <c r="BS10" i="2227" s="1"/>
  <c r="BM10" i="2227"/>
  <c r="BL10" i="2227"/>
  <c r="BG10" i="2227"/>
  <c r="BD10" i="2227"/>
  <c r="BF10" i="2227" s="1"/>
  <c r="AU10" i="2227"/>
  <c r="AR10" i="2227"/>
  <c r="AT10" i="2227" s="1"/>
  <c r="AI10" i="2227"/>
  <c r="AF10" i="2227"/>
  <c r="AH10" i="2227" s="1"/>
  <c r="W10" i="2227"/>
  <c r="T10" i="2227"/>
  <c r="V10" i="2227" s="1"/>
  <c r="K10" i="2227"/>
  <c r="H10" i="2227"/>
  <c r="J10" i="2227" s="1"/>
  <c r="BO9" i="2227"/>
  <c r="BS9" i="2227" s="1"/>
  <c r="BM9" i="2227"/>
  <c r="BL9" i="2227"/>
  <c r="BG9" i="2227"/>
  <c r="BD9" i="2227"/>
  <c r="BF9" i="2227" s="1"/>
  <c r="AU9" i="2227"/>
  <c r="AR9" i="2227"/>
  <c r="AT9" i="2227" s="1"/>
  <c r="AI9" i="2227"/>
  <c r="AF9" i="2227"/>
  <c r="AH9" i="2227" s="1"/>
  <c r="W9" i="2227"/>
  <c r="T9" i="2227"/>
  <c r="V9" i="2227" s="1"/>
  <c r="K9" i="2227"/>
  <c r="H9" i="2227"/>
  <c r="J9" i="2227" s="1"/>
  <c r="BS8" i="2227"/>
  <c r="BO8" i="2227"/>
  <c r="BM8" i="2227"/>
  <c r="BL8" i="2227"/>
  <c r="BG8" i="2227"/>
  <c r="BD8" i="2227"/>
  <c r="BF8" i="2227" s="1"/>
  <c r="AU8" i="2227"/>
  <c r="AR8" i="2227"/>
  <c r="AT8" i="2227" s="1"/>
  <c r="AI8" i="2227"/>
  <c r="AF8" i="2227"/>
  <c r="AH8" i="2227" s="1"/>
  <c r="W8" i="2227"/>
  <c r="T8" i="2227"/>
  <c r="V8" i="2227" s="1"/>
  <c r="K8" i="2227"/>
  <c r="H8" i="2227"/>
  <c r="J8" i="2227" s="1"/>
  <c r="BO7" i="2227"/>
  <c r="BS7" i="2227" s="1"/>
  <c r="BM7" i="2227"/>
  <c r="BL7" i="2227"/>
  <c r="BG7" i="2227"/>
  <c r="BD7" i="2227"/>
  <c r="BF7" i="2227" s="1"/>
  <c r="AU7" i="2227"/>
  <c r="AR7" i="2227"/>
  <c r="AT7" i="2227" s="1"/>
  <c r="AI7" i="2227"/>
  <c r="AI13" i="2227" s="1"/>
  <c r="AF7" i="2227"/>
  <c r="AH7" i="2227" s="1"/>
  <c r="W7" i="2227"/>
  <c r="T7" i="2227"/>
  <c r="V7" i="2227" s="1"/>
  <c r="K7" i="2227"/>
  <c r="H7" i="2227"/>
  <c r="J7" i="2227" s="1"/>
  <c r="BO6" i="2227"/>
  <c r="BS6" i="2227" s="1"/>
  <c r="BM6" i="2227"/>
  <c r="BL6" i="2227"/>
  <c r="BG6" i="2227"/>
  <c r="BD6" i="2227"/>
  <c r="BF6" i="2227" s="1"/>
  <c r="AU6" i="2227"/>
  <c r="AR6" i="2227"/>
  <c r="AT6" i="2227" s="1"/>
  <c r="AI6" i="2227"/>
  <c r="AF6" i="2227"/>
  <c r="W6" i="2227"/>
  <c r="T6" i="2227"/>
  <c r="V6" i="2227" s="1"/>
  <c r="K6" i="2227"/>
  <c r="H6" i="2227"/>
  <c r="J6" i="2227" s="1"/>
  <c r="BO5" i="2227"/>
  <c r="BS5" i="2227" s="1"/>
  <c r="BM5" i="2227"/>
  <c r="BL5" i="2227"/>
  <c r="BG5" i="2227"/>
  <c r="BF5" i="2227"/>
  <c r="BD5" i="2227"/>
  <c r="AU5" i="2227"/>
  <c r="AR5" i="2227"/>
  <c r="AT5" i="2227" s="1"/>
  <c r="AI5" i="2227"/>
  <c r="AF5" i="2227"/>
  <c r="AH5" i="2227" s="1"/>
  <c r="W5" i="2227"/>
  <c r="T5" i="2227"/>
  <c r="V5" i="2227" s="1"/>
  <c r="K5" i="2227"/>
  <c r="H5" i="2227"/>
  <c r="J5" i="2227" s="1"/>
  <c r="BO4" i="2227"/>
  <c r="BM4" i="2227"/>
  <c r="BL4" i="2227"/>
  <c r="BG4" i="2227"/>
  <c r="BF4" i="2227"/>
  <c r="BD4" i="2227"/>
  <c r="AU4" i="2227"/>
  <c r="AR4" i="2227"/>
  <c r="AT4" i="2227" s="1"/>
  <c r="AI4" i="2227"/>
  <c r="AF4" i="2227"/>
  <c r="AH4" i="2227" s="1"/>
  <c r="W4" i="2227"/>
  <c r="T4" i="2227"/>
  <c r="K4" i="2227"/>
  <c r="K13" i="2227" s="1"/>
  <c r="J4" i="2227"/>
  <c r="H4" i="2227"/>
  <c r="BR2" i="2227"/>
  <c r="BQ2" i="2227"/>
  <c r="BF2" i="2227"/>
  <c r="AT2" i="2227"/>
  <c r="AH2" i="2227"/>
  <c r="V2" i="2227"/>
  <c r="J26" i="2226"/>
  <c r="BP10" i="2227" l="1"/>
  <c r="BR23" i="2227"/>
  <c r="BP9" i="2227"/>
  <c r="BR9" i="2227" s="1"/>
  <c r="BP8" i="2227"/>
  <c r="BR8" i="2227" s="1"/>
  <c r="AF13" i="2227"/>
  <c r="BP5" i="2227"/>
  <c r="BT5" i="2227" s="1"/>
  <c r="AH6" i="2227"/>
  <c r="AH13" i="2227" s="1"/>
  <c r="BR19" i="2227"/>
  <c r="BM13" i="2227"/>
  <c r="BP6" i="2227"/>
  <c r="BT6" i="2227" s="1"/>
  <c r="H13" i="2227"/>
  <c r="J13" i="2227"/>
  <c r="I16" i="2227" s="1"/>
  <c r="BF13" i="2227"/>
  <c r="J35" i="2227"/>
  <c r="J18" i="2227" s="1"/>
  <c r="BR18" i="2227" s="1"/>
  <c r="BD13" i="2227"/>
  <c r="AT13" i="2227"/>
  <c r="BP11" i="2227"/>
  <c r="BO13" i="2227"/>
  <c r="W13" i="2227"/>
  <c r="BT10" i="2227"/>
  <c r="BR10" i="2227"/>
  <c r="AU13" i="2227"/>
  <c r="BR14" i="2227"/>
  <c r="BG13" i="2227"/>
  <c r="BP4" i="2227"/>
  <c r="BL13" i="2227"/>
  <c r="BP7" i="2227"/>
  <c r="T13" i="2227"/>
  <c r="V4" i="2227"/>
  <c r="V13" i="2227" s="1"/>
  <c r="AR13" i="2227"/>
  <c r="BS4" i="2227"/>
  <c r="BS13" i="2227" s="1"/>
  <c r="AH14" i="2226"/>
  <c r="BR5" i="2227" l="1"/>
  <c r="BT9" i="2227"/>
  <c r="BT8" i="2227"/>
  <c r="BR6" i="2227"/>
  <c r="BP13" i="2227"/>
  <c r="BU14" i="2227" s="1"/>
  <c r="BT4" i="2227"/>
  <c r="BR4" i="2227"/>
  <c r="J22" i="2227"/>
  <c r="BF22" i="2227"/>
  <c r="BE16" i="2227"/>
  <c r="U16" i="2227"/>
  <c r="V22" i="2227"/>
  <c r="BR7" i="2227"/>
  <c r="BT7" i="2227"/>
  <c r="AT22" i="2227"/>
  <c r="AU14" i="2227" s="1"/>
  <c r="AS16" i="2227"/>
  <c r="AG16" i="2227"/>
  <c r="AH22" i="2227"/>
  <c r="AI14" i="2227" s="1"/>
  <c r="BT11" i="2227"/>
  <c r="BR11" i="2227"/>
  <c r="V14" i="2226"/>
  <c r="BR13" i="2227" l="1"/>
  <c r="BT12" i="2227"/>
  <c r="V26" i="2226"/>
  <c r="V17" i="2226"/>
  <c r="V15" i="2226"/>
  <c r="V16" i="2226"/>
  <c r="BR22" i="2227" l="1"/>
  <c r="BS14" i="2227" s="1"/>
  <c r="BQ16" i="2227"/>
  <c r="AC16" i="2226"/>
  <c r="AH26" i="2226"/>
  <c r="AH17" i="2226"/>
  <c r="AH16" i="2226"/>
  <c r="AH15" i="2226"/>
  <c r="J15" i="2226"/>
  <c r="J14" i="2226"/>
  <c r="J17" i="2226" l="1"/>
  <c r="J16" i="2226"/>
  <c r="G26" i="2226" l="1"/>
  <c r="BR35" i="2226"/>
  <c r="BO35" i="2226"/>
  <c r="BK35" i="2226"/>
  <c r="BF35" i="2226"/>
  <c r="BC35" i="2226"/>
  <c r="AY35" i="2226"/>
  <c r="AT35" i="2226"/>
  <c r="AQ35" i="2226"/>
  <c r="AM35" i="2226"/>
  <c r="AH35" i="2226"/>
  <c r="AH18" i="2226" s="1"/>
  <c r="AE35" i="2226"/>
  <c r="AA35" i="2226"/>
  <c r="AH19" i="2226" s="1"/>
  <c r="S35" i="2226"/>
  <c r="V35" i="2226" s="1"/>
  <c r="V18" i="2226" s="1"/>
  <c r="O35" i="2226"/>
  <c r="V19" i="2226" s="1"/>
  <c r="G35" i="2226"/>
  <c r="C35" i="2226"/>
  <c r="J19" i="2226" s="1"/>
  <c r="BA22" i="2226"/>
  <c r="AO22" i="2226"/>
  <c r="AC22" i="2226"/>
  <c r="Q22" i="2226"/>
  <c r="E22" i="2226"/>
  <c r="BR21" i="2226"/>
  <c r="BA21" i="2226"/>
  <c r="AO21" i="2226"/>
  <c r="AC21" i="2226"/>
  <c r="Q21" i="2226"/>
  <c r="E21" i="2226"/>
  <c r="BR20" i="2226"/>
  <c r="BA20" i="2226"/>
  <c r="AO20" i="2226"/>
  <c r="AC20" i="2226"/>
  <c r="Q20" i="2226"/>
  <c r="E20" i="2226"/>
  <c r="BF19" i="2226"/>
  <c r="BA19" i="2226"/>
  <c r="AT19" i="2226"/>
  <c r="AO19" i="2226"/>
  <c r="AC19" i="2226"/>
  <c r="Q19" i="2226"/>
  <c r="E19" i="2226"/>
  <c r="BF18" i="2226"/>
  <c r="BA18" i="2226"/>
  <c r="AT18" i="2226"/>
  <c r="AO18" i="2226"/>
  <c r="AC18" i="2226"/>
  <c r="Q18" i="2226"/>
  <c r="E18" i="2226"/>
  <c r="BA17" i="2226"/>
  <c r="AO17" i="2226"/>
  <c r="AC17" i="2226"/>
  <c r="Q17" i="2226"/>
  <c r="BR17" i="2226"/>
  <c r="E17" i="2226"/>
  <c r="BA16" i="2226"/>
  <c r="AO16" i="2226"/>
  <c r="Q16" i="2226"/>
  <c r="BR16" i="2226"/>
  <c r="E16" i="2226"/>
  <c r="BR15" i="2226"/>
  <c r="BR14" i="2226"/>
  <c r="BO13" i="2226"/>
  <c r="BN13" i="2226"/>
  <c r="BC13" i="2226"/>
  <c r="BB13" i="2226"/>
  <c r="BA13" i="2226"/>
  <c r="AZ13" i="2226"/>
  <c r="AQ13" i="2226"/>
  <c r="AP13" i="2226"/>
  <c r="AO13" i="2226"/>
  <c r="AN13" i="2226"/>
  <c r="AE13" i="2226"/>
  <c r="AD13" i="2226"/>
  <c r="AC13" i="2226"/>
  <c r="AB13" i="2226"/>
  <c r="S13" i="2226"/>
  <c r="R13" i="2226"/>
  <c r="Q13" i="2226"/>
  <c r="P13" i="2226"/>
  <c r="G13" i="2226"/>
  <c r="F13" i="2226"/>
  <c r="E13" i="2226"/>
  <c r="D13" i="2226"/>
  <c r="BS12" i="2226"/>
  <c r="BO12" i="2226"/>
  <c r="BM12" i="2226"/>
  <c r="BL12" i="2226"/>
  <c r="BP12" i="2226" s="1"/>
  <c r="BR12" i="2226" s="1"/>
  <c r="BG12" i="2226"/>
  <c r="BD12" i="2226"/>
  <c r="BF12" i="2226" s="1"/>
  <c r="AU12" i="2226"/>
  <c r="AR12" i="2226"/>
  <c r="AT12" i="2226" s="1"/>
  <c r="AI12" i="2226"/>
  <c r="AF12" i="2226"/>
  <c r="AH12" i="2226" s="1"/>
  <c r="W12" i="2226"/>
  <c r="T12" i="2226"/>
  <c r="V12" i="2226" s="1"/>
  <c r="K12" i="2226"/>
  <c r="H12" i="2226"/>
  <c r="J12" i="2226" s="1"/>
  <c r="BS11" i="2226"/>
  <c r="BP11" i="2226"/>
  <c r="BR11" i="2226" s="1"/>
  <c r="BO11" i="2226"/>
  <c r="BM11" i="2226"/>
  <c r="BL11" i="2226"/>
  <c r="BG11" i="2226"/>
  <c r="BD11" i="2226"/>
  <c r="BF11" i="2226" s="1"/>
  <c r="AU11" i="2226"/>
  <c r="AT11" i="2226"/>
  <c r="AR11" i="2226"/>
  <c r="AI11" i="2226"/>
  <c r="AF11" i="2226"/>
  <c r="AH11" i="2226" s="1"/>
  <c r="W11" i="2226"/>
  <c r="T11" i="2226"/>
  <c r="V11" i="2226" s="1"/>
  <c r="K11" i="2226"/>
  <c r="H11" i="2226"/>
  <c r="J11" i="2226" s="1"/>
  <c r="BS10" i="2226"/>
  <c r="BO10" i="2226"/>
  <c r="BM10" i="2226"/>
  <c r="BL10" i="2226"/>
  <c r="BG10" i="2226"/>
  <c r="BF10" i="2226"/>
  <c r="BD10" i="2226"/>
  <c r="AU10" i="2226"/>
  <c r="AR10" i="2226"/>
  <c r="AT10" i="2226" s="1"/>
  <c r="AI10" i="2226"/>
  <c r="AF10" i="2226"/>
  <c r="AH10" i="2226" s="1"/>
  <c r="W10" i="2226"/>
  <c r="T10" i="2226"/>
  <c r="V10" i="2226" s="1"/>
  <c r="K10" i="2226"/>
  <c r="J10" i="2226"/>
  <c r="H10" i="2226"/>
  <c r="BS9" i="2226"/>
  <c r="BO9" i="2226"/>
  <c r="BM9" i="2226"/>
  <c r="BL9" i="2226"/>
  <c r="BG9" i="2226"/>
  <c r="BD9" i="2226"/>
  <c r="BF9" i="2226" s="1"/>
  <c r="AU9" i="2226"/>
  <c r="AR9" i="2226"/>
  <c r="AT9" i="2226" s="1"/>
  <c r="AI9" i="2226"/>
  <c r="AF9" i="2226"/>
  <c r="AH9" i="2226" s="1"/>
  <c r="W9" i="2226"/>
  <c r="T9" i="2226"/>
  <c r="V9" i="2226" s="1"/>
  <c r="K9" i="2226"/>
  <c r="H9" i="2226"/>
  <c r="J9" i="2226" s="1"/>
  <c r="BO8" i="2226"/>
  <c r="BS8" i="2226" s="1"/>
  <c r="BM8" i="2226"/>
  <c r="BL8" i="2226"/>
  <c r="BG8" i="2226"/>
  <c r="BD8" i="2226"/>
  <c r="BF8" i="2226" s="1"/>
  <c r="AU8" i="2226"/>
  <c r="AR8" i="2226"/>
  <c r="AT8" i="2226" s="1"/>
  <c r="AI8" i="2226"/>
  <c r="AF8" i="2226"/>
  <c r="AH8" i="2226" s="1"/>
  <c r="W8" i="2226"/>
  <c r="T8" i="2226"/>
  <c r="V8" i="2226" s="1"/>
  <c r="K8" i="2226"/>
  <c r="H8" i="2226"/>
  <c r="J8" i="2226" s="1"/>
  <c r="BO7" i="2226"/>
  <c r="BS7" i="2226" s="1"/>
  <c r="BM7" i="2226"/>
  <c r="BL7" i="2226"/>
  <c r="BG7" i="2226"/>
  <c r="BG13" i="2226" s="1"/>
  <c r="BF7" i="2226"/>
  <c r="BD7" i="2226"/>
  <c r="AU7" i="2226"/>
  <c r="AR7" i="2226"/>
  <c r="AT7" i="2226" s="1"/>
  <c r="AI7" i="2226"/>
  <c r="AF7" i="2226"/>
  <c r="AH7" i="2226" s="1"/>
  <c r="W7" i="2226"/>
  <c r="T7" i="2226"/>
  <c r="V7" i="2226" s="1"/>
  <c r="K7" i="2226"/>
  <c r="H7" i="2226"/>
  <c r="J7" i="2226" s="1"/>
  <c r="BS6" i="2226"/>
  <c r="BO6" i="2226"/>
  <c r="BM6" i="2226"/>
  <c r="BL6" i="2226"/>
  <c r="BG6" i="2226"/>
  <c r="BD6" i="2226"/>
  <c r="BF6" i="2226" s="1"/>
  <c r="AU6" i="2226"/>
  <c r="AR6" i="2226"/>
  <c r="AT6" i="2226" s="1"/>
  <c r="AI6" i="2226"/>
  <c r="AF6" i="2226"/>
  <c r="AH6" i="2226" s="1"/>
  <c r="W6" i="2226"/>
  <c r="T6" i="2226"/>
  <c r="V6" i="2226" s="1"/>
  <c r="K6" i="2226"/>
  <c r="H6" i="2226"/>
  <c r="J6" i="2226" s="1"/>
  <c r="BS5" i="2226"/>
  <c r="BO5" i="2226"/>
  <c r="BM5" i="2226"/>
  <c r="BL5" i="2226"/>
  <c r="BG5" i="2226"/>
  <c r="BD5" i="2226"/>
  <c r="BF5" i="2226" s="1"/>
  <c r="AU5" i="2226"/>
  <c r="AU13" i="2226" s="1"/>
  <c r="AR5" i="2226"/>
  <c r="AT5" i="2226" s="1"/>
  <c r="AI5" i="2226"/>
  <c r="AF5" i="2226"/>
  <c r="AH5" i="2226" s="1"/>
  <c r="W5" i="2226"/>
  <c r="T5" i="2226"/>
  <c r="K5" i="2226"/>
  <c r="H5" i="2226"/>
  <c r="J5" i="2226" s="1"/>
  <c r="BS4" i="2226"/>
  <c r="BO4" i="2226"/>
  <c r="BM4" i="2226"/>
  <c r="BL4" i="2226"/>
  <c r="BG4" i="2226"/>
  <c r="BF4" i="2226"/>
  <c r="BF13" i="2226" s="1"/>
  <c r="BD4" i="2226"/>
  <c r="BD13" i="2226" s="1"/>
  <c r="AU4" i="2226"/>
  <c r="AR4" i="2226"/>
  <c r="AT4" i="2226" s="1"/>
  <c r="AI4" i="2226"/>
  <c r="AI13" i="2226" s="1"/>
  <c r="AF4" i="2226"/>
  <c r="AH4" i="2226" s="1"/>
  <c r="W4" i="2226"/>
  <c r="W13" i="2226" s="1"/>
  <c r="T4" i="2226"/>
  <c r="V4" i="2226" s="1"/>
  <c r="K4" i="2226"/>
  <c r="K13" i="2226" s="1"/>
  <c r="H4" i="2226"/>
  <c r="J4" i="2226" s="1"/>
  <c r="BR2" i="2226"/>
  <c r="BQ2" i="2226"/>
  <c r="BF2" i="2226"/>
  <c r="AT2" i="2226"/>
  <c r="AH2" i="2226"/>
  <c r="V2" i="2226"/>
  <c r="J14" i="2225"/>
  <c r="J26" i="2225"/>
  <c r="V26" i="2225"/>
  <c r="J35" i="2226" l="1"/>
  <c r="J18" i="2226" s="1"/>
  <c r="BR18" i="2226" s="1"/>
  <c r="BP7" i="2226"/>
  <c r="BT7" i="2226" s="1"/>
  <c r="BP6" i="2226"/>
  <c r="BT6" i="2226" s="1"/>
  <c r="J13" i="2226"/>
  <c r="I16" i="2226" s="1"/>
  <c r="BP9" i="2226"/>
  <c r="BT9" i="2226" s="1"/>
  <c r="BP8" i="2226"/>
  <c r="BR8" i="2226" s="1"/>
  <c r="BL13" i="2226"/>
  <c r="AF13" i="2226"/>
  <c r="BR19" i="2226"/>
  <c r="BP10" i="2226"/>
  <c r="BT10" i="2226" s="1"/>
  <c r="T13" i="2226"/>
  <c r="BP5" i="2226"/>
  <c r="BR5" i="2226" s="1"/>
  <c r="BM13" i="2226"/>
  <c r="AT13" i="2226"/>
  <c r="BS13" i="2226"/>
  <c r="BE16" i="2226"/>
  <c r="BF22" i="2226"/>
  <c r="AH13" i="2226"/>
  <c r="AH22" i="2226" s="1"/>
  <c r="AI14" i="2226" s="1"/>
  <c r="BP4" i="2226"/>
  <c r="BT11" i="2226"/>
  <c r="AR13" i="2226"/>
  <c r="BR23" i="2226"/>
  <c r="H13" i="2226"/>
  <c r="V5" i="2226"/>
  <c r="V13" i="2226" s="1"/>
  <c r="AH17" i="2225"/>
  <c r="AH14" i="2225"/>
  <c r="AH16" i="2225"/>
  <c r="BR7" i="2226" l="1"/>
  <c r="AG16" i="2226"/>
  <c r="BR6" i="2226"/>
  <c r="BT8" i="2226"/>
  <c r="BR9" i="2226"/>
  <c r="J22" i="2226"/>
  <c r="BT5" i="2226"/>
  <c r="BR10" i="2226"/>
  <c r="U16" i="2226"/>
  <c r="V22" i="2226"/>
  <c r="W14" i="2226" s="1"/>
  <c r="AT22" i="2226"/>
  <c r="AU14" i="2226" s="1"/>
  <c r="AS16" i="2226"/>
  <c r="BP13" i="2226"/>
  <c r="BU14" i="2226" s="1"/>
  <c r="BT4" i="2226"/>
  <c r="BR4" i="2226"/>
  <c r="J17" i="2225"/>
  <c r="J15" i="2225"/>
  <c r="J16" i="2225"/>
  <c r="BR13" i="2226" l="1"/>
  <c r="BQ16" i="2226" s="1"/>
  <c r="BT12" i="2226"/>
  <c r="V14" i="2225"/>
  <c r="BR22" i="2226" l="1"/>
  <c r="BS14" i="2226" s="1"/>
  <c r="V17" i="2225"/>
  <c r="BR17" i="2225" s="1"/>
  <c r="V15" i="2225"/>
  <c r="V16" i="2225"/>
  <c r="BR16" i="2225" s="1"/>
  <c r="BR35" i="2225"/>
  <c r="BO35" i="2225"/>
  <c r="BK35" i="2225"/>
  <c r="BF35" i="2225"/>
  <c r="BF18" i="2225" s="1"/>
  <c r="BC35" i="2225"/>
  <c r="AY35" i="2225"/>
  <c r="AT35" i="2225"/>
  <c r="AT18" i="2225" s="1"/>
  <c r="AQ35" i="2225"/>
  <c r="AM35" i="2225"/>
  <c r="AT19" i="2225" s="1"/>
  <c r="AH35" i="2225"/>
  <c r="AE35" i="2225"/>
  <c r="AA35" i="2225"/>
  <c r="AH19" i="2225" s="1"/>
  <c r="S35" i="2225"/>
  <c r="O35" i="2225"/>
  <c r="V19" i="2225" s="1"/>
  <c r="C35" i="2225"/>
  <c r="J19" i="2225" s="1"/>
  <c r="V35" i="2225"/>
  <c r="V18" i="2225" s="1"/>
  <c r="G35" i="2225"/>
  <c r="BA22" i="2225"/>
  <c r="AO22" i="2225"/>
  <c r="AC22" i="2225"/>
  <c r="Q22" i="2225"/>
  <c r="E22" i="2225"/>
  <c r="BR21" i="2225"/>
  <c r="BA21" i="2225"/>
  <c r="AO21" i="2225"/>
  <c r="AC21" i="2225"/>
  <c r="Q21" i="2225"/>
  <c r="E21" i="2225"/>
  <c r="BR20" i="2225"/>
  <c r="BA20" i="2225"/>
  <c r="AO20" i="2225"/>
  <c r="AC20" i="2225"/>
  <c r="Q20" i="2225"/>
  <c r="E20" i="2225"/>
  <c r="BF19" i="2225"/>
  <c r="BA19" i="2225"/>
  <c r="AO19" i="2225"/>
  <c r="AC19" i="2225"/>
  <c r="Q19" i="2225"/>
  <c r="E19" i="2225"/>
  <c r="BA18" i="2225"/>
  <c r="AO18" i="2225"/>
  <c r="AH18" i="2225"/>
  <c r="AC18" i="2225"/>
  <c r="Q18" i="2225"/>
  <c r="E18" i="2225"/>
  <c r="BA17" i="2225"/>
  <c r="AO17" i="2225"/>
  <c r="AC17" i="2225"/>
  <c r="Q17" i="2225"/>
  <c r="E17" i="2225"/>
  <c r="BA16" i="2225"/>
  <c r="AO16" i="2225"/>
  <c r="AC16" i="2225"/>
  <c r="Q16" i="2225"/>
  <c r="E16" i="2225"/>
  <c r="BR15" i="2225"/>
  <c r="BR14" i="2225"/>
  <c r="BN13" i="2225"/>
  <c r="BC13" i="2225"/>
  <c r="BB13" i="2225"/>
  <c r="BA13" i="2225"/>
  <c r="AZ13" i="2225"/>
  <c r="AQ13" i="2225"/>
  <c r="AP13" i="2225"/>
  <c r="AO13" i="2225"/>
  <c r="AN13" i="2225"/>
  <c r="AE13" i="2225"/>
  <c r="AD13" i="2225"/>
  <c r="AC13" i="2225"/>
  <c r="AB13" i="2225"/>
  <c r="S13" i="2225"/>
  <c r="R13" i="2225"/>
  <c r="Q13" i="2225"/>
  <c r="P13" i="2225"/>
  <c r="G13" i="2225"/>
  <c r="F13" i="2225"/>
  <c r="E13" i="2225"/>
  <c r="D13" i="2225"/>
  <c r="BO12" i="2225"/>
  <c r="BS12" i="2225" s="1"/>
  <c r="BM12" i="2225"/>
  <c r="BP12" i="2225" s="1"/>
  <c r="BR12" i="2225" s="1"/>
  <c r="BL12" i="2225"/>
  <c r="BG12" i="2225"/>
  <c r="BD12" i="2225"/>
  <c r="BF12" i="2225" s="1"/>
  <c r="AU12" i="2225"/>
  <c r="AR12" i="2225"/>
  <c r="AT12" i="2225" s="1"/>
  <c r="AI12" i="2225"/>
  <c r="AF12" i="2225"/>
  <c r="AH12" i="2225" s="1"/>
  <c r="W12" i="2225"/>
  <c r="V12" i="2225"/>
  <c r="T12" i="2225"/>
  <c r="K12" i="2225"/>
  <c r="H12" i="2225"/>
  <c r="J12" i="2225" s="1"/>
  <c r="BS11" i="2225"/>
  <c r="BO11" i="2225"/>
  <c r="BM11" i="2225"/>
  <c r="BL11" i="2225"/>
  <c r="BP11" i="2225" s="1"/>
  <c r="BG11" i="2225"/>
  <c r="BD11" i="2225"/>
  <c r="BF11" i="2225" s="1"/>
  <c r="AU11" i="2225"/>
  <c r="AR11" i="2225"/>
  <c r="AT11" i="2225" s="1"/>
  <c r="AI11" i="2225"/>
  <c r="AH11" i="2225"/>
  <c r="AF11" i="2225"/>
  <c r="W11" i="2225"/>
  <c r="T11" i="2225"/>
  <c r="V11" i="2225" s="1"/>
  <c r="K11" i="2225"/>
  <c r="H11" i="2225"/>
  <c r="J11" i="2225" s="1"/>
  <c r="BO10" i="2225"/>
  <c r="BS10" i="2225" s="1"/>
  <c r="BM10" i="2225"/>
  <c r="BL10" i="2225"/>
  <c r="BG10" i="2225"/>
  <c r="BD10" i="2225"/>
  <c r="BF10" i="2225" s="1"/>
  <c r="AU10" i="2225"/>
  <c r="AT10" i="2225"/>
  <c r="AR10" i="2225"/>
  <c r="AI10" i="2225"/>
  <c r="AF10" i="2225"/>
  <c r="AH10" i="2225" s="1"/>
  <c r="W10" i="2225"/>
  <c r="V10" i="2225"/>
  <c r="T10" i="2225"/>
  <c r="K10" i="2225"/>
  <c r="H10" i="2225"/>
  <c r="J10" i="2225" s="1"/>
  <c r="BO9" i="2225"/>
  <c r="BS9" i="2225" s="1"/>
  <c r="BM9" i="2225"/>
  <c r="BL9" i="2225"/>
  <c r="BG9" i="2225"/>
  <c r="BD9" i="2225"/>
  <c r="BF9" i="2225" s="1"/>
  <c r="AU9" i="2225"/>
  <c r="AT9" i="2225"/>
  <c r="AR9" i="2225"/>
  <c r="AI9" i="2225"/>
  <c r="AF9" i="2225"/>
  <c r="AH9" i="2225" s="1"/>
  <c r="W9" i="2225"/>
  <c r="T9" i="2225"/>
  <c r="V9" i="2225" s="1"/>
  <c r="K9" i="2225"/>
  <c r="H9" i="2225"/>
  <c r="J9" i="2225" s="1"/>
  <c r="BO8" i="2225"/>
  <c r="BS8" i="2225" s="1"/>
  <c r="BM8" i="2225"/>
  <c r="BL8" i="2225"/>
  <c r="BG8" i="2225"/>
  <c r="BF8" i="2225"/>
  <c r="BD8" i="2225"/>
  <c r="AU8" i="2225"/>
  <c r="AR8" i="2225"/>
  <c r="AT8" i="2225" s="1"/>
  <c r="AI8" i="2225"/>
  <c r="AF8" i="2225"/>
  <c r="AH8" i="2225" s="1"/>
  <c r="W8" i="2225"/>
  <c r="T8" i="2225"/>
  <c r="V8" i="2225" s="1"/>
  <c r="K8" i="2225"/>
  <c r="H8" i="2225"/>
  <c r="J8" i="2225" s="1"/>
  <c r="BS7" i="2225"/>
  <c r="BO7" i="2225"/>
  <c r="BM7" i="2225"/>
  <c r="BL7" i="2225"/>
  <c r="BG7" i="2225"/>
  <c r="BD7" i="2225"/>
  <c r="BF7" i="2225" s="1"/>
  <c r="AU7" i="2225"/>
  <c r="AT7" i="2225"/>
  <c r="AR7" i="2225"/>
  <c r="AI7" i="2225"/>
  <c r="AF7" i="2225"/>
  <c r="W7" i="2225"/>
  <c r="T7" i="2225"/>
  <c r="V7" i="2225" s="1"/>
  <c r="K7" i="2225"/>
  <c r="H7" i="2225"/>
  <c r="J7" i="2225" s="1"/>
  <c r="BO6" i="2225"/>
  <c r="BS6" i="2225" s="1"/>
  <c r="BM6" i="2225"/>
  <c r="BL6" i="2225"/>
  <c r="BG6" i="2225"/>
  <c r="BF6" i="2225"/>
  <c r="BD6" i="2225"/>
  <c r="AU6" i="2225"/>
  <c r="AR6" i="2225"/>
  <c r="AT6" i="2225" s="1"/>
  <c r="AI6" i="2225"/>
  <c r="AF6" i="2225"/>
  <c r="AH6" i="2225" s="1"/>
  <c r="W6" i="2225"/>
  <c r="T6" i="2225"/>
  <c r="V6" i="2225" s="1"/>
  <c r="K6" i="2225"/>
  <c r="H6" i="2225"/>
  <c r="J6" i="2225" s="1"/>
  <c r="BS5" i="2225"/>
  <c r="BO5" i="2225"/>
  <c r="BM5" i="2225"/>
  <c r="BL5" i="2225"/>
  <c r="BG5" i="2225"/>
  <c r="BD5" i="2225"/>
  <c r="BF5" i="2225" s="1"/>
  <c r="AU5" i="2225"/>
  <c r="AR5" i="2225"/>
  <c r="AT5" i="2225" s="1"/>
  <c r="AI5" i="2225"/>
  <c r="AF5" i="2225"/>
  <c r="AH5" i="2225" s="1"/>
  <c r="W5" i="2225"/>
  <c r="T5" i="2225"/>
  <c r="K5" i="2225"/>
  <c r="K13" i="2225" s="1"/>
  <c r="H5" i="2225"/>
  <c r="J5" i="2225" s="1"/>
  <c r="BO4" i="2225"/>
  <c r="BM4" i="2225"/>
  <c r="BL4" i="2225"/>
  <c r="BG4" i="2225"/>
  <c r="BG13" i="2225" s="1"/>
  <c r="BD4" i="2225"/>
  <c r="BD13" i="2225" s="1"/>
  <c r="AU4" i="2225"/>
  <c r="AU13" i="2225" s="1"/>
  <c r="AT4" i="2225"/>
  <c r="AR4" i="2225"/>
  <c r="AR13" i="2225" s="1"/>
  <c r="AI4" i="2225"/>
  <c r="AI13" i="2225" s="1"/>
  <c r="AF4" i="2225"/>
  <c r="AH4" i="2225" s="1"/>
  <c r="W4" i="2225"/>
  <c r="T4" i="2225"/>
  <c r="V4" i="2225" s="1"/>
  <c r="K4" i="2225"/>
  <c r="H4" i="2225"/>
  <c r="J4" i="2225" s="1"/>
  <c r="BR2" i="2225"/>
  <c r="BQ2" i="2225"/>
  <c r="BF2" i="2225"/>
  <c r="AT2" i="2225"/>
  <c r="AH2" i="2225"/>
  <c r="V2" i="2225"/>
  <c r="AH14" i="2224"/>
  <c r="AH17" i="2224"/>
  <c r="J27" i="2224"/>
  <c r="AH16" i="2224"/>
  <c r="AH15" i="2224"/>
  <c r="W13" i="2225" l="1"/>
  <c r="BO13" i="2225"/>
  <c r="BP8" i="2225"/>
  <c r="BT8" i="2225" s="1"/>
  <c r="AF13" i="2225"/>
  <c r="BP7" i="2225"/>
  <c r="BT7" i="2225" s="1"/>
  <c r="T13" i="2225"/>
  <c r="BP9" i="2225"/>
  <c r="BT9" i="2225" s="1"/>
  <c r="BL13" i="2225"/>
  <c r="BM13" i="2225"/>
  <c r="J13" i="2225"/>
  <c r="I16" i="2225" s="1"/>
  <c r="BT11" i="2225"/>
  <c r="BR11" i="2225"/>
  <c r="AT13" i="2225"/>
  <c r="BR19" i="2225"/>
  <c r="J35" i="2225"/>
  <c r="J18" i="2225" s="1"/>
  <c r="BR18" i="2225" s="1"/>
  <c r="BR23" i="2225"/>
  <c r="H13" i="2225"/>
  <c r="BF4" i="2225"/>
  <c r="BF13" i="2225" s="1"/>
  <c r="BP6" i="2225"/>
  <c r="AH7" i="2225"/>
  <c r="AH13" i="2225" s="1"/>
  <c r="V5" i="2225"/>
  <c r="V13" i="2225" s="1"/>
  <c r="V22" i="2225" s="1"/>
  <c r="W14" i="2225" s="1"/>
  <c r="BP5" i="2225"/>
  <c r="BP4" i="2225"/>
  <c r="BP10" i="2225"/>
  <c r="BS4" i="2225"/>
  <c r="BS13" i="2225" s="1"/>
  <c r="V14" i="2224"/>
  <c r="BR7" i="2225" l="1"/>
  <c r="BR8" i="2225"/>
  <c r="BR9" i="2225"/>
  <c r="BR4" i="2225"/>
  <c r="BP13" i="2225"/>
  <c r="BU14" i="2225" s="1"/>
  <c r="BT4" i="2225"/>
  <c r="U16" i="2225"/>
  <c r="J22" i="2225"/>
  <c r="BT5" i="2225"/>
  <c r="BR5" i="2225"/>
  <c r="BR10" i="2225"/>
  <c r="BT10" i="2225"/>
  <c r="BR6" i="2225"/>
  <c r="BT6" i="2225"/>
  <c r="AG16" i="2225"/>
  <c r="AH22" i="2225"/>
  <c r="AI14" i="2225" s="1"/>
  <c r="BF22" i="2225"/>
  <c r="BE16" i="2225"/>
  <c r="AT22" i="2225"/>
  <c r="AU14" i="2225" s="1"/>
  <c r="AS16" i="2225"/>
  <c r="V17" i="2224"/>
  <c r="V15" i="2224"/>
  <c r="V16" i="2224"/>
  <c r="BT12" i="2225" l="1"/>
  <c r="BR13" i="2225"/>
  <c r="BR22" i="2225" s="1"/>
  <c r="BS14" i="2225" s="1"/>
  <c r="J14" i="2224"/>
  <c r="J26" i="2224"/>
  <c r="BQ16" i="2225" l="1"/>
  <c r="G26" i="2224"/>
  <c r="J17" i="2224" l="1"/>
  <c r="BR17" i="2224" s="1"/>
  <c r="J15" i="2224"/>
  <c r="BR15" i="2224" s="1"/>
  <c r="J16" i="2224"/>
  <c r="BR16" i="2224" s="1"/>
  <c r="BR14" i="2224"/>
  <c r="BR35" i="2224"/>
  <c r="BO35" i="2224"/>
  <c r="BK35" i="2224"/>
  <c r="BF35" i="2224"/>
  <c r="BC35" i="2224"/>
  <c r="AY35" i="2224"/>
  <c r="AT35" i="2224"/>
  <c r="AQ35" i="2224"/>
  <c r="AM35" i="2224"/>
  <c r="AE35" i="2224"/>
  <c r="AA35" i="2224"/>
  <c r="AH19" i="2224" s="1"/>
  <c r="S35" i="2224"/>
  <c r="O35" i="2224"/>
  <c r="V19" i="2224" s="1"/>
  <c r="J35" i="2224"/>
  <c r="J18" i="2224" s="1"/>
  <c r="G35" i="2224"/>
  <c r="C35" i="2224"/>
  <c r="J19" i="2224" s="1"/>
  <c r="AH35" i="2224"/>
  <c r="AH18" i="2224" s="1"/>
  <c r="BA22" i="2224"/>
  <c r="AO22" i="2224"/>
  <c r="AC22" i="2224"/>
  <c r="Q22" i="2224"/>
  <c r="E22" i="2224"/>
  <c r="BR21" i="2224"/>
  <c r="BA21" i="2224"/>
  <c r="AO21" i="2224"/>
  <c r="AC21" i="2224"/>
  <c r="Q21" i="2224"/>
  <c r="E21" i="2224"/>
  <c r="BR20" i="2224"/>
  <c r="BA20" i="2224"/>
  <c r="AO20" i="2224"/>
  <c r="AC20" i="2224"/>
  <c r="Q20" i="2224"/>
  <c r="E20" i="2224"/>
  <c r="BF19" i="2224"/>
  <c r="BA19" i="2224"/>
  <c r="AT19" i="2224"/>
  <c r="AO19" i="2224"/>
  <c r="AC19" i="2224"/>
  <c r="Q19" i="2224"/>
  <c r="E19" i="2224"/>
  <c r="BF18" i="2224"/>
  <c r="BA18" i="2224"/>
  <c r="AT18" i="2224"/>
  <c r="AO18" i="2224"/>
  <c r="AC18" i="2224"/>
  <c r="Q18" i="2224"/>
  <c r="E18" i="2224"/>
  <c r="BA17" i="2224"/>
  <c r="AO17" i="2224"/>
  <c r="AC17" i="2224"/>
  <c r="Q17" i="2224"/>
  <c r="E17" i="2224"/>
  <c r="BA16" i="2224"/>
  <c r="AO16" i="2224"/>
  <c r="AC16" i="2224"/>
  <c r="Q16" i="2224"/>
  <c r="E16" i="2224"/>
  <c r="BO13" i="2224"/>
  <c r="BN13" i="2224"/>
  <c r="BG13" i="2224"/>
  <c r="BD13" i="2224"/>
  <c r="BC13" i="2224"/>
  <c r="BB13" i="2224"/>
  <c r="BA13" i="2224"/>
  <c r="AZ13" i="2224"/>
  <c r="AU13" i="2224"/>
  <c r="AQ13" i="2224"/>
  <c r="AP13" i="2224"/>
  <c r="AO13" i="2224"/>
  <c r="AN13" i="2224"/>
  <c r="AI13" i="2224"/>
  <c r="AE13" i="2224"/>
  <c r="AD13" i="2224"/>
  <c r="AC13" i="2224"/>
  <c r="AB13" i="2224"/>
  <c r="W13" i="2224"/>
  <c r="S13" i="2224"/>
  <c r="R13" i="2224"/>
  <c r="Q13" i="2224"/>
  <c r="P13" i="2224"/>
  <c r="K13" i="2224"/>
  <c r="G13" i="2224"/>
  <c r="F13" i="2224"/>
  <c r="E13" i="2224"/>
  <c r="D13" i="2224"/>
  <c r="BS12" i="2224"/>
  <c r="BR12" i="2224"/>
  <c r="BP12" i="2224"/>
  <c r="BO12" i="2224"/>
  <c r="BM12" i="2224"/>
  <c r="BL12" i="2224"/>
  <c r="BG12" i="2224"/>
  <c r="BF12" i="2224"/>
  <c r="BD12" i="2224"/>
  <c r="AU12" i="2224"/>
  <c r="AT12" i="2224"/>
  <c r="AR12" i="2224"/>
  <c r="AI12" i="2224"/>
  <c r="AH12" i="2224"/>
  <c r="AF12" i="2224"/>
  <c r="W12" i="2224"/>
  <c r="V12" i="2224"/>
  <c r="T12" i="2224"/>
  <c r="K12" i="2224"/>
  <c r="J12" i="2224"/>
  <c r="H12" i="2224"/>
  <c r="BT11" i="2224"/>
  <c r="BS11" i="2224"/>
  <c r="BR11" i="2224"/>
  <c r="BP11" i="2224"/>
  <c r="BO11" i="2224"/>
  <c r="BM11" i="2224"/>
  <c r="BL11" i="2224"/>
  <c r="BG11" i="2224"/>
  <c r="BF11" i="2224"/>
  <c r="BD11" i="2224"/>
  <c r="AU11" i="2224"/>
  <c r="AT11" i="2224"/>
  <c r="AR11" i="2224"/>
  <c r="AI11" i="2224"/>
  <c r="AH11" i="2224"/>
  <c r="AF11" i="2224"/>
  <c r="W11" i="2224"/>
  <c r="V11" i="2224"/>
  <c r="T11" i="2224"/>
  <c r="K11" i="2224"/>
  <c r="J11" i="2224"/>
  <c r="H11" i="2224"/>
  <c r="BS10" i="2224"/>
  <c r="BO10" i="2224"/>
  <c r="BM10" i="2224"/>
  <c r="BL10" i="2224"/>
  <c r="BP10" i="2224" s="1"/>
  <c r="BR10" i="2224" s="1"/>
  <c r="BG10" i="2224"/>
  <c r="BF10" i="2224"/>
  <c r="BD10" i="2224"/>
  <c r="AU10" i="2224"/>
  <c r="AR10" i="2224"/>
  <c r="AT10" i="2224" s="1"/>
  <c r="AI10" i="2224"/>
  <c r="AH10" i="2224"/>
  <c r="AF10" i="2224"/>
  <c r="W10" i="2224"/>
  <c r="T10" i="2224"/>
  <c r="V10" i="2224" s="1"/>
  <c r="K10" i="2224"/>
  <c r="H10" i="2224"/>
  <c r="J10" i="2224" s="1"/>
  <c r="BS9" i="2224"/>
  <c r="BO9" i="2224"/>
  <c r="BM9" i="2224"/>
  <c r="BL9" i="2224"/>
  <c r="BG9" i="2224"/>
  <c r="BF9" i="2224"/>
  <c r="BD9" i="2224"/>
  <c r="AU9" i="2224"/>
  <c r="AR9" i="2224"/>
  <c r="AT9" i="2224" s="1"/>
  <c r="AI9" i="2224"/>
  <c r="AF9" i="2224"/>
  <c r="AH9" i="2224" s="1"/>
  <c r="W9" i="2224"/>
  <c r="T9" i="2224"/>
  <c r="V9" i="2224" s="1"/>
  <c r="K9" i="2224"/>
  <c r="H9" i="2224"/>
  <c r="J9" i="2224" s="1"/>
  <c r="BS8" i="2224"/>
  <c r="BO8" i="2224"/>
  <c r="BM8" i="2224"/>
  <c r="BL8" i="2224"/>
  <c r="BG8" i="2224"/>
  <c r="BF8" i="2224"/>
  <c r="BD8" i="2224"/>
  <c r="AU8" i="2224"/>
  <c r="AR8" i="2224"/>
  <c r="AT8" i="2224" s="1"/>
  <c r="AI8" i="2224"/>
  <c r="AF8" i="2224"/>
  <c r="AH8" i="2224" s="1"/>
  <c r="W8" i="2224"/>
  <c r="T8" i="2224"/>
  <c r="V8" i="2224" s="1"/>
  <c r="K8" i="2224"/>
  <c r="H8" i="2224"/>
  <c r="J8" i="2224" s="1"/>
  <c r="BS7" i="2224"/>
  <c r="BO7" i="2224"/>
  <c r="BM7" i="2224"/>
  <c r="BL7" i="2224"/>
  <c r="BG7" i="2224"/>
  <c r="BF7" i="2224"/>
  <c r="BF13" i="2224" s="1"/>
  <c r="BD7" i="2224"/>
  <c r="AU7" i="2224"/>
  <c r="AR7" i="2224"/>
  <c r="AT7" i="2224" s="1"/>
  <c r="AI7" i="2224"/>
  <c r="AF7" i="2224"/>
  <c r="AH7" i="2224" s="1"/>
  <c r="W7" i="2224"/>
  <c r="T7" i="2224"/>
  <c r="V7" i="2224" s="1"/>
  <c r="K7" i="2224"/>
  <c r="H7" i="2224"/>
  <c r="J7" i="2224" s="1"/>
  <c r="BS6" i="2224"/>
  <c r="BO6" i="2224"/>
  <c r="BM6" i="2224"/>
  <c r="BL6" i="2224"/>
  <c r="BG6" i="2224"/>
  <c r="BF6" i="2224"/>
  <c r="BD6" i="2224"/>
  <c r="AU6" i="2224"/>
  <c r="AR6" i="2224"/>
  <c r="AT6" i="2224" s="1"/>
  <c r="AI6" i="2224"/>
  <c r="AF6" i="2224"/>
  <c r="AH6" i="2224" s="1"/>
  <c r="W6" i="2224"/>
  <c r="T6" i="2224"/>
  <c r="V6" i="2224" s="1"/>
  <c r="K6" i="2224"/>
  <c r="H6" i="2224"/>
  <c r="J6" i="2224" s="1"/>
  <c r="BS5" i="2224"/>
  <c r="BO5" i="2224"/>
  <c r="BM5" i="2224"/>
  <c r="BL5" i="2224"/>
  <c r="BG5" i="2224"/>
  <c r="BF5" i="2224"/>
  <c r="BD5" i="2224"/>
  <c r="AU5" i="2224"/>
  <c r="AR5" i="2224"/>
  <c r="AT5" i="2224" s="1"/>
  <c r="AI5" i="2224"/>
  <c r="AF5" i="2224"/>
  <c r="AH5" i="2224" s="1"/>
  <c r="W5" i="2224"/>
  <c r="T5" i="2224"/>
  <c r="V5" i="2224" s="1"/>
  <c r="K5" i="2224"/>
  <c r="H5" i="2224"/>
  <c r="J5" i="2224" s="1"/>
  <c r="BS4" i="2224"/>
  <c r="BS13" i="2224" s="1"/>
  <c r="BO4" i="2224"/>
  <c r="BM4" i="2224"/>
  <c r="BL4" i="2224"/>
  <c r="BG4" i="2224"/>
  <c r="BF4" i="2224"/>
  <c r="BD4" i="2224"/>
  <c r="AU4" i="2224"/>
  <c r="AR4" i="2224"/>
  <c r="AR13" i="2224" s="1"/>
  <c r="AI4" i="2224"/>
  <c r="AF4" i="2224"/>
  <c r="AH4" i="2224" s="1"/>
  <c r="W4" i="2224"/>
  <c r="T4" i="2224"/>
  <c r="V4" i="2224" s="1"/>
  <c r="K4" i="2224"/>
  <c r="H4" i="2224"/>
  <c r="BR2" i="2224"/>
  <c r="BQ2" i="2224"/>
  <c r="BF2" i="2224"/>
  <c r="AT2" i="2224"/>
  <c r="AH2" i="2224"/>
  <c r="V2" i="2224"/>
  <c r="J26" i="2223"/>
  <c r="BR23" i="2224" l="1"/>
  <c r="V26" i="2224"/>
  <c r="V35" i="2224" s="1"/>
  <c r="V18" i="2224" s="1"/>
  <c r="BR18" i="2224" s="1"/>
  <c r="BP4" i="2224"/>
  <c r="BR4" i="2224" s="1"/>
  <c r="BP9" i="2224"/>
  <c r="BT9" i="2224" s="1"/>
  <c r="BP5" i="2224"/>
  <c r="BR5" i="2224" s="1"/>
  <c r="BP7" i="2224"/>
  <c r="BT7" i="2224" s="1"/>
  <c r="BP6" i="2224"/>
  <c r="BR6" i="2224" s="1"/>
  <c r="H13" i="2224"/>
  <c r="AT4" i="2224"/>
  <c r="AT13" i="2224" s="1"/>
  <c r="AH13" i="2224"/>
  <c r="AG16" i="2224" s="1"/>
  <c r="AF13" i="2224"/>
  <c r="V13" i="2224"/>
  <c r="U16" i="2224" s="1"/>
  <c r="T13" i="2224"/>
  <c r="BM13" i="2224"/>
  <c r="BP8" i="2224"/>
  <c r="BT8" i="2224" s="1"/>
  <c r="BR19" i="2224"/>
  <c r="BT5" i="2224"/>
  <c r="BR7" i="2224"/>
  <c r="J4" i="2224"/>
  <c r="J13" i="2224" s="1"/>
  <c r="I16" i="2224" s="1"/>
  <c r="BL13" i="2224"/>
  <c r="BF22" i="2224"/>
  <c r="BE16" i="2224"/>
  <c r="BT10" i="2224"/>
  <c r="AT14" i="2223"/>
  <c r="AT17" i="2223"/>
  <c r="AT15" i="2223"/>
  <c r="AT16" i="2223"/>
  <c r="AH14" i="2223"/>
  <c r="AH26" i="2223"/>
  <c r="AE26" i="2223"/>
  <c r="AH17" i="2223"/>
  <c r="AH15" i="2223"/>
  <c r="AH16" i="2223"/>
  <c r="BT4" i="2224" l="1"/>
  <c r="BR9" i="2224"/>
  <c r="V22" i="2224"/>
  <c r="W14" i="2224" s="1"/>
  <c r="BT6" i="2224"/>
  <c r="BT12" i="2224" s="1"/>
  <c r="J22" i="2224"/>
  <c r="AS16" i="2224"/>
  <c r="AT22" i="2224"/>
  <c r="AU14" i="2224" s="1"/>
  <c r="BR8" i="2224"/>
  <c r="AH22" i="2224"/>
  <c r="AI14" i="2224" s="1"/>
  <c r="BP13" i="2224"/>
  <c r="BU14" i="2224" s="1"/>
  <c r="V14" i="2223"/>
  <c r="V26" i="2223"/>
  <c r="V17" i="2223"/>
  <c r="V16" i="2223"/>
  <c r="V15" i="2223"/>
  <c r="BR13" i="2224" l="1"/>
  <c r="BR22" i="2224" s="1"/>
  <c r="BS14" i="2224" s="1"/>
  <c r="J27" i="2223"/>
  <c r="BQ16" i="2224" l="1"/>
  <c r="J17" i="2223"/>
  <c r="J14" i="2223"/>
  <c r="J15" i="2223"/>
  <c r="J16" i="2223"/>
  <c r="BR16" i="2223"/>
  <c r="BR14" i="2223"/>
  <c r="BR35" i="2223"/>
  <c r="BO35" i="2223"/>
  <c r="BK35" i="2223"/>
  <c r="BF35" i="2223"/>
  <c r="BC35" i="2223"/>
  <c r="AY35" i="2223"/>
  <c r="BF19" i="2223" s="1"/>
  <c r="AT35" i="2223"/>
  <c r="AT18" i="2223" s="1"/>
  <c r="AQ35" i="2223"/>
  <c r="AM35" i="2223"/>
  <c r="AT19" i="2223" s="1"/>
  <c r="AH35" i="2223"/>
  <c r="AH18" i="2223" s="1"/>
  <c r="AE35" i="2223"/>
  <c r="AA35" i="2223"/>
  <c r="AH19" i="2223" s="1"/>
  <c r="O35" i="2223"/>
  <c r="V19" i="2223" s="1"/>
  <c r="C35" i="2223"/>
  <c r="J19" i="2223" s="1"/>
  <c r="S35" i="2223"/>
  <c r="V35" i="2223" s="1"/>
  <c r="V18" i="2223" s="1"/>
  <c r="G35" i="2223"/>
  <c r="BA22" i="2223"/>
  <c r="AO22" i="2223"/>
  <c r="AC22" i="2223"/>
  <c r="Q22" i="2223"/>
  <c r="E22" i="2223"/>
  <c r="BR21" i="2223"/>
  <c r="BA21" i="2223"/>
  <c r="AO21" i="2223"/>
  <c r="AC21" i="2223"/>
  <c r="Q21" i="2223"/>
  <c r="E21" i="2223"/>
  <c r="BR20" i="2223"/>
  <c r="BA20" i="2223"/>
  <c r="AO20" i="2223"/>
  <c r="AC20" i="2223"/>
  <c r="Q20" i="2223"/>
  <c r="E20" i="2223"/>
  <c r="BA19" i="2223"/>
  <c r="AO19" i="2223"/>
  <c r="AC19" i="2223"/>
  <c r="Q19" i="2223"/>
  <c r="E19" i="2223"/>
  <c r="BF18" i="2223"/>
  <c r="BA18" i="2223"/>
  <c r="AO18" i="2223"/>
  <c r="AC18" i="2223"/>
  <c r="Q18" i="2223"/>
  <c r="E18" i="2223"/>
  <c r="BA17" i="2223"/>
  <c r="AO17" i="2223"/>
  <c r="AC17" i="2223"/>
  <c r="Q17" i="2223"/>
  <c r="BR17" i="2223"/>
  <c r="E17" i="2223"/>
  <c r="BA16" i="2223"/>
  <c r="AO16" i="2223"/>
  <c r="AC16" i="2223"/>
  <c r="Q16" i="2223"/>
  <c r="E16" i="2223"/>
  <c r="BR15" i="2223"/>
  <c r="BN13" i="2223"/>
  <c r="BC13" i="2223"/>
  <c r="BB13" i="2223"/>
  <c r="BA13" i="2223"/>
  <c r="AZ13" i="2223"/>
  <c r="AQ13" i="2223"/>
  <c r="AP13" i="2223"/>
  <c r="AO13" i="2223"/>
  <c r="AN13" i="2223"/>
  <c r="AE13" i="2223"/>
  <c r="AD13" i="2223"/>
  <c r="AC13" i="2223"/>
  <c r="AB13" i="2223"/>
  <c r="S13" i="2223"/>
  <c r="R13" i="2223"/>
  <c r="Q13" i="2223"/>
  <c r="P13" i="2223"/>
  <c r="G13" i="2223"/>
  <c r="F13" i="2223"/>
  <c r="E13" i="2223"/>
  <c r="D13" i="2223"/>
  <c r="BS12" i="2223"/>
  <c r="BO12" i="2223"/>
  <c r="BM12" i="2223"/>
  <c r="BL12" i="2223"/>
  <c r="BP12" i="2223" s="1"/>
  <c r="BR12" i="2223" s="1"/>
  <c r="BG12" i="2223"/>
  <c r="BF12" i="2223"/>
  <c r="BD12" i="2223"/>
  <c r="AU12" i="2223"/>
  <c r="AT12" i="2223"/>
  <c r="AR12" i="2223"/>
  <c r="AI12" i="2223"/>
  <c r="AF12" i="2223"/>
  <c r="AH12" i="2223" s="1"/>
  <c r="W12" i="2223"/>
  <c r="T12" i="2223"/>
  <c r="V12" i="2223" s="1"/>
  <c r="K12" i="2223"/>
  <c r="J12" i="2223"/>
  <c r="H12" i="2223"/>
  <c r="BS11" i="2223"/>
  <c r="BP11" i="2223"/>
  <c r="BR11" i="2223" s="1"/>
  <c r="BO11" i="2223"/>
  <c r="BM11" i="2223"/>
  <c r="BL11" i="2223"/>
  <c r="BG11" i="2223"/>
  <c r="BD11" i="2223"/>
  <c r="BF11" i="2223" s="1"/>
  <c r="AU11" i="2223"/>
  <c r="AT11" i="2223"/>
  <c r="AR11" i="2223"/>
  <c r="AI11" i="2223"/>
  <c r="AF11" i="2223"/>
  <c r="AH11" i="2223" s="1"/>
  <c r="W11" i="2223"/>
  <c r="T11" i="2223"/>
  <c r="V11" i="2223" s="1"/>
  <c r="K11" i="2223"/>
  <c r="H11" i="2223"/>
  <c r="J11" i="2223" s="1"/>
  <c r="BO10" i="2223"/>
  <c r="BS10" i="2223" s="1"/>
  <c r="BM10" i="2223"/>
  <c r="BL10" i="2223"/>
  <c r="BG10" i="2223"/>
  <c r="BD10" i="2223"/>
  <c r="BF10" i="2223" s="1"/>
  <c r="AU10" i="2223"/>
  <c r="AR10" i="2223"/>
  <c r="AT10" i="2223" s="1"/>
  <c r="AI10" i="2223"/>
  <c r="AF10" i="2223"/>
  <c r="AH10" i="2223" s="1"/>
  <c r="W10" i="2223"/>
  <c r="V10" i="2223"/>
  <c r="T10" i="2223"/>
  <c r="K10" i="2223"/>
  <c r="H10" i="2223"/>
  <c r="J10" i="2223" s="1"/>
  <c r="BS9" i="2223"/>
  <c r="BO9" i="2223"/>
  <c r="BM9" i="2223"/>
  <c r="BL9" i="2223"/>
  <c r="BG9" i="2223"/>
  <c r="BD9" i="2223"/>
  <c r="BF9" i="2223" s="1"/>
  <c r="AU9" i="2223"/>
  <c r="AR9" i="2223"/>
  <c r="AT9" i="2223" s="1"/>
  <c r="AI9" i="2223"/>
  <c r="AF9" i="2223"/>
  <c r="AH9" i="2223" s="1"/>
  <c r="W9" i="2223"/>
  <c r="T9" i="2223"/>
  <c r="V9" i="2223" s="1"/>
  <c r="K9" i="2223"/>
  <c r="H9" i="2223"/>
  <c r="J9" i="2223" s="1"/>
  <c r="BO8" i="2223"/>
  <c r="BS8" i="2223" s="1"/>
  <c r="BM8" i="2223"/>
  <c r="BL8" i="2223"/>
  <c r="BG8" i="2223"/>
  <c r="BD8" i="2223"/>
  <c r="BF8" i="2223" s="1"/>
  <c r="AU8" i="2223"/>
  <c r="AR8" i="2223"/>
  <c r="AT8" i="2223" s="1"/>
  <c r="AI8" i="2223"/>
  <c r="AF8" i="2223"/>
  <c r="AH8" i="2223" s="1"/>
  <c r="W8" i="2223"/>
  <c r="T8" i="2223"/>
  <c r="V8" i="2223" s="1"/>
  <c r="K8" i="2223"/>
  <c r="H8" i="2223"/>
  <c r="J8" i="2223" s="1"/>
  <c r="BO7" i="2223"/>
  <c r="BS7" i="2223" s="1"/>
  <c r="BM7" i="2223"/>
  <c r="BL7" i="2223"/>
  <c r="BG7" i="2223"/>
  <c r="BD7" i="2223"/>
  <c r="BF7" i="2223" s="1"/>
  <c r="AU7" i="2223"/>
  <c r="AR7" i="2223"/>
  <c r="AT7" i="2223" s="1"/>
  <c r="AI7" i="2223"/>
  <c r="AF7" i="2223"/>
  <c r="AH7" i="2223" s="1"/>
  <c r="W7" i="2223"/>
  <c r="T7" i="2223"/>
  <c r="V7" i="2223" s="1"/>
  <c r="K7" i="2223"/>
  <c r="H7" i="2223"/>
  <c r="J7" i="2223" s="1"/>
  <c r="BS6" i="2223"/>
  <c r="BO6" i="2223"/>
  <c r="BM6" i="2223"/>
  <c r="BL6" i="2223"/>
  <c r="BG6" i="2223"/>
  <c r="BF6" i="2223"/>
  <c r="BD6" i="2223"/>
  <c r="AU6" i="2223"/>
  <c r="AR6" i="2223"/>
  <c r="AT6" i="2223" s="1"/>
  <c r="AI6" i="2223"/>
  <c r="AF6" i="2223"/>
  <c r="AH6" i="2223" s="1"/>
  <c r="W6" i="2223"/>
  <c r="T6" i="2223"/>
  <c r="V6" i="2223" s="1"/>
  <c r="K6" i="2223"/>
  <c r="H6" i="2223"/>
  <c r="J6" i="2223" s="1"/>
  <c r="BS5" i="2223"/>
  <c r="BO5" i="2223"/>
  <c r="BM5" i="2223"/>
  <c r="BL5" i="2223"/>
  <c r="BG5" i="2223"/>
  <c r="BD5" i="2223"/>
  <c r="BF5" i="2223" s="1"/>
  <c r="AU5" i="2223"/>
  <c r="AU13" i="2223" s="1"/>
  <c r="AR5" i="2223"/>
  <c r="AT5" i="2223" s="1"/>
  <c r="AI5" i="2223"/>
  <c r="AF5" i="2223"/>
  <c r="AH5" i="2223" s="1"/>
  <c r="W5" i="2223"/>
  <c r="T5" i="2223"/>
  <c r="V5" i="2223" s="1"/>
  <c r="K5" i="2223"/>
  <c r="K13" i="2223" s="1"/>
  <c r="H5" i="2223"/>
  <c r="BO4" i="2223"/>
  <c r="BO13" i="2223" s="1"/>
  <c r="BM4" i="2223"/>
  <c r="BL4" i="2223"/>
  <c r="BG4" i="2223"/>
  <c r="BG13" i="2223" s="1"/>
  <c r="BD4" i="2223"/>
  <c r="BD13" i="2223" s="1"/>
  <c r="AU4" i="2223"/>
  <c r="AR4" i="2223"/>
  <c r="AT4" i="2223" s="1"/>
  <c r="AI4" i="2223"/>
  <c r="AI13" i="2223" s="1"/>
  <c r="AF4" i="2223"/>
  <c r="W4" i="2223"/>
  <c r="W13" i="2223" s="1"/>
  <c r="T4" i="2223"/>
  <c r="V4" i="2223" s="1"/>
  <c r="K4" i="2223"/>
  <c r="H4" i="2223"/>
  <c r="J4" i="2223" s="1"/>
  <c r="BR2" i="2223"/>
  <c r="BQ2" i="2223"/>
  <c r="BF2" i="2223"/>
  <c r="AT2" i="2223"/>
  <c r="AH2" i="2223"/>
  <c r="V2" i="2223"/>
  <c r="J14" i="2222"/>
  <c r="J26" i="2222"/>
  <c r="V14" i="2222"/>
  <c r="V17" i="2222"/>
  <c r="V15" i="2222"/>
  <c r="V16" i="2222"/>
  <c r="BP5" i="2223" l="1"/>
  <c r="BR5" i="2223" s="1"/>
  <c r="AT13" i="2223"/>
  <c r="BP9" i="2223"/>
  <c r="BR9" i="2223" s="1"/>
  <c r="AF13" i="2223"/>
  <c r="V13" i="2223"/>
  <c r="V22" i="2223" s="1"/>
  <c r="W14" i="2223" s="1"/>
  <c r="BP7" i="2223"/>
  <c r="BT7" i="2223" s="1"/>
  <c r="T13" i="2223"/>
  <c r="BP6" i="2223"/>
  <c r="BT6" i="2223" s="1"/>
  <c r="BP10" i="2223"/>
  <c r="BR10" i="2223"/>
  <c r="BT10" i="2223"/>
  <c r="BL13" i="2223"/>
  <c r="BM13" i="2223"/>
  <c r="BP4" i="2223"/>
  <c r="H13" i="2223"/>
  <c r="AT22" i="2223"/>
  <c r="AU14" i="2223" s="1"/>
  <c r="AS16" i="2223"/>
  <c r="J35" i="2223"/>
  <c r="J18" i="2223" s="1"/>
  <c r="BR18" i="2223" s="1"/>
  <c r="BR23" i="2223"/>
  <c r="BR19" i="2223"/>
  <c r="J5" i="2223"/>
  <c r="J13" i="2223" s="1"/>
  <c r="AH4" i="2223"/>
  <c r="AH13" i="2223" s="1"/>
  <c r="BT5" i="2223"/>
  <c r="BT11" i="2223"/>
  <c r="AR13" i="2223"/>
  <c r="BS4" i="2223"/>
  <c r="BS13" i="2223" s="1"/>
  <c r="BF4" i="2223"/>
  <c r="BF13" i="2223" s="1"/>
  <c r="BP8" i="2223"/>
  <c r="V26" i="2222"/>
  <c r="S26" i="2222"/>
  <c r="BT9" i="2223" l="1"/>
  <c r="BR7" i="2223"/>
  <c r="BP13" i="2223"/>
  <c r="BU14" i="2223" s="1"/>
  <c r="U16" i="2223"/>
  <c r="BR6" i="2223"/>
  <c r="BR4" i="2223"/>
  <c r="BT4" i="2223"/>
  <c r="I16" i="2223"/>
  <c r="J22" i="2223"/>
  <c r="BF22" i="2223"/>
  <c r="BE16" i="2223"/>
  <c r="BT8" i="2223"/>
  <c r="BR8" i="2223"/>
  <c r="AH22" i="2223"/>
  <c r="AI14" i="2223" s="1"/>
  <c r="AG16" i="2223"/>
  <c r="G27" i="2222"/>
  <c r="G26" i="2222"/>
  <c r="BR13" i="2223" l="1"/>
  <c r="BQ16" i="2223" s="1"/>
  <c r="BT12" i="2223"/>
  <c r="J17" i="2222"/>
  <c r="J15" i="2222"/>
  <c r="J16" i="2222"/>
  <c r="BR22" i="2223" l="1"/>
  <c r="BS14" i="2223" s="1"/>
  <c r="AA35" i="2222"/>
  <c r="AH19" i="2222" s="1"/>
  <c r="AE35" i="2222"/>
  <c r="BR35" i="2222"/>
  <c r="BO35" i="2222"/>
  <c r="BK35" i="2222"/>
  <c r="BF35" i="2222"/>
  <c r="BC35" i="2222"/>
  <c r="AY35" i="2222"/>
  <c r="AT35" i="2222"/>
  <c r="AQ35" i="2222"/>
  <c r="AM35" i="2222"/>
  <c r="AH35" i="2222"/>
  <c r="S35" i="2222"/>
  <c r="V35" i="2222" s="1"/>
  <c r="V18" i="2222" s="1"/>
  <c r="O35" i="2222"/>
  <c r="G35" i="2222"/>
  <c r="C35" i="2222"/>
  <c r="J19" i="2222" s="1"/>
  <c r="J35" i="2222"/>
  <c r="J18" i="2222" s="1"/>
  <c r="BA22" i="2222"/>
  <c r="AO22" i="2222"/>
  <c r="AC22" i="2222"/>
  <c r="Q22" i="2222"/>
  <c r="E22" i="2222"/>
  <c r="BR21" i="2222"/>
  <c r="BA21" i="2222"/>
  <c r="AO21" i="2222"/>
  <c r="AC21" i="2222"/>
  <c r="Q21" i="2222"/>
  <c r="E21" i="2222"/>
  <c r="BR20" i="2222"/>
  <c r="BA20" i="2222"/>
  <c r="AO20" i="2222"/>
  <c r="AC20" i="2222"/>
  <c r="Q20" i="2222"/>
  <c r="E20" i="2222"/>
  <c r="BF19" i="2222"/>
  <c r="BA19" i="2222"/>
  <c r="AT19" i="2222"/>
  <c r="AO19" i="2222"/>
  <c r="AC19" i="2222"/>
  <c r="V19" i="2222"/>
  <c r="Q19" i="2222"/>
  <c r="E19" i="2222"/>
  <c r="BF18" i="2222"/>
  <c r="BA18" i="2222"/>
  <c r="AT18" i="2222"/>
  <c r="AO18" i="2222"/>
  <c r="AH18" i="2222"/>
  <c r="AC18" i="2222"/>
  <c r="Q18" i="2222"/>
  <c r="E18" i="2222"/>
  <c r="BR17" i="2222"/>
  <c r="BA17" i="2222"/>
  <c r="AO17" i="2222"/>
  <c r="AC17" i="2222"/>
  <c r="Q17" i="2222"/>
  <c r="E17" i="2222"/>
  <c r="BR16" i="2222"/>
  <c r="BA16" i="2222"/>
  <c r="AO16" i="2222"/>
  <c r="AC16" i="2222"/>
  <c r="Q16" i="2222"/>
  <c r="E16" i="2222"/>
  <c r="BR15" i="2222"/>
  <c r="BR14" i="2222"/>
  <c r="BS13" i="2222"/>
  <c r="BO13" i="2222"/>
  <c r="BN13" i="2222"/>
  <c r="BG13" i="2222"/>
  <c r="BD13" i="2222"/>
  <c r="BC13" i="2222"/>
  <c r="BB13" i="2222"/>
  <c r="BA13" i="2222"/>
  <c r="AZ13" i="2222"/>
  <c r="AU13" i="2222"/>
  <c r="AR13" i="2222"/>
  <c r="AQ13" i="2222"/>
  <c r="AP13" i="2222"/>
  <c r="AO13" i="2222"/>
  <c r="AN13" i="2222"/>
  <c r="AI13" i="2222"/>
  <c r="AE13" i="2222"/>
  <c r="AD13" i="2222"/>
  <c r="AC13" i="2222"/>
  <c r="AB13" i="2222"/>
  <c r="W13" i="2222"/>
  <c r="S13" i="2222"/>
  <c r="R13" i="2222"/>
  <c r="Q13" i="2222"/>
  <c r="P13" i="2222"/>
  <c r="K13" i="2222"/>
  <c r="G13" i="2222"/>
  <c r="F13" i="2222"/>
  <c r="E13" i="2222"/>
  <c r="D13" i="2222"/>
  <c r="BS12" i="2222"/>
  <c r="BP12" i="2222"/>
  <c r="BR12" i="2222" s="1"/>
  <c r="BO12" i="2222"/>
  <c r="BM12" i="2222"/>
  <c r="BL12" i="2222"/>
  <c r="BG12" i="2222"/>
  <c r="BF12" i="2222"/>
  <c r="BD12" i="2222"/>
  <c r="AU12" i="2222"/>
  <c r="AT12" i="2222"/>
  <c r="AR12" i="2222"/>
  <c r="AI12" i="2222"/>
  <c r="AH12" i="2222"/>
  <c r="AF12" i="2222"/>
  <c r="W12" i="2222"/>
  <c r="V12" i="2222"/>
  <c r="T12" i="2222"/>
  <c r="K12" i="2222"/>
  <c r="J12" i="2222"/>
  <c r="H12" i="2222"/>
  <c r="BS11" i="2222"/>
  <c r="BO11" i="2222"/>
  <c r="BM11" i="2222"/>
  <c r="BL11" i="2222"/>
  <c r="BP11" i="2222" s="1"/>
  <c r="BG11" i="2222"/>
  <c r="BF11" i="2222"/>
  <c r="BD11" i="2222"/>
  <c r="AU11" i="2222"/>
  <c r="AT11" i="2222"/>
  <c r="AR11" i="2222"/>
  <c r="AI11" i="2222"/>
  <c r="AH11" i="2222"/>
  <c r="AF11" i="2222"/>
  <c r="W11" i="2222"/>
  <c r="V11" i="2222"/>
  <c r="T11" i="2222"/>
  <c r="K11" i="2222"/>
  <c r="H11" i="2222"/>
  <c r="J11" i="2222" s="1"/>
  <c r="BS10" i="2222"/>
  <c r="BO10" i="2222"/>
  <c r="BM10" i="2222"/>
  <c r="BL10" i="2222"/>
  <c r="BP10" i="2222" s="1"/>
  <c r="BT10" i="2222" s="1"/>
  <c r="BG10" i="2222"/>
  <c r="BF10" i="2222"/>
  <c r="BD10" i="2222"/>
  <c r="AU10" i="2222"/>
  <c r="AT10" i="2222"/>
  <c r="AR10" i="2222"/>
  <c r="AI10" i="2222"/>
  <c r="AH10" i="2222"/>
  <c r="AF10" i="2222"/>
  <c r="W10" i="2222"/>
  <c r="T10" i="2222"/>
  <c r="V10" i="2222" s="1"/>
  <c r="K10" i="2222"/>
  <c r="H10" i="2222"/>
  <c r="J10" i="2222" s="1"/>
  <c r="BS9" i="2222"/>
  <c r="BO9" i="2222"/>
  <c r="BM9" i="2222"/>
  <c r="BL9" i="2222"/>
  <c r="BG9" i="2222"/>
  <c r="BF9" i="2222"/>
  <c r="BD9" i="2222"/>
  <c r="AU9" i="2222"/>
  <c r="AT9" i="2222"/>
  <c r="AR9" i="2222"/>
  <c r="AI9" i="2222"/>
  <c r="AF9" i="2222"/>
  <c r="AH9" i="2222" s="1"/>
  <c r="W9" i="2222"/>
  <c r="T9" i="2222"/>
  <c r="V9" i="2222" s="1"/>
  <c r="K9" i="2222"/>
  <c r="H9" i="2222"/>
  <c r="J9" i="2222" s="1"/>
  <c r="BS8" i="2222"/>
  <c r="BO8" i="2222"/>
  <c r="BM8" i="2222"/>
  <c r="BL8" i="2222"/>
  <c r="BG8" i="2222"/>
  <c r="BF8" i="2222"/>
  <c r="BD8" i="2222"/>
  <c r="AU8" i="2222"/>
  <c r="AT8" i="2222"/>
  <c r="AR8" i="2222"/>
  <c r="AI8" i="2222"/>
  <c r="AF8" i="2222"/>
  <c r="AH8" i="2222" s="1"/>
  <c r="W8" i="2222"/>
  <c r="T8" i="2222"/>
  <c r="V8" i="2222" s="1"/>
  <c r="K8" i="2222"/>
  <c r="H8" i="2222"/>
  <c r="J8" i="2222" s="1"/>
  <c r="BS7" i="2222"/>
  <c r="BO7" i="2222"/>
  <c r="BM7" i="2222"/>
  <c r="BL7" i="2222"/>
  <c r="BP7" i="2222" s="1"/>
  <c r="BT7" i="2222" s="1"/>
  <c r="BG7" i="2222"/>
  <c r="BF7" i="2222"/>
  <c r="BD7" i="2222"/>
  <c r="AU7" i="2222"/>
  <c r="AT7" i="2222"/>
  <c r="AR7" i="2222"/>
  <c r="AI7" i="2222"/>
  <c r="AF7" i="2222"/>
  <c r="AH7" i="2222" s="1"/>
  <c r="W7" i="2222"/>
  <c r="T7" i="2222"/>
  <c r="V7" i="2222" s="1"/>
  <c r="K7" i="2222"/>
  <c r="H7" i="2222"/>
  <c r="J7" i="2222" s="1"/>
  <c r="BS6" i="2222"/>
  <c r="BO6" i="2222"/>
  <c r="BM6" i="2222"/>
  <c r="BL6" i="2222"/>
  <c r="BG6" i="2222"/>
  <c r="BF6" i="2222"/>
  <c r="BD6" i="2222"/>
  <c r="AU6" i="2222"/>
  <c r="AT6" i="2222"/>
  <c r="AR6" i="2222"/>
  <c r="AI6" i="2222"/>
  <c r="AF6" i="2222"/>
  <c r="AH6" i="2222" s="1"/>
  <c r="W6" i="2222"/>
  <c r="T6" i="2222"/>
  <c r="V6" i="2222" s="1"/>
  <c r="K6" i="2222"/>
  <c r="H6" i="2222"/>
  <c r="J6" i="2222" s="1"/>
  <c r="BS5" i="2222"/>
  <c r="BO5" i="2222"/>
  <c r="BM5" i="2222"/>
  <c r="BL5" i="2222"/>
  <c r="BG5" i="2222"/>
  <c r="BF5" i="2222"/>
  <c r="BD5" i="2222"/>
  <c r="AU5" i="2222"/>
  <c r="AT5" i="2222"/>
  <c r="AT13" i="2222" s="1"/>
  <c r="AR5" i="2222"/>
  <c r="AI5" i="2222"/>
  <c r="AF5" i="2222"/>
  <c r="AH5" i="2222" s="1"/>
  <c r="W5" i="2222"/>
  <c r="T5" i="2222"/>
  <c r="V5" i="2222" s="1"/>
  <c r="K5" i="2222"/>
  <c r="H5" i="2222"/>
  <c r="J5" i="2222" s="1"/>
  <c r="BS4" i="2222"/>
  <c r="BO4" i="2222"/>
  <c r="BM4" i="2222"/>
  <c r="BL4" i="2222"/>
  <c r="BG4" i="2222"/>
  <c r="BF4" i="2222"/>
  <c r="BF13" i="2222" s="1"/>
  <c r="BD4" i="2222"/>
  <c r="AU4" i="2222"/>
  <c r="AT4" i="2222"/>
  <c r="AR4" i="2222"/>
  <c r="AI4" i="2222"/>
  <c r="AF4" i="2222"/>
  <c r="AF13" i="2222" s="1"/>
  <c r="W4" i="2222"/>
  <c r="T4" i="2222"/>
  <c r="K4" i="2222"/>
  <c r="H4" i="2222"/>
  <c r="BR2" i="2222"/>
  <c r="BQ2" i="2222"/>
  <c r="BF2" i="2222"/>
  <c r="AT2" i="2222"/>
  <c r="AH2" i="2222"/>
  <c r="V2" i="2222"/>
  <c r="AE26" i="2221"/>
  <c r="AH17" i="2221"/>
  <c r="AH14" i="2221"/>
  <c r="AH15" i="2221"/>
  <c r="AH16" i="2221"/>
  <c r="T13" i="2222" l="1"/>
  <c r="BP8" i="2222"/>
  <c r="BR8" i="2222" s="1"/>
  <c r="H13" i="2222"/>
  <c r="AH13" i="2222"/>
  <c r="AH22" i="2222" s="1"/>
  <c r="AI14" i="2222" s="1"/>
  <c r="BP6" i="2222"/>
  <c r="BT6" i="2222" s="1"/>
  <c r="BP4" i="2222"/>
  <c r="BT4" i="2222" s="1"/>
  <c r="AH4" i="2222"/>
  <c r="V4" i="2222"/>
  <c r="V13" i="2222" s="1"/>
  <c r="BM13" i="2222"/>
  <c r="BP9" i="2222"/>
  <c r="BR9" i="2222" s="1"/>
  <c r="BR18" i="2222"/>
  <c r="BR23" i="2222"/>
  <c r="BR19" i="2222"/>
  <c r="BT8" i="2222"/>
  <c r="BT11" i="2222"/>
  <c r="BR11" i="2222"/>
  <c r="J4" i="2222"/>
  <c r="J13" i="2222" s="1"/>
  <c r="I16" i="2222" s="1"/>
  <c r="BP5" i="2222"/>
  <c r="BL13" i="2222"/>
  <c r="BF22" i="2222"/>
  <c r="BE16" i="2222"/>
  <c r="AS16" i="2222"/>
  <c r="AT22" i="2222"/>
  <c r="AU14" i="2222" s="1"/>
  <c r="BR7" i="2222"/>
  <c r="BR10" i="2222"/>
  <c r="V14" i="2221"/>
  <c r="V26" i="2221"/>
  <c r="BR4" i="2222" l="1"/>
  <c r="BR6" i="2222"/>
  <c r="AG16" i="2222"/>
  <c r="V22" i="2222"/>
  <c r="W14" i="2222" s="1"/>
  <c r="U16" i="2222"/>
  <c r="BT9" i="2222"/>
  <c r="BT5" i="2222"/>
  <c r="BT12" i="2222" s="1"/>
  <c r="BR5" i="2222"/>
  <c r="J22" i="2222"/>
  <c r="BP13" i="2222"/>
  <c r="BU14" i="2222" s="1"/>
  <c r="V17" i="2221"/>
  <c r="V15" i="2221"/>
  <c r="V16" i="2221"/>
  <c r="BR13" i="2222" l="1"/>
  <c r="BR22" i="2222" s="1"/>
  <c r="BS14" i="2222" s="1"/>
  <c r="J26" i="2221"/>
  <c r="BQ16" i="2222" l="1"/>
  <c r="G26" i="2221"/>
  <c r="G35" i="2221" s="1"/>
  <c r="J17" i="2221"/>
  <c r="J14" i="2221"/>
  <c r="J15" i="2221"/>
  <c r="J16" i="2221"/>
  <c r="BR17" i="2221"/>
  <c r="BR15" i="2221"/>
  <c r="AA38" i="2221"/>
  <c r="AA37" i="2221"/>
  <c r="BR35" i="2221"/>
  <c r="BO35" i="2221"/>
  <c r="BK35" i="2221"/>
  <c r="BF35" i="2221"/>
  <c r="BC35" i="2221"/>
  <c r="AY35" i="2221"/>
  <c r="AT35" i="2221"/>
  <c r="AQ35" i="2221"/>
  <c r="AM35" i="2221"/>
  <c r="AT19" i="2221" s="1"/>
  <c r="AE35" i="2221"/>
  <c r="AA35" i="2221"/>
  <c r="AH19" i="2221" s="1"/>
  <c r="V35" i="2221"/>
  <c r="S35" i="2221"/>
  <c r="O35" i="2221"/>
  <c r="C35" i="2221"/>
  <c r="J19" i="2221" s="1"/>
  <c r="AH35" i="2221"/>
  <c r="AH18" i="2221" s="1"/>
  <c r="BA22" i="2221"/>
  <c r="AO22" i="2221"/>
  <c r="AC22" i="2221"/>
  <c r="Q22" i="2221"/>
  <c r="E22" i="2221"/>
  <c r="BR21" i="2221"/>
  <c r="BA21" i="2221"/>
  <c r="AO21" i="2221"/>
  <c r="AC21" i="2221"/>
  <c r="Q21" i="2221"/>
  <c r="E21" i="2221"/>
  <c r="BR20" i="2221"/>
  <c r="BA20" i="2221"/>
  <c r="AO20" i="2221"/>
  <c r="AC20" i="2221"/>
  <c r="Q20" i="2221"/>
  <c r="E20" i="2221"/>
  <c r="BF19" i="2221"/>
  <c r="BA19" i="2221"/>
  <c r="AO19" i="2221"/>
  <c r="AC19" i="2221"/>
  <c r="V19" i="2221"/>
  <c r="Q19" i="2221"/>
  <c r="E19" i="2221"/>
  <c r="BF18" i="2221"/>
  <c r="BA18" i="2221"/>
  <c r="AT18" i="2221"/>
  <c r="AO18" i="2221"/>
  <c r="AC18" i="2221"/>
  <c r="V18" i="2221"/>
  <c r="Q18" i="2221"/>
  <c r="E18" i="2221"/>
  <c r="BA17" i="2221"/>
  <c r="AO17" i="2221"/>
  <c r="AC17" i="2221"/>
  <c r="Q17" i="2221"/>
  <c r="E17" i="2221"/>
  <c r="BR16" i="2221"/>
  <c r="BA16" i="2221"/>
  <c r="AO16" i="2221"/>
  <c r="AC16" i="2221"/>
  <c r="Q16" i="2221"/>
  <c r="E16" i="2221"/>
  <c r="BR14" i="2221"/>
  <c r="BO13" i="2221"/>
  <c r="BN13" i="2221"/>
  <c r="BG13" i="2221"/>
  <c r="BD13" i="2221"/>
  <c r="BC13" i="2221"/>
  <c r="BB13" i="2221"/>
  <c r="BA13" i="2221"/>
  <c r="AZ13" i="2221"/>
  <c r="AU13" i="2221"/>
  <c r="AR13" i="2221"/>
  <c r="AQ13" i="2221"/>
  <c r="AP13" i="2221"/>
  <c r="AO13" i="2221"/>
  <c r="AN13" i="2221"/>
  <c r="AI13" i="2221"/>
  <c r="AE13" i="2221"/>
  <c r="AD13" i="2221"/>
  <c r="AC13" i="2221"/>
  <c r="AB13" i="2221"/>
  <c r="W13" i="2221"/>
  <c r="S13" i="2221"/>
  <c r="R13" i="2221"/>
  <c r="Q13" i="2221"/>
  <c r="P13" i="2221"/>
  <c r="K13" i="2221"/>
  <c r="G13" i="2221"/>
  <c r="F13" i="2221"/>
  <c r="E13" i="2221"/>
  <c r="D13" i="2221"/>
  <c r="BS12" i="2221"/>
  <c r="BR12" i="2221"/>
  <c r="BP12" i="2221"/>
  <c r="BO12" i="2221"/>
  <c r="BM12" i="2221"/>
  <c r="BL12" i="2221"/>
  <c r="BG12" i="2221"/>
  <c r="BF12" i="2221"/>
  <c r="BD12" i="2221"/>
  <c r="AU12" i="2221"/>
  <c r="AT12" i="2221"/>
  <c r="AR12" i="2221"/>
  <c r="AI12" i="2221"/>
  <c r="AH12" i="2221"/>
  <c r="AF12" i="2221"/>
  <c r="W12" i="2221"/>
  <c r="V12" i="2221"/>
  <c r="T12" i="2221"/>
  <c r="K12" i="2221"/>
  <c r="J12" i="2221"/>
  <c r="H12" i="2221"/>
  <c r="BT11" i="2221"/>
  <c r="BS11" i="2221"/>
  <c r="BP11" i="2221"/>
  <c r="BR11" i="2221" s="1"/>
  <c r="BO11" i="2221"/>
  <c r="BM11" i="2221"/>
  <c r="BL11" i="2221"/>
  <c r="BG11" i="2221"/>
  <c r="BF11" i="2221"/>
  <c r="BD11" i="2221"/>
  <c r="AU11" i="2221"/>
  <c r="AT11" i="2221"/>
  <c r="AR11" i="2221"/>
  <c r="AI11" i="2221"/>
  <c r="AH11" i="2221"/>
  <c r="AF11" i="2221"/>
  <c r="W11" i="2221"/>
  <c r="V11" i="2221"/>
  <c r="T11" i="2221"/>
  <c r="K11" i="2221"/>
  <c r="J11" i="2221"/>
  <c r="H11" i="2221"/>
  <c r="BS10" i="2221"/>
  <c r="BO10" i="2221"/>
  <c r="BM10" i="2221"/>
  <c r="BL10" i="2221"/>
  <c r="BP10" i="2221" s="1"/>
  <c r="BG10" i="2221"/>
  <c r="BF10" i="2221"/>
  <c r="BD10" i="2221"/>
  <c r="AU10" i="2221"/>
  <c r="AR10" i="2221"/>
  <c r="AT10" i="2221" s="1"/>
  <c r="AI10" i="2221"/>
  <c r="AH10" i="2221"/>
  <c r="AF10" i="2221"/>
  <c r="W10" i="2221"/>
  <c r="V10" i="2221"/>
  <c r="T10" i="2221"/>
  <c r="K10" i="2221"/>
  <c r="J10" i="2221"/>
  <c r="H10" i="2221"/>
  <c r="BS9" i="2221"/>
  <c r="BO9" i="2221"/>
  <c r="BM9" i="2221"/>
  <c r="BL9" i="2221"/>
  <c r="BP9" i="2221" s="1"/>
  <c r="BG9" i="2221"/>
  <c r="BF9" i="2221"/>
  <c r="BD9" i="2221"/>
  <c r="AU9" i="2221"/>
  <c r="AR9" i="2221"/>
  <c r="AT9" i="2221" s="1"/>
  <c r="AI9" i="2221"/>
  <c r="AF9" i="2221"/>
  <c r="AH9" i="2221" s="1"/>
  <c r="W9" i="2221"/>
  <c r="T9" i="2221"/>
  <c r="V9" i="2221" s="1"/>
  <c r="K9" i="2221"/>
  <c r="H9" i="2221"/>
  <c r="J9" i="2221" s="1"/>
  <c r="BS8" i="2221"/>
  <c r="BO8" i="2221"/>
  <c r="BM8" i="2221"/>
  <c r="BL8" i="2221"/>
  <c r="BG8" i="2221"/>
  <c r="BF8" i="2221"/>
  <c r="BD8" i="2221"/>
  <c r="AU8" i="2221"/>
  <c r="AT8" i="2221"/>
  <c r="AR8" i="2221"/>
  <c r="AI8" i="2221"/>
  <c r="AF8" i="2221"/>
  <c r="AH8" i="2221" s="1"/>
  <c r="W8" i="2221"/>
  <c r="T8" i="2221"/>
  <c r="V8" i="2221" s="1"/>
  <c r="K8" i="2221"/>
  <c r="H8" i="2221"/>
  <c r="J8" i="2221" s="1"/>
  <c r="BS7" i="2221"/>
  <c r="BO7" i="2221"/>
  <c r="BM7" i="2221"/>
  <c r="BL7" i="2221"/>
  <c r="BG7" i="2221"/>
  <c r="BF7" i="2221"/>
  <c r="BD7" i="2221"/>
  <c r="AU7" i="2221"/>
  <c r="AT7" i="2221"/>
  <c r="AR7" i="2221"/>
  <c r="AI7" i="2221"/>
  <c r="AF7" i="2221"/>
  <c r="AH7" i="2221" s="1"/>
  <c r="W7" i="2221"/>
  <c r="T7" i="2221"/>
  <c r="V7" i="2221" s="1"/>
  <c r="K7" i="2221"/>
  <c r="H7" i="2221"/>
  <c r="J7" i="2221" s="1"/>
  <c r="BS6" i="2221"/>
  <c r="BS13" i="2221" s="1"/>
  <c r="BO6" i="2221"/>
  <c r="BM6" i="2221"/>
  <c r="BL6" i="2221"/>
  <c r="BG6" i="2221"/>
  <c r="BF6" i="2221"/>
  <c r="BF13" i="2221" s="1"/>
  <c r="BD6" i="2221"/>
  <c r="AU6" i="2221"/>
  <c r="AR6" i="2221"/>
  <c r="AT6" i="2221" s="1"/>
  <c r="AI6" i="2221"/>
  <c r="AF6" i="2221"/>
  <c r="AH6" i="2221" s="1"/>
  <c r="W6" i="2221"/>
  <c r="T6" i="2221"/>
  <c r="V6" i="2221" s="1"/>
  <c r="K6" i="2221"/>
  <c r="H6" i="2221"/>
  <c r="J6" i="2221" s="1"/>
  <c r="BS5" i="2221"/>
  <c r="BO5" i="2221"/>
  <c r="BM5" i="2221"/>
  <c r="BL5" i="2221"/>
  <c r="BG5" i="2221"/>
  <c r="BF5" i="2221"/>
  <c r="BD5" i="2221"/>
  <c r="AU5" i="2221"/>
  <c r="AR5" i="2221"/>
  <c r="AT5" i="2221" s="1"/>
  <c r="AI5" i="2221"/>
  <c r="AF5" i="2221"/>
  <c r="AH5" i="2221" s="1"/>
  <c r="W5" i="2221"/>
  <c r="T5" i="2221"/>
  <c r="V5" i="2221" s="1"/>
  <c r="K5" i="2221"/>
  <c r="H5" i="2221"/>
  <c r="J5" i="2221" s="1"/>
  <c r="BS4" i="2221"/>
  <c r="BO4" i="2221"/>
  <c r="BM4" i="2221"/>
  <c r="BL4" i="2221"/>
  <c r="BG4" i="2221"/>
  <c r="BF4" i="2221"/>
  <c r="BD4" i="2221"/>
  <c r="AU4" i="2221"/>
  <c r="AR4" i="2221"/>
  <c r="AT4" i="2221" s="1"/>
  <c r="AI4" i="2221"/>
  <c r="AF4" i="2221"/>
  <c r="W4" i="2221"/>
  <c r="T4" i="2221"/>
  <c r="V4" i="2221" s="1"/>
  <c r="K4" i="2221"/>
  <c r="H4" i="2221"/>
  <c r="J4" i="2221" s="1"/>
  <c r="BR2" i="2221"/>
  <c r="BQ2" i="2221"/>
  <c r="BF2" i="2221"/>
  <c r="AT2" i="2221"/>
  <c r="AH2" i="2221"/>
  <c r="V2" i="2221"/>
  <c r="AH26" i="2220"/>
  <c r="AH14" i="2220"/>
  <c r="AH17" i="2220"/>
  <c r="AH15" i="2220"/>
  <c r="AH16" i="2220"/>
  <c r="BR23" i="2221" l="1"/>
  <c r="AF13" i="2221"/>
  <c r="AH4" i="2221"/>
  <c r="AH13" i="2221" s="1"/>
  <c r="V13" i="2221"/>
  <c r="U16" i="2221" s="1"/>
  <c r="BP8" i="2221"/>
  <c r="BT8" i="2221" s="1"/>
  <c r="BM13" i="2221"/>
  <c r="BP5" i="2221"/>
  <c r="BR5" i="2221" s="1"/>
  <c r="BR10" i="2221"/>
  <c r="BT10" i="2221"/>
  <c r="AT13" i="2221"/>
  <c r="AT22" i="2221" s="1"/>
  <c r="AU14" i="2221" s="1"/>
  <c r="BR19" i="2221"/>
  <c r="BP6" i="2221"/>
  <c r="BT6" i="2221" s="1"/>
  <c r="BL13" i="2221"/>
  <c r="T13" i="2221"/>
  <c r="BP7" i="2221"/>
  <c r="BR7" i="2221" s="1"/>
  <c r="BP4" i="2221"/>
  <c r="H13" i="2221"/>
  <c r="J13" i="2221"/>
  <c r="I16" i="2221" s="1"/>
  <c r="AS16" i="2221"/>
  <c r="BF22" i="2221"/>
  <c r="BE16" i="2221"/>
  <c r="J35" i="2221"/>
  <c r="J18" i="2221" s="1"/>
  <c r="BR18" i="2221" s="1"/>
  <c r="BT9" i="2221"/>
  <c r="BR9" i="2221"/>
  <c r="AE26" i="2220"/>
  <c r="AG16" i="2221" l="1"/>
  <c r="AH22" i="2221"/>
  <c r="AI14" i="2221" s="1"/>
  <c r="BR8" i="2221"/>
  <c r="V22" i="2221"/>
  <c r="W14" i="2221" s="1"/>
  <c r="BT5" i="2221"/>
  <c r="BP13" i="2221"/>
  <c r="BU14" i="2221" s="1"/>
  <c r="BR6" i="2221"/>
  <c r="BT7" i="2221"/>
  <c r="J22" i="2221"/>
  <c r="BT4" i="2221"/>
  <c r="BR4" i="2221"/>
  <c r="V14" i="2220"/>
  <c r="BT12" i="2221" l="1"/>
  <c r="BR13" i="2221"/>
  <c r="V17" i="2220"/>
  <c r="V15" i="2220"/>
  <c r="V16" i="2220"/>
  <c r="BR22" i="2221" l="1"/>
  <c r="BS14" i="2221" s="1"/>
  <c r="BQ16" i="2221"/>
  <c r="J14" i="2220"/>
  <c r="J26" i="2220"/>
  <c r="G26" i="2220" l="1"/>
  <c r="J17" i="2220"/>
  <c r="J15" i="2220"/>
  <c r="J16" i="2220"/>
  <c r="AT14" i="2220" l="1"/>
  <c r="AT16" i="2220"/>
  <c r="AT17" i="2220"/>
  <c r="AT15" i="2220"/>
  <c r="AA37" i="2220" l="1"/>
  <c r="AA38" i="2220" s="1"/>
  <c r="BR35" i="2220"/>
  <c r="BO35" i="2220"/>
  <c r="BK35" i="2220"/>
  <c r="BF35" i="2220"/>
  <c r="BC35" i="2220"/>
  <c r="AY35" i="2220"/>
  <c r="AT35" i="2220"/>
  <c r="AT18" i="2220" s="1"/>
  <c r="AQ35" i="2220"/>
  <c r="AM35" i="2220"/>
  <c r="AT19" i="2220" s="1"/>
  <c r="AH35" i="2220"/>
  <c r="AH18" i="2220" s="1"/>
  <c r="AE35" i="2220"/>
  <c r="AA35" i="2220"/>
  <c r="AH19" i="2220" s="1"/>
  <c r="V35" i="2220"/>
  <c r="V18" i="2220" s="1"/>
  <c r="S35" i="2220"/>
  <c r="O35" i="2220"/>
  <c r="V19" i="2220" s="1"/>
  <c r="G35" i="2220"/>
  <c r="J35" i="2220" s="1"/>
  <c r="J18" i="2220" s="1"/>
  <c r="C35" i="2220"/>
  <c r="J19" i="2220" s="1"/>
  <c r="BA22" i="2220"/>
  <c r="AO22" i="2220"/>
  <c r="AC22" i="2220"/>
  <c r="Q22" i="2220"/>
  <c r="E22" i="2220"/>
  <c r="BR21" i="2220"/>
  <c r="BA21" i="2220"/>
  <c r="AO21" i="2220"/>
  <c r="AC21" i="2220"/>
  <c r="Q21" i="2220"/>
  <c r="E21" i="2220"/>
  <c r="BR20" i="2220"/>
  <c r="BA20" i="2220"/>
  <c r="AO20" i="2220"/>
  <c r="AC20" i="2220"/>
  <c r="Q20" i="2220"/>
  <c r="E20" i="2220"/>
  <c r="BF19" i="2220"/>
  <c r="BA19" i="2220"/>
  <c r="AO19" i="2220"/>
  <c r="AC19" i="2220"/>
  <c r="Q19" i="2220"/>
  <c r="E19" i="2220"/>
  <c r="BF18" i="2220"/>
  <c r="BA18" i="2220"/>
  <c r="AO18" i="2220"/>
  <c r="AC18" i="2220"/>
  <c r="Q18" i="2220"/>
  <c r="E18" i="2220"/>
  <c r="BA17" i="2220"/>
  <c r="AO17" i="2220"/>
  <c r="AC17" i="2220"/>
  <c r="Q17" i="2220"/>
  <c r="BR17" i="2220"/>
  <c r="E17" i="2220"/>
  <c r="BA16" i="2220"/>
  <c r="AO16" i="2220"/>
  <c r="AC16" i="2220"/>
  <c r="Q16" i="2220"/>
  <c r="BR16" i="2220"/>
  <c r="E16" i="2220"/>
  <c r="BR15" i="2220"/>
  <c r="BR14" i="2220"/>
  <c r="BN13" i="2220"/>
  <c r="BC13" i="2220"/>
  <c r="BB13" i="2220"/>
  <c r="BA13" i="2220"/>
  <c r="AZ13" i="2220"/>
  <c r="AQ13" i="2220"/>
  <c r="AP13" i="2220"/>
  <c r="AO13" i="2220"/>
  <c r="AN13" i="2220"/>
  <c r="AE13" i="2220"/>
  <c r="AD13" i="2220"/>
  <c r="AC13" i="2220"/>
  <c r="AB13" i="2220"/>
  <c r="S13" i="2220"/>
  <c r="R13" i="2220"/>
  <c r="Q13" i="2220"/>
  <c r="P13" i="2220"/>
  <c r="G13" i="2220"/>
  <c r="F13" i="2220"/>
  <c r="E13" i="2220"/>
  <c r="D13" i="2220"/>
  <c r="BO12" i="2220"/>
  <c r="BS12" i="2220" s="1"/>
  <c r="BM12" i="2220"/>
  <c r="BL12" i="2220"/>
  <c r="BP12" i="2220" s="1"/>
  <c r="BR12" i="2220" s="1"/>
  <c r="BG12" i="2220"/>
  <c r="BF12" i="2220"/>
  <c r="BD12" i="2220"/>
  <c r="AU12" i="2220"/>
  <c r="AT12" i="2220"/>
  <c r="AR12" i="2220"/>
  <c r="AI12" i="2220"/>
  <c r="AF12" i="2220"/>
  <c r="AH12" i="2220" s="1"/>
  <c r="W12" i="2220"/>
  <c r="T12" i="2220"/>
  <c r="V12" i="2220" s="1"/>
  <c r="K12" i="2220"/>
  <c r="J12" i="2220"/>
  <c r="H12" i="2220"/>
  <c r="BS11" i="2220"/>
  <c r="BO11" i="2220"/>
  <c r="BM11" i="2220"/>
  <c r="BL11" i="2220"/>
  <c r="BP11" i="2220" s="1"/>
  <c r="BG11" i="2220"/>
  <c r="BD11" i="2220"/>
  <c r="BF11" i="2220" s="1"/>
  <c r="AU11" i="2220"/>
  <c r="AT11" i="2220"/>
  <c r="AR11" i="2220"/>
  <c r="AI11" i="2220"/>
  <c r="AF11" i="2220"/>
  <c r="AH11" i="2220" s="1"/>
  <c r="W11" i="2220"/>
  <c r="T11" i="2220"/>
  <c r="V11" i="2220" s="1"/>
  <c r="K11" i="2220"/>
  <c r="H11" i="2220"/>
  <c r="J11" i="2220" s="1"/>
  <c r="BO10" i="2220"/>
  <c r="BS10" i="2220" s="1"/>
  <c r="BM10" i="2220"/>
  <c r="BP10" i="2220" s="1"/>
  <c r="BL10" i="2220"/>
  <c r="BG10" i="2220"/>
  <c r="BD10" i="2220"/>
  <c r="BF10" i="2220" s="1"/>
  <c r="AU10" i="2220"/>
  <c r="AR10" i="2220"/>
  <c r="AT10" i="2220" s="1"/>
  <c r="AI10" i="2220"/>
  <c r="AF10" i="2220"/>
  <c r="AH10" i="2220" s="1"/>
  <c r="W10" i="2220"/>
  <c r="T10" i="2220"/>
  <c r="V10" i="2220" s="1"/>
  <c r="K10" i="2220"/>
  <c r="J10" i="2220"/>
  <c r="H10" i="2220"/>
  <c r="BS9" i="2220"/>
  <c r="BO9" i="2220"/>
  <c r="BM9" i="2220"/>
  <c r="BL9" i="2220"/>
  <c r="BG9" i="2220"/>
  <c r="BD9" i="2220"/>
  <c r="BF9" i="2220" s="1"/>
  <c r="AU9" i="2220"/>
  <c r="AR9" i="2220"/>
  <c r="AT9" i="2220" s="1"/>
  <c r="AI9" i="2220"/>
  <c r="AF9" i="2220"/>
  <c r="AH9" i="2220" s="1"/>
  <c r="W9" i="2220"/>
  <c r="T9" i="2220"/>
  <c r="V9" i="2220" s="1"/>
  <c r="K9" i="2220"/>
  <c r="H9" i="2220"/>
  <c r="J9" i="2220" s="1"/>
  <c r="BO8" i="2220"/>
  <c r="BS8" i="2220" s="1"/>
  <c r="BM8" i="2220"/>
  <c r="BL8" i="2220"/>
  <c r="BG8" i="2220"/>
  <c r="BD8" i="2220"/>
  <c r="BF8" i="2220" s="1"/>
  <c r="AU8" i="2220"/>
  <c r="AR8" i="2220"/>
  <c r="AT8" i="2220" s="1"/>
  <c r="AI8" i="2220"/>
  <c r="AF8" i="2220"/>
  <c r="AH8" i="2220" s="1"/>
  <c r="W8" i="2220"/>
  <c r="T8" i="2220"/>
  <c r="V8" i="2220" s="1"/>
  <c r="K8" i="2220"/>
  <c r="H8" i="2220"/>
  <c r="J8" i="2220" s="1"/>
  <c r="BO7" i="2220"/>
  <c r="BS7" i="2220" s="1"/>
  <c r="BM7" i="2220"/>
  <c r="BL7" i="2220"/>
  <c r="BG7" i="2220"/>
  <c r="BD7" i="2220"/>
  <c r="BF7" i="2220" s="1"/>
  <c r="AU7" i="2220"/>
  <c r="AR7" i="2220"/>
  <c r="AT7" i="2220" s="1"/>
  <c r="AI7" i="2220"/>
  <c r="AF7" i="2220"/>
  <c r="AH7" i="2220" s="1"/>
  <c r="W7" i="2220"/>
  <c r="T7" i="2220"/>
  <c r="V7" i="2220" s="1"/>
  <c r="K7" i="2220"/>
  <c r="H7" i="2220"/>
  <c r="J7" i="2220" s="1"/>
  <c r="BO6" i="2220"/>
  <c r="BS6" i="2220" s="1"/>
  <c r="BM6" i="2220"/>
  <c r="BL6" i="2220"/>
  <c r="BG6" i="2220"/>
  <c r="BG13" i="2220" s="1"/>
  <c r="BF6" i="2220"/>
  <c r="BD6" i="2220"/>
  <c r="AU6" i="2220"/>
  <c r="AR6" i="2220"/>
  <c r="AT6" i="2220" s="1"/>
  <c r="AI6" i="2220"/>
  <c r="AF6" i="2220"/>
  <c r="AH6" i="2220" s="1"/>
  <c r="W6" i="2220"/>
  <c r="T6" i="2220"/>
  <c r="V6" i="2220" s="1"/>
  <c r="K6" i="2220"/>
  <c r="H6" i="2220"/>
  <c r="J6" i="2220" s="1"/>
  <c r="BS5" i="2220"/>
  <c r="BO5" i="2220"/>
  <c r="BM5" i="2220"/>
  <c r="BL5" i="2220"/>
  <c r="BG5" i="2220"/>
  <c r="BD5" i="2220"/>
  <c r="BF5" i="2220" s="1"/>
  <c r="AU5" i="2220"/>
  <c r="AU13" i="2220" s="1"/>
  <c r="AR5" i="2220"/>
  <c r="AT5" i="2220" s="1"/>
  <c r="AI5" i="2220"/>
  <c r="AI13" i="2220" s="1"/>
  <c r="AF5" i="2220"/>
  <c r="AH5" i="2220" s="1"/>
  <c r="W5" i="2220"/>
  <c r="T5" i="2220"/>
  <c r="K5" i="2220"/>
  <c r="H5" i="2220"/>
  <c r="J5" i="2220" s="1"/>
  <c r="BO4" i="2220"/>
  <c r="BO13" i="2220" s="1"/>
  <c r="BM4" i="2220"/>
  <c r="BL4" i="2220"/>
  <c r="BG4" i="2220"/>
  <c r="BD4" i="2220"/>
  <c r="AU4" i="2220"/>
  <c r="AR4" i="2220"/>
  <c r="AT4" i="2220" s="1"/>
  <c r="AI4" i="2220"/>
  <c r="AF4" i="2220"/>
  <c r="W4" i="2220"/>
  <c r="W13" i="2220" s="1"/>
  <c r="T4" i="2220"/>
  <c r="V4" i="2220" s="1"/>
  <c r="K4" i="2220"/>
  <c r="K13" i="2220" s="1"/>
  <c r="H4" i="2220"/>
  <c r="J4" i="2220" s="1"/>
  <c r="BR2" i="2220"/>
  <c r="BQ2" i="2220"/>
  <c r="BF2" i="2220"/>
  <c r="AT2" i="2220"/>
  <c r="AH2" i="2220"/>
  <c r="V2" i="2220"/>
  <c r="AH15" i="2219"/>
  <c r="AH14" i="2219"/>
  <c r="BD13" i="2220" l="1"/>
  <c r="BF4" i="2220"/>
  <c r="BP6" i="2220"/>
  <c r="BT6" i="2220" s="1"/>
  <c r="AT13" i="2220"/>
  <c r="AT22" i="2220" s="1"/>
  <c r="AU14" i="2220" s="1"/>
  <c r="BP7" i="2220"/>
  <c r="BT7" i="2220" s="1"/>
  <c r="AF13" i="2220"/>
  <c r="BP5" i="2220"/>
  <c r="BR5" i="2220" s="1"/>
  <c r="T13" i="2220"/>
  <c r="BR18" i="2220"/>
  <c r="BR19" i="2220"/>
  <c r="BM13" i="2220"/>
  <c r="BP9" i="2220"/>
  <c r="BT9" i="2220" s="1"/>
  <c r="BR10" i="2220"/>
  <c r="BT10" i="2220"/>
  <c r="BF13" i="2220"/>
  <c r="BF22" i="2220" s="1"/>
  <c r="BT11" i="2220"/>
  <c r="BR11" i="2220"/>
  <c r="J13" i="2220"/>
  <c r="J22" i="2220" s="1"/>
  <c r="V5" i="2220"/>
  <c r="V13" i="2220" s="1"/>
  <c r="BL13" i="2220"/>
  <c r="BR23" i="2220"/>
  <c r="BP4" i="2220"/>
  <c r="AH4" i="2220"/>
  <c r="AH13" i="2220" s="1"/>
  <c r="AR13" i="2220"/>
  <c r="BP8" i="2220"/>
  <c r="BS4" i="2220"/>
  <c r="BS13" i="2220" s="1"/>
  <c r="H13" i="2220"/>
  <c r="J26" i="2219"/>
  <c r="AS16" i="2220" l="1"/>
  <c r="BR6" i="2220"/>
  <c r="BT5" i="2220"/>
  <c r="BR9" i="2220"/>
  <c r="BR7" i="2220"/>
  <c r="V22" i="2220"/>
  <c r="W14" i="2220" s="1"/>
  <c r="U16" i="2220"/>
  <c r="BR8" i="2220"/>
  <c r="BT8" i="2220"/>
  <c r="AH22" i="2220"/>
  <c r="AI14" i="2220" s="1"/>
  <c r="AG16" i="2220"/>
  <c r="BP13" i="2220"/>
  <c r="BU14" i="2220" s="1"/>
  <c r="BR4" i="2220"/>
  <c r="BT4" i="2220"/>
  <c r="I16" i="2220"/>
  <c r="BE16" i="2220"/>
  <c r="V14" i="2219"/>
  <c r="J14" i="2219"/>
  <c r="BR13" i="2220" l="1"/>
  <c r="BT12" i="2220"/>
  <c r="BF14" i="2219"/>
  <c r="BF17" i="2219"/>
  <c r="BF16" i="2219"/>
  <c r="AT17" i="2219"/>
  <c r="AT14" i="2219"/>
  <c r="AT15" i="2219"/>
  <c r="AT16" i="2219"/>
  <c r="AH17" i="2219"/>
  <c r="AH16" i="2219"/>
  <c r="BR22" i="2220" l="1"/>
  <c r="BS14" i="2220" s="1"/>
  <c r="BQ16" i="2220"/>
  <c r="V17" i="2219"/>
  <c r="V15" i="2219"/>
  <c r="V16" i="2219"/>
  <c r="J17" i="2219" l="1"/>
  <c r="J15" i="2219"/>
  <c r="J16" i="2219"/>
  <c r="AA37" i="2219" l="1"/>
  <c r="AA38" i="2219" s="1"/>
  <c r="BR35" i="2219"/>
  <c r="BO35" i="2219"/>
  <c r="BK35" i="2219"/>
  <c r="BF35" i="2219"/>
  <c r="BC35" i="2219"/>
  <c r="AY35" i="2219"/>
  <c r="BF19" i="2219" s="1"/>
  <c r="AT35" i="2219"/>
  <c r="AQ35" i="2219"/>
  <c r="AM35" i="2219"/>
  <c r="AT19" i="2219" s="1"/>
  <c r="AH35" i="2219"/>
  <c r="AH18" i="2219" s="1"/>
  <c r="AE35" i="2219"/>
  <c r="AA35" i="2219"/>
  <c r="AH19" i="2219" s="1"/>
  <c r="O35" i="2219"/>
  <c r="V19" i="2219" s="1"/>
  <c r="C35" i="2219"/>
  <c r="S35" i="2219"/>
  <c r="V35" i="2219" s="1"/>
  <c r="V18" i="2219" s="1"/>
  <c r="G35" i="2219"/>
  <c r="BA22" i="2219"/>
  <c r="AO22" i="2219"/>
  <c r="AC22" i="2219"/>
  <c r="Q22" i="2219"/>
  <c r="E22" i="2219"/>
  <c r="BR21" i="2219"/>
  <c r="BA21" i="2219"/>
  <c r="AO21" i="2219"/>
  <c r="AC21" i="2219"/>
  <c r="Q21" i="2219"/>
  <c r="E21" i="2219"/>
  <c r="BR20" i="2219"/>
  <c r="BA20" i="2219"/>
  <c r="AO20" i="2219"/>
  <c r="AC20" i="2219"/>
  <c r="Q20" i="2219"/>
  <c r="E20" i="2219"/>
  <c r="BA19" i="2219"/>
  <c r="AO19" i="2219"/>
  <c r="AC19" i="2219"/>
  <c r="Q19" i="2219"/>
  <c r="J19" i="2219"/>
  <c r="E19" i="2219"/>
  <c r="BF18" i="2219"/>
  <c r="BA18" i="2219"/>
  <c r="AT18" i="2219"/>
  <c r="AO18" i="2219"/>
  <c r="AC18" i="2219"/>
  <c r="Q18" i="2219"/>
  <c r="E18" i="2219"/>
  <c r="BR17" i="2219"/>
  <c r="BA17" i="2219"/>
  <c r="AO17" i="2219"/>
  <c r="AC17" i="2219"/>
  <c r="Q17" i="2219"/>
  <c r="E17" i="2219"/>
  <c r="BR16" i="2219"/>
  <c r="BA16" i="2219"/>
  <c r="AO16" i="2219"/>
  <c r="AC16" i="2219"/>
  <c r="Q16" i="2219"/>
  <c r="E16" i="2219"/>
  <c r="BR15" i="2219"/>
  <c r="BR14" i="2219"/>
  <c r="BN13" i="2219"/>
  <c r="BC13" i="2219"/>
  <c r="BB13" i="2219"/>
  <c r="BA13" i="2219"/>
  <c r="AZ13" i="2219"/>
  <c r="AQ13" i="2219"/>
  <c r="AP13" i="2219"/>
  <c r="AO13" i="2219"/>
  <c r="AN13" i="2219"/>
  <c r="AE13" i="2219"/>
  <c r="AD13" i="2219"/>
  <c r="AC13" i="2219"/>
  <c r="AB13" i="2219"/>
  <c r="S13" i="2219"/>
  <c r="R13" i="2219"/>
  <c r="Q13" i="2219"/>
  <c r="P13" i="2219"/>
  <c r="G13" i="2219"/>
  <c r="F13" i="2219"/>
  <c r="E13" i="2219"/>
  <c r="D13" i="2219"/>
  <c r="BO12" i="2219"/>
  <c r="BS12" i="2219" s="1"/>
  <c r="BM12" i="2219"/>
  <c r="BP12" i="2219" s="1"/>
  <c r="BR12" i="2219" s="1"/>
  <c r="BL12" i="2219"/>
  <c r="BG12" i="2219"/>
  <c r="BD12" i="2219"/>
  <c r="BF12" i="2219" s="1"/>
  <c r="AU12" i="2219"/>
  <c r="AT12" i="2219"/>
  <c r="AR12" i="2219"/>
  <c r="AI12" i="2219"/>
  <c r="AF12" i="2219"/>
  <c r="AH12" i="2219" s="1"/>
  <c r="W12" i="2219"/>
  <c r="V12" i="2219"/>
  <c r="T12" i="2219"/>
  <c r="K12" i="2219"/>
  <c r="H12" i="2219"/>
  <c r="J12" i="2219" s="1"/>
  <c r="BS11" i="2219"/>
  <c r="BO11" i="2219"/>
  <c r="BM11" i="2219"/>
  <c r="BL11" i="2219"/>
  <c r="BP11" i="2219" s="1"/>
  <c r="BG11" i="2219"/>
  <c r="BD11" i="2219"/>
  <c r="BF11" i="2219" s="1"/>
  <c r="AU11" i="2219"/>
  <c r="AR11" i="2219"/>
  <c r="AT11" i="2219" s="1"/>
  <c r="AI11" i="2219"/>
  <c r="AF11" i="2219"/>
  <c r="AH11" i="2219" s="1"/>
  <c r="W11" i="2219"/>
  <c r="T11" i="2219"/>
  <c r="V11" i="2219" s="1"/>
  <c r="K11" i="2219"/>
  <c r="H11" i="2219"/>
  <c r="J11" i="2219" s="1"/>
  <c r="BT10" i="2219"/>
  <c r="BS10" i="2219"/>
  <c r="BR10" i="2219"/>
  <c r="BP10" i="2219"/>
  <c r="BO10" i="2219"/>
  <c r="BM10" i="2219"/>
  <c r="BL10" i="2219"/>
  <c r="BG10" i="2219"/>
  <c r="BD10" i="2219"/>
  <c r="BF10" i="2219" s="1"/>
  <c r="AU10" i="2219"/>
  <c r="AR10" i="2219"/>
  <c r="AT10" i="2219" s="1"/>
  <c r="AI10" i="2219"/>
  <c r="AH10" i="2219"/>
  <c r="AF10" i="2219"/>
  <c r="W10" i="2219"/>
  <c r="V10" i="2219"/>
  <c r="T10" i="2219"/>
  <c r="K10" i="2219"/>
  <c r="H10" i="2219"/>
  <c r="J10" i="2219" s="1"/>
  <c r="BO9" i="2219"/>
  <c r="BO13" i="2219" s="1"/>
  <c r="BM9" i="2219"/>
  <c r="BL9" i="2219"/>
  <c r="BG9" i="2219"/>
  <c r="BD9" i="2219"/>
  <c r="BF9" i="2219" s="1"/>
  <c r="AU9" i="2219"/>
  <c r="AR9" i="2219"/>
  <c r="AT9" i="2219" s="1"/>
  <c r="AI9" i="2219"/>
  <c r="AF9" i="2219"/>
  <c r="AH9" i="2219" s="1"/>
  <c r="W9" i="2219"/>
  <c r="W13" i="2219" s="1"/>
  <c r="T9" i="2219"/>
  <c r="V9" i="2219" s="1"/>
  <c r="K9" i="2219"/>
  <c r="H9" i="2219"/>
  <c r="J9" i="2219" s="1"/>
  <c r="BO8" i="2219"/>
  <c r="BS8" i="2219" s="1"/>
  <c r="BM8" i="2219"/>
  <c r="BL8" i="2219"/>
  <c r="BG8" i="2219"/>
  <c r="BD8" i="2219"/>
  <c r="BF8" i="2219" s="1"/>
  <c r="AU8" i="2219"/>
  <c r="AR8" i="2219"/>
  <c r="AT8" i="2219" s="1"/>
  <c r="AI8" i="2219"/>
  <c r="AF8" i="2219"/>
  <c r="AH8" i="2219" s="1"/>
  <c r="W8" i="2219"/>
  <c r="T8" i="2219"/>
  <c r="V8" i="2219" s="1"/>
  <c r="K8" i="2219"/>
  <c r="H8" i="2219"/>
  <c r="J8" i="2219" s="1"/>
  <c r="BS7" i="2219"/>
  <c r="BO7" i="2219"/>
  <c r="BM7" i="2219"/>
  <c r="BL7" i="2219"/>
  <c r="BG7" i="2219"/>
  <c r="BD7" i="2219"/>
  <c r="BF7" i="2219" s="1"/>
  <c r="AU7" i="2219"/>
  <c r="AR7" i="2219"/>
  <c r="AT7" i="2219" s="1"/>
  <c r="AI7" i="2219"/>
  <c r="AF7" i="2219"/>
  <c r="W7" i="2219"/>
  <c r="T7" i="2219"/>
  <c r="V7" i="2219" s="1"/>
  <c r="K7" i="2219"/>
  <c r="H7" i="2219"/>
  <c r="J7" i="2219" s="1"/>
  <c r="BO6" i="2219"/>
  <c r="BS6" i="2219" s="1"/>
  <c r="BM6" i="2219"/>
  <c r="BL6" i="2219"/>
  <c r="BG6" i="2219"/>
  <c r="BD6" i="2219"/>
  <c r="BF6" i="2219" s="1"/>
  <c r="AU6" i="2219"/>
  <c r="AR6" i="2219"/>
  <c r="AT6" i="2219" s="1"/>
  <c r="AI6" i="2219"/>
  <c r="AF6" i="2219"/>
  <c r="AH6" i="2219" s="1"/>
  <c r="W6" i="2219"/>
  <c r="T6" i="2219"/>
  <c r="V6" i="2219" s="1"/>
  <c r="K6" i="2219"/>
  <c r="H6" i="2219"/>
  <c r="J6" i="2219" s="1"/>
  <c r="BS5" i="2219"/>
  <c r="BO5" i="2219"/>
  <c r="BM5" i="2219"/>
  <c r="BL5" i="2219"/>
  <c r="BG5" i="2219"/>
  <c r="BD5" i="2219"/>
  <c r="BF5" i="2219" s="1"/>
  <c r="AU5" i="2219"/>
  <c r="AU13" i="2219" s="1"/>
  <c r="AR5" i="2219"/>
  <c r="AT5" i="2219" s="1"/>
  <c r="AI5" i="2219"/>
  <c r="AF5" i="2219"/>
  <c r="AH5" i="2219" s="1"/>
  <c r="W5" i="2219"/>
  <c r="T5" i="2219"/>
  <c r="V5" i="2219" s="1"/>
  <c r="K5" i="2219"/>
  <c r="K13" i="2219" s="1"/>
  <c r="H5" i="2219"/>
  <c r="J5" i="2219" s="1"/>
  <c r="BS4" i="2219"/>
  <c r="BO4" i="2219"/>
  <c r="BM4" i="2219"/>
  <c r="BL4" i="2219"/>
  <c r="BG4" i="2219"/>
  <c r="BG13" i="2219" s="1"/>
  <c r="BD4" i="2219"/>
  <c r="BF4" i="2219" s="1"/>
  <c r="AU4" i="2219"/>
  <c r="AR4" i="2219"/>
  <c r="AT4" i="2219" s="1"/>
  <c r="AI4" i="2219"/>
  <c r="AI13" i="2219" s="1"/>
  <c r="AF4" i="2219"/>
  <c r="AH4" i="2219" s="1"/>
  <c r="W4" i="2219"/>
  <c r="T4" i="2219"/>
  <c r="K4" i="2219"/>
  <c r="H4" i="2219"/>
  <c r="J4" i="2219" s="1"/>
  <c r="BR2" i="2219"/>
  <c r="BQ2" i="2219"/>
  <c r="BF2" i="2219"/>
  <c r="AT2" i="2219"/>
  <c r="AH2" i="2219"/>
  <c r="V2" i="2219"/>
  <c r="V26" i="2218"/>
  <c r="AT13" i="2219" l="1"/>
  <c r="AS16" i="2219" s="1"/>
  <c r="BP8" i="2219"/>
  <c r="BT8" i="2219" s="1"/>
  <c r="AF13" i="2219"/>
  <c r="BR19" i="2219"/>
  <c r="T13" i="2219"/>
  <c r="V4" i="2219"/>
  <c r="V13" i="2219" s="1"/>
  <c r="V22" i="2219" s="1"/>
  <c r="W14" i="2219" s="1"/>
  <c r="BP5" i="2219"/>
  <c r="BR5" i="2219" s="1"/>
  <c r="BP4" i="2219"/>
  <c r="BR4" i="2219" s="1"/>
  <c r="BP7" i="2219"/>
  <c r="BT7" i="2219" s="1"/>
  <c r="BP6" i="2219"/>
  <c r="BT6" i="2219" s="1"/>
  <c r="BL13" i="2219"/>
  <c r="BM13" i="2219"/>
  <c r="BR11" i="2219"/>
  <c r="BT11" i="2219"/>
  <c r="BF13" i="2219"/>
  <c r="BS13" i="2219"/>
  <c r="J13" i="2219"/>
  <c r="BR23" i="2219"/>
  <c r="J35" i="2219"/>
  <c r="J18" i="2219" s="1"/>
  <c r="BR18" i="2219" s="1"/>
  <c r="AR13" i="2219"/>
  <c r="BS9" i="2219"/>
  <c r="H13" i="2219"/>
  <c r="AH7" i="2219"/>
  <c r="AH13" i="2219" s="1"/>
  <c r="BD13" i="2219"/>
  <c r="BP9" i="2219"/>
  <c r="V14" i="2218"/>
  <c r="S26" i="2218"/>
  <c r="V17" i="2218"/>
  <c r="V15" i="2218"/>
  <c r="V16" i="2218"/>
  <c r="AT22" i="2219" l="1"/>
  <c r="AU14" i="2219" s="1"/>
  <c r="BT4" i="2219"/>
  <c r="BR8" i="2219"/>
  <c r="BR7" i="2219"/>
  <c r="BT5" i="2219"/>
  <c r="U16" i="2219"/>
  <c r="BR6" i="2219"/>
  <c r="I16" i="2219"/>
  <c r="J22" i="2219"/>
  <c r="AG16" i="2219"/>
  <c r="AH22" i="2219"/>
  <c r="AI14" i="2219" s="1"/>
  <c r="BT9" i="2219"/>
  <c r="BR9" i="2219"/>
  <c r="BF22" i="2219"/>
  <c r="BE16" i="2219"/>
  <c r="BP13" i="2219"/>
  <c r="BU14" i="2219" s="1"/>
  <c r="J14" i="2218"/>
  <c r="J26" i="2218"/>
  <c r="BT12" i="2219" l="1"/>
  <c r="BR13" i="2219"/>
  <c r="BR22" i="2219" s="1"/>
  <c r="BS14" i="2219" s="1"/>
  <c r="G26" i="2218"/>
  <c r="J17" i="2218"/>
  <c r="J15" i="2218"/>
  <c r="J16" i="2218"/>
  <c r="BQ16" i="2219" l="1"/>
  <c r="AH14" i="2217"/>
  <c r="AE26" i="2217"/>
  <c r="AA35" i="2218"/>
  <c r="AH19" i="2218" s="1"/>
  <c r="AE35" i="2218"/>
  <c r="AA37" i="2218"/>
  <c r="AA38" i="2218" s="1"/>
  <c r="BR35" i="2218"/>
  <c r="BO35" i="2218"/>
  <c r="BK35" i="2218"/>
  <c r="BF35" i="2218"/>
  <c r="BF18" i="2218" s="1"/>
  <c r="BC35" i="2218"/>
  <c r="AY35" i="2218"/>
  <c r="AT35" i="2218"/>
  <c r="AQ35" i="2218"/>
  <c r="AM35" i="2218"/>
  <c r="AH35" i="2218"/>
  <c r="S35" i="2218"/>
  <c r="V35" i="2218" s="1"/>
  <c r="V18" i="2218" s="1"/>
  <c r="O35" i="2218"/>
  <c r="V19" i="2218" s="1"/>
  <c r="G35" i="2218"/>
  <c r="C35" i="2218"/>
  <c r="BA22" i="2218"/>
  <c r="AO22" i="2218"/>
  <c r="AC22" i="2218"/>
  <c r="Q22" i="2218"/>
  <c r="E22" i="2218"/>
  <c r="BR21" i="2218"/>
  <c r="BA21" i="2218"/>
  <c r="AO21" i="2218"/>
  <c r="AC21" i="2218"/>
  <c r="Q21" i="2218"/>
  <c r="E21" i="2218"/>
  <c r="BR20" i="2218"/>
  <c r="BA20" i="2218"/>
  <c r="AO20" i="2218"/>
  <c r="AC20" i="2218"/>
  <c r="Q20" i="2218"/>
  <c r="E20" i="2218"/>
  <c r="BF19" i="2218"/>
  <c r="BA19" i="2218"/>
  <c r="AT19" i="2218"/>
  <c r="AO19" i="2218"/>
  <c r="AC19" i="2218"/>
  <c r="Q19" i="2218"/>
  <c r="J19" i="2218"/>
  <c r="E19" i="2218"/>
  <c r="BA18" i="2218"/>
  <c r="AT18" i="2218"/>
  <c r="AO18" i="2218"/>
  <c r="AH18" i="2218"/>
  <c r="AC18" i="2218"/>
  <c r="Q18" i="2218"/>
  <c r="E18" i="2218"/>
  <c r="BA17" i="2218"/>
  <c r="AO17" i="2218"/>
  <c r="AC17" i="2218"/>
  <c r="Q17" i="2218"/>
  <c r="BR17" i="2218"/>
  <c r="E17" i="2218"/>
  <c r="BA16" i="2218"/>
  <c r="AO16" i="2218"/>
  <c r="AC16" i="2218"/>
  <c r="Q16" i="2218"/>
  <c r="BR16" i="2218"/>
  <c r="E16" i="2218"/>
  <c r="BR15" i="2218"/>
  <c r="BR14" i="2218"/>
  <c r="BN13" i="2218"/>
  <c r="BC13" i="2218"/>
  <c r="BB13" i="2218"/>
  <c r="BA13" i="2218"/>
  <c r="AZ13" i="2218"/>
  <c r="AQ13" i="2218"/>
  <c r="AP13" i="2218"/>
  <c r="AO13" i="2218"/>
  <c r="AN13" i="2218"/>
  <c r="AE13" i="2218"/>
  <c r="AD13" i="2218"/>
  <c r="AC13" i="2218"/>
  <c r="AB13" i="2218"/>
  <c r="S13" i="2218"/>
  <c r="R13" i="2218"/>
  <c r="P13" i="2218"/>
  <c r="G13" i="2218"/>
  <c r="F13" i="2218"/>
  <c r="E13" i="2218"/>
  <c r="D13" i="2218"/>
  <c r="BO12" i="2218"/>
  <c r="BS12" i="2218" s="1"/>
  <c r="BM12" i="2218"/>
  <c r="BL12" i="2218"/>
  <c r="BP12" i="2218" s="1"/>
  <c r="BR12" i="2218" s="1"/>
  <c r="BG12" i="2218"/>
  <c r="BD12" i="2218"/>
  <c r="BF12" i="2218" s="1"/>
  <c r="AU12" i="2218"/>
  <c r="AR12" i="2218"/>
  <c r="AT12" i="2218" s="1"/>
  <c r="AI12" i="2218"/>
  <c r="AH12" i="2218"/>
  <c r="AF12" i="2218"/>
  <c r="W12" i="2218"/>
  <c r="V12" i="2218"/>
  <c r="T12" i="2218"/>
  <c r="K12" i="2218"/>
  <c r="H12" i="2218"/>
  <c r="J12" i="2218" s="1"/>
  <c r="BS11" i="2218"/>
  <c r="BO11" i="2218"/>
  <c r="BM11" i="2218"/>
  <c r="BL11" i="2218"/>
  <c r="BP11" i="2218" s="1"/>
  <c r="BG11" i="2218"/>
  <c r="BD11" i="2218"/>
  <c r="BF11" i="2218" s="1"/>
  <c r="AU11" i="2218"/>
  <c r="AR11" i="2218"/>
  <c r="AT11" i="2218" s="1"/>
  <c r="AI11" i="2218"/>
  <c r="AH11" i="2218"/>
  <c r="AF11" i="2218"/>
  <c r="W11" i="2218"/>
  <c r="T11" i="2218"/>
  <c r="V11" i="2218" s="1"/>
  <c r="K11" i="2218"/>
  <c r="H11" i="2218"/>
  <c r="J11" i="2218" s="1"/>
  <c r="BO10" i="2218"/>
  <c r="BS10" i="2218" s="1"/>
  <c r="BM10" i="2218"/>
  <c r="BL10" i="2218"/>
  <c r="BG10" i="2218"/>
  <c r="BD10" i="2218"/>
  <c r="BF10" i="2218" s="1"/>
  <c r="AU10" i="2218"/>
  <c r="AR10" i="2218"/>
  <c r="AT10" i="2218" s="1"/>
  <c r="AI10" i="2218"/>
  <c r="AF10" i="2218"/>
  <c r="AH10" i="2218" s="1"/>
  <c r="W10" i="2218"/>
  <c r="T10" i="2218"/>
  <c r="V10" i="2218" s="1"/>
  <c r="K10" i="2218"/>
  <c r="H10" i="2218"/>
  <c r="J10" i="2218" s="1"/>
  <c r="BO9" i="2218"/>
  <c r="BS9" i="2218" s="1"/>
  <c r="BM9" i="2218"/>
  <c r="BL9" i="2218"/>
  <c r="BP9" i="2218" s="1"/>
  <c r="BG9" i="2218"/>
  <c r="BF9" i="2218"/>
  <c r="BD9" i="2218"/>
  <c r="AU9" i="2218"/>
  <c r="AT9" i="2218"/>
  <c r="AR9" i="2218"/>
  <c r="AI9" i="2218"/>
  <c r="AF9" i="2218"/>
  <c r="AH9" i="2218" s="1"/>
  <c r="W9" i="2218"/>
  <c r="W13" i="2218" s="1"/>
  <c r="T9" i="2218"/>
  <c r="V9" i="2218" s="1"/>
  <c r="K9" i="2218"/>
  <c r="H9" i="2218"/>
  <c r="J9" i="2218" s="1"/>
  <c r="BO8" i="2218"/>
  <c r="BS8" i="2218" s="1"/>
  <c r="BL8" i="2218"/>
  <c r="BG8" i="2218"/>
  <c r="BD8" i="2218"/>
  <c r="BF8" i="2218" s="1"/>
  <c r="AU8" i="2218"/>
  <c r="AR8" i="2218"/>
  <c r="AT8" i="2218" s="1"/>
  <c r="AI8" i="2218"/>
  <c r="AF8" i="2218"/>
  <c r="AH8" i="2218" s="1"/>
  <c r="W8" i="2218"/>
  <c r="BM8" i="2218"/>
  <c r="K8" i="2218"/>
  <c r="H8" i="2218"/>
  <c r="J8" i="2218" s="1"/>
  <c r="BS7" i="2218"/>
  <c r="BO7" i="2218"/>
  <c r="BM7" i="2218"/>
  <c r="BL7" i="2218"/>
  <c r="BP7" i="2218" s="1"/>
  <c r="BG7" i="2218"/>
  <c r="BF7" i="2218"/>
  <c r="BD7" i="2218"/>
  <c r="AU7" i="2218"/>
  <c r="AR7" i="2218"/>
  <c r="AT7" i="2218" s="1"/>
  <c r="AI7" i="2218"/>
  <c r="AF7" i="2218"/>
  <c r="AH7" i="2218" s="1"/>
  <c r="W7" i="2218"/>
  <c r="T7" i="2218"/>
  <c r="V7" i="2218" s="1"/>
  <c r="K7" i="2218"/>
  <c r="H7" i="2218"/>
  <c r="J7" i="2218" s="1"/>
  <c r="BO6" i="2218"/>
  <c r="BS6" i="2218" s="1"/>
  <c r="BL6" i="2218"/>
  <c r="BG6" i="2218"/>
  <c r="BD6" i="2218"/>
  <c r="BF6" i="2218" s="1"/>
  <c r="AU6" i="2218"/>
  <c r="AR6" i="2218"/>
  <c r="AT6" i="2218" s="1"/>
  <c r="AI6" i="2218"/>
  <c r="AF6" i="2218"/>
  <c r="W6" i="2218"/>
  <c r="BM6" i="2218"/>
  <c r="K6" i="2218"/>
  <c r="H6" i="2218"/>
  <c r="J6" i="2218" s="1"/>
  <c r="BO5" i="2218"/>
  <c r="BO13" i="2218" s="1"/>
  <c r="BL5" i="2218"/>
  <c r="BG5" i="2218"/>
  <c r="BD5" i="2218"/>
  <c r="BF5" i="2218" s="1"/>
  <c r="AU5" i="2218"/>
  <c r="AT5" i="2218"/>
  <c r="AR5" i="2218"/>
  <c r="AI5" i="2218"/>
  <c r="AF5" i="2218"/>
  <c r="AH5" i="2218" s="1"/>
  <c r="W5" i="2218"/>
  <c r="BM5" i="2218"/>
  <c r="K5" i="2218"/>
  <c r="K13" i="2218" s="1"/>
  <c r="H5" i="2218"/>
  <c r="J5" i="2218" s="1"/>
  <c r="BO4" i="2218"/>
  <c r="BS4" i="2218" s="1"/>
  <c r="BM4" i="2218"/>
  <c r="BL4" i="2218"/>
  <c r="BG4" i="2218"/>
  <c r="BG13" i="2218" s="1"/>
  <c r="BD4" i="2218"/>
  <c r="BF4" i="2218" s="1"/>
  <c r="AU4" i="2218"/>
  <c r="AU13" i="2218" s="1"/>
  <c r="AR4" i="2218"/>
  <c r="AR13" i="2218" s="1"/>
  <c r="AI4" i="2218"/>
  <c r="AI13" i="2218" s="1"/>
  <c r="AF4" i="2218"/>
  <c r="AH4" i="2218" s="1"/>
  <c r="W4" i="2218"/>
  <c r="T4" i="2218"/>
  <c r="V4" i="2218" s="1"/>
  <c r="K4" i="2218"/>
  <c r="H4" i="2218"/>
  <c r="BR2" i="2218"/>
  <c r="BQ2" i="2218"/>
  <c r="BF2" i="2218"/>
  <c r="AT2" i="2218"/>
  <c r="AH2" i="2218"/>
  <c r="V2" i="2218"/>
  <c r="AH17" i="2217"/>
  <c r="AH15" i="2217"/>
  <c r="AH16" i="2217"/>
  <c r="BP4" i="2218" l="1"/>
  <c r="BR4" i="2218" s="1"/>
  <c r="BR23" i="2218"/>
  <c r="BP8" i="2218"/>
  <c r="BR8" i="2218" s="1"/>
  <c r="BP6" i="2218"/>
  <c r="BT6" i="2218" s="1"/>
  <c r="AF13" i="2218"/>
  <c r="H13" i="2218"/>
  <c r="BP5" i="2218"/>
  <c r="BM13" i="2218"/>
  <c r="BF13" i="2218"/>
  <c r="BT9" i="2218"/>
  <c r="BR9" i="2218"/>
  <c r="BR7" i="2218"/>
  <c r="BT7" i="2218"/>
  <c r="BR19" i="2218"/>
  <c r="BT11" i="2218"/>
  <c r="BR11" i="2218"/>
  <c r="BS13" i="2218"/>
  <c r="BL13" i="2218"/>
  <c r="AH6" i="2218"/>
  <c r="AH13" i="2218" s="1"/>
  <c r="Q13" i="2218"/>
  <c r="BD13" i="2218"/>
  <c r="J35" i="2218"/>
  <c r="J18" i="2218" s="1"/>
  <c r="BR18" i="2218" s="1"/>
  <c r="BS5" i="2218"/>
  <c r="T8" i="2218"/>
  <c r="V8" i="2218" s="1"/>
  <c r="AT4" i="2218"/>
  <c r="AT13" i="2218" s="1"/>
  <c r="BP10" i="2218"/>
  <c r="J4" i="2218"/>
  <c r="J13" i="2218" s="1"/>
  <c r="T6" i="2218"/>
  <c r="V6" i="2218" s="1"/>
  <c r="T5" i="2218"/>
  <c r="V14" i="2217"/>
  <c r="Q9" i="2217"/>
  <c r="Q8" i="2217"/>
  <c r="Q6" i="2217"/>
  <c r="Q5" i="2217"/>
  <c r="J22" i="2218" l="1"/>
  <c r="BT8" i="2218"/>
  <c r="BT4" i="2218"/>
  <c r="BR6" i="2218"/>
  <c r="AS16" i="2218"/>
  <c r="AT22" i="2218"/>
  <c r="AU14" i="2218" s="1"/>
  <c r="V5" i="2218"/>
  <c r="V13" i="2218" s="1"/>
  <c r="T13" i="2218"/>
  <c r="BT10" i="2218"/>
  <c r="BR10" i="2218"/>
  <c r="BF22" i="2218"/>
  <c r="BE16" i="2218"/>
  <c r="AG16" i="2218"/>
  <c r="AH22" i="2218"/>
  <c r="AI14" i="2218" s="1"/>
  <c r="I16" i="2218"/>
  <c r="BP13" i="2218"/>
  <c r="BU14" i="2218" s="1"/>
  <c r="BT5" i="2218"/>
  <c r="BR5" i="2218"/>
  <c r="J14" i="2217"/>
  <c r="J17" i="2217"/>
  <c r="J15" i="2217"/>
  <c r="J16" i="2217"/>
  <c r="V26" i="2217"/>
  <c r="S26" i="2217"/>
  <c r="V17" i="2217"/>
  <c r="V16" i="2217"/>
  <c r="V15" i="2217"/>
  <c r="BR13" i="2218" l="1"/>
  <c r="BQ16" i="2218" s="1"/>
  <c r="BT12" i="2218"/>
  <c r="V22" i="2218"/>
  <c r="W14" i="2218" s="1"/>
  <c r="U16" i="2218"/>
  <c r="G26" i="2217"/>
  <c r="BR22" i="2218" l="1"/>
  <c r="BS14" i="2218" s="1"/>
  <c r="BR35" i="2217"/>
  <c r="BO35" i="2217"/>
  <c r="BK35" i="2217"/>
  <c r="BF35" i="2217"/>
  <c r="BC35" i="2217"/>
  <c r="AY35" i="2217"/>
  <c r="AT35" i="2217"/>
  <c r="AT18" i="2217" s="1"/>
  <c r="AQ35" i="2217"/>
  <c r="AM35" i="2217"/>
  <c r="AT19" i="2217" s="1"/>
  <c r="AE35" i="2217"/>
  <c r="AH26" i="2217" s="1"/>
  <c r="AH35" i="2217" s="1"/>
  <c r="AH18" i="2217" s="1"/>
  <c r="AA35" i="2217"/>
  <c r="AH19" i="2217" s="1"/>
  <c r="S35" i="2217"/>
  <c r="O35" i="2217"/>
  <c r="V19" i="2217" s="1"/>
  <c r="G35" i="2217"/>
  <c r="C35" i="2217"/>
  <c r="J19" i="2217" s="1"/>
  <c r="V35" i="2217"/>
  <c r="V18" i="2217" s="1"/>
  <c r="BA22" i="2217"/>
  <c r="AO22" i="2217"/>
  <c r="AC22" i="2217"/>
  <c r="Q22" i="2217"/>
  <c r="E22" i="2217"/>
  <c r="BR21" i="2217"/>
  <c r="BA21" i="2217"/>
  <c r="AO21" i="2217"/>
  <c r="AC21" i="2217"/>
  <c r="Q21" i="2217"/>
  <c r="E21" i="2217"/>
  <c r="BR20" i="2217"/>
  <c r="BA20" i="2217"/>
  <c r="AO20" i="2217"/>
  <c r="AC20" i="2217"/>
  <c r="Q20" i="2217"/>
  <c r="E20" i="2217"/>
  <c r="BF19" i="2217"/>
  <c r="BA19" i="2217"/>
  <c r="AO19" i="2217"/>
  <c r="AC19" i="2217"/>
  <c r="Q19" i="2217"/>
  <c r="E19" i="2217"/>
  <c r="BF18" i="2217"/>
  <c r="BA18" i="2217"/>
  <c r="AO18" i="2217"/>
  <c r="AC18" i="2217"/>
  <c r="Q18" i="2217"/>
  <c r="E18" i="2217"/>
  <c r="BR17" i="2217"/>
  <c r="BA17" i="2217"/>
  <c r="AO17" i="2217"/>
  <c r="AC17" i="2217"/>
  <c r="Q17" i="2217"/>
  <c r="E17" i="2217"/>
  <c r="BA16" i="2217"/>
  <c r="AO16" i="2217"/>
  <c r="AC16" i="2217"/>
  <c r="Q16" i="2217"/>
  <c r="BR16" i="2217"/>
  <c r="E16" i="2217"/>
  <c r="BR15" i="2217"/>
  <c r="BR14" i="2217"/>
  <c r="BN13" i="2217"/>
  <c r="BC13" i="2217"/>
  <c r="BB13" i="2217"/>
  <c r="BA13" i="2217"/>
  <c r="AZ13" i="2217"/>
  <c r="AQ13" i="2217"/>
  <c r="AP13" i="2217"/>
  <c r="AO13" i="2217"/>
  <c r="AN13" i="2217"/>
  <c r="AE13" i="2217"/>
  <c r="AD13" i="2217"/>
  <c r="AC13" i="2217"/>
  <c r="AB13" i="2217"/>
  <c r="S13" i="2217"/>
  <c r="R13" i="2217"/>
  <c r="Q13" i="2217"/>
  <c r="P13" i="2217"/>
  <c r="G13" i="2217"/>
  <c r="F13" i="2217"/>
  <c r="E13" i="2217"/>
  <c r="D13" i="2217"/>
  <c r="BO12" i="2217"/>
  <c r="BS12" i="2217" s="1"/>
  <c r="BM12" i="2217"/>
  <c r="BP12" i="2217" s="1"/>
  <c r="BR12" i="2217" s="1"/>
  <c r="BL12" i="2217"/>
  <c r="BG12" i="2217"/>
  <c r="BF12" i="2217"/>
  <c r="BD12" i="2217"/>
  <c r="AU12" i="2217"/>
  <c r="AT12" i="2217"/>
  <c r="AR12" i="2217"/>
  <c r="AI12" i="2217"/>
  <c r="AF12" i="2217"/>
  <c r="AH12" i="2217" s="1"/>
  <c r="W12" i="2217"/>
  <c r="V12" i="2217"/>
  <c r="T12" i="2217"/>
  <c r="K12" i="2217"/>
  <c r="J12" i="2217"/>
  <c r="H12" i="2217"/>
  <c r="BS11" i="2217"/>
  <c r="BO11" i="2217"/>
  <c r="BM11" i="2217"/>
  <c r="BL11" i="2217"/>
  <c r="BP11" i="2217" s="1"/>
  <c r="BG11" i="2217"/>
  <c r="BD11" i="2217"/>
  <c r="BF11" i="2217" s="1"/>
  <c r="AU11" i="2217"/>
  <c r="AT11" i="2217"/>
  <c r="AR11" i="2217"/>
  <c r="AI11" i="2217"/>
  <c r="AF11" i="2217"/>
  <c r="AH11" i="2217" s="1"/>
  <c r="W11" i="2217"/>
  <c r="T11" i="2217"/>
  <c r="V11" i="2217" s="1"/>
  <c r="K11" i="2217"/>
  <c r="H11" i="2217"/>
  <c r="J11" i="2217" s="1"/>
  <c r="BS10" i="2217"/>
  <c r="BO10" i="2217"/>
  <c r="BM10" i="2217"/>
  <c r="BL10" i="2217"/>
  <c r="BG10" i="2217"/>
  <c r="BD10" i="2217"/>
  <c r="BF10" i="2217" s="1"/>
  <c r="AU10" i="2217"/>
  <c r="AR10" i="2217"/>
  <c r="AT10" i="2217" s="1"/>
  <c r="AI10" i="2217"/>
  <c r="AF10" i="2217"/>
  <c r="AH10" i="2217" s="1"/>
  <c r="W10" i="2217"/>
  <c r="T10" i="2217"/>
  <c r="V10" i="2217" s="1"/>
  <c r="K10" i="2217"/>
  <c r="H10" i="2217"/>
  <c r="J10" i="2217" s="1"/>
  <c r="BO9" i="2217"/>
  <c r="BS9" i="2217" s="1"/>
  <c r="BM9" i="2217"/>
  <c r="BL9" i="2217"/>
  <c r="BG9" i="2217"/>
  <c r="BD9" i="2217"/>
  <c r="BF9" i="2217" s="1"/>
  <c r="AU9" i="2217"/>
  <c r="AT9" i="2217"/>
  <c r="AR9" i="2217"/>
  <c r="AI9" i="2217"/>
  <c r="AF9" i="2217"/>
  <c r="AH9" i="2217" s="1"/>
  <c r="W9" i="2217"/>
  <c r="T9" i="2217"/>
  <c r="V9" i="2217" s="1"/>
  <c r="K9" i="2217"/>
  <c r="H9" i="2217"/>
  <c r="J9" i="2217" s="1"/>
  <c r="BO8" i="2217"/>
  <c r="BS8" i="2217" s="1"/>
  <c r="BM8" i="2217"/>
  <c r="BL8" i="2217"/>
  <c r="BG8" i="2217"/>
  <c r="BD8" i="2217"/>
  <c r="BF8" i="2217" s="1"/>
  <c r="AU8" i="2217"/>
  <c r="AR8" i="2217"/>
  <c r="AT8" i="2217" s="1"/>
  <c r="AI8" i="2217"/>
  <c r="AF8" i="2217"/>
  <c r="AH8" i="2217" s="1"/>
  <c r="W8" i="2217"/>
  <c r="T8" i="2217"/>
  <c r="V8" i="2217" s="1"/>
  <c r="K8" i="2217"/>
  <c r="H8" i="2217"/>
  <c r="J8" i="2217" s="1"/>
  <c r="BO7" i="2217"/>
  <c r="BS7" i="2217" s="1"/>
  <c r="BM7" i="2217"/>
  <c r="BL7" i="2217"/>
  <c r="BG7" i="2217"/>
  <c r="BD7" i="2217"/>
  <c r="BF7" i="2217" s="1"/>
  <c r="AU7" i="2217"/>
  <c r="AR7" i="2217"/>
  <c r="AT7" i="2217" s="1"/>
  <c r="AI7" i="2217"/>
  <c r="AF7" i="2217"/>
  <c r="W7" i="2217"/>
  <c r="T7" i="2217"/>
  <c r="V7" i="2217" s="1"/>
  <c r="K7" i="2217"/>
  <c r="H7" i="2217"/>
  <c r="J7" i="2217" s="1"/>
  <c r="BO6" i="2217"/>
  <c r="BM6" i="2217"/>
  <c r="BL6" i="2217"/>
  <c r="BG6" i="2217"/>
  <c r="BF6" i="2217"/>
  <c r="BD6" i="2217"/>
  <c r="AU6" i="2217"/>
  <c r="AT6" i="2217"/>
  <c r="AR6" i="2217"/>
  <c r="AI6" i="2217"/>
  <c r="AF6" i="2217"/>
  <c r="AH6" i="2217" s="1"/>
  <c r="W6" i="2217"/>
  <c r="T6" i="2217"/>
  <c r="V6" i="2217" s="1"/>
  <c r="K6" i="2217"/>
  <c r="J6" i="2217"/>
  <c r="H6" i="2217"/>
  <c r="BO5" i="2217"/>
  <c r="BS5" i="2217" s="1"/>
  <c r="BM5" i="2217"/>
  <c r="BL5" i="2217"/>
  <c r="BG5" i="2217"/>
  <c r="BD5" i="2217"/>
  <c r="BF5" i="2217" s="1"/>
  <c r="AU5" i="2217"/>
  <c r="AU13" i="2217" s="1"/>
  <c r="AT5" i="2217"/>
  <c r="AR5" i="2217"/>
  <c r="AI5" i="2217"/>
  <c r="AF5" i="2217"/>
  <c r="AH5" i="2217" s="1"/>
  <c r="W5" i="2217"/>
  <c r="T5" i="2217"/>
  <c r="V5" i="2217" s="1"/>
  <c r="K5" i="2217"/>
  <c r="K13" i="2217" s="1"/>
  <c r="H5" i="2217"/>
  <c r="J5" i="2217" s="1"/>
  <c r="BO4" i="2217"/>
  <c r="BS4" i="2217" s="1"/>
  <c r="BM4" i="2217"/>
  <c r="BL4" i="2217"/>
  <c r="BG4" i="2217"/>
  <c r="BG13" i="2217" s="1"/>
  <c r="BD4" i="2217"/>
  <c r="BF4" i="2217" s="1"/>
  <c r="AU4" i="2217"/>
  <c r="AR4" i="2217"/>
  <c r="AR13" i="2217" s="1"/>
  <c r="AI4" i="2217"/>
  <c r="AF4" i="2217"/>
  <c r="AH4" i="2217" s="1"/>
  <c r="W4" i="2217"/>
  <c r="W13" i="2217" s="1"/>
  <c r="T4" i="2217"/>
  <c r="K4" i="2217"/>
  <c r="H4" i="2217"/>
  <c r="J4" i="2217" s="1"/>
  <c r="BR2" i="2217"/>
  <c r="BQ2" i="2217"/>
  <c r="BF2" i="2217"/>
  <c r="AT2" i="2217"/>
  <c r="AH2" i="2217"/>
  <c r="V2" i="2217"/>
  <c r="AH14" i="2216"/>
  <c r="AH17" i="2216"/>
  <c r="AH15" i="2216"/>
  <c r="AH16" i="2216"/>
  <c r="J26" i="2216"/>
  <c r="J14" i="2216"/>
  <c r="AI13" i="2217" l="1"/>
  <c r="BO13" i="2217"/>
  <c r="J26" i="2217"/>
  <c r="J35" i="2217" s="1"/>
  <c r="J18" i="2217" s="1"/>
  <c r="BR18" i="2217" s="1"/>
  <c r="BP4" i="2217"/>
  <c r="BR4" i="2217" s="1"/>
  <c r="BR19" i="2217"/>
  <c r="AF13" i="2217"/>
  <c r="BP10" i="2217"/>
  <c r="BP7" i="2217"/>
  <c r="BR7" i="2217" s="1"/>
  <c r="BR10" i="2217"/>
  <c r="BT10" i="2217"/>
  <c r="BP9" i="2217"/>
  <c r="BR9" i="2217" s="1"/>
  <c r="T13" i="2217"/>
  <c r="BP5" i="2217"/>
  <c r="BT5" i="2217" s="1"/>
  <c r="BP8" i="2217"/>
  <c r="BT8" i="2217" s="1"/>
  <c r="BM13" i="2217"/>
  <c r="BL13" i="2217"/>
  <c r="BP6" i="2217"/>
  <c r="BR6" i="2217" s="1"/>
  <c r="BT11" i="2217"/>
  <c r="BR11" i="2217"/>
  <c r="J13" i="2217"/>
  <c r="BF13" i="2217"/>
  <c r="AT4" i="2217"/>
  <c r="AT13" i="2217" s="1"/>
  <c r="H13" i="2217"/>
  <c r="BR23" i="2217"/>
  <c r="AH7" i="2217"/>
  <c r="AH13" i="2217" s="1"/>
  <c r="BD13" i="2217"/>
  <c r="V4" i="2217"/>
  <c r="V13" i="2217" s="1"/>
  <c r="V22" i="2217" s="1"/>
  <c r="W14" i="2217" s="1"/>
  <c r="BS6" i="2217"/>
  <c r="BS13" i="2217" s="1"/>
  <c r="V14" i="2216"/>
  <c r="V26" i="2216"/>
  <c r="BT6" i="2217" l="1"/>
  <c r="BT9" i="2217"/>
  <c r="BT7" i="2217"/>
  <c r="BT4" i="2217"/>
  <c r="BR8" i="2217"/>
  <c r="BR5" i="2217"/>
  <c r="BP13" i="2217"/>
  <c r="BU14" i="2217" s="1"/>
  <c r="AH22" i="2217"/>
  <c r="AI14" i="2217" s="1"/>
  <c r="AG16" i="2217"/>
  <c r="AT22" i="2217"/>
  <c r="AU14" i="2217" s="1"/>
  <c r="AS16" i="2217"/>
  <c r="J22" i="2217"/>
  <c r="I16" i="2217"/>
  <c r="U16" i="2217"/>
  <c r="BF22" i="2217"/>
  <c r="BE16" i="2217"/>
  <c r="V17" i="2216"/>
  <c r="V15" i="2216"/>
  <c r="V16" i="2216"/>
  <c r="BT12" i="2217" l="1"/>
  <c r="BR13" i="2217"/>
  <c r="BR22" i="2217" s="1"/>
  <c r="BS14" i="2217" s="1"/>
  <c r="J17" i="2216"/>
  <c r="J15" i="2216"/>
  <c r="J16" i="2216"/>
  <c r="BQ16" i="2217" l="1"/>
  <c r="AA38" i="2216"/>
  <c r="AA37" i="2216"/>
  <c r="BR35" i="2216"/>
  <c r="BO35" i="2216"/>
  <c r="BK35" i="2216"/>
  <c r="BF35" i="2216"/>
  <c r="BC35" i="2216"/>
  <c r="AY35" i="2216"/>
  <c r="BF19" i="2216" s="1"/>
  <c r="AT35" i="2216"/>
  <c r="AQ35" i="2216"/>
  <c r="AM35" i="2216"/>
  <c r="AH35" i="2216"/>
  <c r="AH18" i="2216" s="1"/>
  <c r="AE35" i="2216"/>
  <c r="AA35" i="2216"/>
  <c r="AH19" i="2216" s="1"/>
  <c r="V35" i="2216"/>
  <c r="V18" i="2216" s="1"/>
  <c r="S35" i="2216"/>
  <c r="O35" i="2216"/>
  <c r="G35" i="2216"/>
  <c r="C35" i="2216"/>
  <c r="J19" i="2216" s="1"/>
  <c r="J35" i="2216"/>
  <c r="J18" i="2216" s="1"/>
  <c r="BA22" i="2216"/>
  <c r="AO22" i="2216"/>
  <c r="AC22" i="2216"/>
  <c r="Q22" i="2216"/>
  <c r="E22" i="2216"/>
  <c r="BR21" i="2216"/>
  <c r="BA21" i="2216"/>
  <c r="AO21" i="2216"/>
  <c r="AC21" i="2216"/>
  <c r="Q21" i="2216"/>
  <c r="E21" i="2216"/>
  <c r="BR20" i="2216"/>
  <c r="BA20" i="2216"/>
  <c r="AO20" i="2216"/>
  <c r="AC20" i="2216"/>
  <c r="Q20" i="2216"/>
  <c r="E20" i="2216"/>
  <c r="BA19" i="2216"/>
  <c r="AT19" i="2216"/>
  <c r="AO19" i="2216"/>
  <c r="AC19" i="2216"/>
  <c r="V19" i="2216"/>
  <c r="Q19" i="2216"/>
  <c r="E19" i="2216"/>
  <c r="BF18" i="2216"/>
  <c r="BA18" i="2216"/>
  <c r="AT18" i="2216"/>
  <c r="AO18" i="2216"/>
  <c r="AC18" i="2216"/>
  <c r="Q18" i="2216"/>
  <c r="E18" i="2216"/>
  <c r="BR17" i="2216"/>
  <c r="BA17" i="2216"/>
  <c r="AO17" i="2216"/>
  <c r="AC17" i="2216"/>
  <c r="Q17" i="2216"/>
  <c r="E17" i="2216"/>
  <c r="BR16" i="2216"/>
  <c r="BA16" i="2216"/>
  <c r="AO16" i="2216"/>
  <c r="AC16" i="2216"/>
  <c r="Q16" i="2216"/>
  <c r="E16" i="2216"/>
  <c r="BR15" i="2216"/>
  <c r="BR14" i="2216"/>
  <c r="BN13" i="2216"/>
  <c r="BC13" i="2216"/>
  <c r="BB13" i="2216"/>
  <c r="BA13" i="2216"/>
  <c r="AZ13" i="2216"/>
  <c r="AQ13" i="2216"/>
  <c r="AP13" i="2216"/>
  <c r="AO13" i="2216"/>
  <c r="AN13" i="2216"/>
  <c r="AE13" i="2216"/>
  <c r="AD13" i="2216"/>
  <c r="AC13" i="2216"/>
  <c r="AB13" i="2216"/>
  <c r="S13" i="2216"/>
  <c r="R13" i="2216"/>
  <c r="Q13" i="2216"/>
  <c r="P13" i="2216"/>
  <c r="G13" i="2216"/>
  <c r="F13" i="2216"/>
  <c r="E13" i="2216"/>
  <c r="D13" i="2216"/>
  <c r="BO12" i="2216"/>
  <c r="BS12" i="2216" s="1"/>
  <c r="BM12" i="2216"/>
  <c r="BL12" i="2216"/>
  <c r="BG12" i="2216"/>
  <c r="BD12" i="2216"/>
  <c r="BF12" i="2216" s="1"/>
  <c r="AU12" i="2216"/>
  <c r="AR12" i="2216"/>
  <c r="AT12" i="2216" s="1"/>
  <c r="AI12" i="2216"/>
  <c r="AF12" i="2216"/>
  <c r="AH12" i="2216" s="1"/>
  <c r="W12" i="2216"/>
  <c r="T12" i="2216"/>
  <c r="V12" i="2216" s="1"/>
  <c r="K12" i="2216"/>
  <c r="H12" i="2216"/>
  <c r="J12" i="2216" s="1"/>
  <c r="BS11" i="2216"/>
  <c r="BO11" i="2216"/>
  <c r="BM11" i="2216"/>
  <c r="BL11" i="2216"/>
  <c r="BP11" i="2216" s="1"/>
  <c r="BG11" i="2216"/>
  <c r="BF11" i="2216"/>
  <c r="BD11" i="2216"/>
  <c r="AU11" i="2216"/>
  <c r="AR11" i="2216"/>
  <c r="AT11" i="2216" s="1"/>
  <c r="AI11" i="2216"/>
  <c r="AH11" i="2216"/>
  <c r="AF11" i="2216"/>
  <c r="W11" i="2216"/>
  <c r="T11" i="2216"/>
  <c r="V11" i="2216" s="1"/>
  <c r="K11" i="2216"/>
  <c r="J11" i="2216"/>
  <c r="H11" i="2216"/>
  <c r="BO10" i="2216"/>
  <c r="BM10" i="2216"/>
  <c r="BL10" i="2216"/>
  <c r="BG10" i="2216"/>
  <c r="BF10" i="2216"/>
  <c r="BD10" i="2216"/>
  <c r="AU10" i="2216"/>
  <c r="AT10" i="2216"/>
  <c r="AR10" i="2216"/>
  <c r="AI10" i="2216"/>
  <c r="AF10" i="2216"/>
  <c r="AH10" i="2216" s="1"/>
  <c r="W10" i="2216"/>
  <c r="T10" i="2216"/>
  <c r="V10" i="2216" s="1"/>
  <c r="K10" i="2216"/>
  <c r="H10" i="2216"/>
  <c r="J10" i="2216" s="1"/>
  <c r="BO9" i="2216"/>
  <c r="BS9" i="2216" s="1"/>
  <c r="BM9" i="2216"/>
  <c r="BL9" i="2216"/>
  <c r="BP9" i="2216" s="1"/>
  <c r="BG9" i="2216"/>
  <c r="BD9" i="2216"/>
  <c r="BF9" i="2216" s="1"/>
  <c r="AU9" i="2216"/>
  <c r="AR9" i="2216"/>
  <c r="AT9" i="2216" s="1"/>
  <c r="AI9" i="2216"/>
  <c r="AF9" i="2216"/>
  <c r="AH9" i="2216" s="1"/>
  <c r="W9" i="2216"/>
  <c r="T9" i="2216"/>
  <c r="V9" i="2216" s="1"/>
  <c r="K9" i="2216"/>
  <c r="H9" i="2216"/>
  <c r="J9" i="2216" s="1"/>
  <c r="BS8" i="2216"/>
  <c r="BO8" i="2216"/>
  <c r="BM8" i="2216"/>
  <c r="BL8" i="2216"/>
  <c r="BG8" i="2216"/>
  <c r="BF8" i="2216"/>
  <c r="BD8" i="2216"/>
  <c r="AU8" i="2216"/>
  <c r="AR8" i="2216"/>
  <c r="AT8" i="2216" s="1"/>
  <c r="AI8" i="2216"/>
  <c r="AF8" i="2216"/>
  <c r="AH8" i="2216" s="1"/>
  <c r="W8" i="2216"/>
  <c r="T8" i="2216"/>
  <c r="V8" i="2216" s="1"/>
  <c r="K8" i="2216"/>
  <c r="H8" i="2216"/>
  <c r="J8" i="2216" s="1"/>
  <c r="BS7" i="2216"/>
  <c r="BO7" i="2216"/>
  <c r="BM7" i="2216"/>
  <c r="BL7" i="2216"/>
  <c r="BP7" i="2216" s="1"/>
  <c r="BG7" i="2216"/>
  <c r="BD7" i="2216"/>
  <c r="AU7" i="2216"/>
  <c r="AR7" i="2216"/>
  <c r="AT7" i="2216" s="1"/>
  <c r="AI7" i="2216"/>
  <c r="AF7" i="2216"/>
  <c r="AH7" i="2216" s="1"/>
  <c r="W7" i="2216"/>
  <c r="T7" i="2216"/>
  <c r="V7" i="2216" s="1"/>
  <c r="K7" i="2216"/>
  <c r="H7" i="2216"/>
  <c r="J7" i="2216" s="1"/>
  <c r="BO6" i="2216"/>
  <c r="BS6" i="2216" s="1"/>
  <c r="BM6" i="2216"/>
  <c r="BL6" i="2216"/>
  <c r="BG6" i="2216"/>
  <c r="BD6" i="2216"/>
  <c r="BF6" i="2216" s="1"/>
  <c r="AU6" i="2216"/>
  <c r="AR6" i="2216"/>
  <c r="AT6" i="2216" s="1"/>
  <c r="AI6" i="2216"/>
  <c r="AF6" i="2216"/>
  <c r="AH6" i="2216" s="1"/>
  <c r="W6" i="2216"/>
  <c r="T6" i="2216"/>
  <c r="V6" i="2216" s="1"/>
  <c r="K6" i="2216"/>
  <c r="H6" i="2216"/>
  <c r="J6" i="2216" s="1"/>
  <c r="BS5" i="2216"/>
  <c r="BO5" i="2216"/>
  <c r="BM5" i="2216"/>
  <c r="BL5" i="2216"/>
  <c r="BG5" i="2216"/>
  <c r="BF5" i="2216"/>
  <c r="BD5" i="2216"/>
  <c r="AU5" i="2216"/>
  <c r="AR5" i="2216"/>
  <c r="AI5" i="2216"/>
  <c r="AI13" i="2216" s="1"/>
  <c r="AF5" i="2216"/>
  <c r="AH5" i="2216" s="1"/>
  <c r="W5" i="2216"/>
  <c r="T5" i="2216"/>
  <c r="V5" i="2216" s="1"/>
  <c r="K5" i="2216"/>
  <c r="H5" i="2216"/>
  <c r="J5" i="2216" s="1"/>
  <c r="BO4" i="2216"/>
  <c r="BO13" i="2216" s="1"/>
  <c r="BM4" i="2216"/>
  <c r="BL4" i="2216"/>
  <c r="BG4" i="2216"/>
  <c r="BG13" i="2216" s="1"/>
  <c r="BF4" i="2216"/>
  <c r="BD4" i="2216"/>
  <c r="AU4" i="2216"/>
  <c r="AU13" i="2216" s="1"/>
  <c r="AT4" i="2216"/>
  <c r="AR4" i="2216"/>
  <c r="AI4" i="2216"/>
  <c r="AF4" i="2216"/>
  <c r="W4" i="2216"/>
  <c r="W13" i="2216" s="1"/>
  <c r="T4" i="2216"/>
  <c r="V4" i="2216" s="1"/>
  <c r="K4" i="2216"/>
  <c r="K13" i="2216" s="1"/>
  <c r="H4" i="2216"/>
  <c r="BR2" i="2216"/>
  <c r="BQ2" i="2216"/>
  <c r="BF2" i="2216"/>
  <c r="AT2" i="2216"/>
  <c r="AH2" i="2216"/>
  <c r="V2" i="2216"/>
  <c r="J14" i="2215"/>
  <c r="BR23" i="2216" l="1"/>
  <c r="BR18" i="2216"/>
  <c r="BP8" i="2216"/>
  <c r="BD13" i="2216"/>
  <c r="AR13" i="2216"/>
  <c r="AF13" i="2216"/>
  <c r="BP5" i="2216"/>
  <c r="BT5" i="2216" s="1"/>
  <c r="BR19" i="2216"/>
  <c r="BP10" i="2216"/>
  <c r="BR10" i="2216" s="1"/>
  <c r="BM13" i="2216"/>
  <c r="H13" i="2216"/>
  <c r="J4" i="2216"/>
  <c r="BR11" i="2216"/>
  <c r="BT11" i="2216"/>
  <c r="J13" i="2216"/>
  <c r="BT8" i="2216"/>
  <c r="BR8" i="2216"/>
  <c r="BT9" i="2216"/>
  <c r="BR9" i="2216"/>
  <c r="BT7" i="2216"/>
  <c r="BR7" i="2216"/>
  <c r="BF13" i="2216"/>
  <c r="V13" i="2216"/>
  <c r="BL13" i="2216"/>
  <c r="BP4" i="2216"/>
  <c r="BS4" i="2216"/>
  <c r="BS10" i="2216"/>
  <c r="T13" i="2216"/>
  <c r="AH4" i="2216"/>
  <c r="AH13" i="2216" s="1"/>
  <c r="BF7" i="2216"/>
  <c r="AT5" i="2216"/>
  <c r="AT13" i="2216" s="1"/>
  <c r="AT22" i="2216" s="1"/>
  <c r="AU14" i="2216" s="1"/>
  <c r="BP6" i="2216"/>
  <c r="BP12" i="2216"/>
  <c r="BR12" i="2216" s="1"/>
  <c r="AT16" i="2215"/>
  <c r="AH17" i="2215"/>
  <c r="AH14" i="2215"/>
  <c r="AH16" i="2215"/>
  <c r="BR5" i="2216" l="1"/>
  <c r="AS16" i="2216"/>
  <c r="BT10" i="2216"/>
  <c r="BE16" i="2216"/>
  <c r="BF22" i="2216"/>
  <c r="BR4" i="2216"/>
  <c r="BP13" i="2216"/>
  <c r="BU14" i="2216" s="1"/>
  <c r="BT4" i="2216"/>
  <c r="U16" i="2216"/>
  <c r="V22" i="2216"/>
  <c r="W14" i="2216" s="1"/>
  <c r="I16" i="2216"/>
  <c r="J22" i="2216"/>
  <c r="BR6" i="2216"/>
  <c r="BT6" i="2216"/>
  <c r="AG16" i="2216"/>
  <c r="AH22" i="2216"/>
  <c r="AI14" i="2216" s="1"/>
  <c r="BS13" i="2216"/>
  <c r="V14" i="2215"/>
  <c r="V17" i="2215"/>
  <c r="V16" i="2215"/>
  <c r="V15" i="2215"/>
  <c r="BT12" i="2216" l="1"/>
  <c r="BR13" i="2216"/>
  <c r="BR22" i="2216" s="1"/>
  <c r="BS14" i="2216" s="1"/>
  <c r="J26" i="2215"/>
  <c r="J17" i="2215"/>
  <c r="J15" i="2215"/>
  <c r="J16" i="2215"/>
  <c r="BQ16" i="2216" l="1"/>
  <c r="AA38" i="2215"/>
  <c r="AA37" i="2215"/>
  <c r="BR35" i="2215"/>
  <c r="BO35" i="2215"/>
  <c r="BK35" i="2215"/>
  <c r="BF35" i="2215"/>
  <c r="BC35" i="2215"/>
  <c r="AY35" i="2215"/>
  <c r="AT35" i="2215"/>
  <c r="AT18" i="2215" s="1"/>
  <c r="AQ35" i="2215"/>
  <c r="BR23" i="2215" s="1"/>
  <c r="AM35" i="2215"/>
  <c r="AE35" i="2215"/>
  <c r="AA35" i="2215"/>
  <c r="AH19" i="2215" s="1"/>
  <c r="S35" i="2215"/>
  <c r="O35" i="2215"/>
  <c r="V19" i="2215" s="1"/>
  <c r="G35" i="2215"/>
  <c r="C35" i="2215"/>
  <c r="J19" i="2215" s="1"/>
  <c r="AH35" i="2215"/>
  <c r="AH18" i="2215" s="1"/>
  <c r="V35" i="2215"/>
  <c r="V18" i="2215" s="1"/>
  <c r="J35" i="2215"/>
  <c r="J18" i="2215" s="1"/>
  <c r="BA22" i="2215"/>
  <c r="AO22" i="2215"/>
  <c r="AC22" i="2215"/>
  <c r="Q22" i="2215"/>
  <c r="E22" i="2215"/>
  <c r="BR21" i="2215"/>
  <c r="BA21" i="2215"/>
  <c r="AO21" i="2215"/>
  <c r="AC21" i="2215"/>
  <c r="Q21" i="2215"/>
  <c r="E21" i="2215"/>
  <c r="BR20" i="2215"/>
  <c r="BA20" i="2215"/>
  <c r="AO20" i="2215"/>
  <c r="AC20" i="2215"/>
  <c r="Q20" i="2215"/>
  <c r="E20" i="2215"/>
  <c r="BF19" i="2215"/>
  <c r="BA19" i="2215"/>
  <c r="AT19" i="2215"/>
  <c r="AO19" i="2215"/>
  <c r="AC19" i="2215"/>
  <c r="Q19" i="2215"/>
  <c r="E19" i="2215"/>
  <c r="BF18" i="2215"/>
  <c r="BA18" i="2215"/>
  <c r="AO18" i="2215"/>
  <c r="AC18" i="2215"/>
  <c r="Q18" i="2215"/>
  <c r="E18" i="2215"/>
  <c r="BR17" i="2215"/>
  <c r="BA17" i="2215"/>
  <c r="AO17" i="2215"/>
  <c r="AC17" i="2215"/>
  <c r="Q17" i="2215"/>
  <c r="E17" i="2215"/>
  <c r="BA16" i="2215"/>
  <c r="AO16" i="2215"/>
  <c r="AC16" i="2215"/>
  <c r="Q16" i="2215"/>
  <c r="BR16" i="2215"/>
  <c r="E16" i="2215"/>
  <c r="BR15" i="2215"/>
  <c r="BR14" i="2215"/>
  <c r="BN13" i="2215"/>
  <c r="BC13" i="2215"/>
  <c r="BB13" i="2215"/>
  <c r="BA13" i="2215"/>
  <c r="AZ13" i="2215"/>
  <c r="AQ13" i="2215"/>
  <c r="AP13" i="2215"/>
  <c r="AO13" i="2215"/>
  <c r="AN13" i="2215"/>
  <c r="AE13" i="2215"/>
  <c r="AD13" i="2215"/>
  <c r="AC13" i="2215"/>
  <c r="AB13" i="2215"/>
  <c r="S13" i="2215"/>
  <c r="R13" i="2215"/>
  <c r="Q13" i="2215"/>
  <c r="P13" i="2215"/>
  <c r="G13" i="2215"/>
  <c r="F13" i="2215"/>
  <c r="E13" i="2215"/>
  <c r="D13" i="2215"/>
  <c r="BO12" i="2215"/>
  <c r="BP12" i="2215" s="1"/>
  <c r="BR12" i="2215" s="1"/>
  <c r="BM12" i="2215"/>
  <c r="BL12" i="2215"/>
  <c r="BG12" i="2215"/>
  <c r="BD12" i="2215"/>
  <c r="BF12" i="2215" s="1"/>
  <c r="AU12" i="2215"/>
  <c r="AT12" i="2215"/>
  <c r="AR12" i="2215"/>
  <c r="AI12" i="2215"/>
  <c r="AF12" i="2215"/>
  <c r="AH12" i="2215" s="1"/>
  <c r="W12" i="2215"/>
  <c r="T12" i="2215"/>
  <c r="V12" i="2215" s="1"/>
  <c r="K12" i="2215"/>
  <c r="H12" i="2215"/>
  <c r="J12" i="2215" s="1"/>
  <c r="BO11" i="2215"/>
  <c r="BS11" i="2215" s="1"/>
  <c r="BM11" i="2215"/>
  <c r="BL11" i="2215"/>
  <c r="BP11" i="2215" s="1"/>
  <c r="BG11" i="2215"/>
  <c r="BF11" i="2215"/>
  <c r="BD11" i="2215"/>
  <c r="AU11" i="2215"/>
  <c r="AT11" i="2215"/>
  <c r="AR11" i="2215"/>
  <c r="AI11" i="2215"/>
  <c r="AF11" i="2215"/>
  <c r="AH11" i="2215" s="1"/>
  <c r="W11" i="2215"/>
  <c r="T11" i="2215"/>
  <c r="V11" i="2215" s="1"/>
  <c r="K11" i="2215"/>
  <c r="J11" i="2215"/>
  <c r="H11" i="2215"/>
  <c r="BS10" i="2215"/>
  <c r="BO10" i="2215"/>
  <c r="BM10" i="2215"/>
  <c r="BL10" i="2215"/>
  <c r="BP10" i="2215" s="1"/>
  <c r="BG10" i="2215"/>
  <c r="BF10" i="2215"/>
  <c r="BD10" i="2215"/>
  <c r="AU10" i="2215"/>
  <c r="AT10" i="2215"/>
  <c r="AR10" i="2215"/>
  <c r="AI10" i="2215"/>
  <c r="AF10" i="2215"/>
  <c r="AH10" i="2215" s="1"/>
  <c r="W10" i="2215"/>
  <c r="T10" i="2215"/>
  <c r="V10" i="2215" s="1"/>
  <c r="K10" i="2215"/>
  <c r="J10" i="2215"/>
  <c r="H10" i="2215"/>
  <c r="BS9" i="2215"/>
  <c r="BO9" i="2215"/>
  <c r="BM9" i="2215"/>
  <c r="BL9" i="2215"/>
  <c r="BP9" i="2215" s="1"/>
  <c r="BR9" i="2215" s="1"/>
  <c r="BG9" i="2215"/>
  <c r="BD9" i="2215"/>
  <c r="BF9" i="2215" s="1"/>
  <c r="AU9" i="2215"/>
  <c r="AR9" i="2215"/>
  <c r="AT9" i="2215" s="1"/>
  <c r="AI9" i="2215"/>
  <c r="AF9" i="2215"/>
  <c r="AH9" i="2215" s="1"/>
  <c r="W9" i="2215"/>
  <c r="T9" i="2215"/>
  <c r="V9" i="2215" s="1"/>
  <c r="K9" i="2215"/>
  <c r="H9" i="2215"/>
  <c r="J9" i="2215" s="1"/>
  <c r="BS8" i="2215"/>
  <c r="BO8" i="2215"/>
  <c r="BM8" i="2215"/>
  <c r="BL8" i="2215"/>
  <c r="BG8" i="2215"/>
  <c r="BD8" i="2215"/>
  <c r="BF8" i="2215" s="1"/>
  <c r="AU8" i="2215"/>
  <c r="AR8" i="2215"/>
  <c r="AT8" i="2215" s="1"/>
  <c r="AI8" i="2215"/>
  <c r="AF8" i="2215"/>
  <c r="AH8" i="2215" s="1"/>
  <c r="W8" i="2215"/>
  <c r="T8" i="2215"/>
  <c r="V8" i="2215" s="1"/>
  <c r="K8" i="2215"/>
  <c r="H8" i="2215"/>
  <c r="J8" i="2215" s="1"/>
  <c r="BS7" i="2215"/>
  <c r="BO7" i="2215"/>
  <c r="BM7" i="2215"/>
  <c r="BL7" i="2215"/>
  <c r="BG7" i="2215"/>
  <c r="BF7" i="2215"/>
  <c r="BD7" i="2215"/>
  <c r="AU7" i="2215"/>
  <c r="AR7" i="2215"/>
  <c r="AT7" i="2215" s="1"/>
  <c r="AI7" i="2215"/>
  <c r="AI13" i="2215" s="1"/>
  <c r="AF7" i="2215"/>
  <c r="AH7" i="2215" s="1"/>
  <c r="W7" i="2215"/>
  <c r="T7" i="2215"/>
  <c r="V7" i="2215" s="1"/>
  <c r="K7" i="2215"/>
  <c r="H7" i="2215"/>
  <c r="J7" i="2215" s="1"/>
  <c r="BO6" i="2215"/>
  <c r="BS6" i="2215" s="1"/>
  <c r="BM6" i="2215"/>
  <c r="BL6" i="2215"/>
  <c r="BG6" i="2215"/>
  <c r="BD6" i="2215"/>
  <c r="BF6" i="2215" s="1"/>
  <c r="AU6" i="2215"/>
  <c r="AT6" i="2215"/>
  <c r="AR6" i="2215"/>
  <c r="AI6" i="2215"/>
  <c r="AF6" i="2215"/>
  <c r="AH6" i="2215" s="1"/>
  <c r="W6" i="2215"/>
  <c r="T6" i="2215"/>
  <c r="V6" i="2215" s="1"/>
  <c r="K6" i="2215"/>
  <c r="H6" i="2215"/>
  <c r="J6" i="2215" s="1"/>
  <c r="BO5" i="2215"/>
  <c r="BS5" i="2215" s="1"/>
  <c r="BM5" i="2215"/>
  <c r="BL5" i="2215"/>
  <c r="BG5" i="2215"/>
  <c r="BF5" i="2215"/>
  <c r="BD5" i="2215"/>
  <c r="AU5" i="2215"/>
  <c r="AT5" i="2215"/>
  <c r="AR5" i="2215"/>
  <c r="AI5" i="2215"/>
  <c r="AF5" i="2215"/>
  <c r="AH5" i="2215" s="1"/>
  <c r="W5" i="2215"/>
  <c r="T5" i="2215"/>
  <c r="V5" i="2215" s="1"/>
  <c r="K5" i="2215"/>
  <c r="H5" i="2215"/>
  <c r="J5" i="2215" s="1"/>
  <c r="BS4" i="2215"/>
  <c r="BO4" i="2215"/>
  <c r="BO13" i="2215" s="1"/>
  <c r="BM4" i="2215"/>
  <c r="BL4" i="2215"/>
  <c r="BP4" i="2215" s="1"/>
  <c r="BG4" i="2215"/>
  <c r="BG13" i="2215" s="1"/>
  <c r="BD4" i="2215"/>
  <c r="BF4" i="2215" s="1"/>
  <c r="AU4" i="2215"/>
  <c r="AU13" i="2215" s="1"/>
  <c r="AT4" i="2215"/>
  <c r="AR4" i="2215"/>
  <c r="AI4" i="2215"/>
  <c r="AF4" i="2215"/>
  <c r="AH4" i="2215" s="1"/>
  <c r="W4" i="2215"/>
  <c r="W13" i="2215" s="1"/>
  <c r="T4" i="2215"/>
  <c r="K4" i="2215"/>
  <c r="K13" i="2215" s="1"/>
  <c r="H4" i="2215"/>
  <c r="BR2" i="2215"/>
  <c r="BQ2" i="2215"/>
  <c r="BF2" i="2215"/>
  <c r="AT2" i="2215"/>
  <c r="AH2" i="2215"/>
  <c r="V2" i="2215"/>
  <c r="J26" i="2213"/>
  <c r="AH14" i="2214"/>
  <c r="AH17" i="2214"/>
  <c r="AH15" i="2214"/>
  <c r="AH16" i="2214"/>
  <c r="V14" i="2214"/>
  <c r="V17" i="2214"/>
  <c r="V15" i="2214"/>
  <c r="V16" i="2214"/>
  <c r="AR13" i="2215" l="1"/>
  <c r="T13" i="2215"/>
  <c r="H13" i="2215"/>
  <c r="BR19" i="2215"/>
  <c r="BR18" i="2215"/>
  <c r="AH13" i="2215"/>
  <c r="AG16" i="2215" s="1"/>
  <c r="BP8" i="2215"/>
  <c r="BT8" i="2215" s="1"/>
  <c r="BP7" i="2215"/>
  <c r="BT7" i="2215" s="1"/>
  <c r="BP5" i="2215"/>
  <c r="BT5" i="2215" s="1"/>
  <c r="BM13" i="2215"/>
  <c r="J4" i="2215"/>
  <c r="J13" i="2215" s="1"/>
  <c r="AT13" i="2215"/>
  <c r="BT10" i="2215"/>
  <c r="BR10" i="2215"/>
  <c r="BF13" i="2215"/>
  <c r="BT11" i="2215"/>
  <c r="BR11" i="2215"/>
  <c r="BT4" i="2215"/>
  <c r="BR4" i="2215"/>
  <c r="BT9" i="2215"/>
  <c r="AF13" i="2215"/>
  <c r="BD13" i="2215"/>
  <c r="BP6" i="2215"/>
  <c r="BS12" i="2215"/>
  <c r="BS13" i="2215" s="1"/>
  <c r="V4" i="2215"/>
  <c r="V13" i="2215" s="1"/>
  <c r="BL13" i="2215"/>
  <c r="J14" i="2214"/>
  <c r="J27" i="2214"/>
  <c r="AH22" i="2215" l="1"/>
  <c r="AI14" i="2215" s="1"/>
  <c r="BR7" i="2215"/>
  <c r="BR8" i="2215"/>
  <c r="BP13" i="2215"/>
  <c r="BU14" i="2215" s="1"/>
  <c r="BR5" i="2215"/>
  <c r="U16" i="2215"/>
  <c r="V22" i="2215"/>
  <c r="W14" i="2215" s="1"/>
  <c r="BT6" i="2215"/>
  <c r="BT12" i="2215" s="1"/>
  <c r="BR6" i="2215"/>
  <c r="I16" i="2215"/>
  <c r="J22" i="2215"/>
  <c r="AT22" i="2215"/>
  <c r="AU14" i="2215" s="1"/>
  <c r="AS16" i="2215"/>
  <c r="BF22" i="2215"/>
  <c r="BE16" i="2215"/>
  <c r="J17" i="2214"/>
  <c r="J15" i="2214"/>
  <c r="J16" i="2214"/>
  <c r="BR13" i="2215" l="1"/>
  <c r="BR22" i="2215" s="1"/>
  <c r="BS14" i="2215" s="1"/>
  <c r="AA37" i="2214"/>
  <c r="AA38" i="2214" s="1"/>
  <c r="BR35" i="2214"/>
  <c r="BO35" i="2214"/>
  <c r="BK35" i="2214"/>
  <c r="BF35" i="2214"/>
  <c r="BC35" i="2214"/>
  <c r="AT35" i="2214"/>
  <c r="AT18" i="2214" s="1"/>
  <c r="AQ35" i="2214"/>
  <c r="AM35" i="2214"/>
  <c r="AT19" i="2214" s="1"/>
  <c r="AE35" i="2214"/>
  <c r="AH26" i="2214" s="1"/>
  <c r="AH35" i="2214" s="1"/>
  <c r="AH18" i="2214" s="1"/>
  <c r="AA35" i="2214"/>
  <c r="AH19" i="2214" s="1"/>
  <c r="S35" i="2214"/>
  <c r="O35" i="2214"/>
  <c r="V19" i="2214" s="1"/>
  <c r="G35" i="2214"/>
  <c r="J26" i="2214" s="1"/>
  <c r="C35" i="2214"/>
  <c r="J19" i="2214" s="1"/>
  <c r="AY35" i="2214"/>
  <c r="BF19" i="2214" s="1"/>
  <c r="BA22" i="2214"/>
  <c r="AO22" i="2214"/>
  <c r="AC22" i="2214"/>
  <c r="Q22" i="2214"/>
  <c r="E22" i="2214"/>
  <c r="BR21" i="2214"/>
  <c r="BA21" i="2214"/>
  <c r="AO21" i="2214"/>
  <c r="AC21" i="2214"/>
  <c r="Q21" i="2214"/>
  <c r="E21" i="2214"/>
  <c r="BR20" i="2214"/>
  <c r="BA20" i="2214"/>
  <c r="AO20" i="2214"/>
  <c r="AC20" i="2214"/>
  <c r="Q20" i="2214"/>
  <c r="E20" i="2214"/>
  <c r="BA19" i="2214"/>
  <c r="AO19" i="2214"/>
  <c r="AC19" i="2214"/>
  <c r="Q19" i="2214"/>
  <c r="E19" i="2214"/>
  <c r="BF18" i="2214"/>
  <c r="BA18" i="2214"/>
  <c r="AO18" i="2214"/>
  <c r="AC18" i="2214"/>
  <c r="Q18" i="2214"/>
  <c r="E18" i="2214"/>
  <c r="BA17" i="2214"/>
  <c r="AO17" i="2214"/>
  <c r="AC17" i="2214"/>
  <c r="Q17" i="2214"/>
  <c r="BR17" i="2214"/>
  <c r="E17" i="2214"/>
  <c r="BA16" i="2214"/>
  <c r="AO16" i="2214"/>
  <c r="AC16" i="2214"/>
  <c r="Q16" i="2214"/>
  <c r="BR16" i="2214"/>
  <c r="E16" i="2214"/>
  <c r="BR15" i="2214"/>
  <c r="BR14" i="2214"/>
  <c r="BN13" i="2214"/>
  <c r="BC13" i="2214"/>
  <c r="BB13" i="2214"/>
  <c r="BA13" i="2214"/>
  <c r="AZ13" i="2214"/>
  <c r="AQ13" i="2214"/>
  <c r="AP13" i="2214"/>
  <c r="AO13" i="2214"/>
  <c r="AN13" i="2214"/>
  <c r="AE13" i="2214"/>
  <c r="AD13" i="2214"/>
  <c r="AC13" i="2214"/>
  <c r="AB13" i="2214"/>
  <c r="S13" i="2214"/>
  <c r="R13" i="2214"/>
  <c r="Q13" i="2214"/>
  <c r="P13" i="2214"/>
  <c r="G13" i="2214"/>
  <c r="F13" i="2214"/>
  <c r="E13" i="2214"/>
  <c r="D13" i="2214"/>
  <c r="BO12" i="2214"/>
  <c r="BS12" i="2214" s="1"/>
  <c r="BM12" i="2214"/>
  <c r="BL12" i="2214"/>
  <c r="BP12" i="2214" s="1"/>
  <c r="BR12" i="2214" s="1"/>
  <c r="BG12" i="2214"/>
  <c r="BD12" i="2214"/>
  <c r="BF12" i="2214" s="1"/>
  <c r="AU12" i="2214"/>
  <c r="AR12" i="2214"/>
  <c r="AT12" i="2214" s="1"/>
  <c r="AI12" i="2214"/>
  <c r="AF12" i="2214"/>
  <c r="AH12" i="2214" s="1"/>
  <c r="W12" i="2214"/>
  <c r="V12" i="2214"/>
  <c r="T12" i="2214"/>
  <c r="K12" i="2214"/>
  <c r="H12" i="2214"/>
  <c r="J12" i="2214" s="1"/>
  <c r="BO11" i="2214"/>
  <c r="BS11" i="2214" s="1"/>
  <c r="BM11" i="2214"/>
  <c r="BL11" i="2214"/>
  <c r="BG11" i="2214"/>
  <c r="BD11" i="2214"/>
  <c r="BF11" i="2214" s="1"/>
  <c r="AU11" i="2214"/>
  <c r="AR11" i="2214"/>
  <c r="AT11" i="2214" s="1"/>
  <c r="AI11" i="2214"/>
  <c r="AF11" i="2214"/>
  <c r="AH11" i="2214" s="1"/>
  <c r="W11" i="2214"/>
  <c r="T11" i="2214"/>
  <c r="V11" i="2214" s="1"/>
  <c r="K11" i="2214"/>
  <c r="H11" i="2214"/>
  <c r="J11" i="2214" s="1"/>
  <c r="BO10" i="2214"/>
  <c r="BS10" i="2214" s="1"/>
  <c r="BM10" i="2214"/>
  <c r="BL10" i="2214"/>
  <c r="BP10" i="2214" s="1"/>
  <c r="BG10" i="2214"/>
  <c r="BD10" i="2214"/>
  <c r="BF10" i="2214" s="1"/>
  <c r="AU10" i="2214"/>
  <c r="AR10" i="2214"/>
  <c r="AT10" i="2214" s="1"/>
  <c r="AI10" i="2214"/>
  <c r="AF10" i="2214"/>
  <c r="AH10" i="2214" s="1"/>
  <c r="W10" i="2214"/>
  <c r="T10" i="2214"/>
  <c r="V10" i="2214" s="1"/>
  <c r="K10" i="2214"/>
  <c r="H10" i="2214"/>
  <c r="J10" i="2214" s="1"/>
  <c r="BO9" i="2214"/>
  <c r="BS9" i="2214" s="1"/>
  <c r="BM9" i="2214"/>
  <c r="BL9" i="2214"/>
  <c r="BG9" i="2214"/>
  <c r="BD9" i="2214"/>
  <c r="BF9" i="2214" s="1"/>
  <c r="AU9" i="2214"/>
  <c r="AR9" i="2214"/>
  <c r="AT9" i="2214" s="1"/>
  <c r="AI9" i="2214"/>
  <c r="AF9" i="2214"/>
  <c r="AH9" i="2214" s="1"/>
  <c r="W9" i="2214"/>
  <c r="T9" i="2214"/>
  <c r="V9" i="2214" s="1"/>
  <c r="K9" i="2214"/>
  <c r="H9" i="2214"/>
  <c r="J9" i="2214" s="1"/>
  <c r="BO8" i="2214"/>
  <c r="BS8" i="2214" s="1"/>
  <c r="BM8" i="2214"/>
  <c r="BL8" i="2214"/>
  <c r="BG8" i="2214"/>
  <c r="BD8" i="2214"/>
  <c r="BF8" i="2214" s="1"/>
  <c r="AU8" i="2214"/>
  <c r="AR8" i="2214"/>
  <c r="AT8" i="2214" s="1"/>
  <c r="AI8" i="2214"/>
  <c r="AF8" i="2214"/>
  <c r="AH8" i="2214" s="1"/>
  <c r="W8" i="2214"/>
  <c r="T8" i="2214"/>
  <c r="V8" i="2214" s="1"/>
  <c r="K8" i="2214"/>
  <c r="H8" i="2214"/>
  <c r="J8" i="2214" s="1"/>
  <c r="BO7" i="2214"/>
  <c r="BS7" i="2214" s="1"/>
  <c r="BM7" i="2214"/>
  <c r="BL7" i="2214"/>
  <c r="BG7" i="2214"/>
  <c r="BD7" i="2214"/>
  <c r="BF7" i="2214" s="1"/>
  <c r="AU7" i="2214"/>
  <c r="AR7" i="2214"/>
  <c r="AT7" i="2214" s="1"/>
  <c r="AI7" i="2214"/>
  <c r="AI13" i="2214" s="1"/>
  <c r="AF7" i="2214"/>
  <c r="AH7" i="2214" s="1"/>
  <c r="W7" i="2214"/>
  <c r="T7" i="2214"/>
  <c r="V7" i="2214" s="1"/>
  <c r="K7" i="2214"/>
  <c r="H7" i="2214"/>
  <c r="J7" i="2214" s="1"/>
  <c r="BO6" i="2214"/>
  <c r="BS6" i="2214" s="1"/>
  <c r="BM6" i="2214"/>
  <c r="BL6" i="2214"/>
  <c r="BG6" i="2214"/>
  <c r="BD6" i="2214"/>
  <c r="BF6" i="2214" s="1"/>
  <c r="AU6" i="2214"/>
  <c r="AR6" i="2214"/>
  <c r="AT6" i="2214" s="1"/>
  <c r="AI6" i="2214"/>
  <c r="AF6" i="2214"/>
  <c r="AH6" i="2214" s="1"/>
  <c r="W6" i="2214"/>
  <c r="T6" i="2214"/>
  <c r="V6" i="2214" s="1"/>
  <c r="K6" i="2214"/>
  <c r="H6" i="2214"/>
  <c r="J6" i="2214" s="1"/>
  <c r="BO5" i="2214"/>
  <c r="BS5" i="2214" s="1"/>
  <c r="BM5" i="2214"/>
  <c r="BL5" i="2214"/>
  <c r="BG5" i="2214"/>
  <c r="BD5" i="2214"/>
  <c r="BF5" i="2214" s="1"/>
  <c r="AU5" i="2214"/>
  <c r="AR5" i="2214"/>
  <c r="AT5" i="2214" s="1"/>
  <c r="AI5" i="2214"/>
  <c r="AF5" i="2214"/>
  <c r="W5" i="2214"/>
  <c r="T5" i="2214"/>
  <c r="V5" i="2214" s="1"/>
  <c r="K5" i="2214"/>
  <c r="H5" i="2214"/>
  <c r="J5" i="2214" s="1"/>
  <c r="BO4" i="2214"/>
  <c r="BM4" i="2214"/>
  <c r="BL4" i="2214"/>
  <c r="BG4" i="2214"/>
  <c r="BG13" i="2214" s="1"/>
  <c r="BD4" i="2214"/>
  <c r="BF4" i="2214" s="1"/>
  <c r="AU4" i="2214"/>
  <c r="AR4" i="2214"/>
  <c r="AT4" i="2214" s="1"/>
  <c r="AI4" i="2214"/>
  <c r="AF4" i="2214"/>
  <c r="AH4" i="2214" s="1"/>
  <c r="W4" i="2214"/>
  <c r="T4" i="2214"/>
  <c r="K4" i="2214"/>
  <c r="H4" i="2214"/>
  <c r="J4" i="2214" s="1"/>
  <c r="BR2" i="2214"/>
  <c r="BQ2" i="2214"/>
  <c r="BF2" i="2214"/>
  <c r="AT2" i="2214"/>
  <c r="AH2" i="2214"/>
  <c r="V2" i="2214"/>
  <c r="BF14" i="2213"/>
  <c r="AY29" i="2213"/>
  <c r="BF17" i="2213"/>
  <c r="BF16" i="2213"/>
  <c r="BQ16" i="2215" l="1"/>
  <c r="BO13" i="2214"/>
  <c r="BP6" i="2214"/>
  <c r="BR6" i="2214" s="1"/>
  <c r="V26" i="2214"/>
  <c r="V35" i="2214" s="1"/>
  <c r="V18" i="2214" s="1"/>
  <c r="W13" i="2214"/>
  <c r="K13" i="2214"/>
  <c r="BP9" i="2214"/>
  <c r="AU13" i="2214"/>
  <c r="BR23" i="2214"/>
  <c r="BP11" i="2214"/>
  <c r="BT11" i="2214" s="1"/>
  <c r="AR13" i="2214"/>
  <c r="AF13" i="2214"/>
  <c r="BP8" i="2214"/>
  <c r="BR8" i="2214" s="1"/>
  <c r="T13" i="2214"/>
  <c r="BP7" i="2214"/>
  <c r="BR7" i="2214" s="1"/>
  <c r="BL13" i="2214"/>
  <c r="BP5" i="2214"/>
  <c r="BT5" i="2214" s="1"/>
  <c r="BM13" i="2214"/>
  <c r="BR19" i="2214"/>
  <c r="BT9" i="2214"/>
  <c r="BR9" i="2214"/>
  <c r="BF13" i="2214"/>
  <c r="AT13" i="2214"/>
  <c r="BT10" i="2214"/>
  <c r="BR10" i="2214"/>
  <c r="J13" i="2214"/>
  <c r="V4" i="2214"/>
  <c r="V13" i="2214" s="1"/>
  <c r="BT6" i="2214"/>
  <c r="BP4" i="2214"/>
  <c r="J35" i="2214"/>
  <c r="J18" i="2214" s="1"/>
  <c r="BS4" i="2214"/>
  <c r="BS13" i="2214" s="1"/>
  <c r="BD13" i="2214"/>
  <c r="AH5" i="2214"/>
  <c r="AH13" i="2214" s="1"/>
  <c r="AH22" i="2214" s="1"/>
  <c r="AI14" i="2214" s="1"/>
  <c r="H13" i="2214"/>
  <c r="BF15" i="2213"/>
  <c r="AT14" i="2213"/>
  <c r="AT17" i="2213"/>
  <c r="AT16" i="2213"/>
  <c r="BR11" i="2214" l="1"/>
  <c r="BR18" i="2214"/>
  <c r="BT8" i="2214"/>
  <c r="BT7" i="2214"/>
  <c r="BR5" i="2214"/>
  <c r="V22" i="2214"/>
  <c r="W14" i="2214" s="1"/>
  <c r="U16" i="2214"/>
  <c r="AG16" i="2214"/>
  <c r="I16" i="2214"/>
  <c r="J22" i="2214"/>
  <c r="BF22" i="2214"/>
  <c r="BE16" i="2214"/>
  <c r="BP13" i="2214"/>
  <c r="BU14" i="2214" s="1"/>
  <c r="BT4" i="2214"/>
  <c r="BR4" i="2214"/>
  <c r="AT22" i="2214"/>
  <c r="AU14" i="2214" s="1"/>
  <c r="AS16" i="2214"/>
  <c r="AH26" i="2213"/>
  <c r="AH17" i="2213"/>
  <c r="AH14" i="2213"/>
  <c r="AH15" i="2213"/>
  <c r="AH16" i="2213"/>
  <c r="BT12" i="2214" l="1"/>
  <c r="BR13" i="2214"/>
  <c r="BR22" i="2214" s="1"/>
  <c r="BS14" i="2214" s="1"/>
  <c r="BQ16" i="2214" l="1"/>
  <c r="J14" i="2213"/>
  <c r="V17" i="2213"/>
  <c r="V14" i="2213"/>
  <c r="V15" i="2213"/>
  <c r="V16" i="2213"/>
  <c r="G26" i="2213" l="1"/>
  <c r="J17" i="2213"/>
  <c r="J15" i="2213"/>
  <c r="BR15" i="2213" s="1"/>
  <c r="J16" i="2213"/>
  <c r="BR16" i="2213" s="1"/>
  <c r="AA37" i="2213"/>
  <c r="AA38" i="2213" s="1"/>
  <c r="BR35" i="2213"/>
  <c r="BO35" i="2213"/>
  <c r="BK35" i="2213"/>
  <c r="BF35" i="2213"/>
  <c r="BC35" i="2213"/>
  <c r="AY35" i="2213"/>
  <c r="BF19" i="2213" s="1"/>
  <c r="AT35" i="2213"/>
  <c r="AQ35" i="2213"/>
  <c r="AM35" i="2213"/>
  <c r="AT19" i="2213" s="1"/>
  <c r="AE35" i="2213"/>
  <c r="AA35" i="2213"/>
  <c r="S35" i="2213"/>
  <c r="O35" i="2213"/>
  <c r="V19" i="2213" s="1"/>
  <c r="G35" i="2213"/>
  <c r="C35" i="2213"/>
  <c r="J19" i="2213" s="1"/>
  <c r="AH35" i="2213"/>
  <c r="AH18" i="2213" s="1"/>
  <c r="BA22" i="2213"/>
  <c r="AO22" i="2213"/>
  <c r="AC22" i="2213"/>
  <c r="Q22" i="2213"/>
  <c r="E22" i="2213"/>
  <c r="BR21" i="2213"/>
  <c r="BA21" i="2213"/>
  <c r="AO21" i="2213"/>
  <c r="AC21" i="2213"/>
  <c r="Q21" i="2213"/>
  <c r="E21" i="2213"/>
  <c r="BR20" i="2213"/>
  <c r="BA20" i="2213"/>
  <c r="AO20" i="2213"/>
  <c r="AC20" i="2213"/>
  <c r="Q20" i="2213"/>
  <c r="E20" i="2213"/>
  <c r="BA19" i="2213"/>
  <c r="AO19" i="2213"/>
  <c r="AH19" i="2213"/>
  <c r="AC19" i="2213"/>
  <c r="Q19" i="2213"/>
  <c r="E19" i="2213"/>
  <c r="BF18" i="2213"/>
  <c r="BA18" i="2213"/>
  <c r="AT18" i="2213"/>
  <c r="AO18" i="2213"/>
  <c r="AC18" i="2213"/>
  <c r="Q18" i="2213"/>
  <c r="E18" i="2213"/>
  <c r="BR17" i="2213"/>
  <c r="BA17" i="2213"/>
  <c r="AO17" i="2213"/>
  <c r="AC17" i="2213"/>
  <c r="Q17" i="2213"/>
  <c r="E17" i="2213"/>
  <c r="BA16" i="2213"/>
  <c r="AO16" i="2213"/>
  <c r="AC16" i="2213"/>
  <c r="Q16" i="2213"/>
  <c r="E16" i="2213"/>
  <c r="BR14" i="2213"/>
  <c r="BN13" i="2213"/>
  <c r="BC13" i="2213"/>
  <c r="BB13" i="2213"/>
  <c r="BA13" i="2213"/>
  <c r="AZ13" i="2213"/>
  <c r="AQ13" i="2213"/>
  <c r="AP13" i="2213"/>
  <c r="AO13" i="2213"/>
  <c r="AN13" i="2213"/>
  <c r="AE13" i="2213"/>
  <c r="AD13" i="2213"/>
  <c r="AC13" i="2213"/>
  <c r="AB13" i="2213"/>
  <c r="S13" i="2213"/>
  <c r="R13" i="2213"/>
  <c r="Q13" i="2213"/>
  <c r="P13" i="2213"/>
  <c r="G13" i="2213"/>
  <c r="F13" i="2213"/>
  <c r="E13" i="2213"/>
  <c r="D13" i="2213"/>
  <c r="BS12" i="2213"/>
  <c r="BP12" i="2213"/>
  <c r="BR12" i="2213" s="1"/>
  <c r="BO12" i="2213"/>
  <c r="BM12" i="2213"/>
  <c r="BL12" i="2213"/>
  <c r="BG12" i="2213"/>
  <c r="BD12" i="2213"/>
  <c r="BF12" i="2213" s="1"/>
  <c r="AU12" i="2213"/>
  <c r="AT12" i="2213"/>
  <c r="AR12" i="2213"/>
  <c r="AI12" i="2213"/>
  <c r="AF12" i="2213"/>
  <c r="AH12" i="2213" s="1"/>
  <c r="W12" i="2213"/>
  <c r="T12" i="2213"/>
  <c r="V12" i="2213" s="1"/>
  <c r="K12" i="2213"/>
  <c r="H12" i="2213"/>
  <c r="J12" i="2213" s="1"/>
  <c r="BO11" i="2213"/>
  <c r="BS11" i="2213" s="1"/>
  <c r="BM11" i="2213"/>
  <c r="BL11" i="2213"/>
  <c r="BG11" i="2213"/>
  <c r="BF11" i="2213"/>
  <c r="BD11" i="2213"/>
  <c r="AU11" i="2213"/>
  <c r="AT11" i="2213"/>
  <c r="AR11" i="2213"/>
  <c r="AI11" i="2213"/>
  <c r="AF11" i="2213"/>
  <c r="AH11" i="2213" s="1"/>
  <c r="W11" i="2213"/>
  <c r="T11" i="2213"/>
  <c r="V11" i="2213" s="1"/>
  <c r="K11" i="2213"/>
  <c r="J11" i="2213"/>
  <c r="H11" i="2213"/>
  <c r="BO10" i="2213"/>
  <c r="BS10" i="2213" s="1"/>
  <c r="BM10" i="2213"/>
  <c r="BL10" i="2213"/>
  <c r="BG10" i="2213"/>
  <c r="BD10" i="2213"/>
  <c r="BF10" i="2213" s="1"/>
  <c r="AU10" i="2213"/>
  <c r="AR10" i="2213"/>
  <c r="AT10" i="2213" s="1"/>
  <c r="AI10" i="2213"/>
  <c r="AF10" i="2213"/>
  <c r="AH10" i="2213" s="1"/>
  <c r="W10" i="2213"/>
  <c r="T10" i="2213"/>
  <c r="V10" i="2213" s="1"/>
  <c r="K10" i="2213"/>
  <c r="H10" i="2213"/>
  <c r="J10" i="2213" s="1"/>
  <c r="BO9" i="2213"/>
  <c r="BS9" i="2213" s="1"/>
  <c r="BM9" i="2213"/>
  <c r="BL9" i="2213"/>
  <c r="BG9" i="2213"/>
  <c r="BD9" i="2213"/>
  <c r="BF9" i="2213" s="1"/>
  <c r="AU9" i="2213"/>
  <c r="AR9" i="2213"/>
  <c r="AT9" i="2213" s="1"/>
  <c r="AI9" i="2213"/>
  <c r="AF9" i="2213"/>
  <c r="AH9" i="2213" s="1"/>
  <c r="W9" i="2213"/>
  <c r="T9" i="2213"/>
  <c r="V9" i="2213" s="1"/>
  <c r="K9" i="2213"/>
  <c r="H9" i="2213"/>
  <c r="J9" i="2213" s="1"/>
  <c r="BO8" i="2213"/>
  <c r="BS8" i="2213" s="1"/>
  <c r="BM8" i="2213"/>
  <c r="BL8" i="2213"/>
  <c r="BG8" i="2213"/>
  <c r="BD8" i="2213"/>
  <c r="BF8" i="2213" s="1"/>
  <c r="AU8" i="2213"/>
  <c r="AR8" i="2213"/>
  <c r="AT8" i="2213" s="1"/>
  <c r="AI8" i="2213"/>
  <c r="AF8" i="2213"/>
  <c r="AH8" i="2213" s="1"/>
  <c r="W8" i="2213"/>
  <c r="T8" i="2213"/>
  <c r="V8" i="2213" s="1"/>
  <c r="K8" i="2213"/>
  <c r="H8" i="2213"/>
  <c r="J8" i="2213" s="1"/>
  <c r="BO7" i="2213"/>
  <c r="BS7" i="2213" s="1"/>
  <c r="BM7" i="2213"/>
  <c r="BL7" i="2213"/>
  <c r="BG7" i="2213"/>
  <c r="BD7" i="2213"/>
  <c r="BF7" i="2213" s="1"/>
  <c r="AU7" i="2213"/>
  <c r="AU13" i="2213" s="1"/>
  <c r="AR7" i="2213"/>
  <c r="AT7" i="2213" s="1"/>
  <c r="AI7" i="2213"/>
  <c r="AF7" i="2213"/>
  <c r="AH7" i="2213" s="1"/>
  <c r="W7" i="2213"/>
  <c r="T7" i="2213"/>
  <c r="V7" i="2213" s="1"/>
  <c r="K7" i="2213"/>
  <c r="H7" i="2213"/>
  <c r="J7" i="2213" s="1"/>
  <c r="BO6" i="2213"/>
  <c r="BS6" i="2213" s="1"/>
  <c r="BM6" i="2213"/>
  <c r="BL6" i="2213"/>
  <c r="BG6" i="2213"/>
  <c r="BD6" i="2213"/>
  <c r="BF6" i="2213" s="1"/>
  <c r="AU6" i="2213"/>
  <c r="AR6" i="2213"/>
  <c r="AT6" i="2213" s="1"/>
  <c r="AI6" i="2213"/>
  <c r="AF6" i="2213"/>
  <c r="AH6" i="2213" s="1"/>
  <c r="W6" i="2213"/>
  <c r="T6" i="2213"/>
  <c r="V6" i="2213" s="1"/>
  <c r="K6" i="2213"/>
  <c r="H6" i="2213"/>
  <c r="J6" i="2213" s="1"/>
  <c r="BS5" i="2213"/>
  <c r="BO5" i="2213"/>
  <c r="BM5" i="2213"/>
  <c r="BL5" i="2213"/>
  <c r="BG5" i="2213"/>
  <c r="BD5" i="2213"/>
  <c r="BF5" i="2213" s="1"/>
  <c r="AU5" i="2213"/>
  <c r="AR5" i="2213"/>
  <c r="AT5" i="2213" s="1"/>
  <c r="AI5" i="2213"/>
  <c r="AF5" i="2213"/>
  <c r="AH5" i="2213" s="1"/>
  <c r="W5" i="2213"/>
  <c r="T5" i="2213"/>
  <c r="V5" i="2213" s="1"/>
  <c r="K5" i="2213"/>
  <c r="H5" i="2213"/>
  <c r="BS4" i="2213"/>
  <c r="BO4" i="2213"/>
  <c r="BO13" i="2213" s="1"/>
  <c r="BM4" i="2213"/>
  <c r="BL4" i="2213"/>
  <c r="BG4" i="2213"/>
  <c r="BG13" i="2213" s="1"/>
  <c r="BD4" i="2213"/>
  <c r="BF4" i="2213" s="1"/>
  <c r="AU4" i="2213"/>
  <c r="AR4" i="2213"/>
  <c r="AT4" i="2213" s="1"/>
  <c r="AI4" i="2213"/>
  <c r="AI13" i="2213" s="1"/>
  <c r="AF4" i="2213"/>
  <c r="W4" i="2213"/>
  <c r="W13" i="2213" s="1"/>
  <c r="T4" i="2213"/>
  <c r="V4" i="2213" s="1"/>
  <c r="K4" i="2213"/>
  <c r="K13" i="2213" s="1"/>
  <c r="H4" i="2213"/>
  <c r="J4" i="2213" s="1"/>
  <c r="BR2" i="2213"/>
  <c r="BQ2" i="2213"/>
  <c r="BF2" i="2213"/>
  <c r="AT2" i="2213"/>
  <c r="AH2" i="2213"/>
  <c r="V2" i="2213"/>
  <c r="AT14" i="2212"/>
  <c r="AT17" i="2212"/>
  <c r="AT16" i="2212"/>
  <c r="BS13" i="2213" l="1"/>
  <c r="BP11" i="2213"/>
  <c r="BR11" i="2213" s="1"/>
  <c r="V26" i="2213"/>
  <c r="V35" i="2213" s="1"/>
  <c r="V18" i="2213" s="1"/>
  <c r="BP10" i="2213"/>
  <c r="BT10" i="2213" s="1"/>
  <c r="BF13" i="2213"/>
  <c r="BF22" i="2213" s="1"/>
  <c r="BD13" i="2213"/>
  <c r="BP5" i="2213"/>
  <c r="BR5" i="2213" s="1"/>
  <c r="AF13" i="2213"/>
  <c r="BR19" i="2213"/>
  <c r="H13" i="2213"/>
  <c r="AR13" i="2213"/>
  <c r="AT13" i="2213"/>
  <c r="AS16" i="2213" s="1"/>
  <c r="BP4" i="2213"/>
  <c r="BR4" i="2213" s="1"/>
  <c r="AH4" i="2213"/>
  <c r="AH13" i="2213" s="1"/>
  <c r="BP8" i="2213"/>
  <c r="BR8" i="2213" s="1"/>
  <c r="BR23" i="2213"/>
  <c r="V13" i="2213"/>
  <c r="BM13" i="2213"/>
  <c r="BP9" i="2213"/>
  <c r="BR9" i="2213" s="1"/>
  <c r="BP6" i="2213"/>
  <c r="T13" i="2213"/>
  <c r="BP7" i="2213"/>
  <c r="BR7" i="2213" s="1"/>
  <c r="J5" i="2213"/>
  <c r="J13" i="2213"/>
  <c r="BL13" i="2213"/>
  <c r="I16" i="2213"/>
  <c r="J35" i="2213"/>
  <c r="J18" i="2213" s="1"/>
  <c r="BT5" i="2213"/>
  <c r="BR10" i="2213"/>
  <c r="BT11" i="2213"/>
  <c r="AT15" i="2212"/>
  <c r="AH14" i="2212"/>
  <c r="AE26" i="2212"/>
  <c r="BT7" i="2213" l="1"/>
  <c r="V22" i="2213"/>
  <c r="W14" i="2213" s="1"/>
  <c r="BR18" i="2213"/>
  <c r="BE16" i="2213"/>
  <c r="J22" i="2213"/>
  <c r="BT4" i="2213"/>
  <c r="BP13" i="2213"/>
  <c r="BU14" i="2213" s="1"/>
  <c r="AT22" i="2213"/>
  <c r="AU14" i="2213" s="1"/>
  <c r="AH22" i="2213"/>
  <c r="AI14" i="2213" s="1"/>
  <c r="AG16" i="2213"/>
  <c r="BT9" i="2213"/>
  <c r="BT8" i="2213"/>
  <c r="BT6" i="2213"/>
  <c r="BR6" i="2213"/>
  <c r="BR13" i="2213" s="1"/>
  <c r="U16" i="2213"/>
  <c r="AH17" i="2212"/>
  <c r="AH15" i="2212"/>
  <c r="AH16" i="2212"/>
  <c r="BT12" i="2213" l="1"/>
  <c r="BQ16" i="2213"/>
  <c r="BR22" i="2213"/>
  <c r="BS14" i="2213" s="1"/>
  <c r="V14" i="2212"/>
  <c r="V16" i="2212" l="1"/>
  <c r="G26" i="2212" l="1"/>
  <c r="G35" i="2212" s="1"/>
  <c r="J26" i="2212" s="1"/>
  <c r="J17" i="2212"/>
  <c r="J14" i="2212"/>
  <c r="BR14" i="2212" s="1"/>
  <c r="J15" i="2212"/>
  <c r="J16" i="2212"/>
  <c r="BR17" i="2212"/>
  <c r="BR15" i="2212"/>
  <c r="AA37" i="2212"/>
  <c r="AA38" i="2212" s="1"/>
  <c r="BR35" i="2212"/>
  <c r="BO35" i="2212"/>
  <c r="BK35" i="2212"/>
  <c r="BF35" i="2212"/>
  <c r="BC35" i="2212"/>
  <c r="AY35" i="2212"/>
  <c r="AT35" i="2212"/>
  <c r="AQ35" i="2212"/>
  <c r="AM35" i="2212"/>
  <c r="AT19" i="2212" s="1"/>
  <c r="AE35" i="2212"/>
  <c r="AH26" i="2212" s="1"/>
  <c r="AH35" i="2212" s="1"/>
  <c r="AH18" i="2212" s="1"/>
  <c r="AA35" i="2212"/>
  <c r="S35" i="2212"/>
  <c r="O35" i="2212"/>
  <c r="C35" i="2212"/>
  <c r="J19" i="2212" s="1"/>
  <c r="V35" i="2212"/>
  <c r="V18" i="2212" s="1"/>
  <c r="BA22" i="2212"/>
  <c r="AO22" i="2212"/>
  <c r="AC22" i="2212"/>
  <c r="Q22" i="2212"/>
  <c r="E22" i="2212"/>
  <c r="BR21" i="2212"/>
  <c r="BA21" i="2212"/>
  <c r="AO21" i="2212"/>
  <c r="AC21" i="2212"/>
  <c r="Q21" i="2212"/>
  <c r="E21" i="2212"/>
  <c r="BR20" i="2212"/>
  <c r="BA20" i="2212"/>
  <c r="AO20" i="2212"/>
  <c r="AC20" i="2212"/>
  <c r="Q20" i="2212"/>
  <c r="E20" i="2212"/>
  <c r="BF19" i="2212"/>
  <c r="BA19" i="2212"/>
  <c r="AO19" i="2212"/>
  <c r="AH19" i="2212"/>
  <c r="AC19" i="2212"/>
  <c r="V19" i="2212"/>
  <c r="Q19" i="2212"/>
  <c r="E19" i="2212"/>
  <c r="BF18" i="2212"/>
  <c r="BA18" i="2212"/>
  <c r="AT18" i="2212"/>
  <c r="AO18" i="2212"/>
  <c r="AC18" i="2212"/>
  <c r="Q18" i="2212"/>
  <c r="E18" i="2212"/>
  <c r="BA17" i="2212"/>
  <c r="AO17" i="2212"/>
  <c r="AC17" i="2212"/>
  <c r="Q17" i="2212"/>
  <c r="E17" i="2212"/>
  <c r="BA16" i="2212"/>
  <c r="AO16" i="2212"/>
  <c r="AC16" i="2212"/>
  <c r="BR16" i="2212"/>
  <c r="Q16" i="2212"/>
  <c r="E16" i="2212"/>
  <c r="BN13" i="2212"/>
  <c r="BC13" i="2212"/>
  <c r="BB13" i="2212"/>
  <c r="BA13" i="2212"/>
  <c r="AZ13" i="2212"/>
  <c r="AQ13" i="2212"/>
  <c r="AP13" i="2212"/>
  <c r="AO13" i="2212"/>
  <c r="AN13" i="2212"/>
  <c r="AE13" i="2212"/>
  <c r="AD13" i="2212"/>
  <c r="AC13" i="2212"/>
  <c r="AB13" i="2212"/>
  <c r="S13" i="2212"/>
  <c r="R13" i="2212"/>
  <c r="Q13" i="2212"/>
  <c r="P13" i="2212"/>
  <c r="G13" i="2212"/>
  <c r="F13" i="2212"/>
  <c r="E13" i="2212"/>
  <c r="D13" i="2212"/>
  <c r="BS12" i="2212"/>
  <c r="BO12" i="2212"/>
  <c r="BM12" i="2212"/>
  <c r="BL12" i="2212"/>
  <c r="BP12" i="2212" s="1"/>
  <c r="BR12" i="2212" s="1"/>
  <c r="BG12" i="2212"/>
  <c r="BD12" i="2212"/>
  <c r="BF12" i="2212" s="1"/>
  <c r="AU12" i="2212"/>
  <c r="AR12" i="2212"/>
  <c r="AT12" i="2212" s="1"/>
  <c r="AI12" i="2212"/>
  <c r="AF12" i="2212"/>
  <c r="AH12" i="2212" s="1"/>
  <c r="W12" i="2212"/>
  <c r="T12" i="2212"/>
  <c r="V12" i="2212" s="1"/>
  <c r="K12" i="2212"/>
  <c r="H12" i="2212"/>
  <c r="J12" i="2212" s="1"/>
  <c r="BO11" i="2212"/>
  <c r="BS11" i="2212" s="1"/>
  <c r="BM11" i="2212"/>
  <c r="BL11" i="2212"/>
  <c r="BG11" i="2212"/>
  <c r="BD11" i="2212"/>
  <c r="BF11" i="2212" s="1"/>
  <c r="AU11" i="2212"/>
  <c r="AR11" i="2212"/>
  <c r="AT11" i="2212" s="1"/>
  <c r="AI11" i="2212"/>
  <c r="AF11" i="2212"/>
  <c r="AH11" i="2212" s="1"/>
  <c r="W11" i="2212"/>
  <c r="T11" i="2212"/>
  <c r="V11" i="2212" s="1"/>
  <c r="K11" i="2212"/>
  <c r="H11" i="2212"/>
  <c r="J11" i="2212" s="1"/>
  <c r="BS10" i="2212"/>
  <c r="BO10" i="2212"/>
  <c r="BM10" i="2212"/>
  <c r="BL10" i="2212"/>
  <c r="BG10" i="2212"/>
  <c r="BD10" i="2212"/>
  <c r="BF10" i="2212" s="1"/>
  <c r="AU10" i="2212"/>
  <c r="AR10" i="2212"/>
  <c r="AT10" i="2212" s="1"/>
  <c r="AI10" i="2212"/>
  <c r="AF10" i="2212"/>
  <c r="AH10" i="2212" s="1"/>
  <c r="W10" i="2212"/>
  <c r="T10" i="2212"/>
  <c r="V10" i="2212" s="1"/>
  <c r="K10" i="2212"/>
  <c r="H10" i="2212"/>
  <c r="J10" i="2212" s="1"/>
  <c r="BO9" i="2212"/>
  <c r="BS9" i="2212" s="1"/>
  <c r="BM9" i="2212"/>
  <c r="BL9" i="2212"/>
  <c r="BG9" i="2212"/>
  <c r="BD9" i="2212"/>
  <c r="BF9" i="2212" s="1"/>
  <c r="AU9" i="2212"/>
  <c r="AR9" i="2212"/>
  <c r="AT9" i="2212" s="1"/>
  <c r="AI9" i="2212"/>
  <c r="AF9" i="2212"/>
  <c r="AH9" i="2212" s="1"/>
  <c r="W9" i="2212"/>
  <c r="T9" i="2212"/>
  <c r="V9" i="2212" s="1"/>
  <c r="K9" i="2212"/>
  <c r="H9" i="2212"/>
  <c r="J9" i="2212" s="1"/>
  <c r="BO8" i="2212"/>
  <c r="BS8" i="2212" s="1"/>
  <c r="BM8" i="2212"/>
  <c r="BL8" i="2212"/>
  <c r="BG8" i="2212"/>
  <c r="BD8" i="2212"/>
  <c r="BF8" i="2212" s="1"/>
  <c r="AU8" i="2212"/>
  <c r="AR8" i="2212"/>
  <c r="AT8" i="2212" s="1"/>
  <c r="AI8" i="2212"/>
  <c r="AF8" i="2212"/>
  <c r="AH8" i="2212" s="1"/>
  <c r="W8" i="2212"/>
  <c r="T8" i="2212"/>
  <c r="V8" i="2212" s="1"/>
  <c r="K8" i="2212"/>
  <c r="H8" i="2212"/>
  <c r="J8" i="2212" s="1"/>
  <c r="BO7" i="2212"/>
  <c r="BS7" i="2212" s="1"/>
  <c r="BM7" i="2212"/>
  <c r="BL7" i="2212"/>
  <c r="BG7" i="2212"/>
  <c r="BD7" i="2212"/>
  <c r="BF7" i="2212" s="1"/>
  <c r="AU7" i="2212"/>
  <c r="AR7" i="2212"/>
  <c r="AT7" i="2212" s="1"/>
  <c r="AI7" i="2212"/>
  <c r="AF7" i="2212"/>
  <c r="AH7" i="2212" s="1"/>
  <c r="W7" i="2212"/>
  <c r="T7" i="2212"/>
  <c r="V7" i="2212" s="1"/>
  <c r="K7" i="2212"/>
  <c r="H7" i="2212"/>
  <c r="J7" i="2212" s="1"/>
  <c r="BO6" i="2212"/>
  <c r="BS6" i="2212" s="1"/>
  <c r="BM6" i="2212"/>
  <c r="BL6" i="2212"/>
  <c r="BG6" i="2212"/>
  <c r="BD6" i="2212"/>
  <c r="BF6" i="2212" s="1"/>
  <c r="AU6" i="2212"/>
  <c r="AR6" i="2212"/>
  <c r="AT6" i="2212" s="1"/>
  <c r="AI6" i="2212"/>
  <c r="AF6" i="2212"/>
  <c r="AH6" i="2212" s="1"/>
  <c r="W6" i="2212"/>
  <c r="T6" i="2212"/>
  <c r="V6" i="2212" s="1"/>
  <c r="K6" i="2212"/>
  <c r="H6" i="2212"/>
  <c r="J6" i="2212" s="1"/>
  <c r="BO5" i="2212"/>
  <c r="BS5" i="2212" s="1"/>
  <c r="BM5" i="2212"/>
  <c r="BL5" i="2212"/>
  <c r="BG5" i="2212"/>
  <c r="BD5" i="2212"/>
  <c r="BF5" i="2212" s="1"/>
  <c r="AU5" i="2212"/>
  <c r="AR5" i="2212"/>
  <c r="AT5" i="2212" s="1"/>
  <c r="AI5" i="2212"/>
  <c r="AF5" i="2212"/>
  <c r="AH5" i="2212" s="1"/>
  <c r="W5" i="2212"/>
  <c r="T5" i="2212"/>
  <c r="V5" i="2212" s="1"/>
  <c r="K5" i="2212"/>
  <c r="H5" i="2212"/>
  <c r="J5" i="2212" s="1"/>
  <c r="BO4" i="2212"/>
  <c r="BS4" i="2212" s="1"/>
  <c r="BM4" i="2212"/>
  <c r="BL4" i="2212"/>
  <c r="BG4" i="2212"/>
  <c r="BD4" i="2212"/>
  <c r="BF4" i="2212" s="1"/>
  <c r="AU4" i="2212"/>
  <c r="AR4" i="2212"/>
  <c r="AT4" i="2212" s="1"/>
  <c r="AI4" i="2212"/>
  <c r="AF4" i="2212"/>
  <c r="W4" i="2212"/>
  <c r="T4" i="2212"/>
  <c r="K4" i="2212"/>
  <c r="H4" i="2212"/>
  <c r="J4" i="2212" s="1"/>
  <c r="BR2" i="2212"/>
  <c r="BQ2" i="2212"/>
  <c r="BF2" i="2212"/>
  <c r="AT2" i="2212"/>
  <c r="AH2" i="2212"/>
  <c r="V2" i="2212"/>
  <c r="BP11" i="2212" l="1"/>
  <c r="BO13" i="2212"/>
  <c r="AI13" i="2212"/>
  <c r="W13" i="2212"/>
  <c r="BF13" i="2212"/>
  <c r="K13" i="2212"/>
  <c r="BG13" i="2212"/>
  <c r="BP10" i="2212"/>
  <c r="AU13" i="2212"/>
  <c r="BR19" i="2212"/>
  <c r="BP6" i="2212"/>
  <c r="BT6" i="2212" s="1"/>
  <c r="AF13" i="2212"/>
  <c r="BP9" i="2212"/>
  <c r="BT9" i="2212" s="1"/>
  <c r="BP8" i="2212"/>
  <c r="BT8" i="2212" s="1"/>
  <c r="T13" i="2212"/>
  <c r="BP7" i="2212"/>
  <c r="BR7" i="2212" s="1"/>
  <c r="BP5" i="2212"/>
  <c r="BT5" i="2212" s="1"/>
  <c r="BP4" i="2212"/>
  <c r="BT4" i="2212" s="1"/>
  <c r="BM13" i="2212"/>
  <c r="BS13" i="2212"/>
  <c r="BT10" i="2212"/>
  <c r="BR10" i="2212"/>
  <c r="BF22" i="2212"/>
  <c r="BE16" i="2212"/>
  <c r="J13" i="2212"/>
  <c r="J35" i="2212"/>
  <c r="J18" i="2212" s="1"/>
  <c r="BR18" i="2212" s="1"/>
  <c r="BR23" i="2212"/>
  <c r="AT13" i="2212"/>
  <c r="BT11" i="2212"/>
  <c r="BR11" i="2212"/>
  <c r="BD13" i="2212"/>
  <c r="V4" i="2212"/>
  <c r="V13" i="2212" s="1"/>
  <c r="BL13" i="2212"/>
  <c r="AH4" i="2212"/>
  <c r="AH13" i="2212" s="1"/>
  <c r="AR13" i="2212"/>
  <c r="H13" i="2212"/>
  <c r="J14" i="2211"/>
  <c r="G26" i="2211"/>
  <c r="J17" i="2211"/>
  <c r="J15" i="2211"/>
  <c r="J16" i="2211"/>
  <c r="BR6" i="2212" l="1"/>
  <c r="BR8" i="2212"/>
  <c r="BR9" i="2212"/>
  <c r="BR4" i="2212"/>
  <c r="BP13" i="2212"/>
  <c r="BU14" i="2212" s="1"/>
  <c r="BT7" i="2212"/>
  <c r="BT12" i="2212" s="1"/>
  <c r="BR5" i="2212"/>
  <c r="AH22" i="2212"/>
  <c r="AI14" i="2212" s="1"/>
  <c r="AG16" i="2212"/>
  <c r="I16" i="2212"/>
  <c r="J22" i="2212"/>
  <c r="AT22" i="2212"/>
  <c r="AU14" i="2212" s="1"/>
  <c r="AS16" i="2212"/>
  <c r="V22" i="2212"/>
  <c r="W14" i="2212" s="1"/>
  <c r="U16" i="2212"/>
  <c r="V14" i="2211"/>
  <c r="V17" i="2211"/>
  <c r="V15" i="2211"/>
  <c r="V16" i="2211"/>
  <c r="BR13" i="2212" l="1"/>
  <c r="BR22" i="2212" s="1"/>
  <c r="BS14" i="2212" s="1"/>
  <c r="AA37" i="2211"/>
  <c r="AA38" i="2211" s="1"/>
  <c r="BR35" i="2211"/>
  <c r="BO35" i="2211"/>
  <c r="BK35" i="2211"/>
  <c r="BF35" i="2211"/>
  <c r="BC35" i="2211"/>
  <c r="AY35" i="2211"/>
  <c r="BF19" i="2211" s="1"/>
  <c r="AT35" i="2211"/>
  <c r="AQ35" i="2211"/>
  <c r="AM35" i="2211"/>
  <c r="AT19" i="2211" s="1"/>
  <c r="AH35" i="2211"/>
  <c r="AH18" i="2211" s="1"/>
  <c r="AE35" i="2211"/>
  <c r="AA35" i="2211"/>
  <c r="S35" i="2211"/>
  <c r="V26" i="2211" s="1"/>
  <c r="O35" i="2211"/>
  <c r="C35" i="2211"/>
  <c r="J19" i="2211" s="1"/>
  <c r="V35" i="2211"/>
  <c r="V18" i="2211" s="1"/>
  <c r="G35" i="2211"/>
  <c r="J26" i="2211" s="1"/>
  <c r="BA22" i="2211"/>
  <c r="AO22" i="2211"/>
  <c r="AC22" i="2211"/>
  <c r="Q22" i="2211"/>
  <c r="E22" i="2211"/>
  <c r="BR21" i="2211"/>
  <c r="BA21" i="2211"/>
  <c r="AO21" i="2211"/>
  <c r="AC21" i="2211"/>
  <c r="Q21" i="2211"/>
  <c r="E21" i="2211"/>
  <c r="BR20" i="2211"/>
  <c r="BA20" i="2211"/>
  <c r="AO20" i="2211"/>
  <c r="AC20" i="2211"/>
  <c r="Q20" i="2211"/>
  <c r="E20" i="2211"/>
  <c r="BA19" i="2211"/>
  <c r="AO19" i="2211"/>
  <c r="AH19" i="2211"/>
  <c r="AC19" i="2211"/>
  <c r="V19" i="2211"/>
  <c r="Q19" i="2211"/>
  <c r="E19" i="2211"/>
  <c r="BF18" i="2211"/>
  <c r="BA18" i="2211"/>
  <c r="AT18" i="2211"/>
  <c r="AO18" i="2211"/>
  <c r="AC18" i="2211"/>
  <c r="Q18" i="2211"/>
  <c r="E18" i="2211"/>
  <c r="BA17" i="2211"/>
  <c r="AO17" i="2211"/>
  <c r="AC17" i="2211"/>
  <c r="BR17" i="2211"/>
  <c r="Q17" i="2211"/>
  <c r="E17" i="2211"/>
  <c r="BA16" i="2211"/>
  <c r="AO16" i="2211"/>
  <c r="AC16" i="2211"/>
  <c r="Q16" i="2211"/>
  <c r="BR16" i="2211"/>
  <c r="E16" i="2211"/>
  <c r="BR15" i="2211"/>
  <c r="BR14" i="2211"/>
  <c r="BN13" i="2211"/>
  <c r="BC13" i="2211"/>
  <c r="BB13" i="2211"/>
  <c r="BA13" i="2211"/>
  <c r="AZ13" i="2211"/>
  <c r="AQ13" i="2211"/>
  <c r="AP13" i="2211"/>
  <c r="AO13" i="2211"/>
  <c r="AN13" i="2211"/>
  <c r="AE13" i="2211"/>
  <c r="AD13" i="2211"/>
  <c r="AC13" i="2211"/>
  <c r="AB13" i="2211"/>
  <c r="S13" i="2211"/>
  <c r="R13" i="2211"/>
  <c r="Q13" i="2211"/>
  <c r="P13" i="2211"/>
  <c r="G13" i="2211"/>
  <c r="F13" i="2211"/>
  <c r="E13" i="2211"/>
  <c r="D13" i="2211"/>
  <c r="BS12" i="2211"/>
  <c r="BO12" i="2211"/>
  <c r="BM12" i="2211"/>
  <c r="BL12" i="2211"/>
  <c r="BP12" i="2211" s="1"/>
  <c r="BR12" i="2211" s="1"/>
  <c r="BG12" i="2211"/>
  <c r="BD12" i="2211"/>
  <c r="BF12" i="2211" s="1"/>
  <c r="AU12" i="2211"/>
  <c r="AR12" i="2211"/>
  <c r="AT12" i="2211" s="1"/>
  <c r="AI12" i="2211"/>
  <c r="AF12" i="2211"/>
  <c r="AH12" i="2211" s="1"/>
  <c r="W12" i="2211"/>
  <c r="T12" i="2211"/>
  <c r="V12" i="2211" s="1"/>
  <c r="K12" i="2211"/>
  <c r="H12" i="2211"/>
  <c r="J12" i="2211" s="1"/>
  <c r="BS11" i="2211"/>
  <c r="BO11" i="2211"/>
  <c r="BM11" i="2211"/>
  <c r="BL11" i="2211"/>
  <c r="BP11" i="2211" s="1"/>
  <c r="BG11" i="2211"/>
  <c r="BD11" i="2211"/>
  <c r="BF11" i="2211" s="1"/>
  <c r="AU11" i="2211"/>
  <c r="AR11" i="2211"/>
  <c r="AT11" i="2211" s="1"/>
  <c r="AI11" i="2211"/>
  <c r="AF11" i="2211"/>
  <c r="AH11" i="2211" s="1"/>
  <c r="W11" i="2211"/>
  <c r="T11" i="2211"/>
  <c r="V11" i="2211" s="1"/>
  <c r="K11" i="2211"/>
  <c r="H11" i="2211"/>
  <c r="J11" i="2211" s="1"/>
  <c r="BO10" i="2211"/>
  <c r="BS10" i="2211" s="1"/>
  <c r="BM10" i="2211"/>
  <c r="BL10" i="2211"/>
  <c r="BG10" i="2211"/>
  <c r="BD10" i="2211"/>
  <c r="BF10" i="2211" s="1"/>
  <c r="AU10" i="2211"/>
  <c r="AR10" i="2211"/>
  <c r="AT10" i="2211" s="1"/>
  <c r="AI10" i="2211"/>
  <c r="AF10" i="2211"/>
  <c r="AH10" i="2211" s="1"/>
  <c r="W10" i="2211"/>
  <c r="T10" i="2211"/>
  <c r="V10" i="2211" s="1"/>
  <c r="K10" i="2211"/>
  <c r="H10" i="2211"/>
  <c r="J10" i="2211" s="1"/>
  <c r="BO9" i="2211"/>
  <c r="BM9" i="2211"/>
  <c r="BL9" i="2211"/>
  <c r="BG9" i="2211"/>
  <c r="BD9" i="2211"/>
  <c r="BF9" i="2211" s="1"/>
  <c r="AU9" i="2211"/>
  <c r="AR9" i="2211"/>
  <c r="AT9" i="2211" s="1"/>
  <c r="AI9" i="2211"/>
  <c r="AF9" i="2211"/>
  <c r="AH9" i="2211" s="1"/>
  <c r="W9" i="2211"/>
  <c r="T9" i="2211"/>
  <c r="V9" i="2211" s="1"/>
  <c r="K9" i="2211"/>
  <c r="H9" i="2211"/>
  <c r="J9" i="2211" s="1"/>
  <c r="BO8" i="2211"/>
  <c r="BS8" i="2211" s="1"/>
  <c r="BM8" i="2211"/>
  <c r="BL8" i="2211"/>
  <c r="BG8" i="2211"/>
  <c r="BD8" i="2211"/>
  <c r="BF8" i="2211" s="1"/>
  <c r="AU8" i="2211"/>
  <c r="AR8" i="2211"/>
  <c r="AT8" i="2211" s="1"/>
  <c r="AI8" i="2211"/>
  <c r="AF8" i="2211"/>
  <c r="AH8" i="2211" s="1"/>
  <c r="W8" i="2211"/>
  <c r="T8" i="2211"/>
  <c r="V8" i="2211" s="1"/>
  <c r="K8" i="2211"/>
  <c r="H8" i="2211"/>
  <c r="J8" i="2211" s="1"/>
  <c r="BO7" i="2211"/>
  <c r="BS7" i="2211" s="1"/>
  <c r="BM7" i="2211"/>
  <c r="BL7" i="2211"/>
  <c r="BG7" i="2211"/>
  <c r="BD7" i="2211"/>
  <c r="BF7" i="2211" s="1"/>
  <c r="AU7" i="2211"/>
  <c r="AR7" i="2211"/>
  <c r="AT7" i="2211" s="1"/>
  <c r="AI7" i="2211"/>
  <c r="AF7" i="2211"/>
  <c r="AH7" i="2211" s="1"/>
  <c r="W7" i="2211"/>
  <c r="T7" i="2211"/>
  <c r="V7" i="2211" s="1"/>
  <c r="K7" i="2211"/>
  <c r="H7" i="2211"/>
  <c r="J7" i="2211" s="1"/>
  <c r="BO6" i="2211"/>
  <c r="BS6" i="2211" s="1"/>
  <c r="BM6" i="2211"/>
  <c r="BL6" i="2211"/>
  <c r="BG6" i="2211"/>
  <c r="BD6" i="2211"/>
  <c r="BF6" i="2211" s="1"/>
  <c r="AU6" i="2211"/>
  <c r="AR6" i="2211"/>
  <c r="AT6" i="2211" s="1"/>
  <c r="AI6" i="2211"/>
  <c r="AF6" i="2211"/>
  <c r="AH6" i="2211" s="1"/>
  <c r="W6" i="2211"/>
  <c r="T6" i="2211"/>
  <c r="V6" i="2211" s="1"/>
  <c r="K6" i="2211"/>
  <c r="H6" i="2211"/>
  <c r="J6" i="2211" s="1"/>
  <c r="BS5" i="2211"/>
  <c r="BO5" i="2211"/>
  <c r="BM5" i="2211"/>
  <c r="BL5" i="2211"/>
  <c r="BG5" i="2211"/>
  <c r="BD5" i="2211"/>
  <c r="BF5" i="2211" s="1"/>
  <c r="AU5" i="2211"/>
  <c r="AR5" i="2211"/>
  <c r="AT5" i="2211" s="1"/>
  <c r="AI5" i="2211"/>
  <c r="AF5" i="2211"/>
  <c r="AH5" i="2211" s="1"/>
  <c r="W5" i="2211"/>
  <c r="T5" i="2211"/>
  <c r="K5" i="2211"/>
  <c r="H5" i="2211"/>
  <c r="J5" i="2211" s="1"/>
  <c r="BO4" i="2211"/>
  <c r="BS4" i="2211" s="1"/>
  <c r="BM4" i="2211"/>
  <c r="BL4" i="2211"/>
  <c r="BG4" i="2211"/>
  <c r="BD4" i="2211"/>
  <c r="AU4" i="2211"/>
  <c r="AR4" i="2211"/>
  <c r="AT4" i="2211" s="1"/>
  <c r="AI4" i="2211"/>
  <c r="AF4" i="2211"/>
  <c r="AH4" i="2211" s="1"/>
  <c r="W4" i="2211"/>
  <c r="T4" i="2211"/>
  <c r="V4" i="2211" s="1"/>
  <c r="K4" i="2211"/>
  <c r="H4" i="2211"/>
  <c r="J4" i="2211" s="1"/>
  <c r="BR2" i="2211"/>
  <c r="BQ2" i="2211"/>
  <c r="BF2" i="2211"/>
  <c r="AT2" i="2211"/>
  <c r="AH2" i="2211"/>
  <c r="V2" i="2211"/>
  <c r="V2" i="2210"/>
  <c r="AH2" i="2210"/>
  <c r="AT2" i="2210"/>
  <c r="BF2" i="2210"/>
  <c r="BQ2" i="2210"/>
  <c r="BR2" i="2210"/>
  <c r="H4" i="2210"/>
  <c r="J4" i="2210" s="1"/>
  <c r="J13" i="2210" s="1"/>
  <c r="K4" i="2210"/>
  <c r="T4" i="2210"/>
  <c r="W4" i="2210"/>
  <c r="AF4" i="2210"/>
  <c r="AH4" i="2210" s="1"/>
  <c r="AI4" i="2210"/>
  <c r="AR4" i="2210"/>
  <c r="AT4" i="2210" s="1"/>
  <c r="AU4" i="2210"/>
  <c r="BD4" i="2210"/>
  <c r="BF4" i="2210" s="1"/>
  <c r="BG4" i="2210"/>
  <c r="BL4" i="2210"/>
  <c r="BM4" i="2210"/>
  <c r="BO4" i="2210"/>
  <c r="BS4" i="2210" s="1"/>
  <c r="H5" i="2210"/>
  <c r="J5" i="2210"/>
  <c r="K5" i="2210"/>
  <c r="T5" i="2210"/>
  <c r="V5" i="2210"/>
  <c r="W5" i="2210"/>
  <c r="AF5" i="2210"/>
  <c r="AH5" i="2210"/>
  <c r="AI5" i="2210"/>
  <c r="AR5" i="2210"/>
  <c r="AT5" i="2210" s="1"/>
  <c r="AU5" i="2210"/>
  <c r="BD5" i="2210"/>
  <c r="BF5" i="2210" s="1"/>
  <c r="BG5" i="2210"/>
  <c r="BL5" i="2210"/>
  <c r="BP5" i="2210" s="1"/>
  <c r="BM5" i="2210"/>
  <c r="BO5" i="2210"/>
  <c r="BS5" i="2210"/>
  <c r="H6" i="2210"/>
  <c r="J6" i="2210"/>
  <c r="K6" i="2210"/>
  <c r="T6" i="2210"/>
  <c r="V6" i="2210" s="1"/>
  <c r="W6" i="2210"/>
  <c r="AF6" i="2210"/>
  <c r="AH6" i="2210"/>
  <c r="AI6" i="2210"/>
  <c r="AR6" i="2210"/>
  <c r="AT6" i="2210"/>
  <c r="AU6" i="2210"/>
  <c r="BD6" i="2210"/>
  <c r="BF6" i="2210" s="1"/>
  <c r="BG6" i="2210"/>
  <c r="BL6" i="2210"/>
  <c r="BP6" i="2210" s="1"/>
  <c r="BM6" i="2210"/>
  <c r="BO6" i="2210"/>
  <c r="BS6" i="2210"/>
  <c r="H7" i="2210"/>
  <c r="J7" i="2210"/>
  <c r="K7" i="2210"/>
  <c r="T7" i="2210"/>
  <c r="V7" i="2210" s="1"/>
  <c r="W7" i="2210"/>
  <c r="AF7" i="2210"/>
  <c r="AH7" i="2210" s="1"/>
  <c r="AI7" i="2210"/>
  <c r="AR7" i="2210"/>
  <c r="AT7" i="2210"/>
  <c r="AU7" i="2210"/>
  <c r="BD7" i="2210"/>
  <c r="BF7" i="2210"/>
  <c r="BG7" i="2210"/>
  <c r="BL7" i="2210"/>
  <c r="BM7" i="2210"/>
  <c r="BO7" i="2210"/>
  <c r="BS7" i="2210"/>
  <c r="H8" i="2210"/>
  <c r="J8" i="2210"/>
  <c r="K8" i="2210"/>
  <c r="T8" i="2210"/>
  <c r="V8" i="2210" s="1"/>
  <c r="W8" i="2210"/>
  <c r="AF8" i="2210"/>
  <c r="AH8" i="2210"/>
  <c r="AI8" i="2210"/>
  <c r="AR8" i="2210"/>
  <c r="AT8" i="2210" s="1"/>
  <c r="AU8" i="2210"/>
  <c r="BD8" i="2210"/>
  <c r="BF8" i="2210" s="1"/>
  <c r="BG8" i="2210"/>
  <c r="BL8" i="2210"/>
  <c r="BM8" i="2210"/>
  <c r="BO8" i="2210"/>
  <c r="BS8" i="2210" s="1"/>
  <c r="H9" i="2210"/>
  <c r="J9" i="2210"/>
  <c r="K9" i="2210"/>
  <c r="T9" i="2210"/>
  <c r="V9" i="2210" s="1"/>
  <c r="W9" i="2210"/>
  <c r="AF9" i="2210"/>
  <c r="AH9" i="2210" s="1"/>
  <c r="AI9" i="2210"/>
  <c r="AR9" i="2210"/>
  <c r="AT9" i="2210" s="1"/>
  <c r="AU9" i="2210"/>
  <c r="BD9" i="2210"/>
  <c r="BF9" i="2210" s="1"/>
  <c r="BG9" i="2210"/>
  <c r="BL9" i="2210"/>
  <c r="BP9" i="2210" s="1"/>
  <c r="BM9" i="2210"/>
  <c r="BO9" i="2210"/>
  <c r="BS9" i="2210" s="1"/>
  <c r="H10" i="2210"/>
  <c r="J10" i="2210"/>
  <c r="K10" i="2210"/>
  <c r="T10" i="2210"/>
  <c r="V10" i="2210" s="1"/>
  <c r="W10" i="2210"/>
  <c r="AF10" i="2210"/>
  <c r="AH10" i="2210" s="1"/>
  <c r="AI10" i="2210"/>
  <c r="AR10" i="2210"/>
  <c r="AT10" i="2210" s="1"/>
  <c r="AU10" i="2210"/>
  <c r="BD10" i="2210"/>
  <c r="BF10" i="2210"/>
  <c r="BG10" i="2210"/>
  <c r="BL10" i="2210"/>
  <c r="BP10" i="2210" s="1"/>
  <c r="BM10" i="2210"/>
  <c r="BO10" i="2210"/>
  <c r="BS10" i="2210" s="1"/>
  <c r="H11" i="2210"/>
  <c r="J11" i="2210"/>
  <c r="K11" i="2210"/>
  <c r="T11" i="2210"/>
  <c r="V11" i="2210"/>
  <c r="W11" i="2210"/>
  <c r="AF11" i="2210"/>
  <c r="AH11" i="2210"/>
  <c r="AI11" i="2210"/>
  <c r="AR11" i="2210"/>
  <c r="AT11" i="2210" s="1"/>
  <c r="AU11" i="2210"/>
  <c r="BD11" i="2210"/>
  <c r="BF11" i="2210"/>
  <c r="BG11" i="2210"/>
  <c r="BL11" i="2210"/>
  <c r="BM11" i="2210"/>
  <c r="BO11" i="2210"/>
  <c r="BS11" i="2210" s="1"/>
  <c r="BP11" i="2210"/>
  <c r="BR11" i="2210" s="1"/>
  <c r="H12" i="2210"/>
  <c r="J12" i="2210"/>
  <c r="K12" i="2210"/>
  <c r="T12" i="2210"/>
  <c r="V12" i="2210" s="1"/>
  <c r="W12" i="2210"/>
  <c r="AF12" i="2210"/>
  <c r="AH12" i="2210" s="1"/>
  <c r="AI12" i="2210"/>
  <c r="AR12" i="2210"/>
  <c r="AT12" i="2210" s="1"/>
  <c r="AU12" i="2210"/>
  <c r="BD12" i="2210"/>
  <c r="BF12" i="2210" s="1"/>
  <c r="BG12" i="2210"/>
  <c r="BL12" i="2210"/>
  <c r="BP12" i="2210" s="1"/>
  <c r="BR12" i="2210" s="1"/>
  <c r="BM12" i="2210"/>
  <c r="BO12" i="2210"/>
  <c r="BS12" i="2210"/>
  <c r="D13" i="2210"/>
  <c r="E13" i="2210"/>
  <c r="F13" i="2210"/>
  <c r="G13" i="2210"/>
  <c r="P13" i="2210"/>
  <c r="Q13" i="2210"/>
  <c r="R13" i="2210"/>
  <c r="S13" i="2210"/>
  <c r="AB13" i="2210"/>
  <c r="AC13" i="2210"/>
  <c r="AD13" i="2210"/>
  <c r="AE13" i="2210"/>
  <c r="AN13" i="2210"/>
  <c r="AO13" i="2210"/>
  <c r="AP13" i="2210"/>
  <c r="AQ13" i="2210"/>
  <c r="AZ13" i="2210"/>
  <c r="BA13" i="2210"/>
  <c r="BB13" i="2210"/>
  <c r="BC13" i="2210"/>
  <c r="BN13" i="2210"/>
  <c r="J14" i="2210"/>
  <c r="V14" i="2210"/>
  <c r="AH14" i="2210"/>
  <c r="BR14" i="2210"/>
  <c r="J15" i="2210"/>
  <c r="V15" i="2210"/>
  <c r="AH15" i="2210"/>
  <c r="E16" i="2210"/>
  <c r="J16" i="2210"/>
  <c r="Q16" i="2210"/>
  <c r="V16" i="2210"/>
  <c r="AC16" i="2210"/>
  <c r="AH16" i="2210"/>
  <c r="AO16" i="2210"/>
  <c r="BA16" i="2210"/>
  <c r="E17" i="2210"/>
  <c r="J17" i="2210"/>
  <c r="Q17" i="2210"/>
  <c r="V17" i="2210"/>
  <c r="AC17" i="2210"/>
  <c r="AH17" i="2210"/>
  <c r="AO17" i="2210"/>
  <c r="BA17" i="2210"/>
  <c r="E18" i="2210"/>
  <c r="Q18" i="2210"/>
  <c r="AC18" i="2210"/>
  <c r="AO18" i="2210"/>
  <c r="BA18" i="2210"/>
  <c r="E19" i="2210"/>
  <c r="Q19" i="2210"/>
  <c r="AC19" i="2210"/>
  <c r="AO19" i="2210"/>
  <c r="BA19" i="2210"/>
  <c r="BF19" i="2210"/>
  <c r="E20" i="2210"/>
  <c r="Q20" i="2210"/>
  <c r="AC20" i="2210"/>
  <c r="AO20" i="2210"/>
  <c r="BA20" i="2210"/>
  <c r="BR20" i="2210"/>
  <c r="E21" i="2210"/>
  <c r="Q21" i="2210"/>
  <c r="AC21" i="2210"/>
  <c r="AO21" i="2210"/>
  <c r="BA21" i="2210"/>
  <c r="BR21" i="2210"/>
  <c r="E22" i="2210"/>
  <c r="Q22" i="2210"/>
  <c r="AC22" i="2210"/>
  <c r="AO22" i="2210"/>
  <c r="BA22" i="2210"/>
  <c r="G26" i="2210"/>
  <c r="G35" i="2210" s="1"/>
  <c r="BR23" i="2210" s="1"/>
  <c r="V26" i="2210"/>
  <c r="J27" i="2210"/>
  <c r="C35" i="2210"/>
  <c r="J19" i="2210" s="1"/>
  <c r="O35" i="2210"/>
  <c r="V19" i="2210" s="1"/>
  <c r="S35" i="2210"/>
  <c r="V35" i="2210"/>
  <c r="V18" i="2210" s="1"/>
  <c r="AA35" i="2210"/>
  <c r="AH19" i="2210" s="1"/>
  <c r="AE35" i="2210"/>
  <c r="AH35" i="2210"/>
  <c r="AH18" i="2210" s="1"/>
  <c r="AM35" i="2210"/>
  <c r="AT19" i="2210" s="1"/>
  <c r="AQ35" i="2210"/>
  <c r="AT35" i="2210"/>
  <c r="AT18" i="2210" s="1"/>
  <c r="AY35" i="2210"/>
  <c r="BC35" i="2210"/>
  <c r="BF35" i="2210"/>
  <c r="BF18" i="2210" s="1"/>
  <c r="BK35" i="2210"/>
  <c r="BO35" i="2210"/>
  <c r="BR35" i="2210"/>
  <c r="AA37" i="2210"/>
  <c r="AA38" i="2210" s="1"/>
  <c r="BR10" i="2210" l="1"/>
  <c r="BT10" i="2210"/>
  <c r="BR11" i="2211"/>
  <c r="BT11" i="2211"/>
  <c r="BR6" i="2210"/>
  <c r="BT6" i="2210"/>
  <c r="BR5" i="2210"/>
  <c r="BT5" i="2210"/>
  <c r="BP4" i="2210"/>
  <c r="BR4" i="2210" s="1"/>
  <c r="W13" i="2211"/>
  <c r="BL13" i="2210"/>
  <c r="AI13" i="2210"/>
  <c r="BR16" i="2210"/>
  <c r="H13" i="2210"/>
  <c r="AU13" i="2210"/>
  <c r="BF13" i="2210"/>
  <c r="K13" i="2211"/>
  <c r="BD13" i="2210"/>
  <c r="AI13" i="2211"/>
  <c r="BR19" i="2210"/>
  <c r="AH13" i="2210"/>
  <c r="AH22" i="2210" s="1"/>
  <c r="AI14" i="2210" s="1"/>
  <c r="BP8" i="2211"/>
  <c r="BT8" i="2211" s="1"/>
  <c r="BT11" i="2210"/>
  <c r="BP8" i="2210"/>
  <c r="BR8" i="2210" s="1"/>
  <c r="W13" i="2210"/>
  <c r="BD13" i="2211"/>
  <c r="I16" i="2210"/>
  <c r="BG13" i="2210"/>
  <c r="T13" i="2210"/>
  <c r="AU13" i="2211"/>
  <c r="BR17" i="2210"/>
  <c r="BR15" i="2210"/>
  <c r="K13" i="2210"/>
  <c r="BO13" i="2211"/>
  <c r="BG13" i="2211"/>
  <c r="BQ16" i="2212"/>
  <c r="BP6" i="2211"/>
  <c r="BR6" i="2211" s="1"/>
  <c r="BP10" i="2211"/>
  <c r="BR10" i="2211" s="1"/>
  <c r="T13" i="2211"/>
  <c r="BP7" i="2211"/>
  <c r="BT7" i="2211" s="1"/>
  <c r="BR19" i="2211"/>
  <c r="BM13" i="2211"/>
  <c r="BL13" i="2211"/>
  <c r="BP5" i="2211"/>
  <c r="BT10" i="2211"/>
  <c r="AH13" i="2211"/>
  <c r="AT13" i="2211"/>
  <c r="BR23" i="2211"/>
  <c r="J35" i="2211"/>
  <c r="J18" i="2211" s="1"/>
  <c r="BR18" i="2211" s="1"/>
  <c r="J13" i="2211"/>
  <c r="BS9" i="2211"/>
  <c r="BS13" i="2211" s="1"/>
  <c r="H13" i="2211"/>
  <c r="AF13" i="2211"/>
  <c r="BF4" i="2211"/>
  <c r="BF13" i="2211" s="1"/>
  <c r="V5" i="2211"/>
  <c r="V13" i="2211" s="1"/>
  <c r="AR13" i="2211"/>
  <c r="BP9" i="2211"/>
  <c r="BP4" i="2211"/>
  <c r="J22" i="2210"/>
  <c r="BS13" i="2210"/>
  <c r="BT9" i="2210"/>
  <c r="BR9" i="2210"/>
  <c r="BF22" i="2210"/>
  <c r="BE16" i="2210"/>
  <c r="AT13" i="2210"/>
  <c r="V4" i="2210"/>
  <c r="V13" i="2210" s="1"/>
  <c r="V22" i="2210" s="1"/>
  <c r="W14" i="2210" s="1"/>
  <c r="BM13" i="2210"/>
  <c r="U16" i="2210"/>
  <c r="AR13" i="2210"/>
  <c r="J26" i="2210"/>
  <c r="J35" i="2210" s="1"/>
  <c r="J18" i="2210" s="1"/>
  <c r="BR18" i="2210" s="1"/>
  <c r="AF13" i="2210"/>
  <c r="BP7" i="2210"/>
  <c r="BO13" i="2210"/>
  <c r="AG16" i="2210" l="1"/>
  <c r="BT4" i="2210"/>
  <c r="BR8" i="2211"/>
  <c r="BT8" i="2210"/>
  <c r="BT6" i="2211"/>
  <c r="BR7" i="2211"/>
  <c r="BR5" i="2211"/>
  <c r="BT5" i="2211"/>
  <c r="U16" i="2211"/>
  <c r="V22" i="2211"/>
  <c r="W14" i="2211" s="1"/>
  <c r="BT9" i="2211"/>
  <c r="BR9" i="2211"/>
  <c r="AH22" i="2211"/>
  <c r="AI14" i="2211" s="1"/>
  <c r="AG16" i="2211"/>
  <c r="BF22" i="2211"/>
  <c r="BE16" i="2211"/>
  <c r="BT4" i="2211"/>
  <c r="BP13" i="2211"/>
  <c r="BU14" i="2211" s="1"/>
  <c r="BR4" i="2211"/>
  <c r="AT22" i="2211"/>
  <c r="AU14" i="2211" s="1"/>
  <c r="AS16" i="2211"/>
  <c r="I16" i="2211"/>
  <c r="J22" i="2211"/>
  <c r="AS16" i="2210"/>
  <c r="AT22" i="2210"/>
  <c r="AU14" i="2210" s="1"/>
  <c r="BT7" i="2210"/>
  <c r="BT12" i="2210" s="1"/>
  <c r="BR7" i="2210"/>
  <c r="BR13" i="2210" s="1"/>
  <c r="BP13" i="2210"/>
  <c r="BU14" i="2210" s="1"/>
  <c r="BR13" i="2211" l="1"/>
  <c r="BT12" i="2211"/>
  <c r="BR22" i="2210"/>
  <c r="BS14" i="2210" s="1"/>
  <c r="BQ16" i="2210"/>
  <c r="BR22" i="2211" l="1"/>
  <c r="BS14" i="2211" s="1"/>
  <c r="BQ16" i="2211"/>
  <c r="V27" i="2209"/>
  <c r="J14" i="2209"/>
  <c r="J27" i="2209"/>
  <c r="V14" i="2209" l="1"/>
  <c r="G26" i="2209" l="1"/>
  <c r="BF17" i="2209"/>
  <c r="BF14" i="2209"/>
  <c r="BF15" i="2209"/>
  <c r="BF16" i="2209"/>
  <c r="AT14" i="2209" l="1"/>
  <c r="AT15" i="2209"/>
  <c r="AT17" i="2209"/>
  <c r="AT16" i="2209"/>
  <c r="AH14" i="2209"/>
  <c r="AH17" i="2209"/>
  <c r="AH16" i="2209"/>
  <c r="AH15" i="2209"/>
  <c r="S26" i="2209"/>
  <c r="V17" i="2209"/>
  <c r="V15" i="2209"/>
  <c r="V16" i="2209"/>
  <c r="J17" i="2209" l="1"/>
  <c r="J15" i="2209"/>
  <c r="J16" i="2209"/>
  <c r="AA37" i="2209" l="1"/>
  <c r="AA38" i="2209" s="1"/>
  <c r="BR35" i="2209"/>
  <c r="BO35" i="2209"/>
  <c r="BK35" i="2209"/>
  <c r="BF35" i="2209"/>
  <c r="BC35" i="2209"/>
  <c r="AT35" i="2209"/>
  <c r="AT18" i="2209" s="1"/>
  <c r="AQ35" i="2209"/>
  <c r="AM35" i="2209"/>
  <c r="AT19" i="2209" s="1"/>
  <c r="AH35" i="2209"/>
  <c r="AE35" i="2209"/>
  <c r="AA35" i="2209"/>
  <c r="AH19" i="2209" s="1"/>
  <c r="S35" i="2209"/>
  <c r="O35" i="2209"/>
  <c r="V19" i="2209" s="1"/>
  <c r="G35" i="2209"/>
  <c r="J26" i="2209" s="1"/>
  <c r="C35" i="2209"/>
  <c r="J19" i="2209" s="1"/>
  <c r="AY35" i="2209"/>
  <c r="BF19" i="2209" s="1"/>
  <c r="BA22" i="2209"/>
  <c r="AO22" i="2209"/>
  <c r="AC22" i="2209"/>
  <c r="Q22" i="2209"/>
  <c r="E22" i="2209"/>
  <c r="BR21" i="2209"/>
  <c r="BA21" i="2209"/>
  <c r="AO21" i="2209"/>
  <c r="AC21" i="2209"/>
  <c r="Q21" i="2209"/>
  <c r="E21" i="2209"/>
  <c r="BR20" i="2209"/>
  <c r="BA20" i="2209"/>
  <c r="AO20" i="2209"/>
  <c r="AC20" i="2209"/>
  <c r="Q20" i="2209"/>
  <c r="E20" i="2209"/>
  <c r="BA19" i="2209"/>
  <c r="AO19" i="2209"/>
  <c r="AC19" i="2209"/>
  <c r="Q19" i="2209"/>
  <c r="E19" i="2209"/>
  <c r="BF18" i="2209"/>
  <c r="BA18" i="2209"/>
  <c r="AO18" i="2209"/>
  <c r="AH18" i="2209"/>
  <c r="AC18" i="2209"/>
  <c r="Q18" i="2209"/>
  <c r="E18" i="2209"/>
  <c r="BA17" i="2209"/>
  <c r="AO17" i="2209"/>
  <c r="AC17" i="2209"/>
  <c r="Q17" i="2209"/>
  <c r="BR17" i="2209"/>
  <c r="E17" i="2209"/>
  <c r="BA16" i="2209"/>
  <c r="AO16" i="2209"/>
  <c r="AC16" i="2209"/>
  <c r="Q16" i="2209"/>
  <c r="BR16" i="2209"/>
  <c r="E16" i="2209"/>
  <c r="BR15" i="2209"/>
  <c r="BR14" i="2209"/>
  <c r="BN13" i="2209"/>
  <c r="BC13" i="2209"/>
  <c r="BB13" i="2209"/>
  <c r="BA13" i="2209"/>
  <c r="AZ13" i="2209"/>
  <c r="AQ13" i="2209"/>
  <c r="AP13" i="2209"/>
  <c r="AO13" i="2209"/>
  <c r="AN13" i="2209"/>
  <c r="AE13" i="2209"/>
  <c r="AD13" i="2209"/>
  <c r="AC13" i="2209"/>
  <c r="AB13" i="2209"/>
  <c r="S13" i="2209"/>
  <c r="R13" i="2209"/>
  <c r="Q13" i="2209"/>
  <c r="P13" i="2209"/>
  <c r="G13" i="2209"/>
  <c r="F13" i="2209"/>
  <c r="E13" i="2209"/>
  <c r="D13" i="2209"/>
  <c r="BS12" i="2209"/>
  <c r="BP12" i="2209"/>
  <c r="BR12" i="2209" s="1"/>
  <c r="BO12" i="2209"/>
  <c r="BM12" i="2209"/>
  <c r="BL12" i="2209"/>
  <c r="BG12" i="2209"/>
  <c r="BD12" i="2209"/>
  <c r="BF12" i="2209" s="1"/>
  <c r="AU12" i="2209"/>
  <c r="AR12" i="2209"/>
  <c r="AT12" i="2209" s="1"/>
  <c r="AI12" i="2209"/>
  <c r="AF12" i="2209"/>
  <c r="AH12" i="2209" s="1"/>
  <c r="W12" i="2209"/>
  <c r="T12" i="2209"/>
  <c r="V12" i="2209" s="1"/>
  <c r="K12" i="2209"/>
  <c r="H12" i="2209"/>
  <c r="J12" i="2209" s="1"/>
  <c r="BO11" i="2209"/>
  <c r="BS11" i="2209" s="1"/>
  <c r="BM11" i="2209"/>
  <c r="BL11" i="2209"/>
  <c r="BG11" i="2209"/>
  <c r="BD11" i="2209"/>
  <c r="BF11" i="2209" s="1"/>
  <c r="AU11" i="2209"/>
  <c r="AT11" i="2209"/>
  <c r="AR11" i="2209"/>
  <c r="AI11" i="2209"/>
  <c r="AF11" i="2209"/>
  <c r="AH11" i="2209" s="1"/>
  <c r="W11" i="2209"/>
  <c r="T11" i="2209"/>
  <c r="V11" i="2209" s="1"/>
  <c r="K11" i="2209"/>
  <c r="H11" i="2209"/>
  <c r="J11" i="2209" s="1"/>
  <c r="BO10" i="2209"/>
  <c r="BS10" i="2209" s="1"/>
  <c r="BM10" i="2209"/>
  <c r="BL10" i="2209"/>
  <c r="BG10" i="2209"/>
  <c r="BD10" i="2209"/>
  <c r="BF10" i="2209" s="1"/>
  <c r="AU10" i="2209"/>
  <c r="AR10" i="2209"/>
  <c r="AT10" i="2209" s="1"/>
  <c r="AI10" i="2209"/>
  <c r="AF10" i="2209"/>
  <c r="AH10" i="2209" s="1"/>
  <c r="W10" i="2209"/>
  <c r="T10" i="2209"/>
  <c r="V10" i="2209" s="1"/>
  <c r="K10" i="2209"/>
  <c r="H10" i="2209"/>
  <c r="J10" i="2209" s="1"/>
  <c r="BS9" i="2209"/>
  <c r="BO9" i="2209"/>
  <c r="BM9" i="2209"/>
  <c r="BL9" i="2209"/>
  <c r="BG9" i="2209"/>
  <c r="BD9" i="2209"/>
  <c r="BF9" i="2209" s="1"/>
  <c r="AU9" i="2209"/>
  <c r="AR9" i="2209"/>
  <c r="AT9" i="2209" s="1"/>
  <c r="AI9" i="2209"/>
  <c r="AF9" i="2209"/>
  <c r="AH9" i="2209" s="1"/>
  <c r="W9" i="2209"/>
  <c r="T9" i="2209"/>
  <c r="V9" i="2209" s="1"/>
  <c r="K9" i="2209"/>
  <c r="H9" i="2209"/>
  <c r="J9" i="2209" s="1"/>
  <c r="BO8" i="2209"/>
  <c r="BS8" i="2209" s="1"/>
  <c r="BM8" i="2209"/>
  <c r="BL8" i="2209"/>
  <c r="BG8" i="2209"/>
  <c r="BD8" i="2209"/>
  <c r="BF8" i="2209" s="1"/>
  <c r="AU8" i="2209"/>
  <c r="AR8" i="2209"/>
  <c r="AT8" i="2209" s="1"/>
  <c r="AI8" i="2209"/>
  <c r="AF8" i="2209"/>
  <c r="AH8" i="2209" s="1"/>
  <c r="W8" i="2209"/>
  <c r="T8" i="2209"/>
  <c r="V8" i="2209" s="1"/>
  <c r="K8" i="2209"/>
  <c r="H8" i="2209"/>
  <c r="J8" i="2209" s="1"/>
  <c r="BS7" i="2209"/>
  <c r="BO7" i="2209"/>
  <c r="BM7" i="2209"/>
  <c r="BL7" i="2209"/>
  <c r="BG7" i="2209"/>
  <c r="BD7" i="2209"/>
  <c r="BF7" i="2209" s="1"/>
  <c r="AU7" i="2209"/>
  <c r="AR7" i="2209"/>
  <c r="AT7" i="2209" s="1"/>
  <c r="AI7" i="2209"/>
  <c r="AF7" i="2209"/>
  <c r="AH7" i="2209" s="1"/>
  <c r="W7" i="2209"/>
  <c r="T7" i="2209"/>
  <c r="V7" i="2209" s="1"/>
  <c r="K7" i="2209"/>
  <c r="H7" i="2209"/>
  <c r="J7" i="2209" s="1"/>
  <c r="BS6" i="2209"/>
  <c r="BO6" i="2209"/>
  <c r="BM6" i="2209"/>
  <c r="BL6" i="2209"/>
  <c r="BG6" i="2209"/>
  <c r="BD6" i="2209"/>
  <c r="BF6" i="2209" s="1"/>
  <c r="AU6" i="2209"/>
  <c r="AR6" i="2209"/>
  <c r="AT6" i="2209" s="1"/>
  <c r="AI6" i="2209"/>
  <c r="AF6" i="2209"/>
  <c r="AH6" i="2209" s="1"/>
  <c r="W6" i="2209"/>
  <c r="T6" i="2209"/>
  <c r="V6" i="2209" s="1"/>
  <c r="K6" i="2209"/>
  <c r="H6" i="2209"/>
  <c r="J6" i="2209" s="1"/>
  <c r="BO5" i="2209"/>
  <c r="BS5" i="2209" s="1"/>
  <c r="BM5" i="2209"/>
  <c r="BL5" i="2209"/>
  <c r="BG5" i="2209"/>
  <c r="BD5" i="2209"/>
  <c r="BF5" i="2209" s="1"/>
  <c r="AU5" i="2209"/>
  <c r="AU13" i="2209" s="1"/>
  <c r="AR5" i="2209"/>
  <c r="AT5" i="2209" s="1"/>
  <c r="AI5" i="2209"/>
  <c r="AF5" i="2209"/>
  <c r="W5" i="2209"/>
  <c r="T5" i="2209"/>
  <c r="V5" i="2209" s="1"/>
  <c r="K5" i="2209"/>
  <c r="H5" i="2209"/>
  <c r="J5" i="2209" s="1"/>
  <c r="BO4" i="2209"/>
  <c r="BS4" i="2209" s="1"/>
  <c r="BM4" i="2209"/>
  <c r="BL4" i="2209"/>
  <c r="BG4" i="2209"/>
  <c r="BG13" i="2209" s="1"/>
  <c r="BD4" i="2209"/>
  <c r="BF4" i="2209" s="1"/>
  <c r="AU4" i="2209"/>
  <c r="AR4" i="2209"/>
  <c r="AT4" i="2209" s="1"/>
  <c r="AI4" i="2209"/>
  <c r="AF4" i="2209"/>
  <c r="AH4" i="2209" s="1"/>
  <c r="W4" i="2209"/>
  <c r="T4" i="2209"/>
  <c r="K4" i="2209"/>
  <c r="H4" i="2209"/>
  <c r="J4" i="2209" s="1"/>
  <c r="BR2" i="2209"/>
  <c r="BQ2" i="2209"/>
  <c r="BF2" i="2209"/>
  <c r="AT2" i="2209"/>
  <c r="AH2" i="2209"/>
  <c r="V2" i="2209"/>
  <c r="AA26" i="2208"/>
  <c r="V14" i="2208"/>
  <c r="V26" i="2208"/>
  <c r="AI13" i="2209" l="1"/>
  <c r="K13" i="2209"/>
  <c r="BP11" i="2209"/>
  <c r="W13" i="2209"/>
  <c r="V35" i="2209"/>
  <c r="V18" i="2209" s="1"/>
  <c r="V26" i="2209"/>
  <c r="J35" i="2209"/>
  <c r="J18" i="2209" s="1"/>
  <c r="BR18" i="2209" s="1"/>
  <c r="BO13" i="2209"/>
  <c r="BP7" i="2209"/>
  <c r="BT7" i="2209" s="1"/>
  <c r="T13" i="2209"/>
  <c r="BP4" i="2209"/>
  <c r="BT4" i="2209" s="1"/>
  <c r="AF13" i="2209"/>
  <c r="BP6" i="2209"/>
  <c r="BR6" i="2209" s="1"/>
  <c r="BP9" i="2209"/>
  <c r="BR9" i="2209" s="1"/>
  <c r="BR19" i="2209"/>
  <c r="BM13" i="2209"/>
  <c r="J13" i="2209"/>
  <c r="I16" i="2209" s="1"/>
  <c r="BP5" i="2209"/>
  <c r="BR5" i="2209" s="1"/>
  <c r="BP10" i="2209"/>
  <c r="BT10" i="2209" s="1"/>
  <c r="BT11" i="2209"/>
  <c r="BR11" i="2209"/>
  <c r="BS13" i="2209"/>
  <c r="AT13" i="2209"/>
  <c r="AT22" i="2209" s="1"/>
  <c r="AU14" i="2209" s="1"/>
  <c r="BF13" i="2209"/>
  <c r="V4" i="2209"/>
  <c r="V13" i="2209" s="1"/>
  <c r="AH5" i="2209"/>
  <c r="AH13" i="2209" s="1"/>
  <c r="BL13" i="2209"/>
  <c r="AR13" i="2209"/>
  <c r="BD13" i="2209"/>
  <c r="BP8" i="2209"/>
  <c r="H13" i="2209"/>
  <c r="BR23" i="2209"/>
  <c r="BF14" i="2208"/>
  <c r="AY26" i="2208"/>
  <c r="BF17" i="2208"/>
  <c r="BF16" i="2208"/>
  <c r="BR7" i="2209" l="1"/>
  <c r="V22" i="2209"/>
  <c r="W14" i="2209" s="1"/>
  <c r="BT9" i="2209"/>
  <c r="BT5" i="2209"/>
  <c r="J22" i="2209"/>
  <c r="BT6" i="2209"/>
  <c r="AS16" i="2209"/>
  <c r="BR4" i="2209"/>
  <c r="BR10" i="2209"/>
  <c r="AG16" i="2209"/>
  <c r="AH22" i="2209"/>
  <c r="AI14" i="2209" s="1"/>
  <c r="BT8" i="2209"/>
  <c r="BR8" i="2209"/>
  <c r="BP13" i="2209"/>
  <c r="BU14" i="2209" s="1"/>
  <c r="BF22" i="2209"/>
  <c r="BE16" i="2209"/>
  <c r="U16" i="2209"/>
  <c r="AT14" i="2208"/>
  <c r="AT17" i="2208"/>
  <c r="AT15" i="2208"/>
  <c r="AT16" i="2208"/>
  <c r="BT12" i="2209" l="1"/>
  <c r="BR13" i="2209"/>
  <c r="BR22" i="2209" s="1"/>
  <c r="BS14" i="2209" s="1"/>
  <c r="AH14" i="2208"/>
  <c r="AH17" i="2208"/>
  <c r="AH16" i="2208"/>
  <c r="BQ16" i="2209" l="1"/>
  <c r="J14" i="2208" l="1"/>
  <c r="G28" i="2208"/>
  <c r="V17" i="2208"/>
  <c r="V15" i="2208"/>
  <c r="V16" i="2208"/>
  <c r="J17" i="2208" l="1"/>
  <c r="BR17" i="2208" s="1"/>
  <c r="J15" i="2208"/>
  <c r="J16" i="2208"/>
  <c r="BR16" i="2208"/>
  <c r="AA37" i="2208"/>
  <c r="AA38" i="2208" s="1"/>
  <c r="BR35" i="2208"/>
  <c r="BO35" i="2208"/>
  <c r="BK35" i="2208"/>
  <c r="BF35" i="2208"/>
  <c r="BF18" i="2208" s="1"/>
  <c r="BC35" i="2208"/>
  <c r="AY35" i="2208"/>
  <c r="BF19" i="2208" s="1"/>
  <c r="AT35" i="2208"/>
  <c r="AT18" i="2208" s="1"/>
  <c r="AQ35" i="2208"/>
  <c r="AM35" i="2208"/>
  <c r="AT19" i="2208" s="1"/>
  <c r="AE35" i="2208"/>
  <c r="AH35" i="2208" s="1"/>
  <c r="AH18" i="2208" s="1"/>
  <c r="AA35" i="2208"/>
  <c r="AH19" i="2208" s="1"/>
  <c r="C35" i="2208"/>
  <c r="J19" i="2208" s="1"/>
  <c r="S35" i="2208"/>
  <c r="V35" i="2208" s="1"/>
  <c r="V18" i="2208" s="1"/>
  <c r="O35" i="2208"/>
  <c r="V19" i="2208" s="1"/>
  <c r="G35" i="2208"/>
  <c r="J26" i="2208" s="1"/>
  <c r="BA22" i="2208"/>
  <c r="AO22" i="2208"/>
  <c r="AC22" i="2208"/>
  <c r="Q22" i="2208"/>
  <c r="E22" i="2208"/>
  <c r="BR21" i="2208"/>
  <c r="BA21" i="2208"/>
  <c r="AO21" i="2208"/>
  <c r="AC21" i="2208"/>
  <c r="Q21" i="2208"/>
  <c r="E21" i="2208"/>
  <c r="BR20" i="2208"/>
  <c r="BA20" i="2208"/>
  <c r="AO20" i="2208"/>
  <c r="AC20" i="2208"/>
  <c r="Q20" i="2208"/>
  <c r="E20" i="2208"/>
  <c r="BA19" i="2208"/>
  <c r="AO19" i="2208"/>
  <c r="AC19" i="2208"/>
  <c r="Q19" i="2208"/>
  <c r="E19" i="2208"/>
  <c r="BA18" i="2208"/>
  <c r="AO18" i="2208"/>
  <c r="AC18" i="2208"/>
  <c r="Q18" i="2208"/>
  <c r="E18" i="2208"/>
  <c r="BA17" i="2208"/>
  <c r="AO17" i="2208"/>
  <c r="AC17" i="2208"/>
  <c r="Q17" i="2208"/>
  <c r="E17" i="2208"/>
  <c r="BA16" i="2208"/>
  <c r="AO16" i="2208"/>
  <c r="AC16" i="2208"/>
  <c r="Q16" i="2208"/>
  <c r="E16" i="2208"/>
  <c r="BR15" i="2208"/>
  <c r="BR14" i="2208"/>
  <c r="BN13" i="2208"/>
  <c r="BC13" i="2208"/>
  <c r="BB13" i="2208"/>
  <c r="BA13" i="2208"/>
  <c r="AZ13" i="2208"/>
  <c r="AQ13" i="2208"/>
  <c r="AP13" i="2208"/>
  <c r="AO13" i="2208"/>
  <c r="AN13" i="2208"/>
  <c r="AE13" i="2208"/>
  <c r="AD13" i="2208"/>
  <c r="AB13" i="2208"/>
  <c r="S13" i="2208"/>
  <c r="R13" i="2208"/>
  <c r="Q13" i="2208"/>
  <c r="P13" i="2208"/>
  <c r="G13" i="2208"/>
  <c r="F13" i="2208"/>
  <c r="D13" i="2208"/>
  <c r="BO12" i="2208"/>
  <c r="BS12" i="2208" s="1"/>
  <c r="BM12" i="2208"/>
  <c r="BL12" i="2208"/>
  <c r="BG12" i="2208"/>
  <c r="BD12" i="2208"/>
  <c r="BF12" i="2208" s="1"/>
  <c r="AU12" i="2208"/>
  <c r="AR12" i="2208"/>
  <c r="AT12" i="2208" s="1"/>
  <c r="AI12" i="2208"/>
  <c r="AF12" i="2208"/>
  <c r="AH12" i="2208" s="1"/>
  <c r="W12" i="2208"/>
  <c r="T12" i="2208"/>
  <c r="V12" i="2208" s="1"/>
  <c r="K12" i="2208"/>
  <c r="H12" i="2208"/>
  <c r="J12" i="2208" s="1"/>
  <c r="BO11" i="2208"/>
  <c r="BS11" i="2208" s="1"/>
  <c r="BM11" i="2208"/>
  <c r="BL11" i="2208"/>
  <c r="BG11" i="2208"/>
  <c r="BD11" i="2208"/>
  <c r="BF11" i="2208" s="1"/>
  <c r="AU11" i="2208"/>
  <c r="AR11" i="2208"/>
  <c r="AT11" i="2208" s="1"/>
  <c r="AI11" i="2208"/>
  <c r="AF11" i="2208"/>
  <c r="AH11" i="2208" s="1"/>
  <c r="W11" i="2208"/>
  <c r="T11" i="2208"/>
  <c r="V11" i="2208" s="1"/>
  <c r="K11" i="2208"/>
  <c r="H11" i="2208"/>
  <c r="J11" i="2208" s="1"/>
  <c r="BO10" i="2208"/>
  <c r="BM10" i="2208"/>
  <c r="BL10" i="2208"/>
  <c r="BG10" i="2208"/>
  <c r="BD10" i="2208"/>
  <c r="BF10" i="2208" s="1"/>
  <c r="AU10" i="2208"/>
  <c r="AR10" i="2208"/>
  <c r="AT10" i="2208" s="1"/>
  <c r="AI10" i="2208"/>
  <c r="AF10" i="2208"/>
  <c r="AH10" i="2208" s="1"/>
  <c r="W10" i="2208"/>
  <c r="T10" i="2208"/>
  <c r="V10" i="2208" s="1"/>
  <c r="K10" i="2208"/>
  <c r="H10" i="2208"/>
  <c r="J10" i="2208" s="1"/>
  <c r="BS9" i="2208"/>
  <c r="BO9" i="2208"/>
  <c r="BM9" i="2208"/>
  <c r="BL9" i="2208"/>
  <c r="BG9" i="2208"/>
  <c r="BD9" i="2208"/>
  <c r="BF9" i="2208" s="1"/>
  <c r="AU9" i="2208"/>
  <c r="AR9" i="2208"/>
  <c r="AT9" i="2208" s="1"/>
  <c r="AI9" i="2208"/>
  <c r="AF9" i="2208"/>
  <c r="AH9" i="2208" s="1"/>
  <c r="W9" i="2208"/>
  <c r="T9" i="2208"/>
  <c r="V9" i="2208" s="1"/>
  <c r="K9" i="2208"/>
  <c r="H9" i="2208"/>
  <c r="J9" i="2208" s="1"/>
  <c r="BS8" i="2208"/>
  <c r="BO8" i="2208"/>
  <c r="BM8" i="2208"/>
  <c r="BL8" i="2208"/>
  <c r="BG8" i="2208"/>
  <c r="BD8" i="2208"/>
  <c r="BF8" i="2208" s="1"/>
  <c r="AU8" i="2208"/>
  <c r="AR8" i="2208"/>
  <c r="AT8" i="2208" s="1"/>
  <c r="AI8" i="2208"/>
  <c r="AF8" i="2208"/>
  <c r="AH8" i="2208" s="1"/>
  <c r="W8" i="2208"/>
  <c r="T8" i="2208"/>
  <c r="V8" i="2208" s="1"/>
  <c r="K8" i="2208"/>
  <c r="H8" i="2208"/>
  <c r="J8" i="2208" s="1"/>
  <c r="BO7" i="2208"/>
  <c r="BS7" i="2208" s="1"/>
  <c r="BM7" i="2208"/>
  <c r="BL7" i="2208"/>
  <c r="BG7" i="2208"/>
  <c r="BD7" i="2208"/>
  <c r="BF7" i="2208" s="1"/>
  <c r="AU7" i="2208"/>
  <c r="AR7" i="2208"/>
  <c r="AT7" i="2208" s="1"/>
  <c r="AI7" i="2208"/>
  <c r="AF7" i="2208"/>
  <c r="AH7" i="2208" s="1"/>
  <c r="W7" i="2208"/>
  <c r="T7" i="2208"/>
  <c r="V7" i="2208" s="1"/>
  <c r="K7" i="2208"/>
  <c r="H7" i="2208"/>
  <c r="J7" i="2208" s="1"/>
  <c r="BO6" i="2208"/>
  <c r="BS6" i="2208" s="1"/>
  <c r="BM6" i="2208"/>
  <c r="BL6" i="2208"/>
  <c r="BG6" i="2208"/>
  <c r="BD6" i="2208"/>
  <c r="BF6" i="2208" s="1"/>
  <c r="AU6" i="2208"/>
  <c r="AR6" i="2208"/>
  <c r="AT6" i="2208" s="1"/>
  <c r="AI6" i="2208"/>
  <c r="AF6" i="2208"/>
  <c r="AH6" i="2208" s="1"/>
  <c r="W6" i="2208"/>
  <c r="T6" i="2208"/>
  <c r="V6" i="2208" s="1"/>
  <c r="K6" i="2208"/>
  <c r="H6" i="2208"/>
  <c r="J6" i="2208" s="1"/>
  <c r="BO5" i="2208"/>
  <c r="BS5" i="2208" s="1"/>
  <c r="BM5" i="2208"/>
  <c r="BL5" i="2208"/>
  <c r="BG5" i="2208"/>
  <c r="BD5" i="2208"/>
  <c r="BF5" i="2208" s="1"/>
  <c r="AU5" i="2208"/>
  <c r="AR5" i="2208"/>
  <c r="AT5" i="2208" s="1"/>
  <c r="AI5" i="2208"/>
  <c r="AF5" i="2208"/>
  <c r="AH5" i="2208" s="1"/>
  <c r="W5" i="2208"/>
  <c r="T5" i="2208"/>
  <c r="V5" i="2208" s="1"/>
  <c r="K5" i="2208"/>
  <c r="H5" i="2208"/>
  <c r="J5" i="2208" s="1"/>
  <c r="BO4" i="2208"/>
  <c r="BL4" i="2208"/>
  <c r="BG4" i="2208"/>
  <c r="BD4" i="2208"/>
  <c r="BF4" i="2208" s="1"/>
  <c r="AU4" i="2208"/>
  <c r="AR4" i="2208"/>
  <c r="AT4" i="2208" s="1"/>
  <c r="AI4" i="2208"/>
  <c r="AF4" i="2208"/>
  <c r="AC13" i="2208"/>
  <c r="W4" i="2208"/>
  <c r="T4" i="2208"/>
  <c r="V4" i="2208" s="1"/>
  <c r="K4" i="2208"/>
  <c r="H4" i="2208"/>
  <c r="J4" i="2208" s="1"/>
  <c r="E13" i="2208"/>
  <c r="BR2" i="2208"/>
  <c r="BQ2" i="2208"/>
  <c r="BF2" i="2208"/>
  <c r="AT2" i="2208"/>
  <c r="AH2" i="2208"/>
  <c r="V2" i="2208"/>
  <c r="BO13" i="2208" l="1"/>
  <c r="K13" i="2208"/>
  <c r="BP12" i="2208"/>
  <c r="BR12" i="2208" s="1"/>
  <c r="W13" i="2208"/>
  <c r="AI13" i="2208"/>
  <c r="AU13" i="2208"/>
  <c r="BG13" i="2208"/>
  <c r="BP11" i="2208"/>
  <c r="BR11" i="2208" s="1"/>
  <c r="BP6" i="2208"/>
  <c r="BT6" i="2208" s="1"/>
  <c r="BP5" i="2208"/>
  <c r="BT5" i="2208" s="1"/>
  <c r="AT13" i="2208"/>
  <c r="AT22" i="2208" s="1"/>
  <c r="AU14" i="2208" s="1"/>
  <c r="BP9" i="2208"/>
  <c r="BT9" i="2208" s="1"/>
  <c r="AF13" i="2208"/>
  <c r="BP10" i="2208"/>
  <c r="BP7" i="2208"/>
  <c r="BR7" i="2208" s="1"/>
  <c r="BP8" i="2208"/>
  <c r="BT8" i="2208" s="1"/>
  <c r="BR19" i="2208"/>
  <c r="BT10" i="2208"/>
  <c r="BR10" i="2208"/>
  <c r="BF13" i="2208"/>
  <c r="BF22" i="2208" s="1"/>
  <c r="J13" i="2208"/>
  <c r="J35" i="2208"/>
  <c r="J18" i="2208" s="1"/>
  <c r="BR18" i="2208" s="1"/>
  <c r="BR23" i="2208"/>
  <c r="V13" i="2208"/>
  <c r="BD13" i="2208"/>
  <c r="BM4" i="2208"/>
  <c r="BM13" i="2208" s="1"/>
  <c r="BL13" i="2208"/>
  <c r="AH4" i="2208"/>
  <c r="AH13" i="2208" s="1"/>
  <c r="AH22" i="2208" s="1"/>
  <c r="AI14" i="2208" s="1"/>
  <c r="BS4" i="2208"/>
  <c r="AR13" i="2208"/>
  <c r="BS10" i="2208"/>
  <c r="H13" i="2208"/>
  <c r="T13" i="2208"/>
  <c r="BR6" i="2208" l="1"/>
  <c r="BT11" i="2208"/>
  <c r="BT7" i="2208"/>
  <c r="BR5" i="2208"/>
  <c r="AS16" i="2208"/>
  <c r="BR9" i="2208"/>
  <c r="AG16" i="2208"/>
  <c r="BR8" i="2208"/>
  <c r="BP4" i="2208"/>
  <c r="U16" i="2208"/>
  <c r="V22" i="2208"/>
  <c r="W14" i="2208" s="1"/>
  <c r="J22" i="2208"/>
  <c r="I16" i="2208"/>
  <c r="BE16" i="2208"/>
  <c r="BS13" i="2208"/>
  <c r="BR4" i="2208" l="1"/>
  <c r="BR13" i="2208" s="1"/>
  <c r="BP13" i="2208"/>
  <c r="BU14" i="2208" s="1"/>
  <c r="BT4" i="2208"/>
  <c r="BT12" i="2208" s="1"/>
  <c r="BR22" i="2208" l="1"/>
  <c r="BS14" i="2208" s="1"/>
  <c r="BQ16" i="220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PMYLS</author>
  </authors>
  <commentList>
    <comment ref="E2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PMYLS:</t>
        </r>
        <r>
          <rPr>
            <sz val="9"/>
            <color indexed="81"/>
            <rFont val="Tahoma"/>
            <family val="2"/>
          </rPr>
          <t xml:space="preserve">
Filling Date:03-10-26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PMYLS</author>
  </authors>
  <commentList>
    <comment ref="AX2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PMYLS:</t>
        </r>
        <r>
          <rPr>
            <sz val="9"/>
            <color indexed="81"/>
            <rFont val="Tahoma"/>
            <family val="2"/>
          </rPr>
          <t xml:space="preserve">
Shakoor sb taken for Rahim Store Raiwind Rd, Thokar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PMYLS</author>
  </authors>
  <commentList>
    <comment ref="AH2" authorId="0" shapeId="0" xr:uid="{8F762017-CCC9-410E-A019-8B91EE3A2F58}">
      <text>
        <r>
          <rPr>
            <b/>
            <sz val="9"/>
            <color indexed="81"/>
            <rFont val="Tahoma"/>
            <family val="2"/>
          </rPr>
          <t>PMYLS:</t>
        </r>
        <r>
          <rPr>
            <sz val="9"/>
            <color indexed="81"/>
            <rFont val="Tahoma"/>
            <family val="2"/>
          </rPr>
          <t xml:space="preserve">
Sheet Complete in 21.102026</t>
        </r>
      </text>
    </comment>
  </commentList>
</comments>
</file>

<file path=xl/sharedStrings.xml><?xml version="1.0" encoding="utf-8"?>
<sst xmlns="http://schemas.openxmlformats.org/spreadsheetml/2006/main" count="6810" uniqueCount="273">
  <si>
    <t>DATE</t>
  </si>
  <si>
    <t>BRANDS</t>
  </si>
  <si>
    <t>PRODUCT</t>
  </si>
  <si>
    <t>ISSUED</t>
  </si>
  <si>
    <t>RETURN</t>
  </si>
  <si>
    <t>REP</t>
  </si>
  <si>
    <t>MR-SR</t>
  </si>
  <si>
    <t>SOLD</t>
  </si>
  <si>
    <t>AMOUNT</t>
  </si>
  <si>
    <t>MR AMOUNT</t>
  </si>
  <si>
    <t>TRADE OFFER</t>
  </si>
  <si>
    <t>CREDIT</t>
  </si>
  <si>
    <t>Credit Cheques Detail</t>
  </si>
  <si>
    <t>PARTY NAME</t>
  </si>
  <si>
    <t>Party Name</t>
  </si>
  <si>
    <t>Amount</t>
  </si>
  <si>
    <t>TOTAL</t>
  </si>
  <si>
    <t>Total</t>
  </si>
  <si>
    <t>CASH SALE</t>
  </si>
  <si>
    <t>Rate</t>
  </si>
  <si>
    <t>ADV Tax</t>
  </si>
  <si>
    <t xml:space="preserve">Total </t>
  </si>
  <si>
    <t xml:space="preserve">Shop Discount </t>
  </si>
  <si>
    <t>Cash Sale</t>
  </si>
  <si>
    <t xml:space="preserve">  NET VALUE 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</si>
  <si>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</si>
  <si>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</si>
  <si>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</si>
  <si>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</si>
  <si>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</si>
  <si>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</si>
  <si>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</si>
  <si>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Lemon Tarka (ECO)</t>
  </si>
  <si>
    <t>Meat Masala (ECO)</t>
  </si>
  <si>
    <t>GM</t>
  </si>
  <si>
    <t xml:space="preserve">FOC </t>
  </si>
  <si>
    <t>Shop Name</t>
  </si>
  <si>
    <t>Discount</t>
  </si>
  <si>
    <t>Value Of Sale Tax 18%22%</t>
  </si>
  <si>
    <t>PINEHILL</t>
  </si>
  <si>
    <t>Exp Detail</t>
  </si>
  <si>
    <t>Expenses</t>
  </si>
  <si>
    <t>Exp</t>
  </si>
  <si>
    <t>Haq Nawaz</t>
  </si>
  <si>
    <t>Regular DISC</t>
  </si>
  <si>
    <t>ELITE MARKETING</t>
  </si>
  <si>
    <t>Booker</t>
  </si>
  <si>
    <t>Saleman</t>
  </si>
  <si>
    <t>Van Number</t>
  </si>
  <si>
    <t>KM Start</t>
  </si>
  <si>
    <t>KM End</t>
  </si>
  <si>
    <t>Total Driven</t>
  </si>
  <si>
    <t xml:space="preserve"> </t>
  </si>
  <si>
    <t>Online Sale</t>
  </si>
  <si>
    <t>CASH SALE Online</t>
  </si>
  <si>
    <t>Expense</t>
  </si>
  <si>
    <t>01.10.2026</t>
  </si>
  <si>
    <t>Zeeshan</t>
  </si>
  <si>
    <t>Kashmir Bakers</t>
  </si>
  <si>
    <t>Jabbar</t>
  </si>
  <si>
    <t>Hikma Store Askari-10</t>
  </si>
  <si>
    <t>Tyre Air Check</t>
  </si>
  <si>
    <t>Furqan</t>
  </si>
  <si>
    <t>Toll Tax Haq Nawaz</t>
  </si>
  <si>
    <t>Toll Tax Bilal</t>
  </si>
  <si>
    <t>Challan Bilal
TID: 725686108299</t>
  </si>
  <si>
    <t>Ikram</t>
  </si>
  <si>
    <t>Shakoor</t>
  </si>
  <si>
    <t xml:space="preserve">Gourmet All </t>
  </si>
  <si>
    <t>Bilal</t>
  </si>
  <si>
    <t>Rahim Store Iqbal Town</t>
  </si>
  <si>
    <t>Rahim Store Raiwind Rd</t>
  </si>
  <si>
    <t>Euro Store Iqbal Twn(Mian Nasir)</t>
  </si>
  <si>
    <t>Aster Store Canal Rd</t>
  </si>
  <si>
    <t>-</t>
  </si>
  <si>
    <t>Gourmet All</t>
  </si>
  <si>
    <t>Bilal Short Pieces</t>
  </si>
  <si>
    <t>02.10.2026</t>
  </si>
  <si>
    <t>Green Mart</t>
  </si>
  <si>
    <t>Umair</t>
  </si>
  <si>
    <t>Grace Land yohanabad</t>
  </si>
  <si>
    <t>Toll Tax</t>
  </si>
  <si>
    <t>Hikma Green City</t>
  </si>
  <si>
    <t>Ayan Mart Paragon</t>
  </si>
  <si>
    <t>Photocopy Bill</t>
  </si>
  <si>
    <t>Jalal &amp; Sons Behria Orcrd</t>
  </si>
  <si>
    <t>Rainbow Barki Road</t>
  </si>
  <si>
    <t>Saqib</t>
  </si>
  <si>
    <t>Rainbow EME</t>
  </si>
  <si>
    <t>Rainbow Defence Rd</t>
  </si>
  <si>
    <t>Rainbow Wapda Town</t>
  </si>
  <si>
    <t>Jalal &amp; Sons Johar Town</t>
  </si>
  <si>
    <t>Rainbow Model Town</t>
  </si>
  <si>
    <t>Gourmet Awan Town</t>
  </si>
  <si>
    <t>Gourmet Rustam Park</t>
  </si>
  <si>
    <t>Gourmet Islam Pura</t>
  </si>
  <si>
    <t>Gourmet Krishan Nagr</t>
  </si>
  <si>
    <t>Clinix Warehouse</t>
  </si>
  <si>
    <t>Rainbow Gujranwala</t>
  </si>
  <si>
    <t>Rainbow Shekhupura</t>
  </si>
  <si>
    <t>Rainbow Shadra</t>
  </si>
  <si>
    <t>Petrol Suzuki (Bilal)
LES-7519</t>
  </si>
  <si>
    <t>Risen Thokar</t>
  </si>
  <si>
    <t>Jalal Sons Main Market</t>
  </si>
  <si>
    <t>Gourmet Walton Road</t>
  </si>
  <si>
    <t>Jalal Sons Lake City</t>
  </si>
  <si>
    <t>Gourmet Dharam Pura</t>
  </si>
  <si>
    <t>Paradise Store DHA</t>
  </si>
  <si>
    <t>05.10.2026</t>
  </si>
  <si>
    <t>03.10.2026</t>
  </si>
  <si>
    <t>Challan Foton</t>
  </si>
  <si>
    <t>Hikma Store Askari 11</t>
  </si>
  <si>
    <t>Hikma Store DHA Phse 5</t>
  </si>
  <si>
    <t>Petrol Suzuki 
KZ-6170</t>
  </si>
  <si>
    <t>06.10.2026</t>
  </si>
  <si>
    <t xml:space="preserve">Essa Gee </t>
  </si>
  <si>
    <t>Petrol CBC-5274</t>
  </si>
  <si>
    <t>Challan CBC-5274</t>
  </si>
  <si>
    <t>Crown Super Market</t>
  </si>
  <si>
    <t>Swera Departmentl Store</t>
  </si>
  <si>
    <t>Euro Store Gari Shahu</t>
  </si>
  <si>
    <t>Risen Manawan</t>
  </si>
  <si>
    <t>Gourmet Shalimar Link Rd</t>
  </si>
  <si>
    <t>Gourmet Bagban Pura</t>
  </si>
  <si>
    <t>Gourmet Bata Pur</t>
  </si>
  <si>
    <t>Gourmet Taj Bagh</t>
  </si>
  <si>
    <t>Gourmet Lal Pul Jallo</t>
  </si>
  <si>
    <t>Short Cash Haq Nawaz</t>
  </si>
  <si>
    <t>07.10.2026</t>
  </si>
  <si>
    <r>
      <t xml:space="preserve">Haq Nawaz </t>
    </r>
    <r>
      <rPr>
        <b/>
        <sz val="9"/>
        <color theme="1"/>
        <rFont val="Book Antiqua"/>
        <family val="1"/>
      </rPr>
      <t>(Abdullah Trad.)</t>
    </r>
  </si>
  <si>
    <t>Abdullah Traders Raiwind</t>
  </si>
  <si>
    <t>Petrol KZ-6170</t>
  </si>
  <si>
    <t>Short Cash Ikram</t>
  </si>
  <si>
    <t>Gourmet Ferozpur Rd</t>
  </si>
  <si>
    <t>Gourmet Kahna Nau</t>
  </si>
  <si>
    <t>Gourmet Ismail Nagar</t>
  </si>
  <si>
    <t>Gourmet Zahoor Elahi Rd</t>
  </si>
  <si>
    <t>Imperia Deparmntl Store</t>
  </si>
  <si>
    <t>Pak Madina (PM)</t>
  </si>
  <si>
    <t>Risen Shadbag</t>
  </si>
  <si>
    <t>08.10.2026</t>
  </si>
  <si>
    <t>Risen DHA Askari-XI Badian Road</t>
  </si>
  <si>
    <t>Usman Canvinian LDA Aven</t>
  </si>
  <si>
    <t>Swera Shadman</t>
  </si>
  <si>
    <t>Wh. Tax</t>
  </si>
  <si>
    <t>09.10.2026</t>
  </si>
  <si>
    <t>Bin Hadi Ali Park</t>
  </si>
  <si>
    <t>Clinix Pharmacy</t>
  </si>
  <si>
    <t>Gourmet Poonch Road</t>
  </si>
  <si>
    <t>Gourmet Gulshan Ravi</t>
  </si>
  <si>
    <t>Gourmet Nadeem Shaheed</t>
  </si>
  <si>
    <t>Gourmet Krishan Nagar</t>
  </si>
  <si>
    <t>Gourmet Multan Road</t>
  </si>
  <si>
    <t>Gourmet Chung Multan Rd</t>
  </si>
  <si>
    <t>Gourmet Raiwind Road</t>
  </si>
  <si>
    <t>Qamar TSO</t>
  </si>
  <si>
    <t>Nabeel Traders</t>
  </si>
  <si>
    <t>10.10.2026</t>
  </si>
  <si>
    <t>Green Mart Askari-11</t>
  </si>
  <si>
    <t>Advance Ikram</t>
  </si>
  <si>
    <t>Euro Store Behria Town</t>
  </si>
  <si>
    <t>Risen Raiwind Road</t>
  </si>
  <si>
    <t>Petrol Suzuki LES-7519</t>
  </si>
  <si>
    <t>12.10.2026</t>
  </si>
  <si>
    <t>Urban Store</t>
  </si>
  <si>
    <t>Gourmet DHA K Block</t>
  </si>
  <si>
    <t>Gourmet Bhatta Chowk</t>
  </si>
  <si>
    <t>Gourmet DHA XX-3 Block</t>
  </si>
  <si>
    <t>Gourmet DHA FF Block</t>
  </si>
  <si>
    <t>Gourmet DHA H Block</t>
  </si>
  <si>
    <t>Challan CBC-5274
PSID: 492618416076608422</t>
  </si>
  <si>
    <t>Gourmet Peco Road</t>
  </si>
  <si>
    <t>Gourmet Umer Chowk Twnship</t>
  </si>
  <si>
    <t>Gourmet Military Account</t>
  </si>
  <si>
    <t>Gourmet Model Town C Block</t>
  </si>
  <si>
    <t>Gourmet College Road</t>
  </si>
  <si>
    <t>Gourmet Model Town A Block</t>
  </si>
  <si>
    <t>Gourmet Jinnah Hospital</t>
  </si>
  <si>
    <t>13.10.2026</t>
  </si>
  <si>
    <t>Wh. Tax (Attae Haq Store)</t>
  </si>
  <si>
    <t>Petrol Suzuki-CBC 5274</t>
  </si>
  <si>
    <t>Wh. Tax (Hamza Brother)</t>
  </si>
  <si>
    <t>Hikma Store Bankers Society</t>
  </si>
  <si>
    <t xml:space="preserve">Salman </t>
  </si>
  <si>
    <t>Hamza Brothers(20.10.2026)</t>
  </si>
  <si>
    <t>Check</t>
  </si>
  <si>
    <t>16.10.2026</t>
  </si>
  <si>
    <t>Bread &amp; Butter</t>
  </si>
  <si>
    <t>Waseem Taken Sufi</t>
  </si>
  <si>
    <t>Salman</t>
  </si>
  <si>
    <t>W Mart</t>
  </si>
  <si>
    <t>Euro Store Rangers</t>
  </si>
  <si>
    <t>Euro Store Tajbag</t>
  </si>
  <si>
    <t>Euro Store GT Road</t>
  </si>
  <si>
    <t>Risen Fatehgarh</t>
  </si>
  <si>
    <t>Lutaf Ranger Head Quarter</t>
  </si>
  <si>
    <t>Zubaida Associate</t>
  </si>
  <si>
    <t>Asif Advance</t>
  </si>
  <si>
    <t>Bill Photocopy</t>
  </si>
  <si>
    <t>17.10.2026</t>
  </si>
  <si>
    <t>Asghar Butt+Qamar TSO</t>
  </si>
  <si>
    <t>Asghar Butt</t>
  </si>
  <si>
    <t>Risen Sabzazar</t>
  </si>
  <si>
    <t>Naqashbandi Multan Rd</t>
  </si>
  <si>
    <t>Raheem Store Iqbal Town</t>
  </si>
  <si>
    <t>HKB Y Block</t>
  </si>
  <si>
    <t>Petrol Suzuki
 LES-7519</t>
  </si>
  <si>
    <t>Bilal Store</t>
  </si>
  <si>
    <t>Cart &amp; Carry</t>
  </si>
  <si>
    <t>Hikma Store Askari-II</t>
  </si>
  <si>
    <t>Indomie Tonner Refill</t>
  </si>
  <si>
    <t>19.10.2026</t>
  </si>
  <si>
    <t>Askari Departmental Wapda Twn</t>
  </si>
  <si>
    <t>Aslam Cash &amp; Carry Colleg Rd</t>
  </si>
  <si>
    <t>Umer Cash &amp; Carry Pnjb Soc</t>
  </si>
  <si>
    <t>Euro Store NFC Soceity</t>
  </si>
  <si>
    <t>Rainbow Defence Road</t>
  </si>
  <si>
    <t>20.10.2026</t>
  </si>
  <si>
    <t>Hikma Rifal Range Road</t>
  </si>
  <si>
    <t>Stationary</t>
  </si>
  <si>
    <t>Oil, Tuning Suzuki
KZ-6170</t>
  </si>
  <si>
    <t>Unloading Indomie Mazda</t>
  </si>
  <si>
    <t>21.10.2026</t>
  </si>
  <si>
    <t>Latif Store Nishat</t>
  </si>
  <si>
    <t>Essa Gee</t>
  </si>
  <si>
    <t>Mouse Cell</t>
  </si>
  <si>
    <t>Rainbow Shaikhupura</t>
  </si>
  <si>
    <t>Rainbow Behria Town</t>
  </si>
  <si>
    <t>Bill Photocopy for Indomie</t>
  </si>
  <si>
    <t>Lake City Mart Raiwind Rd</t>
  </si>
  <si>
    <t>Euro Joharf Town</t>
  </si>
  <si>
    <t>22.10.2026</t>
  </si>
  <si>
    <t>Urban Mart Bedian Rd</t>
  </si>
  <si>
    <t>Organic Store Edden City</t>
  </si>
  <si>
    <t>Honey Mart(7.11.2026</t>
  </si>
  <si>
    <t>Petrol Suzuki
CBC-5274</t>
  </si>
  <si>
    <t>Advance Mumtaz</t>
  </si>
  <si>
    <t>Lunch</t>
  </si>
  <si>
    <t>Risen Manawan CB Tradr</t>
  </si>
  <si>
    <t>Euro Gari Shahu</t>
  </si>
  <si>
    <t>Petrol Suzuki
LES-7519</t>
  </si>
  <si>
    <t>Euro Model Town</t>
  </si>
  <si>
    <t>Jalal Sons Chatri Chowk</t>
  </si>
  <si>
    <t>23.10.2026</t>
  </si>
  <si>
    <t>K Mart Green City</t>
  </si>
  <si>
    <t>Advance Bilal</t>
  </si>
  <si>
    <t>Ittifaq Mega Mart (13.11.2026)</t>
  </si>
  <si>
    <t>Maintenance Suzuki
KZ-6170</t>
  </si>
  <si>
    <t>Aslam Mart Behria Town</t>
  </si>
  <si>
    <t>Jalal Sons Behria Orchard</t>
  </si>
  <si>
    <t>Galaxy Super Market (02.11.2026)</t>
  </si>
  <si>
    <t>24.10.2026</t>
  </si>
  <si>
    <t>Risen Gajjumata(Rafaqat Sons)</t>
  </si>
  <si>
    <t>LES-7519</t>
  </si>
  <si>
    <t>KK Mart Gulbrg Main Market</t>
  </si>
  <si>
    <t>Short Piece in Cotton(Lemon 70G</t>
  </si>
  <si>
    <t>Suzuki KZ-6170</t>
  </si>
  <si>
    <t>Tayyab Sufi(Tea, Milk)</t>
  </si>
  <si>
    <t>26.10.2026</t>
  </si>
  <si>
    <t>Petrol Suzuki-LES 7519</t>
  </si>
  <si>
    <t>Photocopy</t>
  </si>
  <si>
    <t>Jalal Sons Askari-X</t>
  </si>
  <si>
    <t>Euro Store DHA Phase-8</t>
  </si>
  <si>
    <t>Mazz Cash &amp; Carry State Life soci</t>
  </si>
  <si>
    <t xml:space="preserve">A Plus </t>
  </si>
  <si>
    <t>A Plus (Stock Return)</t>
  </si>
  <si>
    <t>27.10.2026</t>
  </si>
  <si>
    <t>Euro Iqbal Town Rachna</t>
  </si>
  <si>
    <t>Wh. Tax (Al Buraq</t>
  </si>
  <si>
    <t xml:space="preserve">Wh. Tax (Raheem </t>
  </si>
  <si>
    <t>Jalal Sons Chaburji chowk</t>
  </si>
  <si>
    <t>Al Buraq Dep Store(27.10.2026)</t>
  </si>
  <si>
    <t>Indomie Chicken ® 4 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</si>
</sst>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_(* #,##0.0_);_(* \(#,##0.0\);_(* &quot;-&quot;?_);_(@_)"/>
  </numFmts>
  <fonts count="46" x14ac:knownFonts="1">
    <font>
      <sz val="12"/>
      <color theme="1"/>
      <name val="Calibri"/>
      <family val="2"/>
      <scheme val="minor"/>
    </font>
    <font>
      <b/>
      <sz val="14"/>
      <color theme="1"/>
      <name val="Book Antiqua"/>
      <family val="1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1"/>
      <color theme="1"/>
      <name val="Book Antiqua"/>
      <family val="1"/>
    </font>
    <font>
      <sz val="12"/>
      <color theme="1"/>
      <name val="Calibri"/>
      <family val="2"/>
      <scheme val="minor"/>
    </font>
    <font>
      <b/>
      <sz val="18"/>
      <color theme="1"/>
      <name val="Book Antiqua"/>
      <family val="1"/>
    </font>
    <font>
      <b/>
      <sz val="20"/>
      <color theme="1"/>
      <name val="Book Antiqua"/>
      <family val="1"/>
    </font>
    <font>
      <b/>
      <sz val="16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b/>
      <sz val="14"/>
      <name val="Book Antiqua"/>
      <family val="1"/>
    </font>
    <font>
      <b/>
      <sz val="14"/>
      <color theme="1"/>
      <name val="Arial Narrow"/>
      <family val="2"/>
    </font>
    <font>
      <b/>
      <sz val="16"/>
      <name val="Arial Narrow"/>
      <family val="2"/>
    </font>
    <font>
      <b/>
      <sz val="24"/>
      <color theme="1"/>
      <name val="Book Antiqua"/>
      <family val="1"/>
    </font>
    <font>
      <sz val="24"/>
      <color theme="1"/>
      <name val="Book Antiqua"/>
      <family val="1"/>
    </font>
    <font>
      <b/>
      <sz val="14"/>
      <color theme="1"/>
      <name val="Arial"/>
      <family val="2"/>
    </font>
    <font>
      <b/>
      <sz val="26"/>
      <color theme="1"/>
      <name val="Book Antiqua"/>
      <family val="1"/>
    </font>
    <font>
      <sz val="9"/>
      <color theme="1"/>
      <name val="Book Antiqua"/>
      <family val="1"/>
    </font>
    <font>
      <b/>
      <sz val="22"/>
      <color theme="1"/>
      <name val="Book Antiqua"/>
      <family val="1"/>
    </font>
    <font>
      <sz val="10"/>
      <color theme="1"/>
      <name val="Book Antiqua"/>
      <family val="1"/>
    </font>
    <font>
      <b/>
      <sz val="26"/>
      <color rgb="FFFF0000"/>
      <name val="Book Antiqua"/>
      <family val="1"/>
    </font>
    <font>
      <sz val="13.5"/>
      <color theme="1"/>
      <name val="Arial"/>
      <family val="2"/>
    </font>
    <font>
      <b/>
      <sz val="16"/>
      <color indexed="8"/>
      <name val="Calibri"/>
      <family val="2"/>
    </font>
    <font>
      <b/>
      <sz val="13.5"/>
      <color theme="1"/>
      <name val="Arial"/>
      <family val="2"/>
    </font>
    <font>
      <b/>
      <sz val="13"/>
      <color theme="1"/>
      <name val="Book Antiqua"/>
      <family val="1"/>
    </font>
    <font>
      <b/>
      <sz val="14"/>
      <color rgb="FFFF0000"/>
      <name val="Arial"/>
      <family val="2"/>
    </font>
    <font>
      <b/>
      <sz val="16"/>
      <color rgb="FFFF0000"/>
      <name val="Book Antiqua"/>
      <family val="1"/>
    </font>
    <font>
      <b/>
      <sz val="14"/>
      <name val="Arial"/>
      <family val="2"/>
    </font>
    <font>
      <b/>
      <sz val="16"/>
      <name val="Book Antiqua"/>
      <family val="1"/>
    </font>
    <font>
      <sz val="13"/>
      <color theme="1"/>
      <name val="Book Antiqua"/>
      <family val="1"/>
    </font>
    <font>
      <b/>
      <sz val="13"/>
      <name val="Arial"/>
      <family val="2"/>
    </font>
    <font>
      <b/>
      <sz val="12"/>
      <color theme="1"/>
      <name val="Arial Narrow"/>
      <family val="2"/>
    </font>
    <font>
      <b/>
      <sz val="13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Book Antiqua"/>
      <family val="1"/>
    </font>
    <font>
      <b/>
      <sz val="12"/>
      <color rgb="FFFF0000"/>
      <name val="Arial Narrow"/>
      <family val="2"/>
    </font>
    <font>
      <b/>
      <sz val="9"/>
      <color theme="1"/>
      <name val="Book Antiqua"/>
      <family val="1"/>
    </font>
    <font>
      <b/>
      <sz val="10"/>
      <color theme="1"/>
      <name val="Arial"/>
      <family val="2"/>
    </font>
    <font>
      <b/>
      <sz val="16"/>
      <color rgb="FFFF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5"/>
      <color indexed="8"/>
      <name val="Calibri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32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/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4" fillId="2" borderId="6" xfId="0" applyNumberFormat="1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3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2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3" fillId="2" borderId="24" xfId="0" applyFont="1" applyFill="1" applyBorder="1"/>
    <xf numFmtId="0" fontId="3" fillId="2" borderId="25" xfId="0" applyFont="1" applyFill="1" applyBorder="1"/>
    <xf numFmtId="0" fontId="3" fillId="2" borderId="0" xfId="0" applyFont="1" applyFill="1"/>
    <xf numFmtId="0" fontId="5" fillId="2" borderId="0" xfId="0" applyFont="1" applyFill="1"/>
    <xf numFmtId="1" fontId="2" fillId="2" borderId="0" xfId="0" applyNumberFormat="1" applyFont="1" applyFill="1"/>
    <xf numFmtId="2" fontId="2" fillId="2" borderId="0" xfId="0" applyNumberFormat="1" applyFont="1" applyFill="1"/>
    <xf numFmtId="0" fontId="2" fillId="2" borderId="0" xfId="1" applyNumberFormat="1" applyFont="1" applyFill="1"/>
    <xf numFmtId="0" fontId="10" fillId="2" borderId="4" xfId="0" applyFont="1" applyFill="1" applyBorder="1"/>
    <xf numFmtId="2" fontId="3" fillId="2" borderId="19" xfId="0" applyNumberFormat="1" applyFont="1" applyFill="1" applyBorder="1"/>
    <xf numFmtId="2" fontId="2" fillId="2" borderId="19" xfId="0" applyNumberFormat="1" applyFont="1" applyFill="1" applyBorder="1"/>
    <xf numFmtId="1" fontId="2" fillId="2" borderId="4" xfId="0" applyNumberFormat="1" applyFont="1" applyFill="1" applyBorder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0" fontId="12" fillId="2" borderId="6" xfId="0" applyFont="1" applyFill="1" applyBorder="1"/>
    <xf numFmtId="1" fontId="1" fillId="2" borderId="6" xfId="0" applyNumberFormat="1" applyFont="1" applyFill="1" applyBorder="1"/>
    <xf numFmtId="0" fontId="10" fillId="2" borderId="6" xfId="0" applyFont="1" applyFill="1" applyBorder="1"/>
    <xf numFmtId="0" fontId="12" fillId="2" borderId="4" xfId="0" applyFont="1" applyFill="1" applyBorder="1"/>
    <xf numFmtId="1" fontId="1" fillId="2" borderId="4" xfId="0" applyNumberFormat="1" applyFont="1" applyFill="1" applyBorder="1"/>
    <xf numFmtId="0" fontId="12" fillId="2" borderId="11" xfId="0" applyFont="1" applyFill="1" applyBorder="1"/>
    <xf numFmtId="1" fontId="1" fillId="2" borderId="11" xfId="0" applyNumberFormat="1" applyFont="1" applyFill="1" applyBorder="1"/>
    <xf numFmtId="0" fontId="10" fillId="2" borderId="11" xfId="0" applyFont="1" applyFill="1" applyBorder="1"/>
    <xf numFmtId="0" fontId="13" fillId="2" borderId="6" xfId="0" applyFont="1" applyFill="1" applyBorder="1"/>
    <xf numFmtId="0" fontId="13" fillId="2" borderId="4" xfId="0" applyFont="1" applyFill="1" applyBorder="1"/>
    <xf numFmtId="0" fontId="13" fillId="2" borderId="11" xfId="0" applyFont="1" applyFill="1" applyBorder="1"/>
    <xf numFmtId="0" fontId="7" fillId="2" borderId="22" xfId="0" applyFont="1" applyFill="1" applyBorder="1" applyAlignment="1">
      <alignment horizontal="center"/>
    </xf>
    <xf numFmtId="0" fontId="9" fillId="2" borderId="22" xfId="0" applyFont="1" applyFill="1" applyBorder="1"/>
    <xf numFmtId="1" fontId="9" fillId="2" borderId="22" xfId="0" applyNumberFormat="1" applyFont="1" applyFill="1" applyBorder="1"/>
    <xf numFmtId="0" fontId="11" fillId="2" borderId="22" xfId="0" applyFont="1" applyFill="1" applyBorder="1"/>
    <xf numFmtId="166" fontId="14" fillId="2" borderId="4" xfId="1" applyNumberFormat="1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165" fontId="1" fillId="2" borderId="17" xfId="2" applyNumberFormat="1" applyFont="1" applyFill="1" applyBorder="1"/>
    <xf numFmtId="43" fontId="3" fillId="2" borderId="20" xfId="0" applyNumberFormat="1" applyFont="1" applyFill="1" applyBorder="1"/>
    <xf numFmtId="1" fontId="2" fillId="2" borderId="19" xfId="0" applyNumberFormat="1" applyFont="1" applyFill="1" applyBorder="1"/>
    <xf numFmtId="1" fontId="7" fillId="2" borderId="7" xfId="0" applyNumberFormat="1" applyFont="1" applyFill="1" applyBorder="1" applyAlignment="1">
      <alignment horizontal="center"/>
    </xf>
    <xf numFmtId="1" fontId="7" fillId="2" borderId="9" xfId="0" applyNumberFormat="1" applyFont="1" applyFill="1" applyBorder="1" applyAlignment="1">
      <alignment horizontal="center"/>
    </xf>
    <xf numFmtId="1" fontId="7" fillId="2" borderId="12" xfId="0" applyNumberFormat="1" applyFont="1" applyFill="1" applyBorder="1" applyAlignment="1">
      <alignment horizontal="center"/>
    </xf>
    <xf numFmtId="165" fontId="1" fillId="2" borderId="11" xfId="2" applyNumberFormat="1" applyFont="1" applyFill="1" applyBorder="1" applyAlignment="1">
      <alignment horizontal="center"/>
    </xf>
    <xf numFmtId="0" fontId="16" fillId="2" borderId="0" xfId="0" applyFont="1" applyFill="1"/>
    <xf numFmtId="1" fontId="3" fillId="2" borderId="19" xfId="0" applyNumberFormat="1" applyFont="1" applyFill="1" applyBorder="1"/>
    <xf numFmtId="1" fontId="3" fillId="2" borderId="20" xfId="0" applyNumberFormat="1" applyFont="1" applyFill="1" applyBorder="1"/>
    <xf numFmtId="0" fontId="13" fillId="2" borderId="16" xfId="0" applyFont="1" applyFill="1" applyBorder="1"/>
    <xf numFmtId="0" fontId="12" fillId="2" borderId="16" xfId="0" applyFont="1" applyFill="1" applyBorder="1"/>
    <xf numFmtId="1" fontId="1" fillId="2" borderId="16" xfId="0" applyNumberFormat="1" applyFont="1" applyFill="1" applyBorder="1"/>
    <xf numFmtId="0" fontId="10" fillId="2" borderId="16" xfId="0" applyFont="1" applyFill="1" applyBorder="1"/>
    <xf numFmtId="164" fontId="1" fillId="2" borderId="7" xfId="0" applyNumberFormat="1" applyFont="1" applyFill="1" applyBorder="1"/>
    <xf numFmtId="165" fontId="5" fillId="2" borderId="19" xfId="0" applyNumberFormat="1" applyFont="1" applyFill="1" applyBorder="1"/>
    <xf numFmtId="164" fontId="9" fillId="2" borderId="26" xfId="0" applyNumberFormat="1" applyFont="1" applyFill="1" applyBorder="1"/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7" fillId="2" borderId="10" xfId="0" applyFont="1" applyFill="1" applyBorder="1"/>
    <xf numFmtId="0" fontId="7" fillId="2" borderId="11" xfId="0" applyFont="1" applyFill="1" applyBorder="1"/>
    <xf numFmtId="0" fontId="7" fillId="2" borderId="26" xfId="0" applyFont="1" applyFill="1" applyBorder="1" applyAlignment="1">
      <alignment horizontal="center"/>
    </xf>
    <xf numFmtId="0" fontId="17" fillId="2" borderId="4" xfId="0" applyFont="1" applyFill="1" applyBorder="1"/>
    <xf numFmtId="0" fontId="7" fillId="2" borderId="30" xfId="0" applyFont="1" applyFill="1" applyBorder="1"/>
    <xf numFmtId="0" fontId="7" fillId="2" borderId="31" xfId="0" applyFont="1" applyFill="1" applyBorder="1" applyAlignment="1">
      <alignment horizontal="center"/>
    </xf>
    <xf numFmtId="0" fontId="17" fillId="2" borderId="8" xfId="0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27" xfId="0" applyFont="1" applyFill="1" applyBorder="1"/>
    <xf numFmtId="0" fontId="10" fillId="2" borderId="22" xfId="0" applyFont="1" applyFill="1" applyBorder="1"/>
    <xf numFmtId="0" fontId="2" fillId="2" borderId="26" xfId="0" applyFont="1" applyFill="1" applyBorder="1"/>
    <xf numFmtId="0" fontId="3" fillId="2" borderId="8" xfId="0" applyFont="1" applyFill="1" applyBorder="1"/>
    <xf numFmtId="0" fontId="3" fillId="2" borderId="22" xfId="0" applyFont="1" applyFill="1" applyBorder="1"/>
    <xf numFmtId="2" fontId="2" fillId="2" borderId="4" xfId="0" applyNumberFormat="1" applyFont="1" applyFill="1" applyBorder="1"/>
    <xf numFmtId="165" fontId="5" fillId="2" borderId="4" xfId="0" applyNumberFormat="1" applyFont="1" applyFill="1" applyBorder="1"/>
    <xf numFmtId="0" fontId="15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" fillId="2" borderId="4" xfId="0" applyFont="1" applyFill="1" applyBorder="1"/>
    <xf numFmtId="0" fontId="3" fillId="2" borderId="4" xfId="0" applyFont="1" applyFill="1" applyBorder="1"/>
    <xf numFmtId="2" fontId="3" fillId="2" borderId="4" xfId="0" applyNumberFormat="1" applyFont="1" applyFill="1" applyBorder="1"/>
    <xf numFmtId="0" fontId="2" fillId="2" borderId="30" xfId="0" applyFont="1" applyFill="1" applyBorder="1"/>
    <xf numFmtId="0" fontId="2" fillId="2" borderId="31" xfId="0" applyFont="1" applyFill="1" applyBorder="1"/>
    <xf numFmtId="0" fontId="3" fillId="2" borderId="31" xfId="0" applyFont="1" applyFill="1" applyBorder="1"/>
    <xf numFmtId="0" fontId="17" fillId="2" borderId="5" xfId="0" applyFont="1" applyFill="1" applyBorder="1"/>
    <xf numFmtId="0" fontId="17" fillId="2" borderId="6" xfId="0" applyFont="1" applyFill="1" applyBorder="1"/>
    <xf numFmtId="0" fontId="2" fillId="2" borderId="4" xfId="0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2" fontId="21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7" fontId="5" fillId="2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19" fillId="2" borderId="4" xfId="0" applyNumberFormat="1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7" fillId="2" borderId="12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165" fontId="1" fillId="2" borderId="11" xfId="2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" fontId="1" fillId="2" borderId="16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" fontId="21" fillId="2" borderId="4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0" fontId="10" fillId="2" borderId="2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7" fillId="2" borderId="38" xfId="0" applyFont="1" applyFill="1" applyBorder="1"/>
    <xf numFmtId="0" fontId="12" fillId="2" borderId="38" xfId="0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/>
    </xf>
    <xf numFmtId="1" fontId="9" fillId="2" borderId="12" xfId="0" applyNumberFormat="1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1" fontId="10" fillId="2" borderId="11" xfId="0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9" fillId="2" borderId="30" xfId="0" applyFont="1" applyFill="1" applyBorder="1"/>
    <xf numFmtId="0" fontId="25" fillId="2" borderId="4" xfId="0" applyFont="1" applyFill="1" applyBorder="1"/>
    <xf numFmtId="0" fontId="4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43" fontId="2" fillId="2" borderId="0" xfId="1" applyNumberFormat="1" applyFont="1" applyFill="1"/>
    <xf numFmtId="0" fontId="7" fillId="2" borderId="25" xfId="0" applyFont="1" applyFill="1" applyBorder="1" applyAlignment="1">
      <alignment horizontal="center"/>
    </xf>
    <xf numFmtId="0" fontId="9" fillId="2" borderId="23" xfId="0" applyFont="1" applyFill="1" applyBorder="1"/>
    <xf numFmtId="2" fontId="2" fillId="2" borderId="0" xfId="1" applyNumberFormat="1" applyFont="1" applyFill="1"/>
    <xf numFmtId="0" fontId="9" fillId="2" borderId="2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vertical="center"/>
    </xf>
    <xf numFmtId="43" fontId="2" fillId="2" borderId="0" xfId="0" applyNumberFormat="1" applyFont="1" applyFill="1"/>
    <xf numFmtId="167" fontId="9" fillId="2" borderId="17" xfId="2" applyNumberFormat="1" applyFont="1" applyFill="1" applyBorder="1"/>
    <xf numFmtId="0" fontId="17" fillId="2" borderId="38" xfId="0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2" fillId="2" borderId="4" xfId="0" applyFont="1" applyFill="1" applyBorder="1"/>
    <xf numFmtId="0" fontId="12" fillId="2" borderId="2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0" fillId="2" borderId="38" xfId="0" applyFont="1" applyFill="1" applyBorder="1" applyAlignment="1">
      <alignment horizontal="center"/>
    </xf>
    <xf numFmtId="1" fontId="9" fillId="2" borderId="6" xfId="0" applyNumberFormat="1" applyFont="1" applyFill="1" applyBorder="1"/>
    <xf numFmtId="0" fontId="15" fillId="2" borderId="28" xfId="0" applyFont="1" applyFill="1" applyBorder="1" applyAlignment="1">
      <alignment vertical="center"/>
    </xf>
    <xf numFmtId="1" fontId="4" fillId="2" borderId="6" xfId="0" applyNumberFormat="1" applyFont="1" applyFill="1" applyBorder="1" applyAlignment="1">
      <alignment horizontal="right"/>
    </xf>
    <xf numFmtId="0" fontId="5" fillId="2" borderId="43" xfId="0" applyFont="1" applyFill="1" applyBorder="1"/>
    <xf numFmtId="9" fontId="27" fillId="2" borderId="4" xfId="1" applyFont="1" applyFill="1" applyBorder="1" applyAlignment="1">
      <alignment horizontal="left" vertical="center"/>
    </xf>
    <xf numFmtId="0" fontId="34" fillId="2" borderId="4" xfId="0" applyFont="1" applyFill="1" applyBorder="1"/>
    <xf numFmtId="0" fontId="17" fillId="2" borderId="6" xfId="0" applyFont="1" applyFill="1" applyBorder="1" applyAlignment="1">
      <alignment horizontal="center" vertical="center"/>
    </xf>
    <xf numFmtId="0" fontId="37" fillId="2" borderId="43" xfId="0" applyFont="1" applyFill="1" applyBorder="1"/>
    <xf numFmtId="0" fontId="27" fillId="2" borderId="8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left" vertical="center"/>
    </xf>
    <xf numFmtId="0" fontId="40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40" fillId="2" borderId="8" xfId="0" applyFont="1" applyFill="1" applyBorder="1" applyAlignment="1">
      <alignment horizontal="center" vertical="center"/>
    </xf>
    <xf numFmtId="168" fontId="2" fillId="2" borderId="0" xfId="0" applyNumberFormat="1" applyFont="1" applyFill="1"/>
    <xf numFmtId="0" fontId="17" fillId="2" borderId="4" xfId="0" applyFont="1" applyFill="1" applyBorder="1" applyAlignment="1">
      <alignment horizontal="center"/>
    </xf>
    <xf numFmtId="0" fontId="41" fillId="0" borderId="4" xfId="0" applyFont="1" applyBorder="1" applyAlignment="1">
      <alignment horizontal="left" vertical="center"/>
    </xf>
    <xf numFmtId="0" fontId="42" fillId="2" borderId="38" xfId="0" applyFont="1" applyFill="1" applyBorder="1"/>
    <xf numFmtId="0" fontId="3" fillId="2" borderId="2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43" fillId="2" borderId="38" xfId="0" applyFont="1" applyFill="1" applyBorder="1"/>
    <xf numFmtId="0" fontId="43" fillId="2" borderId="8" xfId="0" applyFont="1" applyFill="1" applyBorder="1" applyAlignment="1">
      <alignment horizontal="center" vertical="center"/>
    </xf>
    <xf numFmtId="0" fontId="44" fillId="0" borderId="4" xfId="0" applyFont="1" applyBorder="1" applyAlignment="1">
      <alignment horizontal="left" vertical="center"/>
    </xf>
    <xf numFmtId="0" fontId="45" fillId="2" borderId="4" xfId="0" applyFont="1" applyFill="1" applyBorder="1" applyAlignment="1">
      <alignment horizontal="left" vertical="center"/>
    </xf>
    <xf numFmtId="1" fontId="9" fillId="2" borderId="7" xfId="0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 vertical="center" textRotation="90"/>
    </xf>
    <xf numFmtId="0" fontId="15" fillId="2" borderId="33" xfId="0" applyFont="1" applyFill="1" applyBorder="1" applyAlignment="1">
      <alignment horizontal="center" vertical="center" textRotation="90"/>
    </xf>
    <xf numFmtId="0" fontId="15" fillId="2" borderId="35" xfId="0" applyFont="1" applyFill="1" applyBorder="1" applyAlignment="1">
      <alignment horizontal="center" vertical="center" textRotation="90"/>
    </xf>
    <xf numFmtId="0" fontId="15" fillId="2" borderId="28" xfId="0" applyFont="1" applyFill="1" applyBorder="1" applyAlignment="1">
      <alignment horizontal="center" vertical="center"/>
    </xf>
    <xf numFmtId="2" fontId="14" fillId="2" borderId="9" xfId="0" applyNumberFormat="1" applyFont="1" applyFill="1" applyBorder="1" applyAlignment="1">
      <alignment horizontal="center" vertical="center"/>
    </xf>
    <xf numFmtId="2" fontId="14" fillId="2" borderId="19" xfId="0" applyNumberFormat="1" applyFont="1" applyFill="1" applyBorder="1" applyAlignment="1">
      <alignment horizontal="center" vertical="center"/>
    </xf>
    <xf numFmtId="2" fontId="14" fillId="2" borderId="7" xfId="0" applyNumberFormat="1" applyFont="1" applyFill="1" applyBorder="1" applyAlignment="1">
      <alignment horizontal="center" vertical="center"/>
    </xf>
    <xf numFmtId="2" fontId="14" fillId="2" borderId="32" xfId="0" applyNumberFormat="1" applyFont="1" applyFill="1" applyBorder="1" applyAlignment="1">
      <alignment horizontal="center" vertical="center"/>
    </xf>
    <xf numFmtId="2" fontId="14" fillId="2" borderId="29" xfId="0" applyNumberFormat="1" applyFont="1" applyFill="1" applyBorder="1" applyAlignment="1">
      <alignment horizontal="center" vertical="center"/>
    </xf>
    <xf numFmtId="2" fontId="14" fillId="2" borderId="20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/>
    </xf>
    <xf numFmtId="1" fontId="3" fillId="2" borderId="19" xfId="0" applyNumberFormat="1" applyFont="1" applyFill="1" applyBorder="1" applyAlignment="1">
      <alignment horizontal="center"/>
    </xf>
    <xf numFmtId="1" fontId="3" fillId="2" borderId="20" xfId="0" applyNumberFormat="1" applyFont="1" applyFill="1" applyBorder="1" applyAlignment="1">
      <alignment horizontal="center"/>
    </xf>
    <xf numFmtId="2" fontId="14" fillId="2" borderId="12" xfId="0" applyNumberFormat="1" applyFont="1" applyFill="1" applyBorder="1" applyAlignment="1">
      <alignment horizontal="center" vertical="center"/>
    </xf>
    <xf numFmtId="2" fontId="14" fillId="2" borderId="24" xfId="0" applyNumberFormat="1" applyFont="1" applyFill="1" applyBorder="1" applyAlignment="1">
      <alignment horizontal="center" vertical="center"/>
    </xf>
    <xf numFmtId="2" fontId="14" fillId="2" borderId="25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2" fontId="33" fillId="2" borderId="42" xfId="0" applyNumberFormat="1" applyFont="1" applyFill="1" applyBorder="1" applyAlignment="1">
      <alignment horizontal="center"/>
    </xf>
    <xf numFmtId="2" fontId="33" fillId="2" borderId="41" xfId="0" applyNumberFormat="1" applyFont="1" applyFill="1" applyBorder="1" applyAlignment="1">
      <alignment horizontal="center"/>
    </xf>
    <xf numFmtId="0" fontId="30" fillId="2" borderId="4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 wrapText="1"/>
    </xf>
    <xf numFmtId="0" fontId="31" fillId="2" borderId="3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6" fillId="2" borderId="18" xfId="0" applyFont="1" applyFill="1" applyBorder="1" applyAlignment="1">
      <alignment horizontal="center"/>
    </xf>
    <xf numFmtId="0" fontId="26" fillId="2" borderId="2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 wrapText="1"/>
    </xf>
    <xf numFmtId="0" fontId="31" fillId="2" borderId="3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17" fillId="2" borderId="37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2" fontId="38" fillId="2" borderId="42" xfId="0" applyNumberFormat="1" applyFont="1" applyFill="1" applyBorder="1" applyAlignment="1">
      <alignment horizontal="center"/>
    </xf>
    <xf numFmtId="2" fontId="38" fillId="2" borderId="41" xfId="0" applyNumberFormat="1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 vertical="center" wrapText="1"/>
    </xf>
    <xf numFmtId="0" fontId="21" fillId="2" borderId="37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903A7A-79A0-451C-8AEB-E0DE13EAB33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35e1c76-b115-4ebe-aed9-2932c99c613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38"/>
  <sheetViews>
    <sheetView zoomScale="85" zoomScaleNormal="85" zoomScaleSheetLayoutView="100" workbookViewId="0">
      <selection sqref="A1:K1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08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13.58203125" style="1" customWidth="1"/>
    <col min="70" max="70" width="16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56</v>
      </c>
      <c r="M2" s="2"/>
      <c r="N2" s="93" t="s">
        <v>62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01.10.2026</v>
      </c>
      <c r="Y2" s="2"/>
      <c r="Z2" s="93" t="s">
        <v>66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01.10.2026</v>
      </c>
      <c r="AK2" s="94"/>
      <c r="AL2" s="93" t="s">
        <v>69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01.10.2026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01.10.2026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01.10.2026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29</v>
      </c>
      <c r="E4" s="129">
        <v>10</v>
      </c>
      <c r="F4" s="130"/>
      <c r="G4" s="130"/>
      <c r="H4" s="131">
        <f>+D4-E4-F4-G4</f>
        <v>19</v>
      </c>
      <c r="I4" s="132">
        <v>52.462499999999999</v>
      </c>
      <c r="J4" s="121">
        <f t="shared" ref="J4:J12" si="0">+H4*I4</f>
        <v>996.78750000000002</v>
      </c>
      <c r="K4" s="34">
        <f t="shared" ref="K4:K12" si="1">+G4*I4</f>
        <v>0</v>
      </c>
      <c r="M4" s="220" t="s">
        <v>39</v>
      </c>
      <c r="N4" s="44" t="s">
        <v>25</v>
      </c>
      <c r="O4" s="70">
        <v>70</v>
      </c>
      <c r="P4" s="128">
        <v>9</v>
      </c>
      <c r="Q4" s="129"/>
      <c r="R4" s="130"/>
      <c r="S4" s="130"/>
      <c r="T4" s="131">
        <f>+P4-Q4-R4-S4</f>
        <v>9</v>
      </c>
      <c r="U4" s="132">
        <v>52.462499999999999</v>
      </c>
      <c r="V4" s="150">
        <f t="shared" ref="V4:V12" si="2">+T4*U4</f>
        <v>472.16249999999997</v>
      </c>
      <c r="W4" s="34">
        <f t="shared" ref="W4:W12" si="3">+S4*U4</f>
        <v>0</v>
      </c>
      <c r="Y4" s="220" t="s">
        <v>39</v>
      </c>
      <c r="Z4" s="44" t="s">
        <v>25</v>
      </c>
      <c r="AA4" s="70">
        <v>70</v>
      </c>
      <c r="AB4" s="184">
        <v>250</v>
      </c>
      <c r="AC4" s="185">
        <v>55</v>
      </c>
      <c r="AD4" s="186"/>
      <c r="AE4" s="186"/>
      <c r="AF4" s="187">
        <f>+AB4-AC4-AD4-AE4</f>
        <v>195</v>
      </c>
      <c r="AG4" s="67">
        <v>52.462499999999999</v>
      </c>
      <c r="AH4" s="56">
        <f t="shared" ref="AH4:AH12" si="4">+AF4*AG4</f>
        <v>10230.1875</v>
      </c>
      <c r="AI4" s="34">
        <f t="shared" ref="AI4:AI12" si="5">+AE4*AG4</f>
        <v>0</v>
      </c>
      <c r="AK4" s="220" t="s">
        <v>39</v>
      </c>
      <c r="AL4" s="44" t="s">
        <v>25</v>
      </c>
      <c r="AM4" s="70">
        <v>70</v>
      </c>
      <c r="AN4" s="36">
        <v>400</v>
      </c>
      <c r="AO4" s="37"/>
      <c r="AP4" s="38"/>
      <c r="AQ4" s="38"/>
      <c r="AR4" s="196">
        <f>+AN4-AO4-AP4-AQ4</f>
        <v>400</v>
      </c>
      <c r="AS4" s="67">
        <v>52.462499999999999</v>
      </c>
      <c r="AT4" s="56">
        <f t="shared" ref="AT4:AT5" si="6">+AR4*AS4</f>
        <v>20985</v>
      </c>
      <c r="AU4" s="34">
        <f t="shared" ref="AU4:AU12" si="7">+AQ4*AS4</f>
        <v>0</v>
      </c>
      <c r="AW4" s="220" t="s">
        <v>39</v>
      </c>
      <c r="AX4" s="44" t="s">
        <v>25</v>
      </c>
      <c r="AY4" s="70">
        <v>70</v>
      </c>
      <c r="AZ4" s="36">
        <v>450</v>
      </c>
      <c r="BA4" s="37">
        <v>178</v>
      </c>
      <c r="BB4" s="38"/>
      <c r="BC4" s="38"/>
      <c r="BD4" s="196">
        <f>+AZ4-BA4-BB4-BC4</f>
        <v>272</v>
      </c>
      <c r="BE4" s="67">
        <v>52.462499999999999</v>
      </c>
      <c r="BF4" s="56">
        <f t="shared" ref="BF4:BF5" si="8">+BD4*BE4</f>
        <v>14269.8</v>
      </c>
      <c r="BG4" s="34">
        <f t="shared" ref="BG4:BG12" si="9">+BC4*BE4</f>
        <v>0</v>
      </c>
      <c r="BI4" s="220" t="s">
        <v>39</v>
      </c>
      <c r="BJ4" s="44" t="s">
        <v>25</v>
      </c>
      <c r="BK4" s="70">
        <v>70</v>
      </c>
      <c r="BL4" s="36">
        <f>+D4+P4+AB4+AN4+AZ4</f>
        <v>1138</v>
      </c>
      <c r="BM4" s="36">
        <f>+E4+Q4+AC4+AO4+BA4</f>
        <v>243</v>
      </c>
      <c r="BN4" s="38"/>
      <c r="BO4" s="36">
        <f>+G4+S4+AE4+AQ4+BC4</f>
        <v>0</v>
      </c>
      <c r="BP4" s="194">
        <f>+BL4-BM4-BN4-BO4</f>
        <v>895</v>
      </c>
      <c r="BQ4" s="67">
        <v>52.462499999999999</v>
      </c>
      <c r="BR4" s="56">
        <f t="shared" ref="BR4:BR5" si="10">+BP4*BQ4</f>
        <v>46953.9375</v>
      </c>
      <c r="BS4" s="34">
        <f t="shared" ref="BS4:BS12" si="11">+BO4*BQ4</f>
        <v>0</v>
      </c>
      <c r="BT4" s="1">
        <f>+BP4/40</f>
        <v>22.375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26</v>
      </c>
      <c r="E5" s="134">
        <v>10</v>
      </c>
      <c r="F5" s="135"/>
      <c r="G5" s="135"/>
      <c r="H5" s="131">
        <f t="shared" ref="H5:H12" si="12">+D5-E5-F5-G5</f>
        <v>16</v>
      </c>
      <c r="I5" s="132">
        <v>52.462499999999999</v>
      </c>
      <c r="J5" s="123">
        <f t="shared" si="0"/>
        <v>839.4</v>
      </c>
      <c r="K5" s="34">
        <f t="shared" si="1"/>
        <v>0</v>
      </c>
      <c r="M5" s="221"/>
      <c r="N5" s="45" t="s">
        <v>26</v>
      </c>
      <c r="O5" s="71">
        <v>70</v>
      </c>
      <c r="P5" s="128">
        <v>9</v>
      </c>
      <c r="Q5" s="134"/>
      <c r="R5" s="135"/>
      <c r="S5" s="135"/>
      <c r="T5" s="131">
        <f t="shared" ref="T5:T12" si="13">+P5-Q5-R5-S5</f>
        <v>9</v>
      </c>
      <c r="U5" s="132">
        <v>52.462499999999999</v>
      </c>
      <c r="V5" s="151">
        <f t="shared" si="2"/>
        <v>472.16249999999997</v>
      </c>
      <c r="W5" s="34">
        <f t="shared" si="3"/>
        <v>0</v>
      </c>
      <c r="Y5" s="221"/>
      <c r="Z5" s="45" t="s">
        <v>26</v>
      </c>
      <c r="AA5" s="71">
        <v>70</v>
      </c>
      <c r="AB5" s="188">
        <v>260</v>
      </c>
      <c r="AC5" s="185">
        <v>55</v>
      </c>
      <c r="AD5" s="189"/>
      <c r="AE5" s="189"/>
      <c r="AF5" s="187">
        <f t="shared" ref="AF5:AF12" si="14">+AB5-AC5-AD5-AE5</f>
        <v>205</v>
      </c>
      <c r="AG5" s="67">
        <v>52.462499999999999</v>
      </c>
      <c r="AH5" s="56">
        <f t="shared" si="4"/>
        <v>10754.8125</v>
      </c>
      <c r="AI5" s="34">
        <f t="shared" si="5"/>
        <v>0</v>
      </c>
      <c r="AK5" s="221"/>
      <c r="AL5" s="45" t="s">
        <v>26</v>
      </c>
      <c r="AM5" s="71">
        <v>70</v>
      </c>
      <c r="AN5" s="39">
        <v>320</v>
      </c>
      <c r="AO5" s="40">
        <v>99</v>
      </c>
      <c r="AP5" s="31"/>
      <c r="AQ5" s="31"/>
      <c r="AR5" s="196">
        <f t="shared" ref="AR5:AR12" si="15">+AN5-AO5-AP5-AQ5</f>
        <v>221</v>
      </c>
      <c r="AS5" s="67">
        <v>52.462499999999999</v>
      </c>
      <c r="AT5" s="57">
        <f t="shared" si="6"/>
        <v>11594.2125</v>
      </c>
      <c r="AU5" s="34">
        <f t="shared" si="7"/>
        <v>0</v>
      </c>
      <c r="AW5" s="221"/>
      <c r="AX5" s="45" t="s">
        <v>26</v>
      </c>
      <c r="AY5" s="71">
        <v>70</v>
      </c>
      <c r="AZ5" s="36">
        <v>280</v>
      </c>
      <c r="BA5" s="40">
        <v>129</v>
      </c>
      <c r="BB5" s="31"/>
      <c r="BC5" s="31"/>
      <c r="BD5" s="196">
        <f t="shared" ref="BD5:BD12" si="16">+AZ5-BA5-BB5-BC5</f>
        <v>151</v>
      </c>
      <c r="BE5" s="67">
        <v>52.462499999999999</v>
      </c>
      <c r="BF5" s="57">
        <f t="shared" si="8"/>
        <v>7921.8374999999996</v>
      </c>
      <c r="BG5" s="34">
        <f t="shared" si="9"/>
        <v>0</v>
      </c>
      <c r="BI5" s="221"/>
      <c r="BJ5" s="45" t="s">
        <v>26</v>
      </c>
      <c r="BK5" s="71">
        <v>70</v>
      </c>
      <c r="BL5" s="36">
        <f t="shared" ref="BL5:BM12" si="17">+D5+P5+AB5+AN5+AZ5</f>
        <v>895</v>
      </c>
      <c r="BM5" s="36">
        <f t="shared" si="17"/>
        <v>293</v>
      </c>
      <c r="BN5" s="31"/>
      <c r="BO5" s="36">
        <f t="shared" ref="BO5:BO12" si="18">+G5+S5+AE5+AQ5+BC5</f>
        <v>0</v>
      </c>
      <c r="BP5" s="194">
        <f t="shared" ref="BP5:BP12" si="19">+BL5-BM5-BN5-BO5</f>
        <v>602</v>
      </c>
      <c r="BQ5" s="67">
        <v>52.462499999999999</v>
      </c>
      <c r="BR5" s="57">
        <f t="shared" si="10"/>
        <v>31582.424999999999</v>
      </c>
      <c r="BS5" s="34">
        <f t="shared" si="11"/>
        <v>0</v>
      </c>
      <c r="BT5" s="1">
        <f t="shared" ref="BT5:BT11" si="20">+BP5/40</f>
        <v>15.05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117</v>
      </c>
      <c r="E6" s="134">
        <v>20</v>
      </c>
      <c r="F6" s="135"/>
      <c r="G6" s="135"/>
      <c r="H6" s="131">
        <f t="shared" si="12"/>
        <v>97</v>
      </c>
      <c r="I6" s="132">
        <v>52.462499999999999</v>
      </c>
      <c r="J6" s="123">
        <f>+H6*I6</f>
        <v>5088.8625000000002</v>
      </c>
      <c r="K6" s="34">
        <f t="shared" si="1"/>
        <v>0</v>
      </c>
      <c r="M6" s="221"/>
      <c r="N6" s="45" t="s">
        <v>27</v>
      </c>
      <c r="O6" s="71">
        <v>70</v>
      </c>
      <c r="P6" s="133">
        <v>9</v>
      </c>
      <c r="Q6" s="134"/>
      <c r="R6" s="135"/>
      <c r="S6" s="135"/>
      <c r="T6" s="131">
        <f t="shared" si="13"/>
        <v>9</v>
      </c>
      <c r="U6" s="132">
        <v>52.462499999999999</v>
      </c>
      <c r="V6" s="152">
        <f t="shared" si="2"/>
        <v>472.16249999999997</v>
      </c>
      <c r="W6" s="34">
        <f t="shared" si="3"/>
        <v>0</v>
      </c>
      <c r="Y6" s="221"/>
      <c r="Z6" s="45" t="s">
        <v>27</v>
      </c>
      <c r="AA6" s="71">
        <v>70</v>
      </c>
      <c r="AB6" s="188">
        <v>230</v>
      </c>
      <c r="AC6" s="185"/>
      <c r="AD6" s="189"/>
      <c r="AE6" s="189"/>
      <c r="AF6" s="187">
        <f t="shared" si="14"/>
        <v>230</v>
      </c>
      <c r="AG6" s="67">
        <v>52.462499999999999</v>
      </c>
      <c r="AH6" s="56">
        <f t="shared" si="4"/>
        <v>12066.375</v>
      </c>
      <c r="AI6" s="34">
        <f t="shared" si="5"/>
        <v>0</v>
      </c>
      <c r="AK6" s="221"/>
      <c r="AL6" s="45" t="s">
        <v>27</v>
      </c>
      <c r="AM6" s="71">
        <v>70</v>
      </c>
      <c r="AN6" s="39">
        <v>400</v>
      </c>
      <c r="AO6" s="40">
        <v>1</v>
      </c>
      <c r="AP6" s="31"/>
      <c r="AQ6" s="31"/>
      <c r="AR6" s="196">
        <f t="shared" si="15"/>
        <v>399</v>
      </c>
      <c r="AS6" s="67">
        <v>52.462499999999999</v>
      </c>
      <c r="AT6" s="57">
        <f>+AR6*AS6</f>
        <v>20932.537499999999</v>
      </c>
      <c r="AU6" s="34">
        <f t="shared" si="7"/>
        <v>0</v>
      </c>
      <c r="AW6" s="221"/>
      <c r="AX6" s="45" t="s">
        <v>27</v>
      </c>
      <c r="AY6" s="71">
        <v>70</v>
      </c>
      <c r="AZ6" s="36">
        <v>450</v>
      </c>
      <c r="BA6" s="40">
        <v>178</v>
      </c>
      <c r="BB6" s="31"/>
      <c r="BC6" s="31"/>
      <c r="BD6" s="196">
        <f t="shared" si="16"/>
        <v>272</v>
      </c>
      <c r="BE6" s="67">
        <v>52.462499999999999</v>
      </c>
      <c r="BF6" s="57">
        <f>+BD6*BE6</f>
        <v>14269.8</v>
      </c>
      <c r="BG6" s="34">
        <f t="shared" si="9"/>
        <v>0</v>
      </c>
      <c r="BI6" s="221"/>
      <c r="BJ6" s="45" t="s">
        <v>27</v>
      </c>
      <c r="BK6" s="71">
        <v>70</v>
      </c>
      <c r="BL6" s="36">
        <f t="shared" si="17"/>
        <v>1206</v>
      </c>
      <c r="BM6" s="36">
        <f t="shared" si="17"/>
        <v>199</v>
      </c>
      <c r="BN6" s="31"/>
      <c r="BO6" s="36">
        <f t="shared" si="18"/>
        <v>0</v>
      </c>
      <c r="BP6" s="194">
        <f t="shared" si="19"/>
        <v>1007</v>
      </c>
      <c r="BQ6" s="67">
        <v>52.462499999999999</v>
      </c>
      <c r="BR6" s="57">
        <f>+BP6*BQ6</f>
        <v>52829.737499999996</v>
      </c>
      <c r="BS6" s="34">
        <f t="shared" si="11"/>
        <v>0</v>
      </c>
      <c r="BT6" s="1">
        <f t="shared" si="20"/>
        <v>25.175000000000001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213</v>
      </c>
      <c r="E7" s="137">
        <v>15</v>
      </c>
      <c r="F7" s="138"/>
      <c r="G7" s="159"/>
      <c r="H7" s="131">
        <f t="shared" si="12"/>
        <v>198</v>
      </c>
      <c r="I7" s="132">
        <v>72.64</v>
      </c>
      <c r="J7" s="125">
        <f t="shared" si="0"/>
        <v>14382.72</v>
      </c>
      <c r="K7" s="34">
        <f t="shared" si="1"/>
        <v>0</v>
      </c>
      <c r="M7" s="221"/>
      <c r="N7" s="46" t="s">
        <v>28</v>
      </c>
      <c r="O7" s="72">
        <v>120</v>
      </c>
      <c r="P7" s="136">
        <v>50</v>
      </c>
      <c r="Q7" s="137"/>
      <c r="R7" s="138"/>
      <c r="S7" s="138"/>
      <c r="T7" s="131">
        <f t="shared" si="13"/>
        <v>50</v>
      </c>
      <c r="U7" s="132">
        <v>72.64</v>
      </c>
      <c r="V7" s="152">
        <f t="shared" si="2"/>
        <v>3632</v>
      </c>
      <c r="W7" s="34">
        <f t="shared" si="3"/>
        <v>0</v>
      </c>
      <c r="Y7" s="221"/>
      <c r="Z7" s="46" t="s">
        <v>28</v>
      </c>
      <c r="AA7" s="72">
        <v>120</v>
      </c>
      <c r="AB7" s="190">
        <v>140</v>
      </c>
      <c r="AC7" s="185">
        <v>5</v>
      </c>
      <c r="AD7" s="191"/>
      <c r="AE7" s="191"/>
      <c r="AF7" s="187">
        <f t="shared" si="14"/>
        <v>135</v>
      </c>
      <c r="AG7" s="67">
        <v>72.64</v>
      </c>
      <c r="AH7" s="56">
        <f t="shared" si="4"/>
        <v>9806.4</v>
      </c>
      <c r="AI7" s="34">
        <f t="shared" si="5"/>
        <v>0</v>
      </c>
      <c r="AK7" s="221"/>
      <c r="AL7" s="46" t="s">
        <v>28</v>
      </c>
      <c r="AM7" s="72">
        <v>120</v>
      </c>
      <c r="AN7" s="41">
        <v>480</v>
      </c>
      <c r="AO7" s="42"/>
      <c r="AP7" s="43"/>
      <c r="AQ7" s="43"/>
      <c r="AR7" s="196">
        <f t="shared" si="15"/>
        <v>480</v>
      </c>
      <c r="AS7" s="67">
        <v>72.64</v>
      </c>
      <c r="AT7" s="58">
        <f t="shared" ref="AT7:AT12" si="21">+AR7*AS7</f>
        <v>34867.199999999997</v>
      </c>
      <c r="AU7" s="34">
        <f t="shared" si="7"/>
        <v>0</v>
      </c>
      <c r="AW7" s="221"/>
      <c r="AX7" s="46" t="s">
        <v>28</v>
      </c>
      <c r="AY7" s="72">
        <v>120</v>
      </c>
      <c r="AZ7" s="36">
        <v>290</v>
      </c>
      <c r="BA7" s="42">
        <v>130</v>
      </c>
      <c r="BB7" s="43"/>
      <c r="BC7" s="43"/>
      <c r="BD7" s="196">
        <f t="shared" si="16"/>
        <v>160</v>
      </c>
      <c r="BE7" s="67">
        <v>72.64</v>
      </c>
      <c r="BF7" s="58">
        <f t="shared" ref="BF7:BF12" si="22">+BD7*BE7</f>
        <v>11622.4</v>
      </c>
      <c r="BG7" s="34">
        <f t="shared" si="9"/>
        <v>0</v>
      </c>
      <c r="BI7" s="221"/>
      <c r="BJ7" s="46" t="s">
        <v>28</v>
      </c>
      <c r="BK7" s="72">
        <v>120</v>
      </c>
      <c r="BL7" s="36">
        <f t="shared" si="17"/>
        <v>1173</v>
      </c>
      <c r="BM7" s="36">
        <f t="shared" si="17"/>
        <v>150</v>
      </c>
      <c r="BN7" s="43"/>
      <c r="BO7" s="36">
        <f t="shared" si="18"/>
        <v>0</v>
      </c>
      <c r="BP7" s="194">
        <f t="shared" si="19"/>
        <v>1023</v>
      </c>
      <c r="BQ7" s="67">
        <v>72.64</v>
      </c>
      <c r="BR7" s="58">
        <f t="shared" ref="BR7:BR12" si="23">+BP7*BQ7</f>
        <v>74310.720000000001</v>
      </c>
      <c r="BS7" s="34">
        <f t="shared" si="11"/>
        <v>0</v>
      </c>
      <c r="BT7" s="1">
        <f t="shared" si="20"/>
        <v>25.574999999999999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226</v>
      </c>
      <c r="E8" s="140">
        <v>10</v>
      </c>
      <c r="F8" s="141"/>
      <c r="G8" s="141"/>
      <c r="H8" s="131">
        <f t="shared" si="12"/>
        <v>216</v>
      </c>
      <c r="I8" s="132">
        <v>72.64</v>
      </c>
      <c r="J8" s="125">
        <f t="shared" si="0"/>
        <v>15690.24</v>
      </c>
      <c r="K8" s="34">
        <f t="shared" si="1"/>
        <v>0</v>
      </c>
      <c r="M8" s="221"/>
      <c r="N8" s="63" t="s">
        <v>29</v>
      </c>
      <c r="O8" s="73">
        <v>120</v>
      </c>
      <c r="P8" s="139"/>
      <c r="Q8" s="140"/>
      <c r="R8" s="141"/>
      <c r="S8" s="141"/>
      <c r="T8" s="131">
        <f t="shared" si="13"/>
        <v>0</v>
      </c>
      <c r="U8" s="132">
        <v>72.64</v>
      </c>
      <c r="V8" s="152">
        <f t="shared" si="2"/>
        <v>0</v>
      </c>
      <c r="W8" s="34">
        <f t="shared" si="3"/>
        <v>0</v>
      </c>
      <c r="Y8" s="221"/>
      <c r="Z8" s="63" t="s">
        <v>29</v>
      </c>
      <c r="AA8" s="73">
        <v>120</v>
      </c>
      <c r="AB8" s="188">
        <v>100</v>
      </c>
      <c r="AC8" s="185">
        <v>5</v>
      </c>
      <c r="AD8" s="189"/>
      <c r="AE8" s="189"/>
      <c r="AF8" s="187">
        <f t="shared" si="14"/>
        <v>95</v>
      </c>
      <c r="AG8" s="67">
        <v>72.64</v>
      </c>
      <c r="AH8" s="56">
        <f t="shared" si="4"/>
        <v>6900.8</v>
      </c>
      <c r="AI8" s="34">
        <f t="shared" si="5"/>
        <v>0</v>
      </c>
      <c r="AK8" s="221"/>
      <c r="AL8" s="63" t="s">
        <v>29</v>
      </c>
      <c r="AM8" s="73">
        <v>120</v>
      </c>
      <c r="AN8" s="64">
        <v>360</v>
      </c>
      <c r="AO8" s="65">
        <v>3</v>
      </c>
      <c r="AP8" s="66"/>
      <c r="AQ8" s="66"/>
      <c r="AR8" s="196">
        <f t="shared" si="15"/>
        <v>357</v>
      </c>
      <c r="AS8" s="67">
        <v>72.64</v>
      </c>
      <c r="AT8" s="58">
        <f t="shared" si="21"/>
        <v>25932.48</v>
      </c>
      <c r="AU8" s="34">
        <f t="shared" si="7"/>
        <v>0</v>
      </c>
      <c r="AW8" s="221"/>
      <c r="AX8" s="63" t="s">
        <v>29</v>
      </c>
      <c r="AY8" s="73">
        <v>120</v>
      </c>
      <c r="AZ8" s="36">
        <v>200</v>
      </c>
      <c r="BA8" s="65">
        <v>100</v>
      </c>
      <c r="BB8" s="66"/>
      <c r="BC8" s="66"/>
      <c r="BD8" s="196">
        <f t="shared" si="16"/>
        <v>100</v>
      </c>
      <c r="BE8" s="67">
        <v>72.64</v>
      </c>
      <c r="BF8" s="58">
        <f t="shared" si="22"/>
        <v>7264</v>
      </c>
      <c r="BG8" s="34">
        <f t="shared" si="9"/>
        <v>0</v>
      </c>
      <c r="BI8" s="221"/>
      <c r="BJ8" s="63" t="s">
        <v>29</v>
      </c>
      <c r="BK8" s="73">
        <v>120</v>
      </c>
      <c r="BL8" s="36">
        <f t="shared" si="17"/>
        <v>886</v>
      </c>
      <c r="BM8" s="36">
        <f t="shared" si="17"/>
        <v>118</v>
      </c>
      <c r="BN8" s="66"/>
      <c r="BO8" s="36">
        <f t="shared" si="18"/>
        <v>0</v>
      </c>
      <c r="BP8" s="194">
        <f t="shared" si="19"/>
        <v>768</v>
      </c>
      <c r="BQ8" s="67">
        <v>72.64</v>
      </c>
      <c r="BR8" s="58">
        <f t="shared" si="23"/>
        <v>55787.520000000004</v>
      </c>
      <c r="BS8" s="34">
        <f t="shared" si="11"/>
        <v>0</v>
      </c>
      <c r="BT8" s="1">
        <f t="shared" si="20"/>
        <v>19.2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391</v>
      </c>
      <c r="E9" s="129">
        <v>15</v>
      </c>
      <c r="F9" s="130"/>
      <c r="G9" s="130"/>
      <c r="H9" s="131">
        <f t="shared" si="12"/>
        <v>376</v>
      </c>
      <c r="I9" s="132">
        <v>72.64</v>
      </c>
      <c r="J9" s="121">
        <f t="shared" si="0"/>
        <v>27312.639999999999</v>
      </c>
      <c r="K9" s="34">
        <f t="shared" si="1"/>
        <v>0</v>
      </c>
      <c r="M9" s="221"/>
      <c r="N9" s="44" t="s">
        <v>30</v>
      </c>
      <c r="O9" s="70">
        <v>120</v>
      </c>
      <c r="P9" s="128">
        <v>10</v>
      </c>
      <c r="Q9" s="129"/>
      <c r="R9" s="130"/>
      <c r="S9" s="130"/>
      <c r="T9" s="131">
        <f t="shared" si="13"/>
        <v>10</v>
      </c>
      <c r="U9" s="132">
        <v>72.64</v>
      </c>
      <c r="V9" s="150">
        <f t="shared" si="2"/>
        <v>726.4</v>
      </c>
      <c r="W9" s="34">
        <f t="shared" si="3"/>
        <v>0</v>
      </c>
      <c r="Y9" s="221"/>
      <c r="Z9" s="44" t="s">
        <v>30</v>
      </c>
      <c r="AA9" s="70">
        <v>120</v>
      </c>
      <c r="AB9" s="192">
        <v>100</v>
      </c>
      <c r="AC9" s="185"/>
      <c r="AD9" s="193"/>
      <c r="AE9" s="193"/>
      <c r="AF9" s="187">
        <f t="shared" si="14"/>
        <v>100</v>
      </c>
      <c r="AG9" s="67">
        <v>72.64</v>
      </c>
      <c r="AH9" s="56">
        <f t="shared" si="4"/>
        <v>7264</v>
      </c>
      <c r="AI9" s="34">
        <f t="shared" si="5"/>
        <v>0</v>
      </c>
      <c r="AK9" s="221"/>
      <c r="AL9" s="44" t="s">
        <v>30</v>
      </c>
      <c r="AM9" s="70">
        <v>120</v>
      </c>
      <c r="AN9" s="36">
        <v>600</v>
      </c>
      <c r="AO9" s="37">
        <v>2</v>
      </c>
      <c r="AP9" s="38"/>
      <c r="AQ9" s="38"/>
      <c r="AR9" s="196">
        <f t="shared" si="15"/>
        <v>598</v>
      </c>
      <c r="AS9" s="67">
        <v>72.64</v>
      </c>
      <c r="AT9" s="56">
        <f t="shared" si="21"/>
        <v>43438.720000000001</v>
      </c>
      <c r="AU9" s="34">
        <f t="shared" si="7"/>
        <v>0</v>
      </c>
      <c r="AW9" s="221"/>
      <c r="AX9" s="44" t="s">
        <v>30</v>
      </c>
      <c r="AY9" s="70">
        <v>120</v>
      </c>
      <c r="AZ9" s="36">
        <v>220</v>
      </c>
      <c r="BA9" s="37">
        <v>100</v>
      </c>
      <c r="BB9" s="38"/>
      <c r="BC9" s="38"/>
      <c r="BD9" s="196">
        <f t="shared" si="16"/>
        <v>120</v>
      </c>
      <c r="BE9" s="67">
        <v>72.64</v>
      </c>
      <c r="BF9" s="56">
        <f t="shared" si="22"/>
        <v>8716.7999999999993</v>
      </c>
      <c r="BG9" s="34">
        <f t="shared" si="9"/>
        <v>0</v>
      </c>
      <c r="BI9" s="221"/>
      <c r="BJ9" s="44" t="s">
        <v>30</v>
      </c>
      <c r="BK9" s="70">
        <v>120</v>
      </c>
      <c r="BL9" s="36">
        <f t="shared" si="17"/>
        <v>1321</v>
      </c>
      <c r="BM9" s="36">
        <f t="shared" si="17"/>
        <v>117</v>
      </c>
      <c r="BN9" s="38"/>
      <c r="BO9" s="36">
        <f t="shared" si="18"/>
        <v>0</v>
      </c>
      <c r="BP9" s="194">
        <f t="shared" si="19"/>
        <v>1204</v>
      </c>
      <c r="BQ9" s="67">
        <v>72.64</v>
      </c>
      <c r="BR9" s="56">
        <f t="shared" si="23"/>
        <v>87458.559999999998</v>
      </c>
      <c r="BS9" s="34">
        <f t="shared" si="11"/>
        <v>0</v>
      </c>
      <c r="BT9" s="1">
        <f t="shared" si="20"/>
        <v>30.1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12"/>
        <v>0</v>
      </c>
      <c r="I10" s="132">
        <v>39.230000000000004</v>
      </c>
      <c r="J10" s="123">
        <f t="shared" si="0"/>
        <v>0</v>
      </c>
      <c r="K10" s="34">
        <f t="shared" si="1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13"/>
        <v>0</v>
      </c>
      <c r="U10" s="132">
        <v>39.229999999999997</v>
      </c>
      <c r="V10" s="151">
        <f t="shared" si="2"/>
        <v>0</v>
      </c>
      <c r="W10" s="34">
        <f t="shared" si="3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14"/>
        <v>0</v>
      </c>
      <c r="AG10" s="67">
        <v>39.230000000000004</v>
      </c>
      <c r="AH10" s="56">
        <f t="shared" si="4"/>
        <v>0</v>
      </c>
      <c r="AI10" s="34">
        <f t="shared" si="5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15"/>
        <v>0</v>
      </c>
      <c r="AS10" s="67">
        <v>39.230000000000004</v>
      </c>
      <c r="AT10" s="57">
        <f t="shared" si="21"/>
        <v>0</v>
      </c>
      <c r="AU10" s="34">
        <f t="shared" si="7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6"/>
        <v>0</v>
      </c>
      <c r="BE10" s="67">
        <v>39.230000000000004</v>
      </c>
      <c r="BF10" s="57">
        <f t="shared" si="22"/>
        <v>0</v>
      </c>
      <c r="BG10" s="34">
        <f t="shared" si="9"/>
        <v>0</v>
      </c>
      <c r="BI10" s="221"/>
      <c r="BJ10" s="45" t="s">
        <v>31</v>
      </c>
      <c r="BK10" s="71">
        <v>60</v>
      </c>
      <c r="BL10" s="36">
        <f t="shared" si="17"/>
        <v>0</v>
      </c>
      <c r="BM10" s="36">
        <f t="shared" si="17"/>
        <v>0</v>
      </c>
      <c r="BN10" s="31"/>
      <c r="BO10" s="36">
        <f t="shared" si="18"/>
        <v>0</v>
      </c>
      <c r="BP10" s="194">
        <f t="shared" si="19"/>
        <v>0</v>
      </c>
      <c r="BQ10" s="67">
        <v>39.230000000000004</v>
      </c>
      <c r="BR10" s="57">
        <f t="shared" si="23"/>
        <v>0</v>
      </c>
      <c r="BS10" s="34">
        <f t="shared" si="11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12"/>
        <v>0</v>
      </c>
      <c r="I11" s="132">
        <v>39.230000000000004</v>
      </c>
      <c r="J11" s="123">
        <f t="shared" si="0"/>
        <v>0</v>
      </c>
      <c r="K11" s="34">
        <f t="shared" si="1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13"/>
        <v>0</v>
      </c>
      <c r="U11" s="132">
        <v>39.230000000000004</v>
      </c>
      <c r="V11" s="151">
        <f t="shared" si="2"/>
        <v>0</v>
      </c>
      <c r="W11" s="34">
        <f t="shared" si="3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14"/>
        <v>0</v>
      </c>
      <c r="AG11" s="67">
        <v>39.230000000000004</v>
      </c>
      <c r="AH11" s="56">
        <f t="shared" si="4"/>
        <v>0</v>
      </c>
      <c r="AI11" s="34">
        <f t="shared" si="5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15"/>
        <v>0</v>
      </c>
      <c r="AS11" s="67">
        <v>39.230000000000004</v>
      </c>
      <c r="AT11" s="57">
        <f t="shared" si="21"/>
        <v>0</v>
      </c>
      <c r="AU11" s="34">
        <f t="shared" si="7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6"/>
        <v>0</v>
      </c>
      <c r="BE11" s="67">
        <v>39.230000000000004</v>
      </c>
      <c r="BF11" s="57">
        <f t="shared" si="22"/>
        <v>0</v>
      </c>
      <c r="BG11" s="34">
        <f t="shared" si="9"/>
        <v>0</v>
      </c>
      <c r="BI11" s="221"/>
      <c r="BJ11" s="45" t="s">
        <v>32</v>
      </c>
      <c r="BK11" s="71">
        <v>60</v>
      </c>
      <c r="BL11" s="36">
        <f t="shared" si="17"/>
        <v>0</v>
      </c>
      <c r="BM11" s="36">
        <f t="shared" si="17"/>
        <v>0</v>
      </c>
      <c r="BN11" s="31"/>
      <c r="BO11" s="36">
        <f t="shared" si="18"/>
        <v>0</v>
      </c>
      <c r="BP11" s="194">
        <f t="shared" si="19"/>
        <v>0</v>
      </c>
      <c r="BQ11" s="67">
        <v>39.230000000000004</v>
      </c>
      <c r="BR11" s="57">
        <f t="shared" si="23"/>
        <v>0</v>
      </c>
      <c r="BS11" s="34">
        <f t="shared" si="11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12"/>
        <v>0</v>
      </c>
      <c r="I12" s="132">
        <v>39.230000000000004</v>
      </c>
      <c r="J12" s="123">
        <f t="shared" si="0"/>
        <v>0</v>
      </c>
      <c r="K12" s="34">
        <f t="shared" si="1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13"/>
        <v>0</v>
      </c>
      <c r="U12" s="132">
        <v>39.230000000000004</v>
      </c>
      <c r="V12" s="151">
        <f t="shared" si="2"/>
        <v>0</v>
      </c>
      <c r="W12" s="34">
        <f t="shared" si="3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14"/>
        <v>0</v>
      </c>
      <c r="AG12" s="67">
        <v>39.230000000000004</v>
      </c>
      <c r="AH12" s="56">
        <f t="shared" si="4"/>
        <v>0</v>
      </c>
      <c r="AI12" s="34">
        <f t="shared" si="5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15"/>
        <v>0</v>
      </c>
      <c r="AS12" s="67">
        <v>39.230000000000004</v>
      </c>
      <c r="AT12" s="57">
        <f t="shared" si="21"/>
        <v>0</v>
      </c>
      <c r="AU12" s="34">
        <f t="shared" si="7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6"/>
        <v>0</v>
      </c>
      <c r="BE12" s="67">
        <v>39.230000000000004</v>
      </c>
      <c r="BF12" s="57">
        <f t="shared" si="22"/>
        <v>0</v>
      </c>
      <c r="BG12" s="34">
        <f t="shared" si="9"/>
        <v>0</v>
      </c>
      <c r="BI12" s="222"/>
      <c r="BJ12" s="45" t="s">
        <v>33</v>
      </c>
      <c r="BK12" s="71">
        <v>60</v>
      </c>
      <c r="BL12" s="36">
        <f t="shared" si="17"/>
        <v>0</v>
      </c>
      <c r="BM12" s="36">
        <f t="shared" si="17"/>
        <v>0</v>
      </c>
      <c r="BN12" s="31"/>
      <c r="BO12" s="36">
        <f t="shared" si="18"/>
        <v>0</v>
      </c>
      <c r="BP12" s="194">
        <f t="shared" si="19"/>
        <v>0</v>
      </c>
      <c r="BQ12" s="67">
        <v>39.230000000000004</v>
      </c>
      <c r="BR12" s="57">
        <f t="shared" si="23"/>
        <v>0</v>
      </c>
      <c r="BS12" s="34">
        <f t="shared" si="11"/>
        <v>0</v>
      </c>
      <c r="BT12" s="1">
        <f>SUM(BT4:BT11)</f>
        <v>137.47499999999999</v>
      </c>
    </row>
    <row r="13" spans="1:73" ht="39.75" customHeight="1" thickBot="1" x14ac:dyDescent="0.45">
      <c r="A13" s="12"/>
      <c r="B13" s="11"/>
      <c r="C13" s="142"/>
      <c r="D13" s="143">
        <f>SUM(D4:D12)</f>
        <v>1002</v>
      </c>
      <c r="E13" s="143">
        <f>SUM(E4:E12)</f>
        <v>80</v>
      </c>
      <c r="F13" s="143">
        <f>SUM(F4:F12)</f>
        <v>0</v>
      </c>
      <c r="G13" s="143">
        <f>SUM(G4:G12)</f>
        <v>0</v>
      </c>
      <c r="H13" s="143">
        <f>SUM(H4:H12)</f>
        <v>922</v>
      </c>
      <c r="I13" s="142"/>
      <c r="J13" s="127">
        <f>SUM(J4:J12)</f>
        <v>64310.65</v>
      </c>
      <c r="K13" s="35">
        <f>SUM(K4:K12)</f>
        <v>0</v>
      </c>
      <c r="M13" s="98"/>
      <c r="N13" s="99"/>
      <c r="O13" s="99"/>
      <c r="P13" s="100">
        <f>SUM(P4:P12)</f>
        <v>87</v>
      </c>
      <c r="Q13" s="100">
        <f>SUM(Q4:Q12)</f>
        <v>0</v>
      </c>
      <c r="R13" s="13">
        <f>SUM(R4:R12)</f>
        <v>0</v>
      </c>
      <c r="S13" s="13">
        <f>SUM(S4:S12)</f>
        <v>0</v>
      </c>
      <c r="T13" s="13">
        <f>SUM(T4:T12)</f>
        <v>87</v>
      </c>
      <c r="U13" s="11"/>
      <c r="V13" s="59">
        <f>SUM(V4:V12)</f>
        <v>5774.8874999999998</v>
      </c>
      <c r="W13" s="35">
        <f>SUM(W4:W12)</f>
        <v>0</v>
      </c>
      <c r="Y13" s="12"/>
      <c r="Z13" s="11"/>
      <c r="AA13" s="11"/>
      <c r="AB13" s="13">
        <f>SUM(AB4:AB12)</f>
        <v>1080</v>
      </c>
      <c r="AC13" s="13">
        <f>SUM(AC4:AC12)</f>
        <v>120</v>
      </c>
      <c r="AD13" s="13">
        <f>SUM(AD4:AD12)</f>
        <v>0</v>
      </c>
      <c r="AE13" s="13">
        <f>SUM(AE4:AE12)</f>
        <v>0</v>
      </c>
      <c r="AF13" s="13">
        <f>SUM(AF4:AF12)</f>
        <v>960</v>
      </c>
      <c r="AG13" s="11"/>
      <c r="AH13" s="59">
        <f>SUM(AH4:AH12)</f>
        <v>57022.575000000004</v>
      </c>
      <c r="AI13" s="35">
        <f>SUM(AI4:AI12)</f>
        <v>0</v>
      </c>
      <c r="AK13" s="12"/>
      <c r="AL13" s="11"/>
      <c r="AM13" s="11"/>
      <c r="AN13" s="13">
        <f>SUM(AN4:AN12)</f>
        <v>2560</v>
      </c>
      <c r="AO13" s="13">
        <f>SUM(AO4:AO12)</f>
        <v>105</v>
      </c>
      <c r="AP13" s="13">
        <f>SUM(AP4:AP12)</f>
        <v>0</v>
      </c>
      <c r="AQ13" s="13">
        <f>SUM(AQ4:AQ12)</f>
        <v>0</v>
      </c>
      <c r="AR13" s="13">
        <f>SUM(AR4:AR12)</f>
        <v>2455</v>
      </c>
      <c r="AS13" s="11"/>
      <c r="AT13" s="59">
        <f>SUM(AT4:AT12)</f>
        <v>157750.15</v>
      </c>
      <c r="AU13" s="35">
        <f>SUM(AU4:AU12)</f>
        <v>0</v>
      </c>
      <c r="AW13" s="12"/>
      <c r="AX13" s="11"/>
      <c r="AY13" s="11"/>
      <c r="AZ13" s="13">
        <f>SUM(AZ4:AZ12)</f>
        <v>1890</v>
      </c>
      <c r="BA13" s="13">
        <f>SUM(BA4:BA12)</f>
        <v>815</v>
      </c>
      <c r="BB13" s="13">
        <f>SUM(BB4:BB12)</f>
        <v>0</v>
      </c>
      <c r="BC13" s="13">
        <f>SUM(BC4:BC12)</f>
        <v>0</v>
      </c>
      <c r="BD13" s="13">
        <f>SUM(BD4:BD12)</f>
        <v>1075</v>
      </c>
      <c r="BE13" s="11"/>
      <c r="BF13" s="59">
        <f>SUM(BF4:BF12)</f>
        <v>64064.637499999997</v>
      </c>
      <c r="BG13" s="35">
        <f>SUM(BG4:BG12)</f>
        <v>0</v>
      </c>
      <c r="BI13" s="12"/>
      <c r="BJ13" s="11"/>
      <c r="BK13" s="11"/>
      <c r="BL13" s="13">
        <f>SUM(BL4:BL12)</f>
        <v>6619</v>
      </c>
      <c r="BM13" s="13">
        <f>SUM(BM4:BM12)</f>
        <v>1120</v>
      </c>
      <c r="BN13" s="13">
        <f>SUM(BN4:BN12)</f>
        <v>0</v>
      </c>
      <c r="BO13" s="13">
        <f>SUM(BO4:BO12)</f>
        <v>0</v>
      </c>
      <c r="BP13" s="13">
        <f>SUM(BP4:BP12)</f>
        <v>5499</v>
      </c>
      <c r="BQ13" s="11"/>
      <c r="BR13" s="59">
        <f>SUM(BR4:BR12)</f>
        <v>348922.9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3813+3294+2690+2355+6</f>
        <v>12158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1091-3</f>
        <v>1088</v>
      </c>
      <c r="W14" s="29">
        <f>+V22</f>
        <v>0.8874999999998181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858+1220+1914+968+1189+1864+1121+968+671+4</f>
        <v>10777</v>
      </c>
      <c r="AI14" s="29">
        <f>+AH22</f>
        <v>-0.42499999999563443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10044+7630+5491+6620-4</f>
        <v>29781</v>
      </c>
      <c r="AU14" s="29">
        <f>+AT22</f>
        <v>0.14999999999417923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>
        <f>1464+945+1616+945+869+1220+7544+1243+2013</f>
        <v>17859</v>
      </c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>+J14+V14+AH14+AT14+BF14</f>
        <v>71663</v>
      </c>
      <c r="BS14" s="29">
        <f>+BR22</f>
        <v>0.90000000002328306</v>
      </c>
      <c r="BU14" s="1">
        <f>BP13/40</f>
        <v>137.47499999999999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706+610+498+436</f>
        <v>2250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202</f>
        <v>202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/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f>1860+1413+1016+1226</f>
        <v>5515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ref="BR15:BR21" si="24">+J15+V15+AH15+AT15+BF15</f>
        <v>7967</v>
      </c>
    </row>
    <row r="16" spans="1:73" ht="33" customHeight="1" x14ac:dyDescent="0.45">
      <c r="A16" s="103"/>
      <c r="B16" s="104"/>
      <c r="C16" s="104"/>
      <c r="D16" s="109"/>
      <c r="E16" s="105">
        <f>D16-C16</f>
        <v>0</v>
      </c>
      <c r="F16" s="224" t="s">
        <v>44</v>
      </c>
      <c r="G16" s="225"/>
      <c r="H16" s="225"/>
      <c r="I16" s="51">
        <f>+J16/J13</f>
        <v>8.675079477504892E-2</v>
      </c>
      <c r="J16" s="49">
        <f>1614+1830+1139+996</f>
        <v>5579</v>
      </c>
      <c r="K16" s="168"/>
      <c r="M16" s="103"/>
      <c r="N16" s="108"/>
      <c r="O16" s="109"/>
      <c r="P16" s="109"/>
      <c r="Q16" s="105">
        <f>P16-O16</f>
        <v>0</v>
      </c>
      <c r="R16" s="224" t="s">
        <v>44</v>
      </c>
      <c r="S16" s="225"/>
      <c r="T16" s="225"/>
      <c r="U16" s="51">
        <f>+V16/V13</f>
        <v>7.9828394925442275E-2</v>
      </c>
      <c r="V16" s="49">
        <f>461</f>
        <v>461</v>
      </c>
      <c r="W16" s="165"/>
      <c r="Y16" s="95"/>
      <c r="Z16" s="90"/>
      <c r="AA16" s="118"/>
      <c r="AB16" s="119"/>
      <c r="AC16" s="105">
        <f>AB16-AA16</f>
        <v>0</v>
      </c>
      <c r="AD16" s="224" t="s">
        <v>44</v>
      </c>
      <c r="AE16" s="225"/>
      <c r="AF16" s="225"/>
      <c r="AG16" s="51">
        <f>+AH16/AH13</f>
        <v>0.1799462756636297</v>
      </c>
      <c r="AH16" s="49">
        <f>817+1162+1823+922+1133+1776+1067+922+639</f>
        <v>10261</v>
      </c>
      <c r="AI16" s="30"/>
      <c r="AK16" s="95"/>
      <c r="AL16" s="90"/>
      <c r="AM16" s="109"/>
      <c r="AN16" s="114"/>
      <c r="AO16" s="105">
        <f>AN16-AM16</f>
        <v>0</v>
      </c>
      <c r="AP16" s="224" t="s">
        <v>44</v>
      </c>
      <c r="AQ16" s="225"/>
      <c r="AR16" s="225"/>
      <c r="AS16" s="51">
        <f>+AT16/AT13</f>
        <v>0.13541666996830115</v>
      </c>
      <c r="AT16" s="49">
        <f>7440+5652+4067+4203</f>
        <v>21362</v>
      </c>
      <c r="AU16" s="30"/>
      <c r="AW16" s="95"/>
      <c r="AX16" s="90"/>
      <c r="AY16" s="109"/>
      <c r="AZ16" s="114"/>
      <c r="BA16" s="105">
        <f>AZ16-AY16</f>
        <v>0</v>
      </c>
      <c r="BB16" s="224" t="s">
        <v>44</v>
      </c>
      <c r="BC16" s="225"/>
      <c r="BD16" s="225"/>
      <c r="BE16" s="51">
        <f>+BF16/BF13</f>
        <v>0.30573809147050901</v>
      </c>
      <c r="BF16" s="49">
        <f>1394+900+1539+9007+828+1162+1656+1184+1917</f>
        <v>19587</v>
      </c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0.16407636185529811</v>
      </c>
      <c r="BR16" s="53">
        <f>+J16+V16+AH16+AT16+BF16</f>
        <v>57250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ref="E17:E22" si="25">D17-C17</f>
        <v>0</v>
      </c>
      <c r="F17" s="224" t="s">
        <v>20</v>
      </c>
      <c r="G17" s="225"/>
      <c r="H17" s="225"/>
      <c r="I17" s="229"/>
      <c r="J17" s="48">
        <f>108+91+76+66</f>
        <v>341</v>
      </c>
      <c r="M17" s="95"/>
      <c r="N17" s="90"/>
      <c r="O17" s="90"/>
      <c r="P17" s="91"/>
      <c r="Q17" s="105">
        <f t="shared" ref="Q17:Q22" si="26">P17-O17</f>
        <v>0</v>
      </c>
      <c r="R17" s="224" t="s">
        <v>20</v>
      </c>
      <c r="S17" s="225"/>
      <c r="T17" s="225"/>
      <c r="U17" s="229"/>
      <c r="V17" s="48">
        <f>31</f>
        <v>31</v>
      </c>
      <c r="W17" s="178"/>
      <c r="Y17" s="95"/>
      <c r="Z17" s="90"/>
      <c r="AA17" s="108"/>
      <c r="AB17" s="115"/>
      <c r="AC17" s="105">
        <f t="shared" ref="AC17:AC22" si="27">AB17-AA17</f>
        <v>0</v>
      </c>
      <c r="AD17" s="224" t="s">
        <v>20</v>
      </c>
      <c r="AE17" s="225"/>
      <c r="AF17" s="225"/>
      <c r="AG17" s="229"/>
      <c r="AH17" s="48">
        <f>22+32+51+25+31+49+29+25+17</f>
        <v>281</v>
      </c>
      <c r="AI17" s="29"/>
      <c r="AK17" s="95"/>
      <c r="AL17" s="90"/>
      <c r="AM17" s="90"/>
      <c r="AN17" s="97"/>
      <c r="AO17" s="105">
        <f t="shared" ref="AO17:AO22" si="28">AN17-AM17</f>
        <v>0</v>
      </c>
      <c r="AP17" s="224" t="s">
        <v>20</v>
      </c>
      <c r="AQ17" s="225"/>
      <c r="AR17" s="225"/>
      <c r="AS17" s="229"/>
      <c r="AT17" s="48">
        <f>269+204+147+181</f>
        <v>801</v>
      </c>
      <c r="AW17" s="95"/>
      <c r="AX17" s="90"/>
      <c r="AY17" s="108"/>
      <c r="AZ17" s="115"/>
      <c r="BA17" s="105">
        <f t="shared" ref="BA17:BA22" si="29">AZ17-AY17</f>
        <v>0</v>
      </c>
      <c r="BB17" s="224" t="s">
        <v>20</v>
      </c>
      <c r="BC17" s="225"/>
      <c r="BD17" s="225"/>
      <c r="BE17" s="229"/>
      <c r="BF17" s="48">
        <f>39+25+43+25+23+32+46+3353</f>
        <v>3586</v>
      </c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4"/>
        <v>5040</v>
      </c>
    </row>
    <row r="18" spans="1:70" ht="33" customHeight="1" x14ac:dyDescent="0.45">
      <c r="A18" s="103"/>
      <c r="B18" s="144"/>
      <c r="C18" s="110"/>
      <c r="D18" s="110"/>
      <c r="E18" s="105">
        <f t="shared" si="25"/>
        <v>0</v>
      </c>
      <c r="F18" s="224" t="s">
        <v>23</v>
      </c>
      <c r="G18" s="225"/>
      <c r="H18" s="225"/>
      <c r="I18" s="229"/>
      <c r="J18" s="48">
        <f>+J35</f>
        <v>48770</v>
      </c>
      <c r="M18" s="95"/>
      <c r="N18" s="90"/>
      <c r="O18" s="90"/>
      <c r="P18" s="91"/>
      <c r="Q18" s="105">
        <f t="shared" si="26"/>
        <v>0</v>
      </c>
      <c r="R18" s="224" t="s">
        <v>23</v>
      </c>
      <c r="S18" s="225"/>
      <c r="T18" s="225"/>
      <c r="U18" s="229"/>
      <c r="V18" s="48">
        <f>+V35</f>
        <v>6230</v>
      </c>
      <c r="W18" s="178"/>
      <c r="Y18" s="95"/>
      <c r="Z18" s="90"/>
      <c r="AA18" s="108"/>
      <c r="AB18" s="115"/>
      <c r="AC18" s="105">
        <f t="shared" si="27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8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9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4"/>
        <v>55000</v>
      </c>
    </row>
    <row r="19" spans="1:70" ht="33" customHeight="1" x14ac:dyDescent="0.45">
      <c r="A19" s="103"/>
      <c r="B19" s="104"/>
      <c r="C19" s="108"/>
      <c r="D19" s="110"/>
      <c r="E19" s="105">
        <f t="shared" si="25"/>
        <v>0</v>
      </c>
      <c r="F19" s="224" t="s">
        <v>11</v>
      </c>
      <c r="G19" s="225"/>
      <c r="H19" s="225"/>
      <c r="I19" s="229"/>
      <c r="J19" s="48">
        <f>+C35</f>
        <v>20211</v>
      </c>
      <c r="M19" s="95"/>
      <c r="N19" s="90"/>
      <c r="O19" s="90"/>
      <c r="P19" s="91"/>
      <c r="Q19" s="105">
        <f t="shared" si="26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7"/>
        <v>0</v>
      </c>
      <c r="AD19" s="224" t="s">
        <v>11</v>
      </c>
      <c r="AE19" s="225"/>
      <c r="AF19" s="225"/>
      <c r="AG19" s="229"/>
      <c r="AH19" s="48">
        <f>+AA35</f>
        <v>57820</v>
      </c>
      <c r="AK19" s="95"/>
      <c r="AL19" s="90"/>
      <c r="AM19" s="90"/>
      <c r="AN19" s="97"/>
      <c r="AO19" s="105">
        <f t="shared" si="28"/>
        <v>0</v>
      </c>
      <c r="AP19" s="224" t="s">
        <v>11</v>
      </c>
      <c r="AQ19" s="225"/>
      <c r="AR19" s="225"/>
      <c r="AS19" s="229"/>
      <c r="AT19" s="48">
        <f>+AM35</f>
        <v>161455</v>
      </c>
      <c r="AW19" s="95"/>
      <c r="AX19" s="90"/>
      <c r="AY19" s="108"/>
      <c r="AZ19" s="115"/>
      <c r="BA19" s="105">
        <f t="shared" si="29"/>
        <v>0</v>
      </c>
      <c r="BB19" s="224" t="s">
        <v>11</v>
      </c>
      <c r="BC19" s="225"/>
      <c r="BD19" s="225"/>
      <c r="BE19" s="229"/>
      <c r="BF19" s="48">
        <f>+AY35</f>
        <v>65922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4"/>
        <v>305408</v>
      </c>
    </row>
    <row r="20" spans="1:70" ht="33" customHeight="1" x14ac:dyDescent="0.5">
      <c r="A20" s="103"/>
      <c r="B20" s="104"/>
      <c r="C20" s="108"/>
      <c r="D20" s="112"/>
      <c r="E20" s="105">
        <f t="shared" si="25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6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7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8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9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4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5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6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7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8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9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4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5"/>
        <v>0</v>
      </c>
      <c r="F22" s="233" t="s">
        <v>24</v>
      </c>
      <c r="G22" s="234"/>
      <c r="H22" s="234"/>
      <c r="I22" s="235"/>
      <c r="J22" s="69">
        <f>+J13-J15-J16-J19+J17+J14-J18-J20-J21</f>
        <v>-0.34999999999854481</v>
      </c>
      <c r="K22" s="145"/>
      <c r="M22" s="95"/>
      <c r="N22" s="90"/>
      <c r="O22" s="90"/>
      <c r="P22" s="91"/>
      <c r="Q22" s="105">
        <f t="shared" si="26"/>
        <v>0</v>
      </c>
      <c r="R22" s="233" t="s">
        <v>24</v>
      </c>
      <c r="S22" s="234"/>
      <c r="T22" s="234"/>
      <c r="U22" s="235"/>
      <c r="V22" s="69">
        <f>+V13-V15-V16-V19+V17+V14-V18-V20-V21</f>
        <v>0.8874999999998181</v>
      </c>
      <c r="W22" s="145"/>
      <c r="X22" s="145"/>
      <c r="Y22" s="95"/>
      <c r="Z22" s="95"/>
      <c r="AA22" s="103"/>
      <c r="AB22" s="111"/>
      <c r="AC22" s="105">
        <f t="shared" si="27"/>
        <v>0</v>
      </c>
      <c r="AD22" s="233" t="s">
        <v>24</v>
      </c>
      <c r="AE22" s="234"/>
      <c r="AF22" s="234"/>
      <c r="AG22" s="235"/>
      <c r="AH22" s="69">
        <f>+AH13-AH15-AH16-AH19+AH17+AH14-AH18-AH20-AH21</f>
        <v>-0.42499999999563443</v>
      </c>
      <c r="AK22" s="95"/>
      <c r="AL22" s="95"/>
      <c r="AM22" s="95"/>
      <c r="AN22" s="96"/>
      <c r="AO22" s="105">
        <f t="shared" si="28"/>
        <v>0</v>
      </c>
      <c r="AP22" s="233" t="s">
        <v>24</v>
      </c>
      <c r="AQ22" s="234"/>
      <c r="AR22" s="234"/>
      <c r="AS22" s="235"/>
      <c r="AT22" s="69">
        <f>+AT13-AT15-AT16-AT19+AT17+AT14-AT18-AT20-AT21</f>
        <v>0.14999999999417923</v>
      </c>
      <c r="AW22" s="95"/>
      <c r="AX22" s="95"/>
      <c r="AY22" s="103"/>
      <c r="AZ22" s="111"/>
      <c r="BA22" s="105">
        <f t="shared" si="29"/>
        <v>0</v>
      </c>
      <c r="BB22" s="233" t="s">
        <v>24</v>
      </c>
      <c r="BC22" s="234"/>
      <c r="BD22" s="234"/>
      <c r="BE22" s="235"/>
      <c r="BF22" s="69">
        <f>+BF13-BF15-BF16-BF19+BF17+BF14-BF18-BF20</f>
        <v>0.63749999999708962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0.90000000002328306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261" t="s">
        <v>55</v>
      </c>
      <c r="BO23" s="261"/>
      <c r="BP23" s="261"/>
      <c r="BQ23" s="262"/>
      <c r="BR23" s="197">
        <f>G35+S35+BV23+AE35+AQ35+BC35</f>
        <v>2420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58</v>
      </c>
      <c r="C26" s="263">
        <v>13939</v>
      </c>
      <c r="D26" s="264"/>
      <c r="E26" s="265" t="s">
        <v>63</v>
      </c>
      <c r="F26" s="266"/>
      <c r="G26" s="146">
        <v>130</v>
      </c>
      <c r="H26" s="267" t="s">
        <v>18</v>
      </c>
      <c r="I26" s="268"/>
      <c r="J26" s="47">
        <f>46350+G35</f>
        <v>48770</v>
      </c>
      <c r="M26" s="175"/>
      <c r="N26" s="158"/>
      <c r="O26" s="269"/>
      <c r="P26" s="270"/>
      <c r="Q26" s="271"/>
      <c r="R26" s="272"/>
      <c r="S26" s="146"/>
      <c r="T26" s="267" t="s">
        <v>18</v>
      </c>
      <c r="U26" s="268"/>
      <c r="V26" s="47">
        <f>6230</f>
        <v>6230</v>
      </c>
      <c r="Y26" s="180" t="s">
        <v>67</v>
      </c>
      <c r="Z26" s="148" t="s">
        <v>68</v>
      </c>
      <c r="AA26" s="259">
        <f>3601+5197+6015+10005+6384+5197+10271+6547+4603</f>
        <v>57820</v>
      </c>
      <c r="AB26" s="273"/>
      <c r="AC26" s="287"/>
      <c r="AD26" s="288"/>
      <c r="AE26" s="147"/>
      <c r="AF26" s="267" t="s">
        <v>18</v>
      </c>
      <c r="AG26" s="268"/>
      <c r="AH26" s="47"/>
      <c r="AK26" s="176" t="s">
        <v>67</v>
      </c>
      <c r="AL26" s="162" t="s">
        <v>70</v>
      </c>
      <c r="AM26" s="259">
        <v>54162</v>
      </c>
      <c r="AN26" s="273"/>
      <c r="AO26" s="289"/>
      <c r="AP26" s="290"/>
      <c r="AQ26" s="163"/>
      <c r="AR26" s="280" t="s">
        <v>18</v>
      </c>
      <c r="AS26" s="281"/>
      <c r="AT26" s="164"/>
      <c r="AW26" s="102" t="s">
        <v>67</v>
      </c>
      <c r="AX26" s="78" t="s">
        <v>75</v>
      </c>
      <c r="AY26" s="283">
        <f>10804+6670+9330+6547+4665+5074+8675+5074+7857</f>
        <v>64696</v>
      </c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 t="s">
        <v>59</v>
      </c>
      <c r="B27" s="182" t="s">
        <v>60</v>
      </c>
      <c r="C27" s="263">
        <v>6272</v>
      </c>
      <c r="D27" s="264"/>
      <c r="E27" s="265" t="s">
        <v>61</v>
      </c>
      <c r="F27" s="266"/>
      <c r="G27" s="146">
        <v>50</v>
      </c>
      <c r="H27" s="285" t="s">
        <v>54</v>
      </c>
      <c r="I27" s="286"/>
      <c r="J27" s="47"/>
      <c r="M27" s="175"/>
      <c r="N27" s="158"/>
      <c r="O27" s="269"/>
      <c r="P27" s="270"/>
      <c r="Q27" s="271"/>
      <c r="R27" s="272"/>
      <c r="S27" s="146"/>
      <c r="T27" s="282" t="s">
        <v>53</v>
      </c>
      <c r="U27" s="267"/>
      <c r="V27" s="47"/>
      <c r="Y27" s="180"/>
      <c r="Z27" s="148"/>
      <c r="AA27" s="283"/>
      <c r="AB27" s="284"/>
      <c r="AC27" s="287"/>
      <c r="AD27" s="288"/>
      <c r="AE27" s="147"/>
      <c r="AF27" s="267" t="s">
        <v>53</v>
      </c>
      <c r="AG27" s="268"/>
      <c r="AH27" s="47"/>
      <c r="AK27" s="176" t="s">
        <v>67</v>
      </c>
      <c r="AL27" s="162" t="s">
        <v>71</v>
      </c>
      <c r="AM27" s="283">
        <v>41142</v>
      </c>
      <c r="AN27" s="284"/>
      <c r="AO27" s="299"/>
      <c r="AP27" s="290"/>
      <c r="AQ27" s="163"/>
      <c r="AR27" s="282" t="s">
        <v>53</v>
      </c>
      <c r="AS27" s="267"/>
      <c r="AT27" s="47"/>
      <c r="AW27" s="200" t="s">
        <v>74</v>
      </c>
      <c r="AX27" s="78" t="s">
        <v>76</v>
      </c>
      <c r="AY27" s="284">
        <v>1226</v>
      </c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 t="s">
        <v>64</v>
      </c>
      <c r="F28" s="266"/>
      <c r="G28" s="146">
        <f>100+70+70</f>
        <v>240</v>
      </c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 t="s">
        <v>67</v>
      </c>
      <c r="AL28" s="162" t="s">
        <v>72</v>
      </c>
      <c r="AM28" s="283">
        <v>29610</v>
      </c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 t="s">
        <v>65</v>
      </c>
      <c r="F29" s="266"/>
      <c r="G29" s="146">
        <v>2000</v>
      </c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 t="s">
        <v>67</v>
      </c>
      <c r="AL29" s="162" t="s">
        <v>73</v>
      </c>
      <c r="AM29" s="283">
        <v>36401</v>
      </c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 t="s">
        <v>74</v>
      </c>
      <c r="AL30" s="199" t="s">
        <v>76</v>
      </c>
      <c r="AM30" s="283">
        <v>140</v>
      </c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20211</v>
      </c>
      <c r="D35" s="315"/>
      <c r="E35" s="316" t="s">
        <v>21</v>
      </c>
      <c r="F35" s="317"/>
      <c r="G35" s="87">
        <f>SUM(G26:G34)</f>
        <v>2420</v>
      </c>
      <c r="H35" s="318" t="s">
        <v>17</v>
      </c>
      <c r="I35" s="319"/>
      <c r="J35" s="77">
        <f>SUM(J26:J34)</f>
        <v>48770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6230</v>
      </c>
      <c r="Y35" s="75"/>
      <c r="Z35" s="76" t="s">
        <v>16</v>
      </c>
      <c r="AA35" s="314">
        <f>SUM(AA26:AB34)</f>
        <v>57820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161455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65922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172800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U38"/>
  <sheetViews>
    <sheetView topLeftCell="BE15" zoomScale="85" zoomScaleNormal="85" zoomScaleSheetLayoutView="100" workbookViewId="0">
      <selection activeCell="BR6" sqref="BR6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08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13.58203125" style="1" customWidth="1"/>
    <col min="70" max="70" width="16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77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02.10.2026</v>
      </c>
      <c r="Y2" s="2"/>
      <c r="Z2" s="93" t="s">
        <v>43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02.10.2026</v>
      </c>
      <c r="AK2" s="94"/>
      <c r="AL2" s="93" t="s">
        <v>87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02.10.2026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02.10.2026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02.10.2026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30</v>
      </c>
      <c r="E4" s="129"/>
      <c r="F4" s="130"/>
      <c r="G4" s="130"/>
      <c r="H4" s="131">
        <f>+D4-E4-F4-G4</f>
        <v>30</v>
      </c>
      <c r="I4" s="132">
        <v>52.462499999999999</v>
      </c>
      <c r="J4" s="121">
        <f t="shared" ref="J4:J12" si="0">+H4*I4</f>
        <v>1573.875</v>
      </c>
      <c r="K4" s="34">
        <f t="shared" ref="K4:K12" si="1">+G4*I4</f>
        <v>0</v>
      </c>
      <c r="M4" s="220" t="s">
        <v>39</v>
      </c>
      <c r="N4" s="44" t="s">
        <v>25</v>
      </c>
      <c r="O4" s="70">
        <v>70</v>
      </c>
      <c r="P4" s="128">
        <v>110</v>
      </c>
      <c r="Q4" s="129">
        <v>2</v>
      </c>
      <c r="R4" s="130"/>
      <c r="S4" s="130"/>
      <c r="T4" s="131">
        <f>+P4-Q4-R4-S4</f>
        <v>108</v>
      </c>
      <c r="U4" s="132">
        <v>52.462499999999999</v>
      </c>
      <c r="V4" s="150">
        <f t="shared" ref="V4:V12" si="2">+T4*U4</f>
        <v>5665.95</v>
      </c>
      <c r="W4" s="34">
        <f t="shared" ref="W4:W12" si="3">+S4*U4</f>
        <v>0</v>
      </c>
      <c r="Y4" s="220" t="s">
        <v>39</v>
      </c>
      <c r="Z4" s="44" t="s">
        <v>25</v>
      </c>
      <c r="AA4" s="70">
        <v>70</v>
      </c>
      <c r="AB4" s="184">
        <v>120</v>
      </c>
      <c r="AC4" s="185">
        <v>7</v>
      </c>
      <c r="AD4" s="186"/>
      <c r="AE4" s="186"/>
      <c r="AF4" s="187">
        <f>+AB4-AC4-AD4-AE4</f>
        <v>113</v>
      </c>
      <c r="AG4" s="67">
        <v>52.462499999999999</v>
      </c>
      <c r="AH4" s="56">
        <f t="shared" ref="AH4:AH12" si="4">+AF4*AG4</f>
        <v>5928.2624999999998</v>
      </c>
      <c r="AI4" s="34">
        <f t="shared" ref="AI4:AI12" si="5">+AE4*AG4</f>
        <v>0</v>
      </c>
      <c r="AK4" s="220" t="s">
        <v>39</v>
      </c>
      <c r="AL4" s="44" t="s">
        <v>25</v>
      </c>
      <c r="AM4" s="70">
        <v>70</v>
      </c>
      <c r="AN4" s="36">
        <v>80</v>
      </c>
      <c r="AO4" s="37"/>
      <c r="AP4" s="38"/>
      <c r="AQ4" s="38"/>
      <c r="AR4" s="196">
        <f>+AN4-AO4-AP4-AQ4</f>
        <v>80</v>
      </c>
      <c r="AS4" s="67">
        <v>52.462499999999999</v>
      </c>
      <c r="AT4" s="56">
        <f t="shared" ref="AT4:AT5" si="6">+AR4*AS4</f>
        <v>4197</v>
      </c>
      <c r="AU4" s="34">
        <f t="shared" ref="AU4:AU12" si="7">+AQ4*AS4</f>
        <v>0</v>
      </c>
      <c r="AW4" s="220" t="s">
        <v>39</v>
      </c>
      <c r="AX4" s="44" t="s">
        <v>25</v>
      </c>
      <c r="AY4" s="70">
        <v>70</v>
      </c>
      <c r="AZ4" s="36">
        <v>270</v>
      </c>
      <c r="BA4" s="37"/>
      <c r="BB4" s="38"/>
      <c r="BC4" s="38"/>
      <c r="BD4" s="196">
        <f>+AZ4-BA4-BB4-BC4</f>
        <v>270</v>
      </c>
      <c r="BE4" s="67">
        <v>52.462499999999999</v>
      </c>
      <c r="BF4" s="56">
        <f t="shared" ref="BF4:BF5" si="8">+BD4*BE4</f>
        <v>14164.875</v>
      </c>
      <c r="BG4" s="34">
        <f t="shared" ref="BG4:BG12" si="9">+BC4*BE4</f>
        <v>0</v>
      </c>
      <c r="BI4" s="220" t="s">
        <v>39</v>
      </c>
      <c r="BJ4" s="44" t="s">
        <v>25</v>
      </c>
      <c r="BK4" s="70">
        <v>70</v>
      </c>
      <c r="BL4" s="36">
        <f>+D4+P4+AB4+AN4+AZ4</f>
        <v>610</v>
      </c>
      <c r="BM4" s="36">
        <f>+E4+Q4+AC4+AO4+BA4</f>
        <v>9</v>
      </c>
      <c r="BN4" s="38"/>
      <c r="BO4" s="36">
        <f>+G4+S4+AE4+AQ4+BC4</f>
        <v>0</v>
      </c>
      <c r="BP4" s="194">
        <f>+BL4-BM4-BN4-BO4</f>
        <v>601</v>
      </c>
      <c r="BQ4" s="67">
        <v>52.462499999999999</v>
      </c>
      <c r="BR4" s="56">
        <f t="shared" ref="BR4:BR5" si="10">+BP4*BQ4</f>
        <v>31529.962499999998</v>
      </c>
      <c r="BS4" s="34">
        <f t="shared" ref="BS4:BS12" si="11">+BO4*BQ4</f>
        <v>0</v>
      </c>
      <c r="BT4" s="1">
        <f>+BP4/40</f>
        <v>15.025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68</v>
      </c>
      <c r="E5" s="134">
        <v>6</v>
      </c>
      <c r="F5" s="135"/>
      <c r="G5" s="135"/>
      <c r="H5" s="131">
        <f t="shared" ref="H5:H12" si="12">+D5-E5-F5-G5</f>
        <v>62</v>
      </c>
      <c r="I5" s="132">
        <v>52.462499999999999</v>
      </c>
      <c r="J5" s="123">
        <f t="shared" si="0"/>
        <v>3252.6749999999997</v>
      </c>
      <c r="K5" s="34">
        <f t="shared" si="1"/>
        <v>0</v>
      </c>
      <c r="M5" s="221"/>
      <c r="N5" s="45" t="s">
        <v>26</v>
      </c>
      <c r="O5" s="71">
        <v>70</v>
      </c>
      <c r="P5" s="128">
        <v>100</v>
      </c>
      <c r="Q5" s="134"/>
      <c r="R5" s="135"/>
      <c r="S5" s="135"/>
      <c r="T5" s="131">
        <f t="shared" ref="T5:T12" si="13">+P5-Q5-R5-S5</f>
        <v>100</v>
      </c>
      <c r="U5" s="132">
        <v>52.462499999999999</v>
      </c>
      <c r="V5" s="151">
        <f t="shared" si="2"/>
        <v>5246.25</v>
      </c>
      <c r="W5" s="34">
        <f t="shared" si="3"/>
        <v>0</v>
      </c>
      <c r="Y5" s="221"/>
      <c r="Z5" s="45" t="s">
        <v>26</v>
      </c>
      <c r="AA5" s="71">
        <v>70</v>
      </c>
      <c r="AB5" s="188">
        <v>80</v>
      </c>
      <c r="AC5" s="185">
        <v>61</v>
      </c>
      <c r="AD5" s="189"/>
      <c r="AE5" s="189"/>
      <c r="AF5" s="187">
        <f t="shared" ref="AF5:AF12" si="14">+AB5-AC5-AD5-AE5</f>
        <v>19</v>
      </c>
      <c r="AG5" s="67">
        <v>52.462499999999999</v>
      </c>
      <c r="AH5" s="56">
        <f t="shared" si="4"/>
        <v>996.78750000000002</v>
      </c>
      <c r="AI5" s="34">
        <f t="shared" si="5"/>
        <v>0</v>
      </c>
      <c r="AK5" s="221"/>
      <c r="AL5" s="45" t="s">
        <v>26</v>
      </c>
      <c r="AM5" s="71">
        <v>70</v>
      </c>
      <c r="AN5" s="39">
        <v>40</v>
      </c>
      <c r="AO5" s="40">
        <v>4</v>
      </c>
      <c r="AP5" s="31"/>
      <c r="AQ5" s="31"/>
      <c r="AR5" s="196">
        <f t="shared" ref="AR5:AR12" si="15">+AN5-AO5-AP5-AQ5</f>
        <v>36</v>
      </c>
      <c r="AS5" s="67">
        <v>52.462499999999999</v>
      </c>
      <c r="AT5" s="57">
        <f t="shared" si="6"/>
        <v>1888.6499999999999</v>
      </c>
      <c r="AU5" s="34">
        <f t="shared" si="7"/>
        <v>0</v>
      </c>
      <c r="AW5" s="221"/>
      <c r="AX5" s="45" t="s">
        <v>26</v>
      </c>
      <c r="AY5" s="71">
        <v>70</v>
      </c>
      <c r="AZ5" s="36">
        <v>150</v>
      </c>
      <c r="BA5" s="40"/>
      <c r="BB5" s="31"/>
      <c r="BC5" s="31"/>
      <c r="BD5" s="196">
        <f t="shared" ref="BD5:BD12" si="16">+AZ5-BA5-BB5-BC5</f>
        <v>150</v>
      </c>
      <c r="BE5" s="67">
        <v>52.462499999999999</v>
      </c>
      <c r="BF5" s="57">
        <f t="shared" si="8"/>
        <v>7869.375</v>
      </c>
      <c r="BG5" s="34">
        <f t="shared" si="9"/>
        <v>0</v>
      </c>
      <c r="BI5" s="221"/>
      <c r="BJ5" s="45" t="s">
        <v>26</v>
      </c>
      <c r="BK5" s="71">
        <v>70</v>
      </c>
      <c r="BL5" s="36">
        <f t="shared" ref="BL5:BM12" si="17">+D5+P5+AB5+AN5+AZ5</f>
        <v>438</v>
      </c>
      <c r="BM5" s="36">
        <f t="shared" si="17"/>
        <v>71</v>
      </c>
      <c r="BN5" s="31"/>
      <c r="BO5" s="36">
        <f t="shared" ref="BO5:BO12" si="18">+G5+S5+AE5+AQ5+BC5</f>
        <v>0</v>
      </c>
      <c r="BP5" s="194">
        <f t="shared" ref="BP5:BP12" si="19">+BL5-BM5-BN5-BO5</f>
        <v>367</v>
      </c>
      <c r="BQ5" s="67">
        <v>52.462499999999999</v>
      </c>
      <c r="BR5" s="57">
        <f t="shared" si="10"/>
        <v>19253.737499999999</v>
      </c>
      <c r="BS5" s="34">
        <f t="shared" si="11"/>
        <v>0</v>
      </c>
      <c r="BT5" s="1">
        <f t="shared" ref="BT5:BT11" si="20">+BP5/40</f>
        <v>9.1750000000000007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111</v>
      </c>
      <c r="E6" s="134">
        <v>16</v>
      </c>
      <c r="F6" s="135"/>
      <c r="G6" s="135"/>
      <c r="H6" s="131">
        <f t="shared" si="12"/>
        <v>95</v>
      </c>
      <c r="I6" s="132">
        <v>52.462499999999999</v>
      </c>
      <c r="J6" s="123">
        <f>+H6*I6</f>
        <v>4983.9375</v>
      </c>
      <c r="K6" s="34">
        <f t="shared" si="1"/>
        <v>0</v>
      </c>
      <c r="M6" s="221"/>
      <c r="N6" s="45" t="s">
        <v>27</v>
      </c>
      <c r="O6" s="71">
        <v>70</v>
      </c>
      <c r="P6" s="133">
        <v>150</v>
      </c>
      <c r="Q6" s="134"/>
      <c r="R6" s="135"/>
      <c r="S6" s="135"/>
      <c r="T6" s="131">
        <f t="shared" si="13"/>
        <v>150</v>
      </c>
      <c r="U6" s="132">
        <v>52.462499999999999</v>
      </c>
      <c r="V6" s="152">
        <f t="shared" si="2"/>
        <v>7869.375</v>
      </c>
      <c r="W6" s="34">
        <f t="shared" si="3"/>
        <v>0</v>
      </c>
      <c r="Y6" s="221"/>
      <c r="Z6" s="45" t="s">
        <v>27</v>
      </c>
      <c r="AA6" s="71">
        <v>70</v>
      </c>
      <c r="AB6" s="188">
        <v>120</v>
      </c>
      <c r="AC6" s="185">
        <v>9</v>
      </c>
      <c r="AD6" s="189"/>
      <c r="AE6" s="189"/>
      <c r="AF6" s="187">
        <f t="shared" si="14"/>
        <v>111</v>
      </c>
      <c r="AG6" s="67">
        <v>52.462499999999999</v>
      </c>
      <c r="AH6" s="56">
        <f t="shared" si="4"/>
        <v>5823.3374999999996</v>
      </c>
      <c r="AI6" s="34">
        <f t="shared" si="5"/>
        <v>0</v>
      </c>
      <c r="AK6" s="221"/>
      <c r="AL6" s="45" t="s">
        <v>27</v>
      </c>
      <c r="AM6" s="71">
        <v>70</v>
      </c>
      <c r="AN6" s="39">
        <v>300</v>
      </c>
      <c r="AO6" s="40"/>
      <c r="AP6" s="31"/>
      <c r="AQ6" s="31"/>
      <c r="AR6" s="196">
        <f t="shared" si="15"/>
        <v>300</v>
      </c>
      <c r="AS6" s="67">
        <v>52.462499999999999</v>
      </c>
      <c r="AT6" s="57">
        <f>+AR6*AS6</f>
        <v>15738.75</v>
      </c>
      <c r="AU6" s="34">
        <f t="shared" si="7"/>
        <v>0</v>
      </c>
      <c r="AW6" s="221"/>
      <c r="AX6" s="45" t="s">
        <v>27</v>
      </c>
      <c r="AY6" s="71">
        <v>70</v>
      </c>
      <c r="AZ6" s="36">
        <v>340</v>
      </c>
      <c r="BA6" s="40">
        <v>40</v>
      </c>
      <c r="BB6" s="31"/>
      <c r="BC6" s="31"/>
      <c r="BD6" s="196">
        <f t="shared" si="16"/>
        <v>300</v>
      </c>
      <c r="BE6" s="67">
        <v>52.462499999999999</v>
      </c>
      <c r="BF6" s="57">
        <f>+BD6*BE6</f>
        <v>15738.75</v>
      </c>
      <c r="BG6" s="34">
        <f t="shared" si="9"/>
        <v>0</v>
      </c>
      <c r="BI6" s="221"/>
      <c r="BJ6" s="45" t="s">
        <v>27</v>
      </c>
      <c r="BK6" s="71">
        <v>70</v>
      </c>
      <c r="BL6" s="36">
        <f t="shared" si="17"/>
        <v>1021</v>
      </c>
      <c r="BM6" s="36">
        <f t="shared" si="17"/>
        <v>65</v>
      </c>
      <c r="BN6" s="31"/>
      <c r="BO6" s="36">
        <f t="shared" si="18"/>
        <v>0</v>
      </c>
      <c r="BP6" s="194">
        <f t="shared" si="19"/>
        <v>956</v>
      </c>
      <c r="BQ6" s="67">
        <v>52.462499999999999</v>
      </c>
      <c r="BR6" s="57">
        <f>+BP6*BQ6</f>
        <v>50154.15</v>
      </c>
      <c r="BS6" s="34">
        <f t="shared" si="11"/>
        <v>0</v>
      </c>
      <c r="BT6" s="1">
        <f t="shared" si="20"/>
        <v>23.9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267</v>
      </c>
      <c r="E7" s="137"/>
      <c r="F7" s="138"/>
      <c r="G7" s="159"/>
      <c r="H7" s="131">
        <f t="shared" si="12"/>
        <v>267</v>
      </c>
      <c r="I7" s="132">
        <v>72.64</v>
      </c>
      <c r="J7" s="125">
        <f t="shared" si="0"/>
        <v>19394.88</v>
      </c>
      <c r="K7" s="34">
        <f t="shared" si="1"/>
        <v>0</v>
      </c>
      <c r="M7" s="221"/>
      <c r="N7" s="46" t="s">
        <v>28</v>
      </c>
      <c r="O7" s="72">
        <v>120</v>
      </c>
      <c r="P7" s="136">
        <v>120</v>
      </c>
      <c r="Q7" s="137">
        <v>15</v>
      </c>
      <c r="R7" s="138"/>
      <c r="S7" s="138"/>
      <c r="T7" s="131">
        <f t="shared" si="13"/>
        <v>105</v>
      </c>
      <c r="U7" s="132">
        <v>72.64</v>
      </c>
      <c r="V7" s="152">
        <f t="shared" si="2"/>
        <v>7627.2</v>
      </c>
      <c r="W7" s="34">
        <f t="shared" si="3"/>
        <v>0</v>
      </c>
      <c r="Y7" s="221"/>
      <c r="Z7" s="46" t="s">
        <v>28</v>
      </c>
      <c r="AA7" s="72">
        <v>120</v>
      </c>
      <c r="AB7" s="190">
        <v>80</v>
      </c>
      <c r="AC7" s="185">
        <v>38</v>
      </c>
      <c r="AD7" s="191"/>
      <c r="AE7" s="191"/>
      <c r="AF7" s="187">
        <f t="shared" si="14"/>
        <v>42</v>
      </c>
      <c r="AG7" s="67">
        <v>72.64</v>
      </c>
      <c r="AH7" s="56">
        <f t="shared" si="4"/>
        <v>3050.88</v>
      </c>
      <c r="AI7" s="34">
        <f t="shared" si="5"/>
        <v>0</v>
      </c>
      <c r="AK7" s="221"/>
      <c r="AL7" s="46" t="s">
        <v>28</v>
      </c>
      <c r="AM7" s="72">
        <v>120</v>
      </c>
      <c r="AN7" s="41">
        <v>160</v>
      </c>
      <c r="AO7" s="42">
        <v>40</v>
      </c>
      <c r="AP7" s="43"/>
      <c r="AQ7" s="43"/>
      <c r="AR7" s="196">
        <f t="shared" si="15"/>
        <v>120</v>
      </c>
      <c r="AS7" s="67">
        <v>72.64</v>
      </c>
      <c r="AT7" s="58">
        <f t="shared" ref="AT7:AT12" si="21">+AR7*AS7</f>
        <v>8716.7999999999993</v>
      </c>
      <c r="AU7" s="34">
        <f t="shared" si="7"/>
        <v>0</v>
      </c>
      <c r="AW7" s="221"/>
      <c r="AX7" s="46" t="s">
        <v>28</v>
      </c>
      <c r="AY7" s="72">
        <v>120</v>
      </c>
      <c r="AZ7" s="36">
        <v>230</v>
      </c>
      <c r="BA7" s="42">
        <v>30</v>
      </c>
      <c r="BB7" s="43"/>
      <c r="BC7" s="43"/>
      <c r="BD7" s="196">
        <f t="shared" si="16"/>
        <v>200</v>
      </c>
      <c r="BE7" s="67">
        <v>72.64</v>
      </c>
      <c r="BF7" s="58">
        <f t="shared" ref="BF7:BF12" si="22">+BD7*BE7</f>
        <v>14528</v>
      </c>
      <c r="BG7" s="34">
        <f t="shared" si="9"/>
        <v>0</v>
      </c>
      <c r="BI7" s="221"/>
      <c r="BJ7" s="46" t="s">
        <v>28</v>
      </c>
      <c r="BK7" s="72">
        <v>120</v>
      </c>
      <c r="BL7" s="36">
        <f t="shared" si="17"/>
        <v>857</v>
      </c>
      <c r="BM7" s="36">
        <f t="shared" si="17"/>
        <v>123</v>
      </c>
      <c r="BN7" s="43"/>
      <c r="BO7" s="36">
        <f t="shared" si="18"/>
        <v>0</v>
      </c>
      <c r="BP7" s="194">
        <f t="shared" si="19"/>
        <v>734</v>
      </c>
      <c r="BQ7" s="67">
        <v>72.64</v>
      </c>
      <c r="BR7" s="58">
        <f t="shared" ref="BR7:BR12" si="23">+BP7*BQ7</f>
        <v>53317.760000000002</v>
      </c>
      <c r="BS7" s="34">
        <f t="shared" si="11"/>
        <v>0</v>
      </c>
      <c r="BT7" s="1">
        <f t="shared" si="20"/>
        <v>18.350000000000001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195</v>
      </c>
      <c r="E8" s="140"/>
      <c r="F8" s="141"/>
      <c r="G8" s="141"/>
      <c r="H8" s="131">
        <f t="shared" si="12"/>
        <v>195</v>
      </c>
      <c r="I8" s="132">
        <v>72.64</v>
      </c>
      <c r="J8" s="125">
        <f t="shared" si="0"/>
        <v>14164.8</v>
      </c>
      <c r="K8" s="34">
        <f t="shared" si="1"/>
        <v>0</v>
      </c>
      <c r="M8" s="221"/>
      <c r="N8" s="63" t="s">
        <v>29</v>
      </c>
      <c r="O8" s="73">
        <v>120</v>
      </c>
      <c r="P8" s="139">
        <v>80</v>
      </c>
      <c r="Q8" s="140">
        <v>12</v>
      </c>
      <c r="R8" s="141"/>
      <c r="S8" s="141"/>
      <c r="T8" s="131">
        <f t="shared" si="13"/>
        <v>68</v>
      </c>
      <c r="U8" s="132">
        <v>72.64</v>
      </c>
      <c r="V8" s="152">
        <f t="shared" si="2"/>
        <v>4939.5200000000004</v>
      </c>
      <c r="W8" s="34">
        <f t="shared" si="3"/>
        <v>0</v>
      </c>
      <c r="Y8" s="221"/>
      <c r="Z8" s="63" t="s">
        <v>29</v>
      </c>
      <c r="AA8" s="73">
        <v>120</v>
      </c>
      <c r="AB8" s="188">
        <v>120</v>
      </c>
      <c r="AC8" s="185"/>
      <c r="AD8" s="189"/>
      <c r="AE8" s="189"/>
      <c r="AF8" s="187">
        <f t="shared" si="14"/>
        <v>120</v>
      </c>
      <c r="AG8" s="67">
        <v>72.64</v>
      </c>
      <c r="AH8" s="56">
        <f t="shared" si="4"/>
        <v>8716.7999999999993</v>
      </c>
      <c r="AI8" s="34">
        <f t="shared" si="5"/>
        <v>0</v>
      </c>
      <c r="AK8" s="221"/>
      <c r="AL8" s="63" t="s">
        <v>29</v>
      </c>
      <c r="AM8" s="73">
        <v>120</v>
      </c>
      <c r="AN8" s="64">
        <v>80</v>
      </c>
      <c r="AO8" s="65"/>
      <c r="AP8" s="66"/>
      <c r="AQ8" s="66"/>
      <c r="AR8" s="196">
        <f t="shared" si="15"/>
        <v>80</v>
      </c>
      <c r="AS8" s="67">
        <v>72.64</v>
      </c>
      <c r="AT8" s="58">
        <f t="shared" si="21"/>
        <v>5811.2</v>
      </c>
      <c r="AU8" s="34">
        <f t="shared" si="7"/>
        <v>0</v>
      </c>
      <c r="AW8" s="221"/>
      <c r="AX8" s="63" t="s">
        <v>29</v>
      </c>
      <c r="AY8" s="73">
        <v>120</v>
      </c>
      <c r="AZ8" s="36">
        <v>360</v>
      </c>
      <c r="BA8" s="65">
        <v>20</v>
      </c>
      <c r="BB8" s="66"/>
      <c r="BC8" s="66"/>
      <c r="BD8" s="196">
        <f t="shared" si="16"/>
        <v>340</v>
      </c>
      <c r="BE8" s="67">
        <v>72.64</v>
      </c>
      <c r="BF8" s="58">
        <f t="shared" si="22"/>
        <v>24697.599999999999</v>
      </c>
      <c r="BG8" s="34">
        <f t="shared" si="9"/>
        <v>0</v>
      </c>
      <c r="BI8" s="221"/>
      <c r="BJ8" s="63" t="s">
        <v>29</v>
      </c>
      <c r="BK8" s="73">
        <v>120</v>
      </c>
      <c r="BL8" s="36">
        <f t="shared" si="17"/>
        <v>835</v>
      </c>
      <c r="BM8" s="36">
        <f t="shared" si="17"/>
        <v>32</v>
      </c>
      <c r="BN8" s="66"/>
      <c r="BO8" s="36">
        <f t="shared" si="18"/>
        <v>0</v>
      </c>
      <c r="BP8" s="194">
        <f t="shared" si="19"/>
        <v>803</v>
      </c>
      <c r="BQ8" s="67">
        <v>72.64</v>
      </c>
      <c r="BR8" s="58">
        <f t="shared" si="23"/>
        <v>58329.919999999998</v>
      </c>
      <c r="BS8" s="34">
        <f t="shared" si="11"/>
        <v>0</v>
      </c>
      <c r="BT8" s="1">
        <f t="shared" si="20"/>
        <v>20.074999999999999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195</v>
      </c>
      <c r="E9" s="129">
        <v>5</v>
      </c>
      <c r="F9" s="130"/>
      <c r="G9" s="130"/>
      <c r="H9" s="131">
        <f t="shared" si="12"/>
        <v>190</v>
      </c>
      <c r="I9" s="132">
        <v>72.64</v>
      </c>
      <c r="J9" s="121">
        <f t="shared" si="0"/>
        <v>13801.6</v>
      </c>
      <c r="K9" s="34">
        <f t="shared" si="1"/>
        <v>0</v>
      </c>
      <c r="M9" s="221"/>
      <c r="N9" s="44" t="s">
        <v>30</v>
      </c>
      <c r="O9" s="70">
        <v>120</v>
      </c>
      <c r="P9" s="128">
        <v>132</v>
      </c>
      <c r="Q9" s="129">
        <v>15</v>
      </c>
      <c r="R9" s="130"/>
      <c r="S9" s="130"/>
      <c r="T9" s="131">
        <f t="shared" si="13"/>
        <v>117</v>
      </c>
      <c r="U9" s="132">
        <v>72.64</v>
      </c>
      <c r="V9" s="150">
        <f t="shared" si="2"/>
        <v>8498.8799999999992</v>
      </c>
      <c r="W9" s="34">
        <f t="shared" si="3"/>
        <v>0</v>
      </c>
      <c r="Y9" s="221"/>
      <c r="Z9" s="44" t="s">
        <v>30</v>
      </c>
      <c r="AA9" s="70">
        <v>120</v>
      </c>
      <c r="AB9" s="192">
        <v>160</v>
      </c>
      <c r="AC9" s="185"/>
      <c r="AD9" s="193"/>
      <c r="AE9" s="193"/>
      <c r="AF9" s="187">
        <f t="shared" si="14"/>
        <v>160</v>
      </c>
      <c r="AG9" s="67">
        <v>72.64</v>
      </c>
      <c r="AH9" s="56">
        <f t="shared" si="4"/>
        <v>11622.4</v>
      </c>
      <c r="AI9" s="34">
        <f t="shared" si="5"/>
        <v>0</v>
      </c>
      <c r="AK9" s="221"/>
      <c r="AL9" s="44" t="s">
        <v>30</v>
      </c>
      <c r="AM9" s="70">
        <v>120</v>
      </c>
      <c r="AN9" s="36">
        <v>280</v>
      </c>
      <c r="AO9" s="37"/>
      <c r="AP9" s="38"/>
      <c r="AQ9" s="38"/>
      <c r="AR9" s="196">
        <f t="shared" si="15"/>
        <v>280</v>
      </c>
      <c r="AS9" s="67">
        <v>72.64</v>
      </c>
      <c r="AT9" s="56">
        <f t="shared" si="21"/>
        <v>20339.2</v>
      </c>
      <c r="AU9" s="34">
        <f t="shared" si="7"/>
        <v>0</v>
      </c>
      <c r="AW9" s="221"/>
      <c r="AX9" s="44" t="s">
        <v>30</v>
      </c>
      <c r="AY9" s="70">
        <v>120</v>
      </c>
      <c r="AZ9" s="36">
        <v>360</v>
      </c>
      <c r="BA9" s="37">
        <v>20</v>
      </c>
      <c r="BB9" s="38"/>
      <c r="BC9" s="38"/>
      <c r="BD9" s="196">
        <f t="shared" si="16"/>
        <v>340</v>
      </c>
      <c r="BE9" s="67">
        <v>72.64</v>
      </c>
      <c r="BF9" s="56">
        <f t="shared" si="22"/>
        <v>24697.599999999999</v>
      </c>
      <c r="BG9" s="34">
        <f t="shared" si="9"/>
        <v>0</v>
      </c>
      <c r="BI9" s="221"/>
      <c r="BJ9" s="44" t="s">
        <v>30</v>
      </c>
      <c r="BK9" s="70">
        <v>120</v>
      </c>
      <c r="BL9" s="36">
        <f t="shared" si="17"/>
        <v>1127</v>
      </c>
      <c r="BM9" s="36">
        <f t="shared" si="17"/>
        <v>40</v>
      </c>
      <c r="BN9" s="38"/>
      <c r="BO9" s="36">
        <f t="shared" si="18"/>
        <v>0</v>
      </c>
      <c r="BP9" s="194">
        <f t="shared" si="19"/>
        <v>1087</v>
      </c>
      <c r="BQ9" s="67">
        <v>72.64</v>
      </c>
      <c r="BR9" s="56">
        <f t="shared" si="23"/>
        <v>78959.680000000008</v>
      </c>
      <c r="BS9" s="34">
        <f t="shared" si="11"/>
        <v>0</v>
      </c>
      <c r="BT9" s="1">
        <f t="shared" si="20"/>
        <v>27.175000000000001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12"/>
        <v>0</v>
      </c>
      <c r="I10" s="132">
        <v>39.230000000000004</v>
      </c>
      <c r="J10" s="123">
        <f t="shared" si="0"/>
        <v>0</v>
      </c>
      <c r="K10" s="34">
        <f t="shared" si="1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13"/>
        <v>0</v>
      </c>
      <c r="U10" s="132">
        <v>39.229999999999997</v>
      </c>
      <c r="V10" s="151">
        <f t="shared" si="2"/>
        <v>0</v>
      </c>
      <c r="W10" s="34">
        <f t="shared" si="3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14"/>
        <v>0</v>
      </c>
      <c r="AG10" s="67">
        <v>39.230000000000004</v>
      </c>
      <c r="AH10" s="56">
        <f t="shared" si="4"/>
        <v>0</v>
      </c>
      <c r="AI10" s="34">
        <f t="shared" si="5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15"/>
        <v>0</v>
      </c>
      <c r="AS10" s="67">
        <v>39.230000000000004</v>
      </c>
      <c r="AT10" s="57">
        <f t="shared" si="21"/>
        <v>0</v>
      </c>
      <c r="AU10" s="34">
        <f t="shared" si="7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6"/>
        <v>0</v>
      </c>
      <c r="BE10" s="67">
        <v>39.230000000000004</v>
      </c>
      <c r="BF10" s="57">
        <f t="shared" si="22"/>
        <v>0</v>
      </c>
      <c r="BG10" s="34">
        <f t="shared" si="9"/>
        <v>0</v>
      </c>
      <c r="BI10" s="221"/>
      <c r="BJ10" s="45" t="s">
        <v>31</v>
      </c>
      <c r="BK10" s="71">
        <v>60</v>
      </c>
      <c r="BL10" s="36">
        <f t="shared" si="17"/>
        <v>0</v>
      </c>
      <c r="BM10" s="36">
        <f t="shared" si="17"/>
        <v>0</v>
      </c>
      <c r="BN10" s="31"/>
      <c r="BO10" s="36">
        <f t="shared" si="18"/>
        <v>0</v>
      </c>
      <c r="BP10" s="194">
        <f t="shared" si="19"/>
        <v>0</v>
      </c>
      <c r="BQ10" s="67">
        <v>39.230000000000004</v>
      </c>
      <c r="BR10" s="57">
        <f t="shared" si="23"/>
        <v>0</v>
      </c>
      <c r="BS10" s="34">
        <f t="shared" si="11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12"/>
        <v>0</v>
      </c>
      <c r="I11" s="132">
        <v>39.230000000000004</v>
      </c>
      <c r="J11" s="123">
        <f t="shared" si="0"/>
        <v>0</v>
      </c>
      <c r="K11" s="34">
        <f t="shared" si="1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13"/>
        <v>0</v>
      </c>
      <c r="U11" s="132">
        <v>39.230000000000004</v>
      </c>
      <c r="V11" s="151">
        <f t="shared" si="2"/>
        <v>0</v>
      </c>
      <c r="W11" s="34">
        <f t="shared" si="3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14"/>
        <v>0</v>
      </c>
      <c r="AG11" s="67">
        <v>39.230000000000004</v>
      </c>
      <c r="AH11" s="56">
        <f t="shared" si="4"/>
        <v>0</v>
      </c>
      <c r="AI11" s="34">
        <f t="shared" si="5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15"/>
        <v>0</v>
      </c>
      <c r="AS11" s="67">
        <v>39.230000000000004</v>
      </c>
      <c r="AT11" s="57">
        <f t="shared" si="21"/>
        <v>0</v>
      </c>
      <c r="AU11" s="34">
        <f t="shared" si="7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6"/>
        <v>0</v>
      </c>
      <c r="BE11" s="67">
        <v>39.230000000000004</v>
      </c>
      <c r="BF11" s="57">
        <f t="shared" si="22"/>
        <v>0</v>
      </c>
      <c r="BG11" s="34">
        <f t="shared" si="9"/>
        <v>0</v>
      </c>
      <c r="BI11" s="221"/>
      <c r="BJ11" s="45" t="s">
        <v>32</v>
      </c>
      <c r="BK11" s="71">
        <v>60</v>
      </c>
      <c r="BL11" s="36">
        <f t="shared" si="17"/>
        <v>0</v>
      </c>
      <c r="BM11" s="36">
        <f t="shared" si="17"/>
        <v>0</v>
      </c>
      <c r="BN11" s="31"/>
      <c r="BO11" s="36">
        <f t="shared" si="18"/>
        <v>0</v>
      </c>
      <c r="BP11" s="194">
        <f t="shared" si="19"/>
        <v>0</v>
      </c>
      <c r="BQ11" s="67">
        <v>39.230000000000004</v>
      </c>
      <c r="BR11" s="57">
        <f t="shared" si="23"/>
        <v>0</v>
      </c>
      <c r="BS11" s="34">
        <f t="shared" si="11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12"/>
        <v>0</v>
      </c>
      <c r="I12" s="132">
        <v>39.230000000000004</v>
      </c>
      <c r="J12" s="123">
        <f t="shared" si="0"/>
        <v>0</v>
      </c>
      <c r="K12" s="34">
        <f t="shared" si="1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13"/>
        <v>0</v>
      </c>
      <c r="U12" s="132">
        <v>39.230000000000004</v>
      </c>
      <c r="V12" s="151">
        <f t="shared" si="2"/>
        <v>0</v>
      </c>
      <c r="W12" s="34">
        <f t="shared" si="3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14"/>
        <v>0</v>
      </c>
      <c r="AG12" s="67">
        <v>39.230000000000004</v>
      </c>
      <c r="AH12" s="56">
        <f t="shared" si="4"/>
        <v>0</v>
      </c>
      <c r="AI12" s="34">
        <f t="shared" si="5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15"/>
        <v>0</v>
      </c>
      <c r="AS12" s="67">
        <v>39.230000000000004</v>
      </c>
      <c r="AT12" s="57">
        <f t="shared" si="21"/>
        <v>0</v>
      </c>
      <c r="AU12" s="34">
        <f t="shared" si="7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6"/>
        <v>0</v>
      </c>
      <c r="BE12" s="67">
        <v>39.230000000000004</v>
      </c>
      <c r="BF12" s="57">
        <f t="shared" si="22"/>
        <v>0</v>
      </c>
      <c r="BG12" s="34">
        <f t="shared" si="9"/>
        <v>0</v>
      </c>
      <c r="BI12" s="222"/>
      <c r="BJ12" s="45" t="s">
        <v>33</v>
      </c>
      <c r="BK12" s="71">
        <v>60</v>
      </c>
      <c r="BL12" s="36">
        <f t="shared" si="17"/>
        <v>0</v>
      </c>
      <c r="BM12" s="36">
        <f t="shared" si="17"/>
        <v>0</v>
      </c>
      <c r="BN12" s="31"/>
      <c r="BO12" s="36">
        <f t="shared" si="18"/>
        <v>0</v>
      </c>
      <c r="BP12" s="194">
        <f t="shared" si="19"/>
        <v>0</v>
      </c>
      <c r="BQ12" s="67">
        <v>39.230000000000004</v>
      </c>
      <c r="BR12" s="57">
        <f t="shared" si="23"/>
        <v>0</v>
      </c>
      <c r="BS12" s="34">
        <f t="shared" si="11"/>
        <v>0</v>
      </c>
      <c r="BT12" s="1">
        <f>SUM(BT4:BT11)</f>
        <v>113.7</v>
      </c>
    </row>
    <row r="13" spans="1:73" ht="39.75" customHeight="1" thickBot="1" x14ac:dyDescent="0.45">
      <c r="A13" s="12"/>
      <c r="B13" s="11"/>
      <c r="C13" s="142"/>
      <c r="D13" s="143">
        <f>SUM(D4:D12)</f>
        <v>866</v>
      </c>
      <c r="E13" s="143">
        <f>SUM(E4:E12)</f>
        <v>27</v>
      </c>
      <c r="F13" s="143">
        <f>SUM(F4:F12)</f>
        <v>0</v>
      </c>
      <c r="G13" s="143">
        <f>SUM(G4:G12)</f>
        <v>0</v>
      </c>
      <c r="H13" s="143">
        <f>SUM(H4:H12)</f>
        <v>839</v>
      </c>
      <c r="I13" s="142"/>
      <c r="J13" s="127">
        <f>SUM(J4:J12)</f>
        <v>57171.767499999994</v>
      </c>
      <c r="K13" s="35">
        <f>SUM(K4:K12)</f>
        <v>0</v>
      </c>
      <c r="M13" s="98"/>
      <c r="N13" s="99"/>
      <c r="O13" s="99"/>
      <c r="P13" s="100">
        <f>SUM(P4:P12)</f>
        <v>692</v>
      </c>
      <c r="Q13" s="100">
        <f>SUM(Q4:Q12)</f>
        <v>44</v>
      </c>
      <c r="R13" s="13">
        <f>SUM(R4:R12)</f>
        <v>0</v>
      </c>
      <c r="S13" s="13">
        <f>SUM(S4:S12)</f>
        <v>0</v>
      </c>
      <c r="T13" s="13">
        <f>SUM(T4:T12)</f>
        <v>648</v>
      </c>
      <c r="U13" s="11"/>
      <c r="V13" s="59">
        <f>SUM(V4:V12)</f>
        <v>39847.175000000003</v>
      </c>
      <c r="W13" s="35">
        <f>SUM(W4:W12)</f>
        <v>0</v>
      </c>
      <c r="Y13" s="12"/>
      <c r="Z13" s="11"/>
      <c r="AA13" s="11"/>
      <c r="AB13" s="13">
        <f>SUM(AB4:AB12)</f>
        <v>680</v>
      </c>
      <c r="AC13" s="13">
        <f>SUM(AC4:AC12)</f>
        <v>115</v>
      </c>
      <c r="AD13" s="13">
        <f>SUM(AD4:AD12)</f>
        <v>0</v>
      </c>
      <c r="AE13" s="13">
        <f>SUM(AE4:AE12)</f>
        <v>0</v>
      </c>
      <c r="AF13" s="13">
        <f>SUM(AF4:AF12)</f>
        <v>565</v>
      </c>
      <c r="AG13" s="11"/>
      <c r="AH13" s="59">
        <f>SUM(AH4:AH12)</f>
        <v>36138.467499999999</v>
      </c>
      <c r="AI13" s="35">
        <f>SUM(AI4:AI12)</f>
        <v>0</v>
      </c>
      <c r="AK13" s="12"/>
      <c r="AL13" s="11"/>
      <c r="AM13" s="11"/>
      <c r="AN13" s="13">
        <f>SUM(AN4:AN12)</f>
        <v>940</v>
      </c>
      <c r="AO13" s="13">
        <f>SUM(AO4:AO12)</f>
        <v>44</v>
      </c>
      <c r="AP13" s="13">
        <f>SUM(AP4:AP12)</f>
        <v>0</v>
      </c>
      <c r="AQ13" s="13">
        <f>SUM(AQ4:AQ12)</f>
        <v>0</v>
      </c>
      <c r="AR13" s="13">
        <f>SUM(AR4:AR12)</f>
        <v>896</v>
      </c>
      <c r="AS13" s="11"/>
      <c r="AT13" s="59">
        <f>SUM(AT4:AT12)</f>
        <v>56691.600000000006</v>
      </c>
      <c r="AU13" s="35">
        <f>SUM(AU4:AU12)</f>
        <v>0</v>
      </c>
      <c r="AW13" s="12"/>
      <c r="AX13" s="11"/>
      <c r="AY13" s="11"/>
      <c r="AZ13" s="13">
        <f>SUM(AZ4:AZ12)</f>
        <v>1710</v>
      </c>
      <c r="BA13" s="13">
        <f>SUM(BA4:BA12)</f>
        <v>110</v>
      </c>
      <c r="BB13" s="13">
        <f>SUM(BB4:BB12)</f>
        <v>0</v>
      </c>
      <c r="BC13" s="13">
        <f>SUM(BC4:BC12)</f>
        <v>0</v>
      </c>
      <c r="BD13" s="13">
        <f>SUM(BD4:BD12)</f>
        <v>1600</v>
      </c>
      <c r="BE13" s="11"/>
      <c r="BF13" s="59">
        <f>SUM(BF4:BF12)</f>
        <v>101696.20000000001</v>
      </c>
      <c r="BG13" s="35">
        <f>SUM(BG4:BG12)</f>
        <v>0</v>
      </c>
      <c r="BI13" s="12"/>
      <c r="BJ13" s="11"/>
      <c r="BK13" s="11"/>
      <c r="BL13" s="13">
        <f>SUM(BL4:BL12)</f>
        <v>4888</v>
      </c>
      <c r="BM13" s="13">
        <f>SUM(BM4:BM12)</f>
        <v>340</v>
      </c>
      <c r="BN13" s="13">
        <f>SUM(BN4:BN12)</f>
        <v>0</v>
      </c>
      <c r="BO13" s="13">
        <f>SUM(BO4:BO12)</f>
        <v>0</v>
      </c>
      <c r="BP13" s="13">
        <f>SUM(BP4:BP12)</f>
        <v>4548</v>
      </c>
      <c r="BQ13" s="11"/>
      <c r="BR13" s="59">
        <f>SUM(BR4:BR12)</f>
        <v>291545.21000000002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2751+4484+3569</f>
        <v>10804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4528+3002+1</f>
        <v>7531</v>
      </c>
      <c r="W14" s="29">
        <f>+V22</f>
        <v>-0.82499999999708962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2440+5674-86</f>
        <v>8028</v>
      </c>
      <c r="AI14" s="29">
        <f>+AH22</f>
        <v>0.46749999999883585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1494+2196+4377+2837+396+19-5</f>
        <v>11314</v>
      </c>
      <c r="AU14" s="29">
        <f>+AT22</f>
        <v>0.60000000000582077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>
        <f>1914+1144+1243+1220+9122+2135+396+2044</f>
        <v>19218</v>
      </c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>+J14+V14+AH14+AT14+BF14</f>
        <v>56895</v>
      </c>
      <c r="BS14" s="29">
        <f>+BR22</f>
        <v>1.2100000000209548</v>
      </c>
      <c r="BU14" s="1">
        <f>BP13/40</f>
        <v>113.7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509+830+661</f>
        <v>2000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838+555</f>
        <v>1393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451</f>
        <v>451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f>276+406+810</f>
        <v>1492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>
        <f>1689+395+73+378</f>
        <v>2535</v>
      </c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ref="BR15:BR21" si="24">+J15+V15+AH15+AT15+BF15</f>
        <v>7871</v>
      </c>
    </row>
    <row r="16" spans="1:73" ht="33" customHeight="1" x14ac:dyDescent="0.45">
      <c r="A16" s="103"/>
      <c r="B16" s="104"/>
      <c r="C16" s="104"/>
      <c r="D16" s="109"/>
      <c r="E16" s="105">
        <f>D16-C16</f>
        <v>0</v>
      </c>
      <c r="F16" s="224" t="s">
        <v>44</v>
      </c>
      <c r="G16" s="225"/>
      <c r="H16" s="225"/>
      <c r="I16" s="51">
        <f>+J16/J13</f>
        <v>7.9969540910205375E-2</v>
      </c>
      <c r="J16" s="49">
        <f>1164+1898+1510</f>
        <v>4572</v>
      </c>
      <c r="K16" s="168"/>
      <c r="M16" s="103"/>
      <c r="N16" s="108"/>
      <c r="O16" s="109"/>
      <c r="P16" s="109"/>
      <c r="Q16" s="105">
        <f>P16-O16</f>
        <v>0</v>
      </c>
      <c r="R16" s="224" t="s">
        <v>44</v>
      </c>
      <c r="S16" s="225"/>
      <c r="T16" s="225"/>
      <c r="U16" s="51">
        <f>+V16/V13</f>
        <v>7.99805757873676E-2</v>
      </c>
      <c r="V16" s="49">
        <f>1917+1270</f>
        <v>3187</v>
      </c>
      <c r="W16" s="165"/>
      <c r="Y16" s="95"/>
      <c r="Z16" s="90"/>
      <c r="AA16" s="118"/>
      <c r="AB16" s="119"/>
      <c r="AC16" s="105">
        <f>AB16-AA16</f>
        <v>0</v>
      </c>
      <c r="AD16" s="224" t="s">
        <v>44</v>
      </c>
      <c r="AE16" s="225"/>
      <c r="AF16" s="225"/>
      <c r="AG16" s="51">
        <f>+AH16/AH13</f>
        <v>0.17460618660711055</v>
      </c>
      <c r="AH16" s="49">
        <f>1807+4503</f>
        <v>6310</v>
      </c>
      <c r="AI16" s="30"/>
      <c r="AK16" s="95"/>
      <c r="AL16" s="90"/>
      <c r="AM16" s="109"/>
      <c r="AN16" s="114"/>
      <c r="AO16" s="105">
        <f>AN16-AM16</f>
        <v>0</v>
      </c>
      <c r="AP16" s="224" t="s">
        <v>44</v>
      </c>
      <c r="AQ16" s="225"/>
      <c r="AR16" s="225"/>
      <c r="AS16" s="51">
        <f>+AT16/AT13</f>
        <v>0.1502868149778803</v>
      </c>
      <c r="AT16" s="49">
        <f>1107+1627+3242+2251+293</f>
        <v>8520</v>
      </c>
      <c r="AU16" s="30"/>
      <c r="AW16" s="95"/>
      <c r="AX16" s="90"/>
      <c r="AY16" s="109"/>
      <c r="AZ16" s="114"/>
      <c r="BA16" s="105">
        <f>AZ16-AY16</f>
        <v>0</v>
      </c>
      <c r="BB16" s="224" t="s">
        <v>44</v>
      </c>
      <c r="BC16" s="225"/>
      <c r="BD16" s="225"/>
      <c r="BE16" s="51">
        <f>+BF16/BF13</f>
        <v>0.12298394630281169</v>
      </c>
      <c r="BF16" s="49">
        <f>1823+1089+1184+1162+3861+1581+293+1514</f>
        <v>12507</v>
      </c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0.1203792715373372</v>
      </c>
      <c r="BR16" s="53">
        <f>+J16+V16+AH16+AT16+BF16</f>
        <v>35096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ref="E17:E22" si="25">D17-C17</f>
        <v>0</v>
      </c>
      <c r="F17" s="224" t="s">
        <v>20</v>
      </c>
      <c r="G17" s="225"/>
      <c r="H17" s="225"/>
      <c r="I17" s="229"/>
      <c r="J17" s="48">
        <f>78+127+101</f>
        <v>306</v>
      </c>
      <c r="M17" s="95"/>
      <c r="N17" s="90"/>
      <c r="O17" s="90"/>
      <c r="P17" s="91"/>
      <c r="Q17" s="105">
        <f t="shared" ref="Q17:Q22" si="26">P17-O17</f>
        <v>0</v>
      </c>
      <c r="R17" s="224" t="s">
        <v>20</v>
      </c>
      <c r="S17" s="225"/>
      <c r="T17" s="225"/>
      <c r="U17" s="229"/>
      <c r="V17" s="48">
        <f>128+85</f>
        <v>213</v>
      </c>
      <c r="W17" s="178"/>
      <c r="Y17" s="95"/>
      <c r="Z17" s="90"/>
      <c r="AA17" s="108"/>
      <c r="AB17" s="115"/>
      <c r="AC17" s="105">
        <f t="shared" ref="AC17:AC22" si="27">AB17-AA17</f>
        <v>0</v>
      </c>
      <c r="AD17" s="224" t="s">
        <v>20</v>
      </c>
      <c r="AE17" s="225"/>
      <c r="AF17" s="225"/>
      <c r="AG17" s="229"/>
      <c r="AH17" s="48">
        <f>65+155</f>
        <v>220</v>
      </c>
      <c r="AI17" s="29"/>
      <c r="AK17" s="95"/>
      <c r="AL17" s="90"/>
      <c r="AM17" s="90"/>
      <c r="AN17" s="97"/>
      <c r="AO17" s="105">
        <f t="shared" ref="AO17:AO22" si="28">AN17-AM17</f>
        <v>0</v>
      </c>
      <c r="AP17" s="224" t="s">
        <v>20</v>
      </c>
      <c r="AQ17" s="225"/>
      <c r="AR17" s="225"/>
      <c r="AS17" s="229"/>
      <c r="AT17" s="48">
        <f>40+58+117+77+10</f>
        <v>302</v>
      </c>
      <c r="AW17" s="95"/>
      <c r="AX17" s="90"/>
      <c r="AY17" s="108"/>
      <c r="AZ17" s="115"/>
      <c r="BA17" s="105">
        <f t="shared" ref="BA17:BA22" si="29">AZ17-AY17</f>
        <v>0</v>
      </c>
      <c r="BB17" s="224" t="s">
        <v>20</v>
      </c>
      <c r="BC17" s="225"/>
      <c r="BD17" s="225"/>
      <c r="BE17" s="229"/>
      <c r="BF17" s="48">
        <f>51+30+33+32+259+57+10+54</f>
        <v>526</v>
      </c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4"/>
        <v>1567</v>
      </c>
    </row>
    <row r="18" spans="1:70" ht="33" customHeight="1" x14ac:dyDescent="0.45">
      <c r="A18" s="103"/>
      <c r="B18" s="144"/>
      <c r="C18" s="110"/>
      <c r="D18" s="110"/>
      <c r="E18" s="105">
        <f t="shared" si="25"/>
        <v>0</v>
      </c>
      <c r="F18" s="224" t="s">
        <v>23</v>
      </c>
      <c r="G18" s="225"/>
      <c r="H18" s="225"/>
      <c r="I18" s="229"/>
      <c r="J18" s="48">
        <f>+J35</f>
        <v>32090</v>
      </c>
      <c r="M18" s="95"/>
      <c r="N18" s="90"/>
      <c r="O18" s="90"/>
      <c r="P18" s="91"/>
      <c r="Q18" s="105">
        <f t="shared" si="26"/>
        <v>0</v>
      </c>
      <c r="R18" s="224" t="s">
        <v>23</v>
      </c>
      <c r="S18" s="225"/>
      <c r="T18" s="225"/>
      <c r="U18" s="229"/>
      <c r="V18" s="48">
        <f>+V35</f>
        <v>36670</v>
      </c>
      <c r="W18" s="178"/>
      <c r="Y18" s="95"/>
      <c r="Z18" s="90"/>
      <c r="AA18" s="108"/>
      <c r="AB18" s="115"/>
      <c r="AC18" s="105">
        <f t="shared" si="27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8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9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4"/>
        <v>68760</v>
      </c>
    </row>
    <row r="19" spans="1:70" ht="33" customHeight="1" x14ac:dyDescent="0.45">
      <c r="A19" s="103"/>
      <c r="B19" s="104"/>
      <c r="C19" s="108"/>
      <c r="D19" s="110"/>
      <c r="E19" s="105">
        <f t="shared" si="25"/>
        <v>0</v>
      </c>
      <c r="F19" s="224" t="s">
        <v>11</v>
      </c>
      <c r="G19" s="225"/>
      <c r="H19" s="225"/>
      <c r="I19" s="229"/>
      <c r="J19" s="48">
        <f>+C35</f>
        <v>29619</v>
      </c>
      <c r="M19" s="95"/>
      <c r="N19" s="90"/>
      <c r="O19" s="90"/>
      <c r="P19" s="91"/>
      <c r="Q19" s="105">
        <f t="shared" si="26"/>
        <v>0</v>
      </c>
      <c r="R19" s="224" t="s">
        <v>11</v>
      </c>
      <c r="S19" s="225"/>
      <c r="T19" s="225"/>
      <c r="U19" s="229"/>
      <c r="V19" s="48">
        <f>+O35</f>
        <v>6342</v>
      </c>
      <c r="Y19" s="95"/>
      <c r="Z19" s="90"/>
      <c r="AA19" s="108"/>
      <c r="AB19" s="115"/>
      <c r="AC19" s="105">
        <f t="shared" si="27"/>
        <v>0</v>
      </c>
      <c r="AD19" s="224" t="s">
        <v>11</v>
      </c>
      <c r="AE19" s="225"/>
      <c r="AF19" s="225"/>
      <c r="AG19" s="229"/>
      <c r="AH19" s="48">
        <f>+AA35</f>
        <v>37625</v>
      </c>
      <c r="AK19" s="95"/>
      <c r="AL19" s="90"/>
      <c r="AM19" s="90"/>
      <c r="AN19" s="97"/>
      <c r="AO19" s="105">
        <f t="shared" si="28"/>
        <v>0</v>
      </c>
      <c r="AP19" s="224" t="s">
        <v>11</v>
      </c>
      <c r="AQ19" s="225"/>
      <c r="AR19" s="225"/>
      <c r="AS19" s="229"/>
      <c r="AT19" s="48">
        <f>+AM35</f>
        <v>58295</v>
      </c>
      <c r="AW19" s="95"/>
      <c r="AX19" s="90"/>
      <c r="AY19" s="108"/>
      <c r="AZ19" s="115"/>
      <c r="BA19" s="105">
        <f t="shared" si="29"/>
        <v>0</v>
      </c>
      <c r="BB19" s="224" t="s">
        <v>11</v>
      </c>
      <c r="BC19" s="225"/>
      <c r="BD19" s="225"/>
      <c r="BE19" s="229"/>
      <c r="BF19" s="48">
        <f>+AY35</f>
        <v>106398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4"/>
        <v>238279</v>
      </c>
    </row>
    <row r="20" spans="1:70" ht="33" customHeight="1" x14ac:dyDescent="0.5">
      <c r="A20" s="103"/>
      <c r="B20" s="104"/>
      <c r="C20" s="108"/>
      <c r="D20" s="112"/>
      <c r="E20" s="105">
        <f t="shared" si="25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6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7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8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9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4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5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6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7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8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9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4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5"/>
        <v>0</v>
      </c>
      <c r="F22" s="233" t="s">
        <v>24</v>
      </c>
      <c r="G22" s="234"/>
      <c r="H22" s="234"/>
      <c r="I22" s="235"/>
      <c r="J22" s="69">
        <f>+J13-J15-J16-J19+J17+J14-J18-J20-J21</f>
        <v>0.76749999999447027</v>
      </c>
      <c r="K22" s="145"/>
      <c r="M22" s="95"/>
      <c r="N22" s="90"/>
      <c r="O22" s="90"/>
      <c r="P22" s="91"/>
      <c r="Q22" s="105">
        <f t="shared" si="26"/>
        <v>0</v>
      </c>
      <c r="R22" s="233" t="s">
        <v>24</v>
      </c>
      <c r="S22" s="234"/>
      <c r="T22" s="234"/>
      <c r="U22" s="235"/>
      <c r="V22" s="69">
        <f>+V13-V15-V16-V19+V17+V14-V18-V20-V21</f>
        <v>-0.82499999999708962</v>
      </c>
      <c r="W22" s="145"/>
      <c r="X22" s="145"/>
      <c r="Y22" s="95"/>
      <c r="Z22" s="95"/>
      <c r="AA22" s="103"/>
      <c r="AB22" s="111"/>
      <c r="AC22" s="105">
        <f t="shared" si="27"/>
        <v>0</v>
      </c>
      <c r="AD22" s="233" t="s">
        <v>24</v>
      </c>
      <c r="AE22" s="234"/>
      <c r="AF22" s="234"/>
      <c r="AG22" s="235"/>
      <c r="AH22" s="69">
        <f>+AH13-AH15-AH16-AH19+AH17+AH14-AH18-AH20-AH21</f>
        <v>0.46749999999883585</v>
      </c>
      <c r="AK22" s="95"/>
      <c r="AL22" s="95"/>
      <c r="AM22" s="95"/>
      <c r="AN22" s="96"/>
      <c r="AO22" s="105">
        <f t="shared" si="28"/>
        <v>0</v>
      </c>
      <c r="AP22" s="233" t="s">
        <v>24</v>
      </c>
      <c r="AQ22" s="234"/>
      <c r="AR22" s="234"/>
      <c r="AS22" s="235"/>
      <c r="AT22" s="69">
        <f>+AT13-AT15-AT16-AT19+AT17+AT14-AT18-AT20-AT21</f>
        <v>0.60000000000582077</v>
      </c>
      <c r="AW22" s="95"/>
      <c r="AX22" s="95"/>
      <c r="AY22" s="103"/>
      <c r="AZ22" s="111"/>
      <c r="BA22" s="105">
        <f t="shared" si="29"/>
        <v>0</v>
      </c>
      <c r="BB22" s="233" t="s">
        <v>24</v>
      </c>
      <c r="BC22" s="234"/>
      <c r="BD22" s="234"/>
      <c r="BE22" s="235"/>
      <c r="BF22" s="69">
        <f>+BF13-BF15-BF16-BF19+BF17+BF14-BF18-BF20</f>
        <v>0.20000000001164153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1.2100000000209548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261" t="s">
        <v>55</v>
      </c>
      <c r="BO23" s="261"/>
      <c r="BP23" s="261"/>
      <c r="BQ23" s="262"/>
      <c r="BR23" s="197">
        <f>G35+S35+BV23+AE35+AQ35+BC35</f>
        <v>12410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78</v>
      </c>
      <c r="C26" s="263">
        <v>23347</v>
      </c>
      <c r="D26" s="264"/>
      <c r="E26" s="265" t="s">
        <v>81</v>
      </c>
      <c r="F26" s="266"/>
      <c r="G26" s="146">
        <f>70+70+130</f>
        <v>270</v>
      </c>
      <c r="H26" s="267" t="s">
        <v>18</v>
      </c>
      <c r="I26" s="268"/>
      <c r="J26" s="47">
        <f>25548-11760+G35</f>
        <v>25818</v>
      </c>
      <c r="M26" s="175" t="s">
        <v>59</v>
      </c>
      <c r="N26" s="158" t="s">
        <v>82</v>
      </c>
      <c r="O26" s="269">
        <v>5401</v>
      </c>
      <c r="P26" s="270"/>
      <c r="Q26" s="271" t="s">
        <v>81</v>
      </c>
      <c r="R26" s="272"/>
      <c r="S26" s="146">
        <f>100+130</f>
        <v>230</v>
      </c>
      <c r="T26" s="267" t="s">
        <v>18</v>
      </c>
      <c r="U26" s="268"/>
      <c r="V26" s="47">
        <f>26120+S35+8500</f>
        <v>35000</v>
      </c>
      <c r="Y26" s="180" t="s">
        <v>67</v>
      </c>
      <c r="Z26" s="148" t="s">
        <v>86</v>
      </c>
      <c r="AA26" s="259">
        <v>8233</v>
      </c>
      <c r="AB26" s="273"/>
      <c r="AC26" s="287"/>
      <c r="AD26" s="288"/>
      <c r="AE26" s="147"/>
      <c r="AF26" s="267" t="s">
        <v>18</v>
      </c>
      <c r="AG26" s="268"/>
      <c r="AH26" s="47"/>
      <c r="AK26" s="176" t="s">
        <v>67</v>
      </c>
      <c r="AL26" s="162" t="s">
        <v>88</v>
      </c>
      <c r="AM26" s="259">
        <v>5099</v>
      </c>
      <c r="AN26" s="273"/>
      <c r="AO26" s="289"/>
      <c r="AP26" s="290"/>
      <c r="AQ26" s="163"/>
      <c r="AR26" s="280" t="s">
        <v>18</v>
      </c>
      <c r="AS26" s="281"/>
      <c r="AT26" s="164"/>
      <c r="AW26" s="102" t="s">
        <v>67</v>
      </c>
      <c r="AX26" s="78" t="s">
        <v>93</v>
      </c>
      <c r="AY26" s="283">
        <v>10271</v>
      </c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 t="s">
        <v>79</v>
      </c>
      <c r="B27" s="182" t="s">
        <v>80</v>
      </c>
      <c r="C27" s="263">
        <v>6272</v>
      </c>
      <c r="D27" s="264"/>
      <c r="E27" s="265" t="s">
        <v>101</v>
      </c>
      <c r="F27" s="266"/>
      <c r="G27" s="146">
        <v>11760</v>
      </c>
      <c r="H27" s="285" t="s">
        <v>54</v>
      </c>
      <c r="I27" s="286"/>
      <c r="J27" s="47">
        <f>6272</f>
        <v>6272</v>
      </c>
      <c r="M27" s="175" t="s">
        <v>59</v>
      </c>
      <c r="N27" s="158" t="s">
        <v>83</v>
      </c>
      <c r="O27" s="269">
        <v>941</v>
      </c>
      <c r="P27" s="270"/>
      <c r="Q27" s="271" t="s">
        <v>84</v>
      </c>
      <c r="R27" s="272"/>
      <c r="S27" s="146">
        <v>150</v>
      </c>
      <c r="T27" s="282" t="s">
        <v>53</v>
      </c>
      <c r="U27" s="267"/>
      <c r="V27" s="47">
        <f>10170-8500</f>
        <v>1670</v>
      </c>
      <c r="Y27" s="180" t="s">
        <v>67</v>
      </c>
      <c r="Z27" s="148" t="s">
        <v>85</v>
      </c>
      <c r="AA27" s="283">
        <v>29392</v>
      </c>
      <c r="AB27" s="284"/>
      <c r="AC27" s="287"/>
      <c r="AD27" s="288"/>
      <c r="AE27" s="147"/>
      <c r="AF27" s="267" t="s">
        <v>53</v>
      </c>
      <c r="AG27" s="268"/>
      <c r="AH27" s="47"/>
      <c r="AK27" s="176" t="s">
        <v>67</v>
      </c>
      <c r="AL27" s="162" t="s">
        <v>89</v>
      </c>
      <c r="AM27" s="283">
        <v>11844</v>
      </c>
      <c r="AN27" s="284"/>
      <c r="AO27" s="299"/>
      <c r="AP27" s="290"/>
      <c r="AQ27" s="163"/>
      <c r="AR27" s="282" t="s">
        <v>53</v>
      </c>
      <c r="AS27" s="267"/>
      <c r="AT27" s="47"/>
      <c r="AW27" s="102" t="s">
        <v>67</v>
      </c>
      <c r="AX27" s="78" t="s">
        <v>94</v>
      </c>
      <c r="AY27" s="284">
        <v>6138</v>
      </c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 t="s">
        <v>67</v>
      </c>
      <c r="AL28" s="162" t="s">
        <v>90</v>
      </c>
      <c r="AM28" s="283">
        <v>23537</v>
      </c>
      <c r="AN28" s="284"/>
      <c r="AO28" s="292"/>
      <c r="AP28" s="293"/>
      <c r="AQ28" s="86"/>
      <c r="AR28" s="267"/>
      <c r="AS28" s="268"/>
      <c r="AT28" s="47"/>
      <c r="AW28" s="102" t="s">
        <v>67</v>
      </c>
      <c r="AX28" s="78" t="s">
        <v>95</v>
      </c>
      <c r="AY28" s="284">
        <v>6670</v>
      </c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 t="s">
        <v>67</v>
      </c>
      <c r="AL29" s="162" t="s">
        <v>91</v>
      </c>
      <c r="AM29" s="283">
        <v>15676</v>
      </c>
      <c r="AN29" s="284"/>
      <c r="AO29" s="292"/>
      <c r="AP29" s="293"/>
      <c r="AQ29" s="86"/>
      <c r="AR29" s="267"/>
      <c r="AS29" s="268"/>
      <c r="AT29" s="47"/>
      <c r="AW29" s="102" t="s">
        <v>67</v>
      </c>
      <c r="AX29" s="78" t="s">
        <v>96</v>
      </c>
      <c r="AY29" s="284">
        <v>6547</v>
      </c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 t="s">
        <v>67</v>
      </c>
      <c r="AL30" s="199" t="s">
        <v>92</v>
      </c>
      <c r="AM30" s="283">
        <v>2139</v>
      </c>
      <c r="AN30" s="284"/>
      <c r="AO30" s="292"/>
      <c r="AP30" s="293"/>
      <c r="AQ30" s="86"/>
      <c r="AR30" s="267"/>
      <c r="AS30" s="268"/>
      <c r="AT30" s="47"/>
      <c r="AW30" s="102" t="s">
        <v>67</v>
      </c>
      <c r="AX30" s="78" t="s">
        <v>97</v>
      </c>
      <c r="AY30" s="284">
        <v>52096</v>
      </c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 t="s">
        <v>67</v>
      </c>
      <c r="AX31" s="78" t="s">
        <v>98</v>
      </c>
      <c r="AY31" s="284">
        <v>11515</v>
      </c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 t="s">
        <v>67</v>
      </c>
      <c r="AX32" s="78" t="s">
        <v>99</v>
      </c>
      <c r="AY32" s="283">
        <v>2139</v>
      </c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 t="s">
        <v>67</v>
      </c>
      <c r="AX33" s="78" t="s">
        <v>100</v>
      </c>
      <c r="AY33" s="283">
        <v>11022</v>
      </c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29619</v>
      </c>
      <c r="D35" s="315"/>
      <c r="E35" s="316" t="s">
        <v>21</v>
      </c>
      <c r="F35" s="317"/>
      <c r="G35" s="87">
        <f>SUM(G26:G34)</f>
        <v>12030</v>
      </c>
      <c r="H35" s="318" t="s">
        <v>17</v>
      </c>
      <c r="I35" s="319"/>
      <c r="J35" s="77">
        <f>SUM(J26:J34)</f>
        <v>32090</v>
      </c>
      <c r="M35" s="177"/>
      <c r="N35" s="76" t="s">
        <v>16</v>
      </c>
      <c r="O35" s="314">
        <f>SUM(O26:O34)</f>
        <v>6342</v>
      </c>
      <c r="P35" s="315"/>
      <c r="Q35" s="316" t="s">
        <v>21</v>
      </c>
      <c r="R35" s="317"/>
      <c r="S35" s="87">
        <f>SUM(S26:S34)</f>
        <v>380</v>
      </c>
      <c r="T35" s="318" t="s">
        <v>17</v>
      </c>
      <c r="U35" s="319"/>
      <c r="V35" s="77">
        <f>SUM(V26:V34)</f>
        <v>36670</v>
      </c>
      <c r="Y35" s="75"/>
      <c r="Z35" s="76" t="s">
        <v>16</v>
      </c>
      <c r="AA35" s="314">
        <f>SUM(AA26:AB34)</f>
        <v>37625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58295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106398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143408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U38"/>
  <sheetViews>
    <sheetView zoomScale="85" zoomScaleNormal="85" zoomScaleSheetLayoutView="100" workbookViewId="0">
      <selection activeCell="J3" sqref="J3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08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13.58203125" style="1" customWidth="1"/>
    <col min="70" max="70" width="16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109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03.10.2026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03.10.2026</v>
      </c>
      <c r="AK2" s="94"/>
      <c r="AL2" s="93" t="s">
        <v>87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03.10.2026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03.10.2026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03.10.2026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134</v>
      </c>
      <c r="E4" s="129"/>
      <c r="F4" s="130"/>
      <c r="G4" s="130"/>
      <c r="H4" s="131">
        <f t="shared" ref="H4:H12" si="0">+D4-E4-F4-G4</f>
        <v>134</v>
      </c>
      <c r="I4" s="132">
        <v>52.462499999999999</v>
      </c>
      <c r="J4" s="121">
        <f t="shared" ref="J4:J12" si="1">+H4*I4</f>
        <v>7029.9749999999995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17</v>
      </c>
      <c r="Q4" s="129"/>
      <c r="R4" s="130"/>
      <c r="S4" s="130"/>
      <c r="T4" s="131">
        <f t="shared" ref="T4:T12" si="3">+P4-Q4-R4-S4</f>
        <v>17</v>
      </c>
      <c r="U4" s="132">
        <v>52.462499999999999</v>
      </c>
      <c r="V4" s="150">
        <f t="shared" ref="V4:V12" si="4">+T4*U4</f>
        <v>891.86249999999995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280</v>
      </c>
      <c r="AC4" s="185">
        <v>41</v>
      </c>
      <c r="AD4" s="186"/>
      <c r="AE4" s="186"/>
      <c r="AF4" s="187">
        <f t="shared" ref="AF4:AF12" si="6">+AB4-AC4-AD4-AE4</f>
        <v>239</v>
      </c>
      <c r="AG4" s="67">
        <v>52.462499999999999</v>
      </c>
      <c r="AH4" s="56">
        <f t="shared" ref="AH4:AH12" si="7">+AF4*AG4</f>
        <v>12538.5375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L12" si="15">+D4+P4+AB4+AN4+AZ4</f>
        <v>431</v>
      </c>
      <c r="BM4" s="36">
        <f t="shared" ref="BM4:BM12" si="16">+E4+Q4+AC4+AO4+BA4</f>
        <v>41</v>
      </c>
      <c r="BN4" s="38"/>
      <c r="BO4" s="36">
        <f t="shared" ref="BO4:BO12" si="17">+G4+S4+AE4+AQ4+BC4</f>
        <v>0</v>
      </c>
      <c r="BP4" s="194">
        <f t="shared" ref="BP4:BP12" si="18">+BL4-BM4-BN4-BO4</f>
        <v>390</v>
      </c>
      <c r="BQ4" s="67">
        <v>52.462499999999999</v>
      </c>
      <c r="BR4" s="56">
        <f t="shared" ref="BR4:BR12" si="19">+BP4*BQ4</f>
        <v>20460.375</v>
      </c>
      <c r="BS4" s="34">
        <f t="shared" ref="BS4:BS12" si="20">+BO4*BQ4</f>
        <v>0</v>
      </c>
      <c r="BT4" s="1">
        <f t="shared" ref="BT4:BT11" si="21">+BP4/40</f>
        <v>9.75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208</v>
      </c>
      <c r="E5" s="134">
        <v>112</v>
      </c>
      <c r="F5" s="135"/>
      <c r="G5" s="135"/>
      <c r="H5" s="131">
        <f t="shared" si="0"/>
        <v>96</v>
      </c>
      <c r="I5" s="132">
        <v>52.462499999999999</v>
      </c>
      <c r="J5" s="123">
        <f t="shared" si="1"/>
        <v>5036.3999999999996</v>
      </c>
      <c r="K5" s="34">
        <f t="shared" si="2"/>
        <v>0</v>
      </c>
      <c r="M5" s="221"/>
      <c r="N5" s="45" t="s">
        <v>26</v>
      </c>
      <c r="O5" s="71">
        <v>70</v>
      </c>
      <c r="P5" s="128">
        <v>47</v>
      </c>
      <c r="Q5" s="134"/>
      <c r="R5" s="135"/>
      <c r="S5" s="135"/>
      <c r="T5" s="131">
        <f t="shared" si="3"/>
        <v>47</v>
      </c>
      <c r="U5" s="132">
        <v>52.462499999999999</v>
      </c>
      <c r="V5" s="151">
        <f t="shared" si="4"/>
        <v>2465.7374999999997</v>
      </c>
      <c r="W5" s="34">
        <f t="shared" si="5"/>
        <v>0</v>
      </c>
      <c r="Y5" s="221"/>
      <c r="Z5" s="45" t="s">
        <v>26</v>
      </c>
      <c r="AA5" s="71">
        <v>70</v>
      </c>
      <c r="AB5" s="188">
        <v>200</v>
      </c>
      <c r="AC5" s="185">
        <v>40</v>
      </c>
      <c r="AD5" s="189"/>
      <c r="AE5" s="189"/>
      <c r="AF5" s="187">
        <f t="shared" si="6"/>
        <v>160</v>
      </c>
      <c r="AG5" s="67">
        <v>52.462499999999999</v>
      </c>
      <c r="AH5" s="56">
        <f t="shared" si="7"/>
        <v>8394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455</v>
      </c>
      <c r="BM5" s="36">
        <f t="shared" si="16"/>
        <v>152</v>
      </c>
      <c r="BN5" s="31"/>
      <c r="BO5" s="36">
        <f t="shared" si="17"/>
        <v>0</v>
      </c>
      <c r="BP5" s="194">
        <f t="shared" si="18"/>
        <v>303</v>
      </c>
      <c r="BQ5" s="67">
        <v>52.462499999999999</v>
      </c>
      <c r="BR5" s="57">
        <f t="shared" si="19"/>
        <v>15896.137499999999</v>
      </c>
      <c r="BS5" s="34">
        <f t="shared" si="20"/>
        <v>0</v>
      </c>
      <c r="BT5" s="1">
        <f t="shared" si="21"/>
        <v>7.5750000000000002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262</v>
      </c>
      <c r="E6" s="134">
        <v>120</v>
      </c>
      <c r="F6" s="135"/>
      <c r="G6" s="135"/>
      <c r="H6" s="131">
        <f t="shared" si="0"/>
        <v>142</v>
      </c>
      <c r="I6" s="132">
        <v>52.462499999999999</v>
      </c>
      <c r="J6" s="123">
        <f t="shared" si="1"/>
        <v>7449.6750000000002</v>
      </c>
      <c r="K6" s="34">
        <f t="shared" si="2"/>
        <v>0</v>
      </c>
      <c r="M6" s="221"/>
      <c r="N6" s="45" t="s">
        <v>27</v>
      </c>
      <c r="O6" s="71">
        <v>70</v>
      </c>
      <c r="P6" s="133">
        <v>64</v>
      </c>
      <c r="Q6" s="134"/>
      <c r="R6" s="135"/>
      <c r="S6" s="135"/>
      <c r="T6" s="131">
        <f t="shared" si="3"/>
        <v>64</v>
      </c>
      <c r="U6" s="132">
        <v>52.462499999999999</v>
      </c>
      <c r="V6" s="152">
        <f t="shared" si="4"/>
        <v>3357.6</v>
      </c>
      <c r="W6" s="34">
        <f t="shared" si="5"/>
        <v>0</v>
      </c>
      <c r="Y6" s="221"/>
      <c r="Z6" s="45" t="s">
        <v>27</v>
      </c>
      <c r="AA6" s="71">
        <v>70</v>
      </c>
      <c r="AB6" s="188">
        <v>320</v>
      </c>
      <c r="AC6" s="185"/>
      <c r="AD6" s="189"/>
      <c r="AE6" s="189"/>
      <c r="AF6" s="187">
        <f t="shared" si="6"/>
        <v>320</v>
      </c>
      <c r="AG6" s="67">
        <v>52.462499999999999</v>
      </c>
      <c r="AH6" s="56">
        <f t="shared" si="7"/>
        <v>16788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646</v>
      </c>
      <c r="BM6" s="36">
        <f t="shared" si="16"/>
        <v>120</v>
      </c>
      <c r="BN6" s="31"/>
      <c r="BO6" s="36">
        <f t="shared" si="17"/>
        <v>0</v>
      </c>
      <c r="BP6" s="194">
        <f t="shared" si="18"/>
        <v>526</v>
      </c>
      <c r="BQ6" s="67">
        <v>52.462499999999999</v>
      </c>
      <c r="BR6" s="57">
        <f t="shared" si="19"/>
        <v>27595.274999999998</v>
      </c>
      <c r="BS6" s="34">
        <f t="shared" si="20"/>
        <v>0</v>
      </c>
      <c r="BT6" s="1">
        <f t="shared" si="21"/>
        <v>13.15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224</v>
      </c>
      <c r="E7" s="137">
        <v>6</v>
      </c>
      <c r="F7" s="138"/>
      <c r="G7" s="159"/>
      <c r="H7" s="131">
        <f t="shared" si="0"/>
        <v>218</v>
      </c>
      <c r="I7" s="132">
        <v>72.64</v>
      </c>
      <c r="J7" s="125">
        <f t="shared" si="1"/>
        <v>15835.52</v>
      </c>
      <c r="K7" s="34">
        <f t="shared" si="2"/>
        <v>0</v>
      </c>
      <c r="M7" s="221"/>
      <c r="N7" s="46" t="s">
        <v>28</v>
      </c>
      <c r="O7" s="72">
        <v>120</v>
      </c>
      <c r="P7" s="136">
        <v>109</v>
      </c>
      <c r="Q7" s="137"/>
      <c r="R7" s="138"/>
      <c r="S7" s="138"/>
      <c r="T7" s="131">
        <f t="shared" si="3"/>
        <v>109</v>
      </c>
      <c r="U7" s="132">
        <v>72.64</v>
      </c>
      <c r="V7" s="152">
        <f t="shared" si="4"/>
        <v>7917.76</v>
      </c>
      <c r="W7" s="34">
        <f t="shared" si="5"/>
        <v>0</v>
      </c>
      <c r="Y7" s="221"/>
      <c r="Z7" s="46" t="s">
        <v>28</v>
      </c>
      <c r="AA7" s="72">
        <v>120</v>
      </c>
      <c r="AB7" s="190">
        <v>320</v>
      </c>
      <c r="AC7" s="185">
        <v>40</v>
      </c>
      <c r="AD7" s="191"/>
      <c r="AE7" s="191"/>
      <c r="AF7" s="187">
        <f t="shared" si="6"/>
        <v>280</v>
      </c>
      <c r="AG7" s="67">
        <v>72.64</v>
      </c>
      <c r="AH7" s="56">
        <f t="shared" si="7"/>
        <v>20339.2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653</v>
      </c>
      <c r="BM7" s="36">
        <f t="shared" si="16"/>
        <v>46</v>
      </c>
      <c r="BN7" s="43"/>
      <c r="BO7" s="36">
        <f t="shared" si="17"/>
        <v>0</v>
      </c>
      <c r="BP7" s="194">
        <f t="shared" si="18"/>
        <v>607</v>
      </c>
      <c r="BQ7" s="67">
        <v>72.64</v>
      </c>
      <c r="BR7" s="58">
        <f t="shared" si="19"/>
        <v>44092.480000000003</v>
      </c>
      <c r="BS7" s="34">
        <f t="shared" si="20"/>
        <v>0</v>
      </c>
      <c r="BT7" s="1">
        <f t="shared" si="21"/>
        <v>15.175000000000001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149</v>
      </c>
      <c r="E8" s="140">
        <v>18</v>
      </c>
      <c r="F8" s="141"/>
      <c r="G8" s="141"/>
      <c r="H8" s="131">
        <f t="shared" si="0"/>
        <v>131</v>
      </c>
      <c r="I8" s="132">
        <v>72.64</v>
      </c>
      <c r="J8" s="125">
        <f t="shared" si="1"/>
        <v>9515.84</v>
      </c>
      <c r="K8" s="34">
        <f t="shared" si="2"/>
        <v>0</v>
      </c>
      <c r="M8" s="221"/>
      <c r="N8" s="63" t="s">
        <v>29</v>
      </c>
      <c r="O8" s="73">
        <v>120</v>
      </c>
      <c r="P8" s="139">
        <v>104</v>
      </c>
      <c r="Q8" s="140">
        <v>40</v>
      </c>
      <c r="R8" s="141"/>
      <c r="S8" s="141"/>
      <c r="T8" s="131">
        <f t="shared" si="3"/>
        <v>64</v>
      </c>
      <c r="U8" s="132">
        <v>72.64</v>
      </c>
      <c r="V8" s="152">
        <f t="shared" si="4"/>
        <v>4648.96</v>
      </c>
      <c r="W8" s="34">
        <f t="shared" si="5"/>
        <v>0</v>
      </c>
      <c r="Y8" s="221"/>
      <c r="Z8" s="63" t="s">
        <v>29</v>
      </c>
      <c r="AA8" s="73">
        <v>120</v>
      </c>
      <c r="AB8" s="188">
        <v>320</v>
      </c>
      <c r="AC8" s="185">
        <v>40</v>
      </c>
      <c r="AD8" s="189"/>
      <c r="AE8" s="189"/>
      <c r="AF8" s="187">
        <f t="shared" si="6"/>
        <v>280</v>
      </c>
      <c r="AG8" s="67">
        <v>72.64</v>
      </c>
      <c r="AH8" s="56">
        <f t="shared" si="7"/>
        <v>20339.2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573</v>
      </c>
      <c r="BM8" s="36">
        <f t="shared" si="16"/>
        <v>98</v>
      </c>
      <c r="BN8" s="66"/>
      <c r="BO8" s="36">
        <f t="shared" si="17"/>
        <v>0</v>
      </c>
      <c r="BP8" s="194">
        <f t="shared" si="18"/>
        <v>475</v>
      </c>
      <c r="BQ8" s="67">
        <v>72.64</v>
      </c>
      <c r="BR8" s="58">
        <f t="shared" si="19"/>
        <v>34504</v>
      </c>
      <c r="BS8" s="34">
        <f t="shared" si="20"/>
        <v>0</v>
      </c>
      <c r="BT8" s="1">
        <f t="shared" si="21"/>
        <v>11.875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300</v>
      </c>
      <c r="E9" s="129">
        <v>12</v>
      </c>
      <c r="F9" s="130"/>
      <c r="G9" s="130"/>
      <c r="H9" s="131">
        <f t="shared" si="0"/>
        <v>288</v>
      </c>
      <c r="I9" s="132">
        <v>72.64</v>
      </c>
      <c r="J9" s="121">
        <f t="shared" si="1"/>
        <v>20920.32</v>
      </c>
      <c r="K9" s="34">
        <f t="shared" si="2"/>
        <v>0</v>
      </c>
      <c r="M9" s="221"/>
      <c r="N9" s="44" t="s">
        <v>30</v>
      </c>
      <c r="O9" s="70">
        <v>120</v>
      </c>
      <c r="P9" s="128">
        <v>105</v>
      </c>
      <c r="Q9" s="129">
        <v>40</v>
      </c>
      <c r="R9" s="130"/>
      <c r="S9" s="130"/>
      <c r="T9" s="131">
        <f t="shared" si="3"/>
        <v>65</v>
      </c>
      <c r="U9" s="132">
        <v>72.64</v>
      </c>
      <c r="V9" s="150">
        <f t="shared" si="4"/>
        <v>4721.6000000000004</v>
      </c>
      <c r="W9" s="34">
        <f t="shared" si="5"/>
        <v>0</v>
      </c>
      <c r="Y9" s="221"/>
      <c r="Z9" s="44" t="s">
        <v>30</v>
      </c>
      <c r="AA9" s="70">
        <v>120</v>
      </c>
      <c r="AB9" s="192">
        <v>600</v>
      </c>
      <c r="AC9" s="185">
        <v>40</v>
      </c>
      <c r="AD9" s="193"/>
      <c r="AE9" s="193"/>
      <c r="AF9" s="187">
        <f t="shared" si="6"/>
        <v>560</v>
      </c>
      <c r="AG9" s="67">
        <v>72.64</v>
      </c>
      <c r="AH9" s="56">
        <f t="shared" si="7"/>
        <v>40678.400000000001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1005</v>
      </c>
      <c r="BM9" s="36">
        <f t="shared" si="16"/>
        <v>92</v>
      </c>
      <c r="BN9" s="38"/>
      <c r="BO9" s="36">
        <f t="shared" si="17"/>
        <v>0</v>
      </c>
      <c r="BP9" s="194">
        <f t="shared" si="18"/>
        <v>913</v>
      </c>
      <c r="BQ9" s="67">
        <v>72.64</v>
      </c>
      <c r="BR9" s="56">
        <f t="shared" si="19"/>
        <v>66320.320000000007</v>
      </c>
      <c r="BS9" s="34">
        <f t="shared" si="20"/>
        <v>0</v>
      </c>
      <c r="BT9" s="1">
        <f t="shared" si="21"/>
        <v>22.824999999999999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6"/>
        <v>0</v>
      </c>
      <c r="BN10" s="31"/>
      <c r="BO10" s="36">
        <f t="shared" si="17"/>
        <v>0</v>
      </c>
      <c r="BP10" s="194">
        <f t="shared" si="18"/>
        <v>0</v>
      </c>
      <c r="BQ10" s="67">
        <v>39.230000000000004</v>
      </c>
      <c r="BR10" s="57">
        <f t="shared" si="19"/>
        <v>0</v>
      </c>
      <c r="BS10" s="34">
        <f t="shared" si="20"/>
        <v>0</v>
      </c>
      <c r="BT10" s="1">
        <f t="shared" si="21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6"/>
        <v>0</v>
      </c>
      <c r="BN11" s="31"/>
      <c r="BO11" s="36">
        <f t="shared" si="17"/>
        <v>0</v>
      </c>
      <c r="BP11" s="194">
        <f t="shared" si="18"/>
        <v>0</v>
      </c>
      <c r="BQ11" s="67">
        <v>39.230000000000004</v>
      </c>
      <c r="BR11" s="57">
        <f t="shared" si="19"/>
        <v>0</v>
      </c>
      <c r="BS11" s="34">
        <f t="shared" si="20"/>
        <v>0</v>
      </c>
      <c r="BT11" s="1">
        <f t="shared" si="21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6"/>
        <v>0</v>
      </c>
      <c r="BN12" s="31"/>
      <c r="BO12" s="36">
        <f t="shared" si="17"/>
        <v>0</v>
      </c>
      <c r="BP12" s="194">
        <f t="shared" si="18"/>
        <v>0</v>
      </c>
      <c r="BQ12" s="67">
        <v>39.230000000000004</v>
      </c>
      <c r="BR12" s="57">
        <f t="shared" si="19"/>
        <v>0</v>
      </c>
      <c r="BS12" s="34">
        <f t="shared" si="20"/>
        <v>0</v>
      </c>
      <c r="BT12" s="1">
        <f>SUM(BT4:BT11)</f>
        <v>80.350000000000009</v>
      </c>
    </row>
    <row r="13" spans="1:73" ht="39.75" customHeight="1" thickBot="1" x14ac:dyDescent="0.45">
      <c r="A13" s="12"/>
      <c r="B13" s="11"/>
      <c r="C13" s="142"/>
      <c r="D13" s="143">
        <f>SUM(D4:D12)</f>
        <v>1277</v>
      </c>
      <c r="E13" s="143">
        <f>SUM(E4:E12)</f>
        <v>268</v>
      </c>
      <c r="F13" s="143">
        <f>SUM(F4:F12)</f>
        <v>0</v>
      </c>
      <c r="G13" s="143">
        <f>SUM(G4:G12)</f>
        <v>0</v>
      </c>
      <c r="H13" s="143">
        <f>SUM(H4:H12)</f>
        <v>1009</v>
      </c>
      <c r="I13" s="142"/>
      <c r="J13" s="127">
        <f>SUM(J4:J12)</f>
        <v>65787.73000000001</v>
      </c>
      <c r="K13" s="35">
        <f>SUM(K4:K12)</f>
        <v>0</v>
      </c>
      <c r="M13" s="98"/>
      <c r="N13" s="99"/>
      <c r="O13" s="99"/>
      <c r="P13" s="100">
        <f>SUM(P4:P12)</f>
        <v>446</v>
      </c>
      <c r="Q13" s="100">
        <f>SUM(Q4:Q12)</f>
        <v>80</v>
      </c>
      <c r="R13" s="13">
        <f>SUM(R4:R12)</f>
        <v>0</v>
      </c>
      <c r="S13" s="13">
        <f>SUM(S4:S12)</f>
        <v>0</v>
      </c>
      <c r="T13" s="13">
        <f>SUM(T4:T12)</f>
        <v>366</v>
      </c>
      <c r="U13" s="11"/>
      <c r="V13" s="59">
        <f>SUM(V4:V12)</f>
        <v>24003.519999999997</v>
      </c>
      <c r="W13" s="35">
        <f>SUM(W4:W12)</f>
        <v>0</v>
      </c>
      <c r="Y13" s="12"/>
      <c r="Z13" s="11"/>
      <c r="AA13" s="11"/>
      <c r="AB13" s="13">
        <f>SUM(AB4:AB12)</f>
        <v>2040</v>
      </c>
      <c r="AC13" s="13">
        <f>SUM(AC4:AC12)</f>
        <v>201</v>
      </c>
      <c r="AD13" s="13">
        <f>SUM(AD4:AD12)</f>
        <v>0</v>
      </c>
      <c r="AE13" s="13">
        <f>SUM(AE4:AE12)</f>
        <v>0</v>
      </c>
      <c r="AF13" s="13">
        <f>SUM(AF4:AF12)</f>
        <v>1839</v>
      </c>
      <c r="AG13" s="11"/>
      <c r="AH13" s="59">
        <f>SUM(AH4:AH12)</f>
        <v>119077.33749999999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3763</v>
      </c>
      <c r="BM13" s="13">
        <f>SUM(BM4:BM12)</f>
        <v>549</v>
      </c>
      <c r="BN13" s="13">
        <f>SUM(BN4:BN12)</f>
        <v>0</v>
      </c>
      <c r="BO13" s="13">
        <f>SUM(BO4:BO12)</f>
        <v>0</v>
      </c>
      <c r="BP13" s="13">
        <f>SUM(BP4:BP12)</f>
        <v>3214</v>
      </c>
      <c r="BQ13" s="11"/>
      <c r="BR13" s="59">
        <f>SUM(BR4:BR12)</f>
        <v>208868.58749999999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5201+2315+4916-59</f>
        <v>12373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1609+585+1517+823</f>
        <v>4534</v>
      </c>
      <c r="W14" s="29">
        <f>+V22</f>
        <v>-0.48000000000320142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2837+15193+4484</f>
        <v>22514</v>
      </c>
      <c r="AI14" s="29">
        <f>+AH22</f>
        <v>0.33749999999417923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2">+J14+V14+AH14+AT14+BF14</f>
        <v>39421</v>
      </c>
      <c r="BS14" s="29">
        <f>+BR22</f>
        <v>0.58749999999417923</v>
      </c>
      <c r="BU14" s="1">
        <f>BP13/40</f>
        <v>80.349999999999994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962+428+910</f>
        <v>2300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298+108</f>
        <v>406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525</f>
        <v>525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2"/>
        <v>3231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3">D16-C16</f>
        <v>0</v>
      </c>
      <c r="F16" s="224" t="s">
        <v>44</v>
      </c>
      <c r="G16" s="225"/>
      <c r="H16" s="225"/>
      <c r="I16" s="51">
        <f>+J16/J13</f>
        <v>7.9984519909715668E-2</v>
      </c>
      <c r="J16" s="49">
        <f>2201+980+2081</f>
        <v>5262</v>
      </c>
      <c r="K16" s="168"/>
      <c r="M16" s="103"/>
      <c r="N16" s="108"/>
      <c r="O16" s="109"/>
      <c r="P16" s="109"/>
      <c r="Q16" s="105">
        <f t="shared" ref="Q16:Q22" si="24">P16-O16</f>
        <v>0</v>
      </c>
      <c r="R16" s="224" t="s">
        <v>44</v>
      </c>
      <c r="S16" s="225"/>
      <c r="T16" s="225"/>
      <c r="U16" s="51">
        <f>+V16/V13</f>
        <v>0.13152237671808137</v>
      </c>
      <c r="V16" s="49">
        <f>681+247+1445+784</f>
        <v>3157</v>
      </c>
      <c r="W16" s="165"/>
      <c r="Y16" s="95"/>
      <c r="Z16" s="90"/>
      <c r="AA16" s="118"/>
      <c r="AB16" s="119"/>
      <c r="AC16" s="105">
        <f t="shared" ref="AC16:AC22" si="25">AB16-AA16</f>
        <v>0</v>
      </c>
      <c r="AD16" s="224" t="s">
        <v>44</v>
      </c>
      <c r="AE16" s="225"/>
      <c r="AF16" s="225"/>
      <c r="AG16" s="51">
        <f>+AH16/AH13</f>
        <v>0.1487940557958814</v>
      </c>
      <c r="AH16" s="49">
        <f>2101+12058+3559</f>
        <v>17718</v>
      </c>
      <c r="AI16" s="30"/>
      <c r="AK16" s="95"/>
      <c r="AL16" s="90"/>
      <c r="AM16" s="109"/>
      <c r="AN16" s="114"/>
      <c r="AO16" s="105">
        <f t="shared" ref="AO16:AO22" si="26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7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0.12513609783472107</v>
      </c>
      <c r="BR16" s="53">
        <f t="shared" si="22"/>
        <v>26137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3"/>
        <v>0</v>
      </c>
      <c r="F17" s="224" t="s">
        <v>20</v>
      </c>
      <c r="G17" s="225"/>
      <c r="H17" s="225"/>
      <c r="I17" s="229"/>
      <c r="J17" s="48">
        <f>147+65+139</f>
        <v>351</v>
      </c>
      <c r="M17" s="95"/>
      <c r="N17" s="90"/>
      <c r="O17" s="90"/>
      <c r="P17" s="91"/>
      <c r="Q17" s="105">
        <f t="shared" si="24"/>
        <v>0</v>
      </c>
      <c r="R17" s="224" t="s">
        <v>20</v>
      </c>
      <c r="S17" s="225"/>
      <c r="T17" s="225"/>
      <c r="U17" s="229"/>
      <c r="V17" s="48">
        <f>45+16+40+21</f>
        <v>122</v>
      </c>
      <c r="W17" s="178"/>
      <c r="Y17" s="95"/>
      <c r="Z17" s="90"/>
      <c r="AA17" s="108"/>
      <c r="AB17" s="115"/>
      <c r="AC17" s="105">
        <f t="shared" si="25"/>
        <v>0</v>
      </c>
      <c r="AD17" s="224" t="s">
        <v>20</v>
      </c>
      <c r="AE17" s="225"/>
      <c r="AF17" s="225"/>
      <c r="AG17" s="229"/>
      <c r="AH17" s="48">
        <f>76+417+123</f>
        <v>616</v>
      </c>
      <c r="AI17" s="29"/>
      <c r="AK17" s="95"/>
      <c r="AL17" s="90"/>
      <c r="AM17" s="90"/>
      <c r="AN17" s="97"/>
      <c r="AO17" s="105">
        <f t="shared" si="26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7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2"/>
        <v>1089</v>
      </c>
    </row>
    <row r="18" spans="1:70" ht="33" customHeight="1" x14ac:dyDescent="0.45">
      <c r="A18" s="103"/>
      <c r="B18" s="144"/>
      <c r="C18" s="110"/>
      <c r="D18" s="110"/>
      <c r="E18" s="105">
        <f t="shared" si="23"/>
        <v>0</v>
      </c>
      <c r="F18" s="224" t="s">
        <v>23</v>
      </c>
      <c r="G18" s="225"/>
      <c r="H18" s="225"/>
      <c r="I18" s="229"/>
      <c r="J18" s="48">
        <f>+J35</f>
        <v>60146</v>
      </c>
      <c r="M18" s="95"/>
      <c r="N18" s="90"/>
      <c r="O18" s="90"/>
      <c r="P18" s="91"/>
      <c r="Q18" s="105">
        <f t="shared" si="24"/>
        <v>0</v>
      </c>
      <c r="R18" s="224" t="s">
        <v>23</v>
      </c>
      <c r="S18" s="225"/>
      <c r="T18" s="225"/>
      <c r="U18" s="229"/>
      <c r="V18" s="48">
        <f>+V35</f>
        <v>12535</v>
      </c>
      <c r="W18" s="178"/>
      <c r="Y18" s="95"/>
      <c r="Z18" s="90"/>
      <c r="AA18" s="108"/>
      <c r="AB18" s="115"/>
      <c r="AC18" s="105">
        <f t="shared" si="25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6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7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2"/>
        <v>72681</v>
      </c>
    </row>
    <row r="19" spans="1:70" ht="33" customHeight="1" x14ac:dyDescent="0.45">
      <c r="A19" s="103"/>
      <c r="B19" s="104"/>
      <c r="C19" s="108"/>
      <c r="D19" s="110"/>
      <c r="E19" s="105">
        <f t="shared" si="23"/>
        <v>0</v>
      </c>
      <c r="F19" s="224" t="s">
        <v>11</v>
      </c>
      <c r="G19" s="225"/>
      <c r="H19" s="225"/>
      <c r="I19" s="229"/>
      <c r="J19" s="48">
        <f>+C35</f>
        <v>10803</v>
      </c>
      <c r="M19" s="95"/>
      <c r="N19" s="90"/>
      <c r="O19" s="90"/>
      <c r="P19" s="91"/>
      <c r="Q19" s="105">
        <f t="shared" si="24"/>
        <v>0</v>
      </c>
      <c r="R19" s="224" t="s">
        <v>11</v>
      </c>
      <c r="S19" s="225"/>
      <c r="T19" s="225"/>
      <c r="U19" s="229"/>
      <c r="V19" s="48">
        <f>+O35</f>
        <v>12562</v>
      </c>
      <c r="Y19" s="95"/>
      <c r="Z19" s="90"/>
      <c r="AA19" s="108"/>
      <c r="AB19" s="115"/>
      <c r="AC19" s="105">
        <f t="shared" si="25"/>
        <v>0</v>
      </c>
      <c r="AD19" s="224" t="s">
        <v>11</v>
      </c>
      <c r="AE19" s="225"/>
      <c r="AF19" s="225"/>
      <c r="AG19" s="229"/>
      <c r="AH19" s="48">
        <f>+AA35</f>
        <v>123964</v>
      </c>
      <c r="AK19" s="95"/>
      <c r="AL19" s="90"/>
      <c r="AM19" s="90"/>
      <c r="AN19" s="97"/>
      <c r="AO19" s="105">
        <f t="shared" si="26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7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2"/>
        <v>147329</v>
      </c>
    </row>
    <row r="20" spans="1:70" ht="33" customHeight="1" x14ac:dyDescent="0.5">
      <c r="A20" s="103"/>
      <c r="B20" s="104"/>
      <c r="C20" s="108"/>
      <c r="D20" s="112"/>
      <c r="E20" s="105">
        <f t="shared" si="23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4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5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6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7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2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3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4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5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6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7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2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3"/>
        <v>0</v>
      </c>
      <c r="F22" s="233" t="s">
        <v>24</v>
      </c>
      <c r="G22" s="234"/>
      <c r="H22" s="234"/>
      <c r="I22" s="235"/>
      <c r="J22" s="69">
        <f>+J13-J15-J16-J19+J17+J14-J18-J20-J21</f>
        <v>0.73000000001047738</v>
      </c>
      <c r="K22" s="145"/>
      <c r="M22" s="95"/>
      <c r="N22" s="90"/>
      <c r="O22" s="90"/>
      <c r="P22" s="91"/>
      <c r="Q22" s="105">
        <f t="shared" si="24"/>
        <v>0</v>
      </c>
      <c r="R22" s="233" t="s">
        <v>24</v>
      </c>
      <c r="S22" s="234"/>
      <c r="T22" s="234"/>
      <c r="U22" s="235"/>
      <c r="V22" s="69">
        <f>+V13-V15-V16-V19+V17+V14-V18-V20-V21</f>
        <v>-0.48000000000320142</v>
      </c>
      <c r="W22" s="145"/>
      <c r="X22" s="145"/>
      <c r="Y22" s="95"/>
      <c r="Z22" s="95"/>
      <c r="AA22" s="103"/>
      <c r="AB22" s="111"/>
      <c r="AC22" s="105">
        <f t="shared" si="25"/>
        <v>0</v>
      </c>
      <c r="AD22" s="233" t="s">
        <v>24</v>
      </c>
      <c r="AE22" s="234"/>
      <c r="AF22" s="234"/>
      <c r="AG22" s="235"/>
      <c r="AH22" s="69">
        <f>+AH13-AH15-AH16-AH19+AH17+AH14-AH18-AH20-AH21</f>
        <v>0.33749999999417923</v>
      </c>
      <c r="AK22" s="95"/>
      <c r="AL22" s="95"/>
      <c r="AM22" s="95"/>
      <c r="AN22" s="96"/>
      <c r="AO22" s="105">
        <f t="shared" si="26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7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0.58749999999417923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330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107</v>
      </c>
      <c r="C26" s="263">
        <v>10803</v>
      </c>
      <c r="D26" s="264"/>
      <c r="E26" s="265" t="s">
        <v>81</v>
      </c>
      <c r="F26" s="266"/>
      <c r="G26" s="146">
        <f>100+130+100</f>
        <v>330</v>
      </c>
      <c r="H26" s="267" t="s">
        <v>18</v>
      </c>
      <c r="I26" s="268"/>
      <c r="J26" s="47">
        <f>56680+G35</f>
        <v>57010</v>
      </c>
      <c r="M26" s="175" t="s">
        <v>67</v>
      </c>
      <c r="N26" s="158" t="s">
        <v>106</v>
      </c>
      <c r="O26" s="269">
        <v>8143</v>
      </c>
      <c r="P26" s="270"/>
      <c r="Q26" s="271"/>
      <c r="R26" s="272"/>
      <c r="S26" s="146"/>
      <c r="T26" s="267" t="s">
        <v>18</v>
      </c>
      <c r="U26" s="268"/>
      <c r="V26" s="47">
        <f>10270+2265</f>
        <v>12535</v>
      </c>
      <c r="Y26" s="180" t="s">
        <v>67</v>
      </c>
      <c r="Z26" s="148" t="s">
        <v>105</v>
      </c>
      <c r="AA26" s="259">
        <v>24724</v>
      </c>
      <c r="AB26" s="273"/>
      <c r="AC26" s="287"/>
      <c r="AD26" s="288"/>
      <c r="AE26" s="147"/>
      <c r="AF26" s="267" t="s">
        <v>18</v>
      </c>
      <c r="AG26" s="268"/>
      <c r="AH26" s="47"/>
      <c r="AK26" s="176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/>
      <c r="B27" s="182"/>
      <c r="C27" s="263"/>
      <c r="D27" s="264"/>
      <c r="E27" s="265"/>
      <c r="F27" s="266"/>
      <c r="G27" s="146"/>
      <c r="H27" s="285" t="s">
        <v>54</v>
      </c>
      <c r="I27" s="286"/>
      <c r="J27" s="47">
        <f>3136</f>
        <v>3136</v>
      </c>
      <c r="M27" s="175" t="s">
        <v>67</v>
      </c>
      <c r="N27" s="158" t="s">
        <v>104</v>
      </c>
      <c r="O27" s="269">
        <v>4419</v>
      </c>
      <c r="P27" s="270"/>
      <c r="Q27" s="271"/>
      <c r="R27" s="272"/>
      <c r="S27" s="146"/>
      <c r="T27" s="282" t="s">
        <v>53</v>
      </c>
      <c r="U27" s="267"/>
      <c r="V27" s="47"/>
      <c r="Y27" s="180" t="s">
        <v>67</v>
      </c>
      <c r="Z27" s="148" t="s">
        <v>103</v>
      </c>
      <c r="AA27" s="283">
        <v>83941</v>
      </c>
      <c r="AB27" s="284"/>
      <c r="AC27" s="287"/>
      <c r="AD27" s="28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 t="s">
        <v>67</v>
      </c>
      <c r="Z28" s="148" t="s">
        <v>102</v>
      </c>
      <c r="AA28" s="283">
        <v>15299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10803</v>
      </c>
      <c r="D35" s="315"/>
      <c r="E35" s="316" t="s">
        <v>21</v>
      </c>
      <c r="F35" s="317"/>
      <c r="G35" s="87">
        <f>SUM(G26:G34)</f>
        <v>330</v>
      </c>
      <c r="H35" s="318" t="s">
        <v>17</v>
      </c>
      <c r="I35" s="319"/>
      <c r="J35" s="77">
        <f>SUM(J26:J34)</f>
        <v>60146</v>
      </c>
      <c r="M35" s="177"/>
      <c r="N35" s="76" t="s">
        <v>16</v>
      </c>
      <c r="O35" s="314">
        <f>SUM(O26:O34)</f>
        <v>12562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12535</v>
      </c>
      <c r="Y35" s="75"/>
      <c r="Z35" s="76" t="s">
        <v>16</v>
      </c>
      <c r="AA35" s="314">
        <f>SUM(AA26:AB34)</f>
        <v>123964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88859</v>
      </c>
    </row>
  </sheetData>
  <mergeCells count="267">
    <mergeCell ref="D2:E2"/>
    <mergeCell ref="P2:Q2"/>
    <mergeCell ref="AB2:AC2"/>
    <mergeCell ref="AZ2:BA2"/>
    <mergeCell ref="BL2:BM2"/>
    <mergeCell ref="A1:K1"/>
    <mergeCell ref="M1:W1"/>
    <mergeCell ref="Y1:AI1"/>
    <mergeCell ref="AK1:AU1"/>
    <mergeCell ref="AW1:BG1"/>
    <mergeCell ref="BI1:BS1"/>
    <mergeCell ref="BN15:BQ15"/>
    <mergeCell ref="F14:I14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M14:Q14"/>
    <mergeCell ref="BI4:BI12"/>
    <mergeCell ref="BN18:BQ18"/>
    <mergeCell ref="F17:I17"/>
    <mergeCell ref="R17:U17"/>
    <mergeCell ref="AD17:AG17"/>
    <mergeCell ref="AP17:AS17"/>
    <mergeCell ref="BB17:BE17"/>
    <mergeCell ref="BN17:BQ17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F19:I19"/>
    <mergeCell ref="R19:U19"/>
    <mergeCell ref="AD19:AG19"/>
    <mergeCell ref="AP19:AS19"/>
    <mergeCell ref="BB19:BE19"/>
    <mergeCell ref="BN19:BQ19"/>
    <mergeCell ref="F20:I20"/>
    <mergeCell ref="R20:U20"/>
    <mergeCell ref="AD20:AG20"/>
    <mergeCell ref="AP20:AS20"/>
    <mergeCell ref="BB20:BE20"/>
    <mergeCell ref="BN20:BQ20"/>
    <mergeCell ref="BP25:BQ25"/>
    <mergeCell ref="AO25:AP25"/>
    <mergeCell ref="AR25:AS25"/>
    <mergeCell ref="AY25:AZ25"/>
    <mergeCell ref="BA25:BB25"/>
    <mergeCell ref="F21:I21"/>
    <mergeCell ref="R21:U21"/>
    <mergeCell ref="AD21:AG21"/>
    <mergeCell ref="AP21:AS21"/>
    <mergeCell ref="BB21:BE21"/>
    <mergeCell ref="BN21:BQ21"/>
    <mergeCell ref="F22:I22"/>
    <mergeCell ref="R22:U22"/>
    <mergeCell ref="AD22:AG22"/>
    <mergeCell ref="AP22:AS22"/>
    <mergeCell ref="BB22:BE22"/>
    <mergeCell ref="BN22:BQ22"/>
    <mergeCell ref="BN23:BQ23"/>
    <mergeCell ref="BI24:BL24"/>
    <mergeCell ref="BP24:BR24"/>
    <mergeCell ref="AO24:AP24"/>
    <mergeCell ref="AR24:AT24"/>
    <mergeCell ref="AW24:AZ24"/>
    <mergeCell ref="H25:I25"/>
    <mergeCell ref="A24:D24"/>
    <mergeCell ref="E24:F24"/>
    <mergeCell ref="H24:J24"/>
    <mergeCell ref="M24:P24"/>
    <mergeCell ref="Q24:R24"/>
    <mergeCell ref="T24:V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Y24:AB24"/>
    <mergeCell ref="AC24:AE24"/>
    <mergeCell ref="AF24:AH24"/>
    <mergeCell ref="AK24:AN24"/>
    <mergeCell ref="BD25:BE25"/>
    <mergeCell ref="C25:D25"/>
    <mergeCell ref="AM25:AN25"/>
    <mergeCell ref="E25:F25"/>
    <mergeCell ref="AC25:AD25"/>
    <mergeCell ref="BK25:BL25"/>
    <mergeCell ref="BP28:BQ28"/>
    <mergeCell ref="AR28:AS28"/>
    <mergeCell ref="AY28:AZ28"/>
    <mergeCell ref="BA28:BB28"/>
    <mergeCell ref="BD28:BE28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6:BN26"/>
    <mergeCell ref="BP26:BQ26"/>
    <mergeCell ref="BA26:BB26"/>
    <mergeCell ref="BD26:BE26"/>
    <mergeCell ref="BK26:BL26"/>
    <mergeCell ref="AR26:AS26"/>
    <mergeCell ref="AY26:AZ26"/>
    <mergeCell ref="C27:D27"/>
    <mergeCell ref="E27:F27"/>
    <mergeCell ref="H27:I27"/>
    <mergeCell ref="O27:P27"/>
    <mergeCell ref="Q27:R27"/>
    <mergeCell ref="O25:P25"/>
    <mergeCell ref="Q25:R25"/>
    <mergeCell ref="T25:U25"/>
    <mergeCell ref="AA25:AB25"/>
    <mergeCell ref="T27:U27"/>
    <mergeCell ref="AA27:AB27"/>
    <mergeCell ref="C28:D28"/>
    <mergeCell ref="E28:F28"/>
    <mergeCell ref="H28:I28"/>
    <mergeCell ref="O28:P28"/>
    <mergeCell ref="Q28:R28"/>
    <mergeCell ref="T28:U28"/>
    <mergeCell ref="BK28:BL28"/>
    <mergeCell ref="BA29:BB29"/>
    <mergeCell ref="BD29:BE29"/>
    <mergeCell ref="BK29:BL29"/>
    <mergeCell ref="C29:D29"/>
    <mergeCell ref="E29:F29"/>
    <mergeCell ref="H29:I29"/>
    <mergeCell ref="O29:P29"/>
    <mergeCell ref="Q29:R29"/>
    <mergeCell ref="T29:U29"/>
    <mergeCell ref="AA28:AB28"/>
    <mergeCell ref="AC28:AD28"/>
    <mergeCell ref="AF28:AG28"/>
    <mergeCell ref="AM28:AN28"/>
    <mergeCell ref="AO28:AP28"/>
    <mergeCell ref="BK30:BL30"/>
    <mergeCell ref="BM30:BN30"/>
    <mergeCell ref="BP29:BQ29"/>
    <mergeCell ref="AR29:AS29"/>
    <mergeCell ref="AY29:AZ29"/>
    <mergeCell ref="AF29:AG29"/>
    <mergeCell ref="AM29:AN29"/>
    <mergeCell ref="AO29:AP29"/>
    <mergeCell ref="BM29:BN29"/>
    <mergeCell ref="BM27:BN27"/>
    <mergeCell ref="BM28:BN28"/>
    <mergeCell ref="AO27:AP27"/>
    <mergeCell ref="AC27:AD27"/>
    <mergeCell ref="AF27:AG27"/>
    <mergeCell ref="AM27:AN27"/>
    <mergeCell ref="AA29:AB29"/>
    <mergeCell ref="AC29:AD29"/>
    <mergeCell ref="BP31:BQ31"/>
    <mergeCell ref="AR30:AS30"/>
    <mergeCell ref="AY30:AZ30"/>
    <mergeCell ref="BA30:BB30"/>
    <mergeCell ref="AA30:AB30"/>
    <mergeCell ref="AC30:AD30"/>
    <mergeCell ref="AF30:AG30"/>
    <mergeCell ref="AM30:AN30"/>
    <mergeCell ref="AO31:AP31"/>
    <mergeCell ref="AY31:AZ31"/>
    <mergeCell ref="BA31:BB31"/>
    <mergeCell ref="AR31:AS31"/>
    <mergeCell ref="AA31:AB31"/>
    <mergeCell ref="AC31:AD31"/>
    <mergeCell ref="AF31:AG31"/>
    <mergeCell ref="AM31:AN31"/>
    <mergeCell ref="E31:F31"/>
    <mergeCell ref="H31:I31"/>
    <mergeCell ref="O31:P31"/>
    <mergeCell ref="Q31:R31"/>
    <mergeCell ref="T31:U31"/>
    <mergeCell ref="C30:D30"/>
    <mergeCell ref="E30:F30"/>
    <mergeCell ref="H30:I30"/>
    <mergeCell ref="O30:P30"/>
    <mergeCell ref="Q30:R30"/>
    <mergeCell ref="T30:U30"/>
    <mergeCell ref="BP32:BQ32"/>
    <mergeCell ref="AR32:AS32"/>
    <mergeCell ref="AY32:AZ32"/>
    <mergeCell ref="BP30:BQ30"/>
    <mergeCell ref="C32:D32"/>
    <mergeCell ref="E32:F32"/>
    <mergeCell ref="H32:I32"/>
    <mergeCell ref="O32:P32"/>
    <mergeCell ref="Q32:R32"/>
    <mergeCell ref="T32:U32"/>
    <mergeCell ref="AC32:AD32"/>
    <mergeCell ref="AF32:AG32"/>
    <mergeCell ref="AM32:AN32"/>
    <mergeCell ref="BD31:BE31"/>
    <mergeCell ref="BA32:BB32"/>
    <mergeCell ref="BD32:BE32"/>
    <mergeCell ref="BK32:BL32"/>
    <mergeCell ref="BM32:BN32"/>
    <mergeCell ref="AO30:AP30"/>
    <mergeCell ref="BK31:BL31"/>
    <mergeCell ref="BM31:BN31"/>
    <mergeCell ref="BD30:BE30"/>
    <mergeCell ref="AA32:AB32"/>
    <mergeCell ref="C31:D31"/>
    <mergeCell ref="AA33:AB33"/>
    <mergeCell ref="C34:D34"/>
    <mergeCell ref="E34:F34"/>
    <mergeCell ref="O34:P34"/>
    <mergeCell ref="AO32:AP32"/>
    <mergeCell ref="AC33:AD33"/>
    <mergeCell ref="AM33:AN33"/>
    <mergeCell ref="AM34:AN34"/>
    <mergeCell ref="BK35:BL35"/>
    <mergeCell ref="C35:D35"/>
    <mergeCell ref="E35:F35"/>
    <mergeCell ref="H35:I35"/>
    <mergeCell ref="O35:P35"/>
    <mergeCell ref="Q35:R35"/>
    <mergeCell ref="T35:U35"/>
    <mergeCell ref="C33:D33"/>
    <mergeCell ref="E33:F33"/>
    <mergeCell ref="O33:P33"/>
    <mergeCell ref="Q33:R33"/>
    <mergeCell ref="AY33:AZ33"/>
    <mergeCell ref="BM35:BN35"/>
    <mergeCell ref="BP35:BQ35"/>
    <mergeCell ref="AM35:AN35"/>
    <mergeCell ref="AO35:AP35"/>
    <mergeCell ref="AR35:AS35"/>
    <mergeCell ref="AY35:AZ35"/>
    <mergeCell ref="Q34:R34"/>
    <mergeCell ref="AA34:AB34"/>
    <mergeCell ref="AC34:AD34"/>
    <mergeCell ref="BA35:BB35"/>
    <mergeCell ref="BD35:BE35"/>
    <mergeCell ref="AA35:AB35"/>
    <mergeCell ref="AC35:AD35"/>
    <mergeCell ref="AF35:AG35"/>
    <mergeCell ref="AY34:AZ34"/>
  </mergeCells>
  <printOptions horizontalCentered="1"/>
  <pageMargins left="0" right="0" top="0" bottom="0" header="0.75" footer="1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U38"/>
  <sheetViews>
    <sheetView topLeftCell="A23" zoomScale="85" zoomScaleNormal="85" zoomScaleSheetLayoutView="100" workbookViewId="0">
      <selection activeCell="J27" sqref="J27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08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13.58203125" style="1" customWidth="1"/>
    <col min="70" max="70" width="16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108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05.10.2026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05.10.2026</v>
      </c>
      <c r="AK2" s="94"/>
      <c r="AL2" s="93" t="s">
        <v>87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05.10.2026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05.10.2026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05.10.2026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120</v>
      </c>
      <c r="E4" s="129">
        <v>40</v>
      </c>
      <c r="F4" s="130"/>
      <c r="G4" s="130"/>
      <c r="H4" s="131">
        <f t="shared" ref="H4:H12" si="0">+D4-E4-F4-G4</f>
        <v>80</v>
      </c>
      <c r="I4" s="132">
        <v>52.462499999999999</v>
      </c>
      <c r="J4" s="121">
        <f t="shared" ref="J4:J12" si="1">+H4*I4</f>
        <v>4197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46</v>
      </c>
      <c r="Q4" s="129">
        <v>6</v>
      </c>
      <c r="R4" s="130"/>
      <c r="S4" s="130"/>
      <c r="T4" s="131">
        <f t="shared" ref="T4:T12" si="3">+P4-Q4-R4-S4</f>
        <v>40</v>
      </c>
      <c r="U4" s="132">
        <v>52.462499999999999</v>
      </c>
      <c r="V4" s="150">
        <f t="shared" ref="V4:V12" si="4">+T4*U4</f>
        <v>2098.5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/>
      <c r="AC4" s="185"/>
      <c r="AD4" s="186"/>
      <c r="AE4" s="186"/>
      <c r="AF4" s="187">
        <f t="shared" ref="AF4:AF12" si="6">+AB4-AC4-AD4-AE4</f>
        <v>0</v>
      </c>
      <c r="AG4" s="67">
        <v>52.462499999999999</v>
      </c>
      <c r="AH4" s="56">
        <f t="shared" ref="AH4:AH12" si="7">+AF4*AG4</f>
        <v>0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166</v>
      </c>
      <c r="BM4" s="36">
        <f t="shared" si="15"/>
        <v>46</v>
      </c>
      <c r="BN4" s="38"/>
      <c r="BO4" s="36">
        <f t="shared" ref="BO4:BO12" si="16">+G4+S4+AE4+AQ4+BC4</f>
        <v>0</v>
      </c>
      <c r="BP4" s="194">
        <f t="shared" ref="BP4:BP12" si="17">+BL4-BM4-BN4-BO4</f>
        <v>120</v>
      </c>
      <c r="BQ4" s="67">
        <v>52.462499999999999</v>
      </c>
      <c r="BR4" s="56">
        <f t="shared" ref="BR4:BR12" si="18">+BP4*BQ4</f>
        <v>6295.5</v>
      </c>
      <c r="BS4" s="34">
        <f t="shared" ref="BS4:BS12" si="19">+BO4*BQ4</f>
        <v>0</v>
      </c>
      <c r="BT4" s="1">
        <f t="shared" ref="BT4:BT11" si="20">+BP4/40</f>
        <v>3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96</v>
      </c>
      <c r="E5" s="134">
        <v>6</v>
      </c>
      <c r="F5" s="135"/>
      <c r="G5" s="135"/>
      <c r="H5" s="131">
        <f t="shared" si="0"/>
        <v>90</v>
      </c>
      <c r="I5" s="132">
        <v>52.462499999999999</v>
      </c>
      <c r="J5" s="123">
        <f t="shared" si="1"/>
        <v>4721.625</v>
      </c>
      <c r="K5" s="34">
        <f t="shared" si="2"/>
        <v>0</v>
      </c>
      <c r="M5" s="221"/>
      <c r="N5" s="45" t="s">
        <v>26</v>
      </c>
      <c r="O5" s="71">
        <v>70</v>
      </c>
      <c r="P5" s="128">
        <v>26</v>
      </c>
      <c r="Q5" s="134">
        <v>26</v>
      </c>
      <c r="R5" s="135"/>
      <c r="S5" s="135"/>
      <c r="T5" s="131">
        <f t="shared" si="3"/>
        <v>0</v>
      </c>
      <c r="U5" s="132">
        <v>52.462499999999999</v>
      </c>
      <c r="V5" s="151">
        <f t="shared" si="4"/>
        <v>0</v>
      </c>
      <c r="W5" s="34">
        <f t="shared" si="5"/>
        <v>0</v>
      </c>
      <c r="Y5" s="221"/>
      <c r="Z5" s="45" t="s">
        <v>26</v>
      </c>
      <c r="AA5" s="71">
        <v>70</v>
      </c>
      <c r="AB5" s="188"/>
      <c r="AC5" s="185"/>
      <c r="AD5" s="189"/>
      <c r="AE5" s="189"/>
      <c r="AF5" s="187">
        <f t="shared" si="6"/>
        <v>0</v>
      </c>
      <c r="AG5" s="67">
        <v>52.462499999999999</v>
      </c>
      <c r="AH5" s="56">
        <f t="shared" si="7"/>
        <v>0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122</v>
      </c>
      <c r="BM5" s="36">
        <f t="shared" si="15"/>
        <v>32</v>
      </c>
      <c r="BN5" s="31"/>
      <c r="BO5" s="36">
        <f t="shared" si="16"/>
        <v>0</v>
      </c>
      <c r="BP5" s="194">
        <f t="shared" si="17"/>
        <v>90</v>
      </c>
      <c r="BQ5" s="67">
        <v>52.462499999999999</v>
      </c>
      <c r="BR5" s="57">
        <f t="shared" si="18"/>
        <v>4721.625</v>
      </c>
      <c r="BS5" s="34">
        <f t="shared" si="19"/>
        <v>0</v>
      </c>
      <c r="BT5" s="1">
        <f t="shared" si="20"/>
        <v>2.25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220</v>
      </c>
      <c r="E6" s="134">
        <v>98</v>
      </c>
      <c r="F6" s="135"/>
      <c r="G6" s="135"/>
      <c r="H6" s="131">
        <f t="shared" si="0"/>
        <v>122</v>
      </c>
      <c r="I6" s="132">
        <v>52.462499999999999</v>
      </c>
      <c r="J6" s="123">
        <f t="shared" si="1"/>
        <v>6400.4250000000002</v>
      </c>
      <c r="K6" s="34">
        <f t="shared" si="2"/>
        <v>0</v>
      </c>
      <c r="M6" s="221"/>
      <c r="N6" s="45" t="s">
        <v>27</v>
      </c>
      <c r="O6" s="71">
        <v>70</v>
      </c>
      <c r="P6" s="133">
        <v>26</v>
      </c>
      <c r="Q6" s="134">
        <v>26</v>
      </c>
      <c r="R6" s="135"/>
      <c r="S6" s="135"/>
      <c r="T6" s="131">
        <f t="shared" si="3"/>
        <v>0</v>
      </c>
      <c r="U6" s="132">
        <v>52.462499999999999</v>
      </c>
      <c r="V6" s="152">
        <f t="shared" si="4"/>
        <v>0</v>
      </c>
      <c r="W6" s="34">
        <f t="shared" si="5"/>
        <v>0</v>
      </c>
      <c r="Y6" s="221"/>
      <c r="Z6" s="45" t="s">
        <v>27</v>
      </c>
      <c r="AA6" s="71">
        <v>70</v>
      </c>
      <c r="AB6" s="188"/>
      <c r="AC6" s="185"/>
      <c r="AD6" s="189"/>
      <c r="AE6" s="189"/>
      <c r="AF6" s="187">
        <f t="shared" si="6"/>
        <v>0</v>
      </c>
      <c r="AG6" s="67">
        <v>52.462499999999999</v>
      </c>
      <c r="AH6" s="56">
        <f t="shared" si="7"/>
        <v>0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246</v>
      </c>
      <c r="BM6" s="36">
        <f t="shared" si="15"/>
        <v>124</v>
      </c>
      <c r="BN6" s="31"/>
      <c r="BO6" s="36">
        <f t="shared" si="16"/>
        <v>0</v>
      </c>
      <c r="BP6" s="194">
        <f t="shared" si="17"/>
        <v>122</v>
      </c>
      <c r="BQ6" s="67">
        <v>52.462499999999999</v>
      </c>
      <c r="BR6" s="57">
        <f t="shared" si="18"/>
        <v>6400.4250000000002</v>
      </c>
      <c r="BS6" s="34">
        <f t="shared" si="19"/>
        <v>0</v>
      </c>
      <c r="BT6" s="1">
        <f t="shared" si="20"/>
        <v>3.05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195</v>
      </c>
      <c r="E7" s="137">
        <v>76</v>
      </c>
      <c r="F7" s="138"/>
      <c r="G7" s="159"/>
      <c r="H7" s="131">
        <f t="shared" si="0"/>
        <v>119</v>
      </c>
      <c r="I7" s="132">
        <v>72.64</v>
      </c>
      <c r="J7" s="125">
        <f t="shared" si="1"/>
        <v>8644.16</v>
      </c>
      <c r="K7" s="34">
        <f t="shared" si="2"/>
        <v>0</v>
      </c>
      <c r="M7" s="221"/>
      <c r="N7" s="46" t="s">
        <v>28</v>
      </c>
      <c r="O7" s="72">
        <v>120</v>
      </c>
      <c r="P7" s="136">
        <v>236</v>
      </c>
      <c r="Q7" s="137">
        <v>61</v>
      </c>
      <c r="R7" s="138"/>
      <c r="S7" s="138"/>
      <c r="T7" s="131">
        <f t="shared" si="3"/>
        <v>175</v>
      </c>
      <c r="U7" s="132">
        <v>72.64</v>
      </c>
      <c r="V7" s="152">
        <f t="shared" si="4"/>
        <v>12712</v>
      </c>
      <c r="W7" s="34">
        <f t="shared" si="5"/>
        <v>0</v>
      </c>
      <c r="Y7" s="221"/>
      <c r="Z7" s="46" t="s">
        <v>28</v>
      </c>
      <c r="AA7" s="72">
        <v>120</v>
      </c>
      <c r="AB7" s="190"/>
      <c r="AC7" s="185"/>
      <c r="AD7" s="191"/>
      <c r="AE7" s="191"/>
      <c r="AF7" s="187">
        <f t="shared" si="6"/>
        <v>0</v>
      </c>
      <c r="AG7" s="67">
        <v>72.64</v>
      </c>
      <c r="AH7" s="56">
        <f t="shared" si="7"/>
        <v>0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431</v>
      </c>
      <c r="BM7" s="36">
        <f t="shared" si="15"/>
        <v>137</v>
      </c>
      <c r="BN7" s="43"/>
      <c r="BO7" s="36">
        <f t="shared" si="16"/>
        <v>0</v>
      </c>
      <c r="BP7" s="194">
        <f t="shared" si="17"/>
        <v>294</v>
      </c>
      <c r="BQ7" s="67">
        <v>72.64</v>
      </c>
      <c r="BR7" s="58">
        <f t="shared" si="18"/>
        <v>21356.16</v>
      </c>
      <c r="BS7" s="34">
        <f t="shared" si="19"/>
        <v>0</v>
      </c>
      <c r="BT7" s="1">
        <f t="shared" si="20"/>
        <v>7.35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153</v>
      </c>
      <c r="E8" s="140"/>
      <c r="F8" s="141"/>
      <c r="G8" s="141"/>
      <c r="H8" s="131">
        <f t="shared" si="0"/>
        <v>153</v>
      </c>
      <c r="I8" s="132">
        <v>72.64</v>
      </c>
      <c r="J8" s="125">
        <f t="shared" si="1"/>
        <v>11113.92</v>
      </c>
      <c r="K8" s="34">
        <f t="shared" si="2"/>
        <v>0</v>
      </c>
      <c r="M8" s="221"/>
      <c r="N8" s="63" t="s">
        <v>29</v>
      </c>
      <c r="O8" s="73">
        <v>120</v>
      </c>
      <c r="P8" s="139">
        <v>66</v>
      </c>
      <c r="Q8" s="140">
        <v>21</v>
      </c>
      <c r="R8" s="141"/>
      <c r="S8" s="141"/>
      <c r="T8" s="131">
        <f t="shared" si="3"/>
        <v>45</v>
      </c>
      <c r="U8" s="132">
        <v>72.64</v>
      </c>
      <c r="V8" s="152">
        <f t="shared" si="4"/>
        <v>3268.8</v>
      </c>
      <c r="W8" s="34">
        <f t="shared" si="5"/>
        <v>0</v>
      </c>
      <c r="Y8" s="221"/>
      <c r="Z8" s="63" t="s">
        <v>29</v>
      </c>
      <c r="AA8" s="73">
        <v>120</v>
      </c>
      <c r="AB8" s="188"/>
      <c r="AC8" s="185"/>
      <c r="AD8" s="189"/>
      <c r="AE8" s="189"/>
      <c r="AF8" s="187">
        <f t="shared" si="6"/>
        <v>0</v>
      </c>
      <c r="AG8" s="67">
        <v>72.64</v>
      </c>
      <c r="AH8" s="56">
        <f t="shared" si="7"/>
        <v>0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219</v>
      </c>
      <c r="BM8" s="36">
        <f t="shared" si="15"/>
        <v>21</v>
      </c>
      <c r="BN8" s="66"/>
      <c r="BO8" s="36">
        <f t="shared" si="16"/>
        <v>0</v>
      </c>
      <c r="BP8" s="194">
        <f t="shared" si="17"/>
        <v>198</v>
      </c>
      <c r="BQ8" s="67">
        <v>72.64</v>
      </c>
      <c r="BR8" s="58">
        <f t="shared" si="18"/>
        <v>14382.72</v>
      </c>
      <c r="BS8" s="34">
        <f t="shared" si="19"/>
        <v>0</v>
      </c>
      <c r="BT8" s="1">
        <f t="shared" si="20"/>
        <v>4.95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319</v>
      </c>
      <c r="E9" s="129">
        <v>80</v>
      </c>
      <c r="F9" s="130"/>
      <c r="G9" s="130"/>
      <c r="H9" s="131">
        <f t="shared" si="0"/>
        <v>239</v>
      </c>
      <c r="I9" s="132">
        <v>72.64</v>
      </c>
      <c r="J9" s="121">
        <f t="shared" si="1"/>
        <v>17360.96</v>
      </c>
      <c r="K9" s="34">
        <f t="shared" si="2"/>
        <v>0</v>
      </c>
      <c r="M9" s="221"/>
      <c r="N9" s="44" t="s">
        <v>30</v>
      </c>
      <c r="O9" s="70">
        <v>120</v>
      </c>
      <c r="P9" s="128">
        <v>181</v>
      </c>
      <c r="Q9" s="129">
        <v>56</v>
      </c>
      <c r="R9" s="130"/>
      <c r="S9" s="130"/>
      <c r="T9" s="131">
        <f t="shared" si="3"/>
        <v>125</v>
      </c>
      <c r="U9" s="132">
        <v>72.64</v>
      </c>
      <c r="V9" s="150">
        <f t="shared" si="4"/>
        <v>9080</v>
      </c>
      <c r="W9" s="34">
        <f t="shared" si="5"/>
        <v>0</v>
      </c>
      <c r="Y9" s="221"/>
      <c r="Z9" s="44" t="s">
        <v>30</v>
      </c>
      <c r="AA9" s="70">
        <v>120</v>
      </c>
      <c r="AB9" s="192"/>
      <c r="AC9" s="185"/>
      <c r="AD9" s="193"/>
      <c r="AE9" s="193"/>
      <c r="AF9" s="187">
        <f t="shared" si="6"/>
        <v>0</v>
      </c>
      <c r="AG9" s="67">
        <v>72.64</v>
      </c>
      <c r="AH9" s="56">
        <f t="shared" si="7"/>
        <v>0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500</v>
      </c>
      <c r="BM9" s="36">
        <f t="shared" si="15"/>
        <v>136</v>
      </c>
      <c r="BN9" s="38"/>
      <c r="BO9" s="36">
        <f t="shared" si="16"/>
        <v>0</v>
      </c>
      <c r="BP9" s="194">
        <f t="shared" si="17"/>
        <v>364</v>
      </c>
      <c r="BQ9" s="67">
        <v>72.64</v>
      </c>
      <c r="BR9" s="56">
        <f t="shared" si="18"/>
        <v>26440.959999999999</v>
      </c>
      <c r="BS9" s="34">
        <f t="shared" si="19"/>
        <v>0</v>
      </c>
      <c r="BT9" s="1">
        <f t="shared" si="20"/>
        <v>9.1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29.700000000000003</v>
      </c>
    </row>
    <row r="13" spans="1:73" ht="39.75" customHeight="1" thickBot="1" x14ac:dyDescent="0.45">
      <c r="A13" s="12"/>
      <c r="B13" s="11"/>
      <c r="C13" s="142"/>
      <c r="D13" s="143">
        <f>SUM(D4:D12)</f>
        <v>1103</v>
      </c>
      <c r="E13" s="143">
        <f>SUM(E4:E12)</f>
        <v>300</v>
      </c>
      <c r="F13" s="143">
        <f>SUM(F4:F12)</f>
        <v>0</v>
      </c>
      <c r="G13" s="143">
        <f>SUM(G4:G12)</f>
        <v>0</v>
      </c>
      <c r="H13" s="143">
        <f>SUM(H4:H12)</f>
        <v>803</v>
      </c>
      <c r="I13" s="142"/>
      <c r="J13" s="127">
        <f>SUM(J4:J12)</f>
        <v>52438.09</v>
      </c>
      <c r="K13" s="35">
        <f>SUM(K4:K12)</f>
        <v>0</v>
      </c>
      <c r="M13" s="98"/>
      <c r="N13" s="99"/>
      <c r="O13" s="99"/>
      <c r="P13" s="100">
        <f>SUM(P4:P12)</f>
        <v>581</v>
      </c>
      <c r="Q13" s="100">
        <f>SUM(Q4:Q12)</f>
        <v>196</v>
      </c>
      <c r="R13" s="13">
        <f>SUM(R4:R12)</f>
        <v>0</v>
      </c>
      <c r="S13" s="13">
        <f>SUM(S4:S12)</f>
        <v>0</v>
      </c>
      <c r="T13" s="13">
        <f>SUM(T4:T12)</f>
        <v>385</v>
      </c>
      <c r="U13" s="11"/>
      <c r="V13" s="59">
        <f>SUM(V4:V12)</f>
        <v>27159.3</v>
      </c>
      <c r="W13" s="35">
        <f>SUM(W4:W12)</f>
        <v>0</v>
      </c>
      <c r="Y13" s="12"/>
      <c r="Z13" s="11"/>
      <c r="AA13" s="11"/>
      <c r="AB13" s="13">
        <f>SUM(AB4:AB12)</f>
        <v>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0</v>
      </c>
      <c r="AG13" s="11"/>
      <c r="AH13" s="59">
        <f>SUM(AH4:AH12)</f>
        <v>0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1684</v>
      </c>
      <c r="BM13" s="13">
        <f>SUM(BM4:BM12)</f>
        <v>496</v>
      </c>
      <c r="BN13" s="13">
        <f>SUM(BN4:BN12)</f>
        <v>0</v>
      </c>
      <c r="BO13" s="13">
        <f>SUM(BO4:BO12)</f>
        <v>0</v>
      </c>
      <c r="BP13" s="13">
        <f>SUM(BP4:BP12)</f>
        <v>1188</v>
      </c>
      <c r="BQ13" s="11"/>
      <c r="BR13" s="59">
        <f>SUM(BR4:BR12)</f>
        <v>79597.39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5514+2062+2333-53</f>
        <v>9856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1494+3624-8</f>
        <v>5110</v>
      </c>
      <c r="W14" s="29">
        <f>+V22</f>
        <v>0.2999999999992724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/>
      <c r="AI14" s="29">
        <f>+AH22</f>
        <v>0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14966</v>
      </c>
      <c r="BS14" s="29">
        <f>+BR22</f>
        <v>0.38999999999941792</v>
      </c>
      <c r="BU14" s="1">
        <f>BP13/40</f>
        <v>29.7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1021+381+432</f>
        <v>1834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276+671</f>
        <v>947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/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2781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7.9960959676448937E-2</v>
      </c>
      <c r="J16" s="49">
        <f>2334+872+987</f>
        <v>4193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7.9751687267344884E-2</v>
      </c>
      <c r="V16" s="49">
        <f>632+1534</f>
        <v>2166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 t="e">
        <f>+AH16/AH13</f>
        <v>#DIV/0!</v>
      </c>
      <c r="AH16" s="49"/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7.9889554167542426E-2</v>
      </c>
      <c r="BR16" s="53">
        <f t="shared" si="21"/>
        <v>6359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156+51+66</f>
        <v>273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42+102</f>
        <v>144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/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417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30930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29300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60230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25610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0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25610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8.999999999650754E-2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0.2999999999992724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0.38999999999941792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14510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112</v>
      </c>
      <c r="C26" s="263">
        <v>16204</v>
      </c>
      <c r="D26" s="264"/>
      <c r="E26" s="265" t="s">
        <v>81</v>
      </c>
      <c r="F26" s="266"/>
      <c r="G26" s="146">
        <f>100+70+130+130</f>
        <v>430</v>
      </c>
      <c r="H26" s="267" t="s">
        <v>18</v>
      </c>
      <c r="I26" s="268"/>
      <c r="J26" s="47">
        <f>11050+G35</f>
        <v>25430</v>
      </c>
      <c r="M26" s="175"/>
      <c r="N26" s="158"/>
      <c r="O26" s="269"/>
      <c r="P26" s="270"/>
      <c r="Q26" s="271" t="s">
        <v>81</v>
      </c>
      <c r="R26" s="272"/>
      <c r="S26" s="146">
        <v>130</v>
      </c>
      <c r="T26" s="267" t="s">
        <v>18</v>
      </c>
      <c r="U26" s="268"/>
      <c r="V26" s="47">
        <f>29100+70+S35</f>
        <v>29300</v>
      </c>
      <c r="Y26" s="180"/>
      <c r="Z26" s="148"/>
      <c r="AA26" s="259"/>
      <c r="AB26" s="273"/>
      <c r="AC26" s="287"/>
      <c r="AD26" s="288"/>
      <c r="AE26" s="147"/>
      <c r="AF26" s="267" t="s">
        <v>18</v>
      </c>
      <c r="AG26" s="268"/>
      <c r="AH26" s="47"/>
      <c r="AK26" s="176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 t="s">
        <v>57</v>
      </c>
      <c r="B27" s="182" t="s">
        <v>111</v>
      </c>
      <c r="C27" s="263">
        <v>9406</v>
      </c>
      <c r="D27" s="264"/>
      <c r="E27" s="265" t="s">
        <v>113</v>
      </c>
      <c r="F27" s="266"/>
      <c r="G27" s="146">
        <v>11850</v>
      </c>
      <c r="H27" s="285" t="s">
        <v>54</v>
      </c>
      <c r="I27" s="286"/>
      <c r="J27" s="47">
        <v>5500</v>
      </c>
      <c r="M27" s="175"/>
      <c r="N27" s="158"/>
      <c r="O27" s="269"/>
      <c r="P27" s="270"/>
      <c r="Q27" s="271"/>
      <c r="R27" s="272"/>
      <c r="S27" s="146"/>
      <c r="T27" s="282" t="s">
        <v>53</v>
      </c>
      <c r="U27" s="267"/>
      <c r="V27" s="47"/>
      <c r="Y27" s="180"/>
      <c r="Z27" s="148"/>
      <c r="AA27" s="283"/>
      <c r="AB27" s="284"/>
      <c r="AC27" s="287"/>
      <c r="AD27" s="28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 t="s">
        <v>110</v>
      </c>
      <c r="F28" s="266"/>
      <c r="G28" s="146">
        <v>2100</v>
      </c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25610</v>
      </c>
      <c r="D35" s="315"/>
      <c r="E35" s="316" t="s">
        <v>21</v>
      </c>
      <c r="F35" s="317"/>
      <c r="G35" s="87">
        <f>SUM(G26:G34)</f>
        <v>14380</v>
      </c>
      <c r="H35" s="318" t="s">
        <v>17</v>
      </c>
      <c r="I35" s="319"/>
      <c r="J35" s="77">
        <f>SUM(J26:J34)</f>
        <v>30930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130</v>
      </c>
      <c r="T35" s="318" t="s">
        <v>17</v>
      </c>
      <c r="U35" s="319"/>
      <c r="V35" s="77">
        <f>SUM(V26:V34)</f>
        <v>29300</v>
      </c>
      <c r="Y35" s="75"/>
      <c r="Z35" s="76" t="s">
        <v>16</v>
      </c>
      <c r="AA35" s="314">
        <f>SUM(AA26:AB34)</f>
        <v>0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172800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U38"/>
  <sheetViews>
    <sheetView zoomScale="85" zoomScaleNormal="85" zoomScaleSheetLayoutView="100" workbookViewId="0">
      <selection sqref="A1:K1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08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13.58203125" style="1" customWidth="1"/>
    <col min="70" max="70" width="16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114</v>
      </c>
      <c r="M2" s="2"/>
      <c r="N2" s="93" t="s">
        <v>43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06.10.2026</v>
      </c>
      <c r="Y2" s="2"/>
      <c r="Z2" s="93" t="s">
        <v>66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06.10.2026</v>
      </c>
      <c r="AK2" s="94"/>
      <c r="AL2" s="93" t="s">
        <v>69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06.10.2026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06.10.2026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06.10.2026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148</v>
      </c>
      <c r="E4" s="129">
        <v>11</v>
      </c>
      <c r="F4" s="130"/>
      <c r="G4" s="130"/>
      <c r="H4" s="131">
        <f t="shared" ref="H4:H12" si="0">+D4-E4-F4-G4</f>
        <v>137</v>
      </c>
      <c r="I4" s="132">
        <v>52.462499999999999</v>
      </c>
      <c r="J4" s="121">
        <f t="shared" ref="J4:J12" si="1">+H4*I4</f>
        <v>7187.3625000000002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/>
      <c r="Q4" s="129"/>
      <c r="R4" s="130"/>
      <c r="S4" s="130"/>
      <c r="T4" s="131">
        <f t="shared" ref="T4:T12" si="3">+P4-Q4-R4-S4</f>
        <v>0</v>
      </c>
      <c r="U4" s="132">
        <v>52.462499999999999</v>
      </c>
      <c r="V4" s="150">
        <f t="shared" ref="V4:V12" si="4">+T4*U4</f>
        <v>0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53</v>
      </c>
      <c r="AC4" s="185">
        <v>40</v>
      </c>
      <c r="AD4" s="186"/>
      <c r="AE4" s="186"/>
      <c r="AF4" s="187">
        <f t="shared" ref="AF4:AF12" si="6">+AB4-AC4-AD4-AE4</f>
        <v>13</v>
      </c>
      <c r="AG4" s="67">
        <v>52.462499999999999</v>
      </c>
      <c r="AH4" s="56">
        <f t="shared" ref="AH4:AH12" si="7">+AF4*AG4</f>
        <v>682.01249999999993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>
        <v>160</v>
      </c>
      <c r="AO4" s="37">
        <v>40</v>
      </c>
      <c r="AP4" s="38"/>
      <c r="AQ4" s="38"/>
      <c r="AR4" s="196">
        <f t="shared" ref="AR4:AR12" si="9">+AN4-AO4-AP4-AQ4</f>
        <v>120</v>
      </c>
      <c r="AS4" s="67">
        <v>52.462499999999999</v>
      </c>
      <c r="AT4" s="56">
        <f t="shared" ref="AT4:AT12" si="10">+AR4*AS4</f>
        <v>6295.5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361</v>
      </c>
      <c r="BM4" s="36">
        <f t="shared" si="15"/>
        <v>91</v>
      </c>
      <c r="BN4" s="38"/>
      <c r="BO4" s="36">
        <f t="shared" ref="BO4:BO12" si="16">+G4+S4+AE4+AQ4+BC4</f>
        <v>0</v>
      </c>
      <c r="BP4" s="194">
        <f t="shared" ref="BP4:BP12" si="17">+BL4-BM4-BN4-BO4</f>
        <v>270</v>
      </c>
      <c r="BQ4" s="67">
        <v>52.462499999999999</v>
      </c>
      <c r="BR4" s="56">
        <f t="shared" ref="BR4:BR12" si="18">+BP4*BQ4</f>
        <v>14164.875</v>
      </c>
      <c r="BS4" s="34">
        <f t="shared" ref="BS4:BS12" si="19">+BO4*BQ4</f>
        <v>0</v>
      </c>
      <c r="BT4" s="1">
        <f t="shared" ref="BT4:BT11" si="20">+BP4/40</f>
        <v>6.75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107</v>
      </c>
      <c r="E5" s="134">
        <v>18</v>
      </c>
      <c r="F5" s="135"/>
      <c r="G5" s="135"/>
      <c r="H5" s="131">
        <f t="shared" si="0"/>
        <v>89</v>
      </c>
      <c r="I5" s="132">
        <v>52.462499999999999</v>
      </c>
      <c r="J5" s="123">
        <f t="shared" si="1"/>
        <v>4669.1624999999995</v>
      </c>
      <c r="K5" s="34">
        <f t="shared" si="2"/>
        <v>0</v>
      </c>
      <c r="M5" s="221"/>
      <c r="N5" s="45" t="s">
        <v>26</v>
      </c>
      <c r="O5" s="71">
        <v>70</v>
      </c>
      <c r="P5" s="128"/>
      <c r="Q5" s="134"/>
      <c r="R5" s="135"/>
      <c r="S5" s="135"/>
      <c r="T5" s="131">
        <f t="shared" si="3"/>
        <v>0</v>
      </c>
      <c r="U5" s="132">
        <v>52.462499999999999</v>
      </c>
      <c r="V5" s="151">
        <f t="shared" si="4"/>
        <v>0</v>
      </c>
      <c r="W5" s="34">
        <f t="shared" si="5"/>
        <v>0</v>
      </c>
      <c r="Y5" s="221"/>
      <c r="Z5" s="45" t="s">
        <v>26</v>
      </c>
      <c r="AA5" s="71">
        <v>70</v>
      </c>
      <c r="AB5" s="188">
        <v>83</v>
      </c>
      <c r="AC5" s="185">
        <v>40</v>
      </c>
      <c r="AD5" s="189"/>
      <c r="AE5" s="189"/>
      <c r="AF5" s="187">
        <f t="shared" si="6"/>
        <v>43</v>
      </c>
      <c r="AG5" s="67">
        <v>52.462499999999999</v>
      </c>
      <c r="AH5" s="56">
        <f t="shared" si="7"/>
        <v>2255.8874999999998</v>
      </c>
      <c r="AI5" s="34">
        <f t="shared" si="8"/>
        <v>0</v>
      </c>
      <c r="AK5" s="221"/>
      <c r="AL5" s="45" t="s">
        <v>26</v>
      </c>
      <c r="AM5" s="71">
        <v>70</v>
      </c>
      <c r="AN5" s="39">
        <v>200</v>
      </c>
      <c r="AO5" s="40">
        <v>40</v>
      </c>
      <c r="AP5" s="31"/>
      <c r="AQ5" s="31"/>
      <c r="AR5" s="196">
        <f t="shared" si="9"/>
        <v>160</v>
      </c>
      <c r="AS5" s="67">
        <v>52.462499999999999</v>
      </c>
      <c r="AT5" s="57">
        <f t="shared" si="10"/>
        <v>8394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390</v>
      </c>
      <c r="BM5" s="36">
        <f t="shared" si="15"/>
        <v>98</v>
      </c>
      <c r="BN5" s="31"/>
      <c r="BO5" s="36">
        <f t="shared" si="16"/>
        <v>0</v>
      </c>
      <c r="BP5" s="194">
        <f t="shared" si="17"/>
        <v>292</v>
      </c>
      <c r="BQ5" s="67">
        <v>52.462499999999999</v>
      </c>
      <c r="BR5" s="57">
        <f t="shared" si="18"/>
        <v>15319.05</v>
      </c>
      <c r="BS5" s="34">
        <f t="shared" si="19"/>
        <v>0</v>
      </c>
      <c r="BT5" s="1">
        <f t="shared" si="20"/>
        <v>7.3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229</v>
      </c>
      <c r="E6" s="134">
        <v>28</v>
      </c>
      <c r="F6" s="135"/>
      <c r="G6" s="135"/>
      <c r="H6" s="131">
        <f t="shared" si="0"/>
        <v>201</v>
      </c>
      <c r="I6" s="132">
        <v>52.462499999999999</v>
      </c>
      <c r="J6" s="123">
        <f t="shared" si="1"/>
        <v>10544.9625</v>
      </c>
      <c r="K6" s="34">
        <f t="shared" si="2"/>
        <v>0</v>
      </c>
      <c r="M6" s="221"/>
      <c r="N6" s="45" t="s">
        <v>27</v>
      </c>
      <c r="O6" s="71">
        <v>70</v>
      </c>
      <c r="P6" s="133">
        <v>640</v>
      </c>
      <c r="Q6" s="134"/>
      <c r="R6" s="135"/>
      <c r="S6" s="135"/>
      <c r="T6" s="131">
        <f t="shared" si="3"/>
        <v>640</v>
      </c>
      <c r="U6" s="132">
        <v>52.462499999999999</v>
      </c>
      <c r="V6" s="152">
        <f t="shared" si="4"/>
        <v>33576</v>
      </c>
      <c r="W6" s="34">
        <f t="shared" si="5"/>
        <v>0</v>
      </c>
      <c r="Y6" s="221"/>
      <c r="Z6" s="45" t="s">
        <v>27</v>
      </c>
      <c r="AA6" s="71">
        <v>70</v>
      </c>
      <c r="AB6" s="188">
        <v>68</v>
      </c>
      <c r="AC6" s="185">
        <v>40</v>
      </c>
      <c r="AD6" s="189"/>
      <c r="AE6" s="189"/>
      <c r="AF6" s="187">
        <f t="shared" si="6"/>
        <v>28</v>
      </c>
      <c r="AG6" s="67">
        <v>52.462499999999999</v>
      </c>
      <c r="AH6" s="56">
        <f t="shared" si="7"/>
        <v>1468.95</v>
      </c>
      <c r="AI6" s="34">
        <f t="shared" si="8"/>
        <v>0</v>
      </c>
      <c r="AK6" s="221"/>
      <c r="AL6" s="45" t="s">
        <v>27</v>
      </c>
      <c r="AM6" s="71">
        <v>70</v>
      </c>
      <c r="AN6" s="39">
        <v>520</v>
      </c>
      <c r="AO6" s="40">
        <v>40</v>
      </c>
      <c r="AP6" s="31"/>
      <c r="AQ6" s="31"/>
      <c r="AR6" s="196">
        <f t="shared" si="9"/>
        <v>480</v>
      </c>
      <c r="AS6" s="67">
        <v>52.462499999999999</v>
      </c>
      <c r="AT6" s="57">
        <f t="shared" si="10"/>
        <v>25182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1457</v>
      </c>
      <c r="BM6" s="36">
        <f t="shared" si="15"/>
        <v>108</v>
      </c>
      <c r="BN6" s="31"/>
      <c r="BO6" s="36">
        <f t="shared" si="16"/>
        <v>0</v>
      </c>
      <c r="BP6" s="194">
        <f t="shared" si="17"/>
        <v>1349</v>
      </c>
      <c r="BQ6" s="67">
        <v>52.462499999999999</v>
      </c>
      <c r="BR6" s="57">
        <f t="shared" si="18"/>
        <v>70771.912499999991</v>
      </c>
      <c r="BS6" s="34">
        <f t="shared" si="19"/>
        <v>0</v>
      </c>
      <c r="BT6" s="1">
        <f t="shared" si="20"/>
        <v>33.725000000000001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240</v>
      </c>
      <c r="E7" s="137">
        <v>50</v>
      </c>
      <c r="F7" s="138"/>
      <c r="G7" s="159"/>
      <c r="H7" s="131">
        <f t="shared" si="0"/>
        <v>190</v>
      </c>
      <c r="I7" s="132">
        <v>72.64</v>
      </c>
      <c r="J7" s="125">
        <f t="shared" si="1"/>
        <v>13801.6</v>
      </c>
      <c r="K7" s="34">
        <f t="shared" si="2"/>
        <v>0</v>
      </c>
      <c r="M7" s="221"/>
      <c r="N7" s="46" t="s">
        <v>28</v>
      </c>
      <c r="O7" s="72">
        <v>120</v>
      </c>
      <c r="P7" s="136">
        <v>800</v>
      </c>
      <c r="Q7" s="137"/>
      <c r="R7" s="138"/>
      <c r="S7" s="138"/>
      <c r="T7" s="131">
        <f t="shared" si="3"/>
        <v>800</v>
      </c>
      <c r="U7" s="132">
        <v>72.64</v>
      </c>
      <c r="V7" s="152">
        <f t="shared" si="4"/>
        <v>58112</v>
      </c>
      <c r="W7" s="34">
        <f t="shared" si="5"/>
        <v>0</v>
      </c>
      <c r="Y7" s="221"/>
      <c r="Z7" s="46" t="s">
        <v>28</v>
      </c>
      <c r="AA7" s="72">
        <v>120</v>
      </c>
      <c r="AB7" s="190">
        <v>130</v>
      </c>
      <c r="AC7" s="185">
        <v>40</v>
      </c>
      <c r="AD7" s="191"/>
      <c r="AE7" s="191"/>
      <c r="AF7" s="187">
        <f t="shared" si="6"/>
        <v>90</v>
      </c>
      <c r="AG7" s="67">
        <v>72.64</v>
      </c>
      <c r="AH7" s="56">
        <f t="shared" si="7"/>
        <v>6537.6</v>
      </c>
      <c r="AI7" s="34">
        <f t="shared" si="8"/>
        <v>0</v>
      </c>
      <c r="AK7" s="221"/>
      <c r="AL7" s="46" t="s">
        <v>28</v>
      </c>
      <c r="AM7" s="72">
        <v>120</v>
      </c>
      <c r="AN7" s="41">
        <v>360</v>
      </c>
      <c r="AO7" s="42">
        <v>40</v>
      </c>
      <c r="AP7" s="43"/>
      <c r="AQ7" s="43"/>
      <c r="AR7" s="196">
        <f t="shared" si="9"/>
        <v>320</v>
      </c>
      <c r="AS7" s="67">
        <v>72.64</v>
      </c>
      <c r="AT7" s="58">
        <f t="shared" si="10"/>
        <v>23244.799999999999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1530</v>
      </c>
      <c r="BM7" s="36">
        <f t="shared" si="15"/>
        <v>130</v>
      </c>
      <c r="BN7" s="43"/>
      <c r="BO7" s="36">
        <f t="shared" si="16"/>
        <v>0</v>
      </c>
      <c r="BP7" s="194">
        <f t="shared" si="17"/>
        <v>1400</v>
      </c>
      <c r="BQ7" s="67">
        <v>72.64</v>
      </c>
      <c r="BR7" s="58">
        <f t="shared" si="18"/>
        <v>101696</v>
      </c>
      <c r="BS7" s="34">
        <f t="shared" si="19"/>
        <v>0</v>
      </c>
      <c r="BT7" s="1">
        <f t="shared" si="20"/>
        <v>35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190</v>
      </c>
      <c r="E8" s="140">
        <v>47</v>
      </c>
      <c r="F8" s="141"/>
      <c r="G8" s="141"/>
      <c r="H8" s="131">
        <f t="shared" si="0"/>
        <v>143</v>
      </c>
      <c r="I8" s="132">
        <v>72.64</v>
      </c>
      <c r="J8" s="125">
        <f t="shared" si="1"/>
        <v>10387.52</v>
      </c>
      <c r="K8" s="34">
        <f t="shared" si="2"/>
        <v>0</v>
      </c>
      <c r="M8" s="221"/>
      <c r="N8" s="63" t="s">
        <v>29</v>
      </c>
      <c r="O8" s="73">
        <v>120</v>
      </c>
      <c r="P8" s="139">
        <v>1200</v>
      </c>
      <c r="Q8" s="140"/>
      <c r="R8" s="141"/>
      <c r="S8" s="141"/>
      <c r="T8" s="131">
        <f t="shared" si="3"/>
        <v>1200</v>
      </c>
      <c r="U8" s="132">
        <v>72.64</v>
      </c>
      <c r="V8" s="152">
        <f t="shared" si="4"/>
        <v>87168</v>
      </c>
      <c r="W8" s="34">
        <f t="shared" si="5"/>
        <v>0</v>
      </c>
      <c r="Y8" s="221"/>
      <c r="Z8" s="63" t="s">
        <v>29</v>
      </c>
      <c r="AA8" s="73">
        <v>120</v>
      </c>
      <c r="AB8" s="188">
        <v>150</v>
      </c>
      <c r="AC8" s="185">
        <v>30</v>
      </c>
      <c r="AD8" s="189"/>
      <c r="AE8" s="189"/>
      <c r="AF8" s="187">
        <f t="shared" si="6"/>
        <v>120</v>
      </c>
      <c r="AG8" s="67">
        <v>72.64</v>
      </c>
      <c r="AH8" s="56">
        <f t="shared" si="7"/>
        <v>8716.7999999999993</v>
      </c>
      <c r="AI8" s="34">
        <f t="shared" si="8"/>
        <v>0</v>
      </c>
      <c r="AK8" s="221"/>
      <c r="AL8" s="63" t="s">
        <v>29</v>
      </c>
      <c r="AM8" s="73">
        <v>120</v>
      </c>
      <c r="AN8" s="64">
        <v>480</v>
      </c>
      <c r="AO8" s="65">
        <v>40</v>
      </c>
      <c r="AP8" s="66"/>
      <c r="AQ8" s="66"/>
      <c r="AR8" s="196">
        <f t="shared" si="9"/>
        <v>440</v>
      </c>
      <c r="AS8" s="67">
        <v>72.64</v>
      </c>
      <c r="AT8" s="58">
        <f t="shared" si="10"/>
        <v>31961.599999999999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2020</v>
      </c>
      <c r="BM8" s="36">
        <f t="shared" si="15"/>
        <v>117</v>
      </c>
      <c r="BN8" s="66"/>
      <c r="BO8" s="36">
        <f t="shared" si="16"/>
        <v>0</v>
      </c>
      <c r="BP8" s="194">
        <f t="shared" si="17"/>
        <v>1903</v>
      </c>
      <c r="BQ8" s="67">
        <v>72.64</v>
      </c>
      <c r="BR8" s="58">
        <f t="shared" si="18"/>
        <v>138233.92000000001</v>
      </c>
      <c r="BS8" s="34">
        <f t="shared" si="19"/>
        <v>0</v>
      </c>
      <c r="BT8" s="1">
        <f t="shared" si="20"/>
        <v>47.575000000000003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379</v>
      </c>
      <c r="E9" s="129">
        <v>38</v>
      </c>
      <c r="F9" s="130"/>
      <c r="G9" s="130"/>
      <c r="H9" s="131">
        <f t="shared" si="0"/>
        <v>341</v>
      </c>
      <c r="I9" s="132">
        <v>72.64</v>
      </c>
      <c r="J9" s="121">
        <f t="shared" si="1"/>
        <v>24770.240000000002</v>
      </c>
      <c r="K9" s="34">
        <f t="shared" si="2"/>
        <v>0</v>
      </c>
      <c r="M9" s="221"/>
      <c r="N9" s="44" t="s">
        <v>30</v>
      </c>
      <c r="O9" s="70">
        <v>120</v>
      </c>
      <c r="P9" s="128">
        <v>1000</v>
      </c>
      <c r="Q9" s="129"/>
      <c r="R9" s="130"/>
      <c r="S9" s="130"/>
      <c r="T9" s="131">
        <f t="shared" si="3"/>
        <v>1000</v>
      </c>
      <c r="U9" s="132">
        <v>72.64</v>
      </c>
      <c r="V9" s="150">
        <f t="shared" si="4"/>
        <v>72640</v>
      </c>
      <c r="W9" s="34">
        <f t="shared" si="5"/>
        <v>0</v>
      </c>
      <c r="Y9" s="221"/>
      <c r="Z9" s="44" t="s">
        <v>30</v>
      </c>
      <c r="AA9" s="70">
        <v>120</v>
      </c>
      <c r="AB9" s="192">
        <v>162</v>
      </c>
      <c r="AC9" s="185">
        <v>50</v>
      </c>
      <c r="AD9" s="193"/>
      <c r="AE9" s="193"/>
      <c r="AF9" s="187">
        <f t="shared" si="6"/>
        <v>112</v>
      </c>
      <c r="AG9" s="67">
        <v>72.64</v>
      </c>
      <c r="AH9" s="56">
        <f t="shared" si="7"/>
        <v>8135.68</v>
      </c>
      <c r="AI9" s="34">
        <f t="shared" si="8"/>
        <v>0</v>
      </c>
      <c r="AK9" s="221"/>
      <c r="AL9" s="44" t="s">
        <v>30</v>
      </c>
      <c r="AM9" s="70">
        <v>120</v>
      </c>
      <c r="AN9" s="36">
        <v>640</v>
      </c>
      <c r="AO9" s="37">
        <v>80</v>
      </c>
      <c r="AP9" s="38"/>
      <c r="AQ9" s="38"/>
      <c r="AR9" s="196">
        <f t="shared" si="9"/>
        <v>560</v>
      </c>
      <c r="AS9" s="67">
        <v>72.64</v>
      </c>
      <c r="AT9" s="56">
        <f t="shared" si="10"/>
        <v>40678.400000000001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2181</v>
      </c>
      <c r="BM9" s="36">
        <f t="shared" si="15"/>
        <v>168</v>
      </c>
      <c r="BN9" s="38"/>
      <c r="BO9" s="36">
        <f t="shared" si="16"/>
        <v>0</v>
      </c>
      <c r="BP9" s="194">
        <f t="shared" si="17"/>
        <v>2013</v>
      </c>
      <c r="BQ9" s="67">
        <v>72.64</v>
      </c>
      <c r="BR9" s="56">
        <f t="shared" si="18"/>
        <v>146224.32000000001</v>
      </c>
      <c r="BS9" s="34">
        <f t="shared" si="19"/>
        <v>0</v>
      </c>
      <c r="BT9" s="1">
        <f t="shared" si="20"/>
        <v>50.325000000000003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180.67500000000001</v>
      </c>
    </row>
    <row r="13" spans="1:73" ht="39.75" customHeight="1" thickBot="1" x14ac:dyDescent="0.45">
      <c r="A13" s="12"/>
      <c r="B13" s="11"/>
      <c r="C13" s="142"/>
      <c r="D13" s="143">
        <f>SUM(D4:D12)</f>
        <v>1293</v>
      </c>
      <c r="E13" s="143">
        <f>SUM(E4:E12)</f>
        <v>192</v>
      </c>
      <c r="F13" s="143">
        <f>SUM(F4:F12)</f>
        <v>0</v>
      </c>
      <c r="G13" s="143">
        <f>SUM(G4:G12)</f>
        <v>0</v>
      </c>
      <c r="H13" s="143">
        <f>SUM(H4:H12)</f>
        <v>1101</v>
      </c>
      <c r="I13" s="142"/>
      <c r="J13" s="127">
        <f>SUM(J4:J12)</f>
        <v>71360.847500000003</v>
      </c>
      <c r="K13" s="35">
        <f>SUM(K4:K12)</f>
        <v>0</v>
      </c>
      <c r="M13" s="98"/>
      <c r="N13" s="99"/>
      <c r="O13" s="99"/>
      <c r="P13" s="100">
        <f>SUM(P4:P12)</f>
        <v>3640</v>
      </c>
      <c r="Q13" s="100">
        <f>SUM(Q4:Q12)</f>
        <v>0</v>
      </c>
      <c r="R13" s="13">
        <f>SUM(R4:R12)</f>
        <v>0</v>
      </c>
      <c r="S13" s="13">
        <f>SUM(S4:S12)</f>
        <v>0</v>
      </c>
      <c r="T13" s="13">
        <f>SUM(T4:T12)</f>
        <v>3640</v>
      </c>
      <c r="U13" s="11"/>
      <c r="V13" s="59">
        <f>SUM(V4:V12)</f>
        <v>251496</v>
      </c>
      <c r="W13" s="35">
        <f>SUM(W4:W12)</f>
        <v>0</v>
      </c>
      <c r="Y13" s="12"/>
      <c r="Z13" s="11"/>
      <c r="AA13" s="11"/>
      <c r="AB13" s="13">
        <f>SUM(AB4:AB12)</f>
        <v>646</v>
      </c>
      <c r="AC13" s="13">
        <f>SUM(AC4:AC12)</f>
        <v>240</v>
      </c>
      <c r="AD13" s="13">
        <f>SUM(AD4:AD12)</f>
        <v>0</v>
      </c>
      <c r="AE13" s="13">
        <f>SUM(AE4:AE12)</f>
        <v>0</v>
      </c>
      <c r="AF13" s="13">
        <f>SUM(AF4:AF12)</f>
        <v>406</v>
      </c>
      <c r="AG13" s="11"/>
      <c r="AH13" s="59">
        <f>SUM(AH4:AH12)</f>
        <v>27796.93</v>
      </c>
      <c r="AI13" s="35">
        <f>SUM(AI4:AI12)</f>
        <v>0</v>
      </c>
      <c r="AK13" s="12"/>
      <c r="AL13" s="11"/>
      <c r="AM13" s="11"/>
      <c r="AN13" s="13">
        <f>SUM(AN4:AN12)</f>
        <v>2360</v>
      </c>
      <c r="AO13" s="13">
        <f>SUM(AO4:AO12)</f>
        <v>280</v>
      </c>
      <c r="AP13" s="13">
        <f>SUM(AP4:AP12)</f>
        <v>0</v>
      </c>
      <c r="AQ13" s="13">
        <f>SUM(AQ4:AQ12)</f>
        <v>0</v>
      </c>
      <c r="AR13" s="13">
        <f>SUM(AR4:AR12)</f>
        <v>2080</v>
      </c>
      <c r="AS13" s="11"/>
      <c r="AT13" s="59">
        <f>SUM(AT4:AT12)</f>
        <v>135756.29999999999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7939</v>
      </c>
      <c r="BM13" s="13">
        <f>SUM(BM4:BM12)</f>
        <v>712</v>
      </c>
      <c r="BN13" s="13">
        <f>SUM(BN4:BN12)</f>
        <v>0</v>
      </c>
      <c r="BO13" s="13">
        <f>SUM(BO4:BO12)</f>
        <v>0</v>
      </c>
      <c r="BP13" s="13">
        <f>SUM(BP4:BP12)</f>
        <v>7227</v>
      </c>
      <c r="BQ13" s="11"/>
      <c r="BR13" s="59">
        <f>SUM(BR4:BR12)</f>
        <v>486410.07750000001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8748+2044+2420</f>
        <v>13212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47135-2099</f>
        <v>45036</v>
      </c>
      <c r="W14" s="29">
        <f>+V22</f>
        <v>0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2696+2556-15</f>
        <v>5237</v>
      </c>
      <c r="AI14" s="29">
        <f>+AH22</f>
        <v>0.93000000000029104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4881+6925+2837+3935+1098+2044+2440+1098+396-76</f>
        <v>25578</v>
      </c>
      <c r="AU14" s="29">
        <f>+AT22</f>
        <v>0.29999999998835847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89063</v>
      </c>
      <c r="BS14" s="29">
        <f>+BR22</f>
        <v>2.0775000000139698</v>
      </c>
      <c r="BU14" s="1">
        <f>BP13/40</f>
        <v>180.67500000000001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1620+378+448</f>
        <v>2446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v>8728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499+473</f>
        <v>972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f>903+1282+525+728</f>
        <v>3438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15584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9.5864892860191994E-2</v>
      </c>
      <c r="J16" s="49">
        <f>4952+865+1024</f>
        <v>6841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0.15866256322168146</v>
      </c>
      <c r="V16" s="49">
        <f>39903</f>
        <v>39903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8.177162010337112E-2</v>
      </c>
      <c r="AH16" s="49">
        <f>1191+1082</f>
        <v>2273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0.14180557366398466</v>
      </c>
      <c r="AT16" s="49">
        <f>3099+4397+2101+2915+1046+1946+2324+1046+377</f>
        <v>19251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0.14035071055862325</v>
      </c>
      <c r="BR16" s="53">
        <f t="shared" si="21"/>
        <v>68268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242+58+68</f>
        <v>368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v>1239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76+72</f>
        <v>148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f>133+189+76+105+29+54+65+29+10</f>
        <v>690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2445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30500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249140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29936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309576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45153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0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139335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184488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0.84750000000349246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0.93000000000029104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0.29999999998835847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2.0775000000139698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14476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115</v>
      </c>
      <c r="C26" s="263">
        <v>43697</v>
      </c>
      <c r="D26" s="264"/>
      <c r="E26" s="265" t="s">
        <v>81</v>
      </c>
      <c r="F26" s="266"/>
      <c r="G26" s="146">
        <f>30+30+100+130</f>
        <v>290</v>
      </c>
      <c r="H26" s="267" t="s">
        <v>18</v>
      </c>
      <c r="I26" s="268"/>
      <c r="J26" s="47">
        <f>30210+G35</f>
        <v>30500</v>
      </c>
      <c r="M26" s="175"/>
      <c r="N26" s="158"/>
      <c r="O26" s="269"/>
      <c r="P26" s="270"/>
      <c r="Q26" s="271"/>
      <c r="R26" s="272"/>
      <c r="S26" s="146"/>
      <c r="T26" s="267" t="s">
        <v>18</v>
      </c>
      <c r="U26" s="268"/>
      <c r="V26" s="47">
        <v>249140</v>
      </c>
      <c r="Y26" s="180"/>
      <c r="Z26" s="148"/>
      <c r="AA26" s="259"/>
      <c r="AB26" s="273"/>
      <c r="AC26" s="297" t="s">
        <v>81</v>
      </c>
      <c r="AD26" s="298"/>
      <c r="AE26" s="147">
        <f>50+100+50</f>
        <v>200</v>
      </c>
      <c r="AF26" s="267" t="s">
        <v>18</v>
      </c>
      <c r="AG26" s="268"/>
      <c r="AH26" s="47">
        <f>15750+AE35</f>
        <v>29936</v>
      </c>
      <c r="AK26" s="176" t="s">
        <v>67</v>
      </c>
      <c r="AL26" s="162" t="s">
        <v>118</v>
      </c>
      <c r="AM26" s="259">
        <v>26839</v>
      </c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 t="s">
        <v>74</v>
      </c>
      <c r="B27" s="182" t="s">
        <v>127</v>
      </c>
      <c r="C27" s="263">
        <v>1456</v>
      </c>
      <c r="D27" s="264"/>
      <c r="E27" s="265"/>
      <c r="F27" s="266"/>
      <c r="G27" s="146"/>
      <c r="H27" s="285" t="s">
        <v>54</v>
      </c>
      <c r="I27" s="286"/>
      <c r="J27" s="47"/>
      <c r="M27" s="175"/>
      <c r="N27" s="158"/>
      <c r="O27" s="269"/>
      <c r="P27" s="270"/>
      <c r="Q27" s="271"/>
      <c r="R27" s="272"/>
      <c r="S27" s="146"/>
      <c r="T27" s="282" t="s">
        <v>53</v>
      </c>
      <c r="U27" s="267"/>
      <c r="V27" s="47"/>
      <c r="Y27" s="180"/>
      <c r="Z27" s="148"/>
      <c r="AA27" s="283"/>
      <c r="AB27" s="284"/>
      <c r="AC27" s="297" t="s">
        <v>116</v>
      </c>
      <c r="AD27" s="298"/>
      <c r="AE27" s="147">
        <v>11886</v>
      </c>
      <c r="AF27" s="267" t="s">
        <v>53</v>
      </c>
      <c r="AG27" s="268"/>
      <c r="AH27" s="47"/>
      <c r="AK27" s="176" t="s">
        <v>67</v>
      </c>
      <c r="AL27" s="162" t="s">
        <v>119</v>
      </c>
      <c r="AM27" s="283">
        <v>38078</v>
      </c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 t="s">
        <v>117</v>
      </c>
      <c r="AD28" s="298"/>
      <c r="AE28" s="147">
        <v>2100</v>
      </c>
      <c r="AF28" s="267"/>
      <c r="AG28" s="268"/>
      <c r="AH28" s="47"/>
      <c r="AK28" s="176" t="s">
        <v>67</v>
      </c>
      <c r="AL28" s="162" t="s">
        <v>120</v>
      </c>
      <c r="AM28" s="283">
        <v>15223</v>
      </c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 t="s">
        <v>67</v>
      </c>
      <c r="AL29" s="162" t="s">
        <v>121</v>
      </c>
      <c r="AM29" s="283">
        <v>21221</v>
      </c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 t="s">
        <v>67</v>
      </c>
      <c r="AL30" s="199" t="s">
        <v>122</v>
      </c>
      <c r="AM30" s="283">
        <v>5892</v>
      </c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 t="s">
        <v>67</v>
      </c>
      <c r="AL31" s="162" t="s">
        <v>123</v>
      </c>
      <c r="AM31" s="283">
        <v>10967</v>
      </c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 t="s">
        <v>67</v>
      </c>
      <c r="AL32" s="162" t="s">
        <v>124</v>
      </c>
      <c r="AM32" s="283">
        <v>13095</v>
      </c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 t="s">
        <v>67</v>
      </c>
      <c r="AL33" s="162" t="s">
        <v>125</v>
      </c>
      <c r="AM33" s="283">
        <v>5892</v>
      </c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 t="s">
        <v>67</v>
      </c>
      <c r="AL34" s="162" t="s">
        <v>126</v>
      </c>
      <c r="AM34" s="283">
        <v>2128</v>
      </c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45153</v>
      </c>
      <c r="D35" s="315"/>
      <c r="E35" s="316" t="s">
        <v>21</v>
      </c>
      <c r="F35" s="317"/>
      <c r="G35" s="87">
        <f>SUM(G26:G34)</f>
        <v>290</v>
      </c>
      <c r="H35" s="318" t="s">
        <v>17</v>
      </c>
      <c r="I35" s="319"/>
      <c r="J35" s="77">
        <f>SUM(J26:J34)</f>
        <v>30500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249140</v>
      </c>
      <c r="Y35" s="75"/>
      <c r="Z35" s="76" t="s">
        <v>16</v>
      </c>
      <c r="AA35" s="314">
        <f>SUM(AA26:AB34)</f>
        <v>0</v>
      </c>
      <c r="AB35" s="315"/>
      <c r="AC35" s="316" t="s">
        <v>21</v>
      </c>
      <c r="AD35" s="317"/>
      <c r="AE35" s="87">
        <f>SUM(AE26:AE34)</f>
        <v>14186</v>
      </c>
      <c r="AF35" s="318" t="s">
        <v>17</v>
      </c>
      <c r="AG35" s="319"/>
      <c r="AH35" s="77">
        <f>SUM(AH26:AH34)</f>
        <v>29936</v>
      </c>
      <c r="AK35" s="75"/>
      <c r="AL35" s="76" t="s">
        <v>16</v>
      </c>
      <c r="AM35" s="314">
        <f>SUM(AM26:AM34)</f>
        <v>139335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172800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U38"/>
  <sheetViews>
    <sheetView topLeftCell="A21" zoomScale="85" zoomScaleNormal="85" zoomScaleSheetLayoutView="100" workbookViewId="0">
      <selection activeCell="J26" sqref="J26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3.33203125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128</v>
      </c>
      <c r="M2" s="2"/>
      <c r="N2" s="93" t="s">
        <v>129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07.10.2026</v>
      </c>
      <c r="Y2" s="2"/>
      <c r="Z2" s="93" t="s">
        <v>66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07.10.2026</v>
      </c>
      <c r="AK2" s="94"/>
      <c r="AL2" s="93" t="s">
        <v>43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07.10.2026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07.10.2026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07.10.2026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30</v>
      </c>
      <c r="E4" s="129"/>
      <c r="F4" s="130"/>
      <c r="G4" s="130"/>
      <c r="H4" s="131">
        <f t="shared" ref="H4:H12" si="0">+D4-E4-F4-G4</f>
        <v>30</v>
      </c>
      <c r="I4" s="132">
        <v>52.462499999999999</v>
      </c>
      <c r="J4" s="121">
        <f t="shared" ref="J4:J12" si="1">+H4*I4</f>
        <v>1573.875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400</v>
      </c>
      <c r="Q4" s="129"/>
      <c r="R4" s="130"/>
      <c r="S4" s="130"/>
      <c r="T4" s="131">
        <f t="shared" ref="T4:T12" si="3">+P4-Q4-R4-S4</f>
        <v>400</v>
      </c>
      <c r="U4" s="132">
        <v>52.462499999999999</v>
      </c>
      <c r="V4" s="150">
        <f t="shared" ref="V4:V12" si="4">+T4*U4</f>
        <v>20985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109</v>
      </c>
      <c r="AC4" s="185">
        <v>64</v>
      </c>
      <c r="AD4" s="186"/>
      <c r="AE4" s="186"/>
      <c r="AF4" s="187">
        <f t="shared" ref="AF4:AF12" si="6">+AB4-AC4-AD4-AE4</f>
        <v>45</v>
      </c>
      <c r="AG4" s="67">
        <v>52.462499999999999</v>
      </c>
      <c r="AH4" s="56">
        <f t="shared" ref="AH4:AH12" si="7">+AF4*AG4</f>
        <v>2360.8125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>
        <v>80</v>
      </c>
      <c r="AO4" s="37">
        <v>40</v>
      </c>
      <c r="AP4" s="38"/>
      <c r="AQ4" s="38"/>
      <c r="AR4" s="196">
        <f t="shared" ref="AR4:AR12" si="9">+AN4-AO4-AP4-AQ4</f>
        <v>40</v>
      </c>
      <c r="AS4" s="67">
        <v>52.462499999999999</v>
      </c>
      <c r="AT4" s="56">
        <f t="shared" ref="AT4:AT12" si="10">+AR4*AS4</f>
        <v>2098.5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>
        <v>160</v>
      </c>
      <c r="BA4" s="37"/>
      <c r="BB4" s="38"/>
      <c r="BC4" s="38"/>
      <c r="BD4" s="196">
        <f t="shared" ref="BD4:BD12" si="12">+AZ4-BA4-BB4-BC4</f>
        <v>160</v>
      </c>
      <c r="BE4" s="67">
        <v>52.462499999999999</v>
      </c>
      <c r="BF4" s="56">
        <f t="shared" ref="BF4:BF12" si="13">+BD4*BE4</f>
        <v>8394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779</v>
      </c>
      <c r="BM4" s="36">
        <f t="shared" si="15"/>
        <v>104</v>
      </c>
      <c r="BN4" s="38"/>
      <c r="BO4" s="36">
        <f t="shared" ref="BO4:BO12" si="16">+G4+S4+AE4+AQ4+BC4</f>
        <v>0</v>
      </c>
      <c r="BP4" s="194">
        <f t="shared" ref="BP4:BP12" si="17">+BL4-BM4-BN4-BO4</f>
        <v>675</v>
      </c>
      <c r="BQ4" s="67">
        <v>52.462499999999999</v>
      </c>
      <c r="BR4" s="56">
        <f t="shared" ref="BR4:BR12" si="18">+BP4*BQ4</f>
        <v>35412.1875</v>
      </c>
      <c r="BS4" s="34">
        <f t="shared" ref="BS4:BS12" si="19">+BO4*BQ4</f>
        <v>0</v>
      </c>
      <c r="BT4" s="1">
        <f t="shared" ref="BT4:BT11" si="20">+BP4/40</f>
        <v>16.875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20</v>
      </c>
      <c r="E5" s="134"/>
      <c r="F5" s="135"/>
      <c r="G5" s="135"/>
      <c r="H5" s="131">
        <f t="shared" si="0"/>
        <v>20</v>
      </c>
      <c r="I5" s="132">
        <v>52.462499999999999</v>
      </c>
      <c r="J5" s="123">
        <f t="shared" si="1"/>
        <v>1049.25</v>
      </c>
      <c r="K5" s="34">
        <f t="shared" si="2"/>
        <v>0</v>
      </c>
      <c r="M5" s="221"/>
      <c r="N5" s="45" t="s">
        <v>26</v>
      </c>
      <c r="O5" s="71">
        <v>70</v>
      </c>
      <c r="P5" s="128">
        <v>400</v>
      </c>
      <c r="Q5" s="134"/>
      <c r="R5" s="135"/>
      <c r="S5" s="135"/>
      <c r="T5" s="131">
        <f t="shared" si="3"/>
        <v>400</v>
      </c>
      <c r="U5" s="132">
        <v>52.462499999999999</v>
      </c>
      <c r="V5" s="151">
        <f t="shared" si="4"/>
        <v>20985</v>
      </c>
      <c r="W5" s="34">
        <f t="shared" si="5"/>
        <v>0</v>
      </c>
      <c r="Y5" s="221"/>
      <c r="Z5" s="45" t="s">
        <v>26</v>
      </c>
      <c r="AA5" s="71">
        <v>70</v>
      </c>
      <c r="AB5" s="188">
        <v>115</v>
      </c>
      <c r="AC5" s="185">
        <v>59</v>
      </c>
      <c r="AD5" s="189"/>
      <c r="AE5" s="189"/>
      <c r="AF5" s="187">
        <f t="shared" si="6"/>
        <v>56</v>
      </c>
      <c r="AG5" s="67">
        <v>52.462499999999999</v>
      </c>
      <c r="AH5" s="56">
        <f t="shared" si="7"/>
        <v>2937.9</v>
      </c>
      <c r="AI5" s="34">
        <f t="shared" si="8"/>
        <v>0</v>
      </c>
      <c r="AK5" s="221"/>
      <c r="AL5" s="45" t="s">
        <v>26</v>
      </c>
      <c r="AM5" s="71">
        <v>70</v>
      </c>
      <c r="AN5" s="39">
        <v>80</v>
      </c>
      <c r="AO5" s="40">
        <v>40</v>
      </c>
      <c r="AP5" s="31"/>
      <c r="AQ5" s="31"/>
      <c r="AR5" s="196">
        <f t="shared" si="9"/>
        <v>40</v>
      </c>
      <c r="AS5" s="67">
        <v>52.462499999999999</v>
      </c>
      <c r="AT5" s="57">
        <f t="shared" si="10"/>
        <v>2098.5</v>
      </c>
      <c r="AU5" s="34">
        <f t="shared" si="11"/>
        <v>0</v>
      </c>
      <c r="AW5" s="221"/>
      <c r="AX5" s="45" t="s">
        <v>26</v>
      </c>
      <c r="AY5" s="71">
        <v>70</v>
      </c>
      <c r="AZ5" s="36">
        <v>200</v>
      </c>
      <c r="BA5" s="40"/>
      <c r="BB5" s="31"/>
      <c r="BC5" s="31"/>
      <c r="BD5" s="196">
        <f t="shared" si="12"/>
        <v>200</v>
      </c>
      <c r="BE5" s="67">
        <v>52.462499999999999</v>
      </c>
      <c r="BF5" s="57">
        <f t="shared" si="13"/>
        <v>10492.5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815</v>
      </c>
      <c r="BM5" s="36">
        <f t="shared" si="15"/>
        <v>99</v>
      </c>
      <c r="BN5" s="31"/>
      <c r="BO5" s="36">
        <f t="shared" si="16"/>
        <v>0</v>
      </c>
      <c r="BP5" s="194">
        <f t="shared" si="17"/>
        <v>716</v>
      </c>
      <c r="BQ5" s="67">
        <v>52.462499999999999</v>
      </c>
      <c r="BR5" s="57">
        <f t="shared" si="18"/>
        <v>37563.15</v>
      </c>
      <c r="BS5" s="34">
        <f t="shared" si="19"/>
        <v>0</v>
      </c>
      <c r="BT5" s="1">
        <f t="shared" si="20"/>
        <v>17.899999999999999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70</v>
      </c>
      <c r="E6" s="134"/>
      <c r="F6" s="135"/>
      <c r="G6" s="135"/>
      <c r="H6" s="131">
        <f t="shared" si="0"/>
        <v>70</v>
      </c>
      <c r="I6" s="132">
        <v>52.462499999999999</v>
      </c>
      <c r="J6" s="123">
        <f t="shared" si="1"/>
        <v>3672.375</v>
      </c>
      <c r="K6" s="34">
        <f t="shared" si="2"/>
        <v>0</v>
      </c>
      <c r="M6" s="221"/>
      <c r="N6" s="45" t="s">
        <v>27</v>
      </c>
      <c r="O6" s="71">
        <v>70</v>
      </c>
      <c r="P6" s="133"/>
      <c r="Q6" s="134"/>
      <c r="R6" s="135"/>
      <c r="S6" s="135"/>
      <c r="T6" s="131">
        <f t="shared" si="3"/>
        <v>0</v>
      </c>
      <c r="U6" s="132">
        <v>52.462499999999999</v>
      </c>
      <c r="V6" s="152">
        <f t="shared" si="4"/>
        <v>0</v>
      </c>
      <c r="W6" s="34">
        <f t="shared" si="5"/>
        <v>0</v>
      </c>
      <c r="Y6" s="221"/>
      <c r="Z6" s="45" t="s">
        <v>27</v>
      </c>
      <c r="AA6" s="71">
        <v>70</v>
      </c>
      <c r="AB6" s="188">
        <v>139</v>
      </c>
      <c r="AC6" s="185">
        <v>65</v>
      </c>
      <c r="AD6" s="189"/>
      <c r="AE6" s="189"/>
      <c r="AF6" s="187">
        <f t="shared" si="6"/>
        <v>74</v>
      </c>
      <c r="AG6" s="67">
        <v>52.462499999999999</v>
      </c>
      <c r="AH6" s="56">
        <f t="shared" si="7"/>
        <v>3882.2249999999999</v>
      </c>
      <c r="AI6" s="34">
        <f t="shared" si="8"/>
        <v>0</v>
      </c>
      <c r="AK6" s="221"/>
      <c r="AL6" s="45" t="s">
        <v>27</v>
      </c>
      <c r="AM6" s="71">
        <v>70</v>
      </c>
      <c r="AN6" s="39">
        <v>80</v>
      </c>
      <c r="AO6" s="40"/>
      <c r="AP6" s="31"/>
      <c r="AQ6" s="31"/>
      <c r="AR6" s="196">
        <f t="shared" si="9"/>
        <v>80</v>
      </c>
      <c r="AS6" s="67">
        <v>52.462499999999999</v>
      </c>
      <c r="AT6" s="57">
        <f t="shared" si="10"/>
        <v>4197</v>
      </c>
      <c r="AU6" s="34">
        <f t="shared" si="11"/>
        <v>0</v>
      </c>
      <c r="AW6" s="221"/>
      <c r="AX6" s="45" t="s">
        <v>27</v>
      </c>
      <c r="AY6" s="71">
        <v>70</v>
      </c>
      <c r="AZ6" s="36">
        <v>480</v>
      </c>
      <c r="BA6" s="40"/>
      <c r="BB6" s="31"/>
      <c r="BC6" s="31"/>
      <c r="BD6" s="196">
        <f t="shared" si="12"/>
        <v>480</v>
      </c>
      <c r="BE6" s="67">
        <v>52.462499999999999</v>
      </c>
      <c r="BF6" s="57">
        <f t="shared" si="13"/>
        <v>25182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769</v>
      </c>
      <c r="BM6" s="36">
        <f t="shared" si="15"/>
        <v>65</v>
      </c>
      <c r="BN6" s="31"/>
      <c r="BO6" s="36">
        <f t="shared" si="16"/>
        <v>0</v>
      </c>
      <c r="BP6" s="194">
        <f t="shared" si="17"/>
        <v>704</v>
      </c>
      <c r="BQ6" s="67">
        <v>52.462499999999999</v>
      </c>
      <c r="BR6" s="57">
        <f t="shared" si="18"/>
        <v>36933.599999999999</v>
      </c>
      <c r="BS6" s="34">
        <f t="shared" si="19"/>
        <v>0</v>
      </c>
      <c r="BT6" s="1">
        <f t="shared" si="20"/>
        <v>17.600000000000001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50</v>
      </c>
      <c r="E7" s="137"/>
      <c r="F7" s="138"/>
      <c r="G7" s="159"/>
      <c r="H7" s="131">
        <f t="shared" si="0"/>
        <v>50</v>
      </c>
      <c r="I7" s="132">
        <v>72.64</v>
      </c>
      <c r="J7" s="125">
        <f t="shared" si="1"/>
        <v>3632</v>
      </c>
      <c r="K7" s="34">
        <f t="shared" si="2"/>
        <v>0</v>
      </c>
      <c r="M7" s="221"/>
      <c r="N7" s="46" t="s">
        <v>28</v>
      </c>
      <c r="O7" s="72">
        <v>120</v>
      </c>
      <c r="P7" s="136">
        <v>600</v>
      </c>
      <c r="Q7" s="137"/>
      <c r="R7" s="138"/>
      <c r="S7" s="138"/>
      <c r="T7" s="131">
        <f t="shared" si="3"/>
        <v>600</v>
      </c>
      <c r="U7" s="132">
        <v>72.64</v>
      </c>
      <c r="V7" s="152">
        <f t="shared" si="4"/>
        <v>43584</v>
      </c>
      <c r="W7" s="34">
        <f t="shared" si="5"/>
        <v>0</v>
      </c>
      <c r="Y7" s="221"/>
      <c r="Z7" s="46" t="s">
        <v>28</v>
      </c>
      <c r="AA7" s="72">
        <v>120</v>
      </c>
      <c r="AB7" s="190">
        <v>153</v>
      </c>
      <c r="AC7" s="185">
        <v>66</v>
      </c>
      <c r="AD7" s="191"/>
      <c r="AE7" s="191"/>
      <c r="AF7" s="187">
        <f t="shared" si="6"/>
        <v>87</v>
      </c>
      <c r="AG7" s="67">
        <v>72.64</v>
      </c>
      <c r="AH7" s="56">
        <f t="shared" si="7"/>
        <v>6319.68</v>
      </c>
      <c r="AI7" s="34">
        <f t="shared" si="8"/>
        <v>0</v>
      </c>
      <c r="AK7" s="221"/>
      <c r="AL7" s="46" t="s">
        <v>28</v>
      </c>
      <c r="AM7" s="72">
        <v>120</v>
      </c>
      <c r="AN7" s="41">
        <v>120</v>
      </c>
      <c r="AO7" s="42">
        <v>40</v>
      </c>
      <c r="AP7" s="43"/>
      <c r="AQ7" s="43"/>
      <c r="AR7" s="196">
        <f t="shared" si="9"/>
        <v>80</v>
      </c>
      <c r="AS7" s="67">
        <v>72.64</v>
      </c>
      <c r="AT7" s="58">
        <f t="shared" si="10"/>
        <v>5811.2</v>
      </c>
      <c r="AU7" s="34">
        <f t="shared" si="11"/>
        <v>0</v>
      </c>
      <c r="AW7" s="221"/>
      <c r="AX7" s="46" t="s">
        <v>28</v>
      </c>
      <c r="AY7" s="72">
        <v>120</v>
      </c>
      <c r="AZ7" s="36">
        <v>440</v>
      </c>
      <c r="BA7" s="42"/>
      <c r="BB7" s="43"/>
      <c r="BC7" s="43"/>
      <c r="BD7" s="196">
        <f t="shared" si="12"/>
        <v>440</v>
      </c>
      <c r="BE7" s="67">
        <v>72.64</v>
      </c>
      <c r="BF7" s="58">
        <f t="shared" si="13"/>
        <v>31961.599999999999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1363</v>
      </c>
      <c r="BM7" s="36">
        <f t="shared" si="15"/>
        <v>106</v>
      </c>
      <c r="BN7" s="43"/>
      <c r="BO7" s="36">
        <f t="shared" si="16"/>
        <v>0</v>
      </c>
      <c r="BP7" s="194">
        <f t="shared" si="17"/>
        <v>1257</v>
      </c>
      <c r="BQ7" s="67">
        <v>72.64</v>
      </c>
      <c r="BR7" s="58">
        <f t="shared" si="18"/>
        <v>91308.479999999996</v>
      </c>
      <c r="BS7" s="34">
        <f t="shared" si="19"/>
        <v>0</v>
      </c>
      <c r="BT7" s="1">
        <f t="shared" si="20"/>
        <v>31.425000000000001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40</v>
      </c>
      <c r="E8" s="140"/>
      <c r="F8" s="141"/>
      <c r="G8" s="141"/>
      <c r="H8" s="131">
        <f t="shared" si="0"/>
        <v>40</v>
      </c>
      <c r="I8" s="132">
        <v>72.64</v>
      </c>
      <c r="J8" s="125">
        <f t="shared" si="1"/>
        <v>2905.6</v>
      </c>
      <c r="K8" s="34">
        <f t="shared" si="2"/>
        <v>0</v>
      </c>
      <c r="M8" s="221"/>
      <c r="N8" s="63" t="s">
        <v>29</v>
      </c>
      <c r="O8" s="73">
        <v>120</v>
      </c>
      <c r="P8" s="139">
        <v>800</v>
      </c>
      <c r="Q8" s="140"/>
      <c r="R8" s="141"/>
      <c r="S8" s="141"/>
      <c r="T8" s="131">
        <f t="shared" si="3"/>
        <v>800</v>
      </c>
      <c r="U8" s="132">
        <v>72.64</v>
      </c>
      <c r="V8" s="152">
        <f t="shared" si="4"/>
        <v>58112</v>
      </c>
      <c r="W8" s="34">
        <f t="shared" si="5"/>
        <v>0</v>
      </c>
      <c r="Y8" s="221"/>
      <c r="Z8" s="63" t="s">
        <v>29</v>
      </c>
      <c r="AA8" s="73">
        <v>120</v>
      </c>
      <c r="AB8" s="188">
        <v>148</v>
      </c>
      <c r="AC8" s="185">
        <v>65</v>
      </c>
      <c r="AD8" s="189"/>
      <c r="AE8" s="189"/>
      <c r="AF8" s="187">
        <f t="shared" si="6"/>
        <v>83</v>
      </c>
      <c r="AG8" s="67">
        <v>72.64</v>
      </c>
      <c r="AH8" s="56">
        <f t="shared" si="7"/>
        <v>6029.12</v>
      </c>
      <c r="AI8" s="34">
        <f t="shared" si="8"/>
        <v>0</v>
      </c>
      <c r="AK8" s="221"/>
      <c r="AL8" s="63" t="s">
        <v>29</v>
      </c>
      <c r="AM8" s="73">
        <v>120</v>
      </c>
      <c r="AN8" s="64">
        <v>200</v>
      </c>
      <c r="AO8" s="65">
        <v>80</v>
      </c>
      <c r="AP8" s="66"/>
      <c r="AQ8" s="66"/>
      <c r="AR8" s="196">
        <f t="shared" si="9"/>
        <v>120</v>
      </c>
      <c r="AS8" s="67">
        <v>72.64</v>
      </c>
      <c r="AT8" s="58">
        <f t="shared" si="10"/>
        <v>8716.7999999999993</v>
      </c>
      <c r="AU8" s="34">
        <f t="shared" si="11"/>
        <v>0</v>
      </c>
      <c r="AW8" s="221"/>
      <c r="AX8" s="63" t="s">
        <v>29</v>
      </c>
      <c r="AY8" s="73">
        <v>120</v>
      </c>
      <c r="AZ8" s="36">
        <v>520</v>
      </c>
      <c r="BA8" s="65"/>
      <c r="BB8" s="66"/>
      <c r="BC8" s="66"/>
      <c r="BD8" s="196">
        <f t="shared" si="12"/>
        <v>520</v>
      </c>
      <c r="BE8" s="67">
        <v>72.64</v>
      </c>
      <c r="BF8" s="58">
        <f t="shared" si="13"/>
        <v>37772.800000000003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1708</v>
      </c>
      <c r="BM8" s="36">
        <f t="shared" si="15"/>
        <v>145</v>
      </c>
      <c r="BN8" s="66"/>
      <c r="BO8" s="36">
        <f t="shared" si="16"/>
        <v>0</v>
      </c>
      <c r="BP8" s="194">
        <f t="shared" si="17"/>
        <v>1563</v>
      </c>
      <c r="BQ8" s="67">
        <v>72.64</v>
      </c>
      <c r="BR8" s="58">
        <f t="shared" si="18"/>
        <v>113536.32000000001</v>
      </c>
      <c r="BS8" s="34">
        <f t="shared" si="19"/>
        <v>0</v>
      </c>
      <c r="BT8" s="1">
        <f t="shared" si="20"/>
        <v>39.075000000000003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70</v>
      </c>
      <c r="E9" s="129"/>
      <c r="F9" s="130"/>
      <c r="G9" s="130"/>
      <c r="H9" s="131">
        <f t="shared" si="0"/>
        <v>70</v>
      </c>
      <c r="I9" s="132">
        <v>72.64</v>
      </c>
      <c r="J9" s="121">
        <f t="shared" si="1"/>
        <v>5084.8</v>
      </c>
      <c r="K9" s="34">
        <f t="shared" si="2"/>
        <v>0</v>
      </c>
      <c r="M9" s="221"/>
      <c r="N9" s="44" t="s">
        <v>30</v>
      </c>
      <c r="O9" s="70">
        <v>120</v>
      </c>
      <c r="P9" s="128">
        <v>800</v>
      </c>
      <c r="Q9" s="129"/>
      <c r="R9" s="130"/>
      <c r="S9" s="130"/>
      <c r="T9" s="131">
        <f t="shared" si="3"/>
        <v>800</v>
      </c>
      <c r="U9" s="132">
        <v>72.64</v>
      </c>
      <c r="V9" s="150">
        <f t="shared" si="4"/>
        <v>58112</v>
      </c>
      <c r="W9" s="34">
        <f t="shared" si="5"/>
        <v>0</v>
      </c>
      <c r="Y9" s="221"/>
      <c r="Z9" s="44" t="s">
        <v>30</v>
      </c>
      <c r="AA9" s="70">
        <v>120</v>
      </c>
      <c r="AB9" s="192">
        <v>166</v>
      </c>
      <c r="AC9" s="185">
        <v>68</v>
      </c>
      <c r="AD9" s="193"/>
      <c r="AE9" s="193"/>
      <c r="AF9" s="187">
        <f t="shared" si="6"/>
        <v>98</v>
      </c>
      <c r="AG9" s="67">
        <v>72.64</v>
      </c>
      <c r="AH9" s="56">
        <f t="shared" si="7"/>
        <v>7118.72</v>
      </c>
      <c r="AI9" s="34">
        <f t="shared" si="8"/>
        <v>0</v>
      </c>
      <c r="AK9" s="221"/>
      <c r="AL9" s="44" t="s">
        <v>30</v>
      </c>
      <c r="AM9" s="70">
        <v>120</v>
      </c>
      <c r="AN9" s="36">
        <v>200</v>
      </c>
      <c r="AO9" s="37">
        <v>80</v>
      </c>
      <c r="AP9" s="38"/>
      <c r="AQ9" s="38"/>
      <c r="AR9" s="196">
        <f t="shared" si="9"/>
        <v>120</v>
      </c>
      <c r="AS9" s="67">
        <v>72.64</v>
      </c>
      <c r="AT9" s="56">
        <f t="shared" si="10"/>
        <v>8716.7999999999993</v>
      </c>
      <c r="AU9" s="34">
        <f t="shared" si="11"/>
        <v>0</v>
      </c>
      <c r="AW9" s="221"/>
      <c r="AX9" s="44" t="s">
        <v>30</v>
      </c>
      <c r="AY9" s="70">
        <v>120</v>
      </c>
      <c r="AZ9" s="36">
        <v>600</v>
      </c>
      <c r="BA9" s="37"/>
      <c r="BB9" s="38"/>
      <c r="BC9" s="38"/>
      <c r="BD9" s="196">
        <f t="shared" si="12"/>
        <v>600</v>
      </c>
      <c r="BE9" s="67">
        <v>72.64</v>
      </c>
      <c r="BF9" s="56">
        <f t="shared" si="13"/>
        <v>43584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1836</v>
      </c>
      <c r="BM9" s="36">
        <f t="shared" si="15"/>
        <v>148</v>
      </c>
      <c r="BN9" s="38"/>
      <c r="BO9" s="36">
        <f t="shared" si="16"/>
        <v>0</v>
      </c>
      <c r="BP9" s="194">
        <f t="shared" si="17"/>
        <v>1688</v>
      </c>
      <c r="BQ9" s="67">
        <v>72.64</v>
      </c>
      <c r="BR9" s="56">
        <f t="shared" si="18"/>
        <v>122616.32000000001</v>
      </c>
      <c r="BS9" s="34">
        <f t="shared" si="19"/>
        <v>0</v>
      </c>
      <c r="BT9" s="1">
        <f t="shared" si="20"/>
        <v>42.2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165.07499999999999</v>
      </c>
    </row>
    <row r="13" spans="1:73" ht="39.75" customHeight="1" thickBot="1" x14ac:dyDescent="0.45">
      <c r="A13" s="12"/>
      <c r="B13" s="11"/>
      <c r="C13" s="142"/>
      <c r="D13" s="143">
        <f>SUM(D4:D12)</f>
        <v>280</v>
      </c>
      <c r="E13" s="143">
        <f>SUM(E4:E12)</f>
        <v>0</v>
      </c>
      <c r="F13" s="143">
        <f>SUM(F4:F12)</f>
        <v>0</v>
      </c>
      <c r="G13" s="143">
        <f>SUM(G4:G12)</f>
        <v>0</v>
      </c>
      <c r="H13" s="143">
        <f>SUM(H4:H12)</f>
        <v>280</v>
      </c>
      <c r="I13" s="142"/>
      <c r="J13" s="127">
        <f>SUM(J4:J12)</f>
        <v>17917.900000000001</v>
      </c>
      <c r="K13" s="35">
        <f>SUM(K4:K12)</f>
        <v>0</v>
      </c>
      <c r="M13" s="98"/>
      <c r="N13" s="99"/>
      <c r="O13" s="99"/>
      <c r="P13" s="100">
        <f>SUM(P4:P12)</f>
        <v>3000</v>
      </c>
      <c r="Q13" s="100">
        <f>SUM(Q4:Q12)</f>
        <v>0</v>
      </c>
      <c r="R13" s="13">
        <f>SUM(R4:R12)</f>
        <v>0</v>
      </c>
      <c r="S13" s="13">
        <f>SUM(S4:S12)</f>
        <v>0</v>
      </c>
      <c r="T13" s="13">
        <f>SUM(T4:T12)</f>
        <v>3000</v>
      </c>
      <c r="U13" s="11"/>
      <c r="V13" s="59">
        <f>SUM(V4:V12)</f>
        <v>201778</v>
      </c>
      <c r="W13" s="35">
        <f>SUM(W4:W12)</f>
        <v>0</v>
      </c>
      <c r="Y13" s="12"/>
      <c r="Z13" s="11"/>
      <c r="AA13" s="11"/>
      <c r="AB13" s="13">
        <f>SUM(AB4:AB12)</f>
        <v>830</v>
      </c>
      <c r="AC13" s="13">
        <f>SUM(AC4:AC12)</f>
        <v>387</v>
      </c>
      <c r="AD13" s="13">
        <f>SUM(AD4:AD12)</f>
        <v>0</v>
      </c>
      <c r="AE13" s="13">
        <f>SUM(AE4:AE12)</f>
        <v>0</v>
      </c>
      <c r="AF13" s="13">
        <f>SUM(AF4:AF12)</f>
        <v>443</v>
      </c>
      <c r="AG13" s="11"/>
      <c r="AH13" s="59">
        <f>SUM(AH4:AH12)</f>
        <v>28648.4575</v>
      </c>
      <c r="AI13" s="35">
        <f>SUM(AI4:AI12)</f>
        <v>0</v>
      </c>
      <c r="AK13" s="12"/>
      <c r="AL13" s="11"/>
      <c r="AM13" s="11"/>
      <c r="AN13" s="13">
        <f>SUM(AN4:AN12)</f>
        <v>760</v>
      </c>
      <c r="AO13" s="13">
        <f>SUM(AO4:AO12)</f>
        <v>280</v>
      </c>
      <c r="AP13" s="13">
        <f>SUM(AP4:AP12)</f>
        <v>0</v>
      </c>
      <c r="AQ13" s="13">
        <f>SUM(AQ4:AQ12)</f>
        <v>0</v>
      </c>
      <c r="AR13" s="13">
        <f>SUM(AR4:AR12)</f>
        <v>480</v>
      </c>
      <c r="AS13" s="11"/>
      <c r="AT13" s="59">
        <f>SUM(AT4:AT12)</f>
        <v>31638.799999999999</v>
      </c>
      <c r="AU13" s="35">
        <f>SUM(AU4:AU12)</f>
        <v>0</v>
      </c>
      <c r="AW13" s="12"/>
      <c r="AX13" s="11"/>
      <c r="AY13" s="11"/>
      <c r="AZ13" s="13">
        <f>SUM(AZ4:AZ12)</f>
        <v>2400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2400</v>
      </c>
      <c r="BE13" s="11"/>
      <c r="BF13" s="59">
        <f>SUM(BF4:BF12)</f>
        <v>157386.90000000002</v>
      </c>
      <c r="BG13" s="35">
        <f>SUM(BG4:BG12)</f>
        <v>0</v>
      </c>
      <c r="BI13" s="12"/>
      <c r="BJ13" s="11"/>
      <c r="BK13" s="11"/>
      <c r="BL13" s="13">
        <f>SUM(BL4:BL12)</f>
        <v>7270</v>
      </c>
      <c r="BM13" s="13">
        <f>SUM(BM4:BM12)</f>
        <v>667</v>
      </c>
      <c r="BN13" s="13">
        <f>SUM(BN4:BN12)</f>
        <v>0</v>
      </c>
      <c r="BO13" s="13">
        <f>SUM(BO4:BO12)</f>
        <v>0</v>
      </c>
      <c r="BP13" s="13">
        <f>SUM(BP4:BP12)</f>
        <v>6603</v>
      </c>
      <c r="BQ13" s="11"/>
      <c r="BR13" s="59">
        <f>SUM(BR4:BR12)</f>
        <v>437370.0575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3386-9</f>
        <v>3377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38135</f>
        <v>38135</v>
      </c>
      <c r="W14" s="29">
        <f>+V22</f>
        <v>0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1623+1144+2593</f>
        <v>5360</v>
      </c>
      <c r="AI14" s="29">
        <f>+AH22</f>
        <v>0.45750000000043656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1647+2440+1098+793+1</f>
        <v>5979</v>
      </c>
      <c r="AU14" s="29">
        <f>+AT22</f>
        <v>-0.2000000000007276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>
        <f>3783+6772+4393+2044+1647+945+1098+2044+2288+1891+1891+945-1</f>
        <v>29740</v>
      </c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82591</v>
      </c>
      <c r="BS14" s="29">
        <f>+BR22</f>
        <v>2.0574999999953434</v>
      </c>
      <c r="BU14" s="1">
        <f>BP13/40</f>
        <v>165.07499999999999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627</f>
        <v>627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7062</f>
        <v>7062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300+211+480</f>
        <v>991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>
        <f>700+1254+813</f>
        <v>2767</v>
      </c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11447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7.9975890031755953E-2</v>
      </c>
      <c r="J16" s="49">
        <f>1433</f>
        <v>1433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0.13999544053365581</v>
      </c>
      <c r="V16" s="49">
        <f>28248</f>
        <v>28248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7.916656594862044E-2</v>
      </c>
      <c r="AH16" s="49">
        <f>687+484+1097</f>
        <v>2268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0.17996889894686272</v>
      </c>
      <c r="AT16" s="49">
        <f>1569+2324+1046+755</f>
        <v>5694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>
        <f>+BF16/BF13</f>
        <v>0.15022215953170179</v>
      </c>
      <c r="BF16" s="49">
        <f>2001+4300+3254+1946+1569+900+1046+1946+2179+1801+1801+900</f>
        <v>23643</v>
      </c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0.14012390411522399</v>
      </c>
      <c r="BR16" s="53">
        <f t="shared" si="21"/>
        <v>61286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96</f>
        <v>96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1023</f>
        <v>1023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46+32+73</f>
        <v>151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f>43+65+29+21</f>
        <v>158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>
        <f>105+185+117+54+43+25+29+54+61+50+50+25</f>
        <v>798</v>
      </c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2226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19330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123375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30600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173305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0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82251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300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32082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161514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276147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0.90000000000145519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0.45750000000043656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-0.2000000000007276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0.90000000002328306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2.0574999999953434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12330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202"/>
      <c r="B26" s="203"/>
      <c r="C26" s="294"/>
      <c r="D26" s="295"/>
      <c r="E26" s="265" t="s">
        <v>81</v>
      </c>
      <c r="F26" s="266"/>
      <c r="G26" s="146">
        <f>130+130</f>
        <v>260</v>
      </c>
      <c r="H26" s="267" t="s">
        <v>18</v>
      </c>
      <c r="I26" s="268"/>
      <c r="J26" s="47">
        <f>13130-12000+G35</f>
        <v>13390</v>
      </c>
      <c r="M26" s="175" t="s">
        <v>74</v>
      </c>
      <c r="N26" s="158" t="s">
        <v>130</v>
      </c>
      <c r="O26" s="269">
        <v>82251</v>
      </c>
      <c r="P26" s="270"/>
      <c r="Q26" s="271" t="s">
        <v>81</v>
      </c>
      <c r="R26" s="272"/>
      <c r="S26" s="146">
        <v>70</v>
      </c>
      <c r="T26" s="267" t="s">
        <v>18</v>
      </c>
      <c r="U26" s="268"/>
      <c r="V26" s="47">
        <f>103705+S35</f>
        <v>103775</v>
      </c>
      <c r="Y26" s="180" t="s">
        <v>74</v>
      </c>
      <c r="Z26" s="148" t="s">
        <v>132</v>
      </c>
      <c r="AA26" s="259">
        <v>300</v>
      </c>
      <c r="AB26" s="273"/>
      <c r="AC26" s="297"/>
      <c r="AD26" s="298"/>
      <c r="AE26" s="147"/>
      <c r="AF26" s="267" t="s">
        <v>18</v>
      </c>
      <c r="AG26" s="268"/>
      <c r="AH26" s="47">
        <f>30600</f>
        <v>30600</v>
      </c>
      <c r="AK26" s="176" t="s">
        <v>67</v>
      </c>
      <c r="AL26" s="162" t="s">
        <v>133</v>
      </c>
      <c r="AM26" s="259">
        <v>8839</v>
      </c>
      <c r="AN26" s="273"/>
      <c r="AO26" s="289"/>
      <c r="AP26" s="290"/>
      <c r="AQ26" s="163"/>
      <c r="AR26" s="280" t="s">
        <v>18</v>
      </c>
      <c r="AS26" s="281"/>
      <c r="AT26" s="164"/>
      <c r="AW26" s="102" t="s">
        <v>67</v>
      </c>
      <c r="AX26" s="78" t="s">
        <v>137</v>
      </c>
      <c r="AY26" s="283">
        <v>21203</v>
      </c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/>
      <c r="B27" s="182"/>
      <c r="C27" s="263"/>
      <c r="D27" s="264"/>
      <c r="E27" s="265" t="s">
        <v>131</v>
      </c>
      <c r="F27" s="266"/>
      <c r="G27" s="146">
        <v>12000</v>
      </c>
      <c r="H27" s="285" t="s">
        <v>54</v>
      </c>
      <c r="I27" s="286"/>
      <c r="J27" s="47">
        <v>5940</v>
      </c>
      <c r="M27" s="175"/>
      <c r="N27" s="158"/>
      <c r="O27" s="269"/>
      <c r="P27" s="270"/>
      <c r="Q27" s="271"/>
      <c r="R27" s="272"/>
      <c r="S27" s="146"/>
      <c r="T27" s="282" t="s">
        <v>53</v>
      </c>
      <c r="U27" s="267"/>
      <c r="V27" s="47">
        <v>19600</v>
      </c>
      <c r="W27" s="145"/>
      <c r="Y27" s="180"/>
      <c r="Z27" s="148"/>
      <c r="AA27" s="283"/>
      <c r="AB27" s="284"/>
      <c r="AC27" s="297"/>
      <c r="AD27" s="298"/>
      <c r="AE27" s="147"/>
      <c r="AF27" s="267" t="s">
        <v>53</v>
      </c>
      <c r="AG27" s="268"/>
      <c r="AH27" s="47"/>
      <c r="AK27" s="176" t="s">
        <v>67</v>
      </c>
      <c r="AL27" s="162" t="s">
        <v>134</v>
      </c>
      <c r="AM27" s="283">
        <v>13095</v>
      </c>
      <c r="AN27" s="284"/>
      <c r="AO27" s="299"/>
      <c r="AP27" s="290"/>
      <c r="AQ27" s="163"/>
      <c r="AR27" s="282" t="s">
        <v>53</v>
      </c>
      <c r="AS27" s="267"/>
      <c r="AT27" s="47"/>
      <c r="AW27" s="102" t="s">
        <v>67</v>
      </c>
      <c r="AX27" s="78" t="s">
        <v>138</v>
      </c>
      <c r="AY27" s="284">
        <v>37239</v>
      </c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 t="s">
        <v>67</v>
      </c>
      <c r="AL28" s="162" t="s">
        <v>135</v>
      </c>
      <c r="AM28" s="283">
        <v>5892</v>
      </c>
      <c r="AN28" s="284"/>
      <c r="AO28" s="292"/>
      <c r="AP28" s="293"/>
      <c r="AQ28" s="86"/>
      <c r="AR28" s="267"/>
      <c r="AS28" s="268"/>
      <c r="AT28" s="47"/>
      <c r="AW28" s="102" t="s">
        <v>67</v>
      </c>
      <c r="AX28" s="78" t="s">
        <v>139</v>
      </c>
      <c r="AY28" s="284">
        <v>23687</v>
      </c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 t="s">
        <v>67</v>
      </c>
      <c r="AL29" s="162" t="s">
        <v>136</v>
      </c>
      <c r="AM29" s="283">
        <v>4256</v>
      </c>
      <c r="AN29" s="284"/>
      <c r="AO29" s="292"/>
      <c r="AP29" s="293"/>
      <c r="AQ29" s="86"/>
      <c r="AR29" s="267"/>
      <c r="AS29" s="268"/>
      <c r="AT29" s="47"/>
      <c r="AW29" s="102" t="s">
        <v>67</v>
      </c>
      <c r="AX29" s="78" t="s">
        <v>75</v>
      </c>
      <c r="AY29" s="284">
        <f>10967+8839+5074+5892+10967+12276+10148+10148+5074</f>
        <v>79385</v>
      </c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0</v>
      </c>
      <c r="D35" s="315"/>
      <c r="E35" s="316" t="s">
        <v>21</v>
      </c>
      <c r="F35" s="317"/>
      <c r="G35" s="87">
        <f>SUM(G26:G34)</f>
        <v>12260</v>
      </c>
      <c r="H35" s="318" t="s">
        <v>17</v>
      </c>
      <c r="I35" s="319"/>
      <c r="J35" s="77">
        <f>SUM(J26:J34)</f>
        <v>19330</v>
      </c>
      <c r="M35" s="177"/>
      <c r="N35" s="76" t="s">
        <v>16</v>
      </c>
      <c r="O35" s="314">
        <f>SUM(O26:O34)</f>
        <v>82251</v>
      </c>
      <c r="P35" s="315"/>
      <c r="Q35" s="316" t="s">
        <v>21</v>
      </c>
      <c r="R35" s="317"/>
      <c r="S35" s="87">
        <f>SUM(S26:S34)</f>
        <v>70</v>
      </c>
      <c r="T35" s="318" t="s">
        <v>17</v>
      </c>
      <c r="U35" s="319"/>
      <c r="V35" s="77">
        <f>SUM(V26:V34)</f>
        <v>123375</v>
      </c>
      <c r="Y35" s="75"/>
      <c r="Z35" s="76" t="s">
        <v>16</v>
      </c>
      <c r="AA35" s="314">
        <f>SUM(AA26:AB34)</f>
        <v>300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30600</v>
      </c>
      <c r="AK35" s="75"/>
      <c r="AL35" s="76" t="s">
        <v>16</v>
      </c>
      <c r="AM35" s="314">
        <f>SUM(AM26:AM34)</f>
        <v>32082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161514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172800</v>
      </c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U38"/>
  <sheetViews>
    <sheetView topLeftCell="A21" zoomScale="85" zoomScaleNormal="85" zoomScaleSheetLayoutView="100" workbookViewId="0">
      <selection activeCell="G27" sqref="G27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3.33203125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140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08.10.2026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08.10.2026</v>
      </c>
      <c r="AK2" s="94"/>
      <c r="AL2" s="93" t="s">
        <v>43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08.10.2026</v>
      </c>
      <c r="AW2" s="2"/>
      <c r="AX2" s="93" t="s">
        <v>69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08.10.2026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08.10.2026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124</v>
      </c>
      <c r="E4" s="129">
        <v>32</v>
      </c>
      <c r="F4" s="130"/>
      <c r="G4" s="130"/>
      <c r="H4" s="131">
        <f t="shared" ref="H4:H12" si="0">+D4-E4-F4-G4</f>
        <v>92</v>
      </c>
      <c r="I4" s="132">
        <v>52.462499999999999</v>
      </c>
      <c r="J4" s="121">
        <f t="shared" ref="J4:J12" si="1">+H4*I4</f>
        <v>4826.55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31</v>
      </c>
      <c r="Q4" s="129"/>
      <c r="R4" s="130"/>
      <c r="S4" s="130"/>
      <c r="T4" s="131">
        <f t="shared" ref="T4:T12" si="3">+P4-Q4-R4-S4</f>
        <v>31</v>
      </c>
      <c r="U4" s="132">
        <v>52.462499999999999</v>
      </c>
      <c r="V4" s="150">
        <f t="shared" ref="V4:V12" si="4">+T4*U4</f>
        <v>1626.3374999999999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360</v>
      </c>
      <c r="AC4" s="185"/>
      <c r="AD4" s="186"/>
      <c r="AE4" s="186"/>
      <c r="AF4" s="187">
        <f t="shared" ref="AF4:AF12" si="6">+AB4-AC4-AD4-AE4</f>
        <v>360</v>
      </c>
      <c r="AG4" s="67">
        <v>52.462499999999999</v>
      </c>
      <c r="AH4" s="56">
        <f t="shared" ref="AH4:AH12" si="7">+AF4*AG4</f>
        <v>18886.5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515</v>
      </c>
      <c r="BM4" s="36">
        <f t="shared" si="15"/>
        <v>32</v>
      </c>
      <c r="BN4" s="38"/>
      <c r="BO4" s="36">
        <f t="shared" ref="BO4:BO12" si="16">+G4+S4+AE4+AQ4+BC4</f>
        <v>0</v>
      </c>
      <c r="BP4" s="194">
        <f t="shared" ref="BP4:BP12" si="17">+BL4-BM4-BN4-BO4</f>
        <v>483</v>
      </c>
      <c r="BQ4" s="67">
        <v>52.462499999999999</v>
      </c>
      <c r="BR4" s="56">
        <f t="shared" ref="BR4:BR12" si="18">+BP4*BQ4</f>
        <v>25339.387500000001</v>
      </c>
      <c r="BS4" s="34">
        <f t="shared" ref="BS4:BS12" si="19">+BO4*BQ4</f>
        <v>0</v>
      </c>
      <c r="BT4" s="1">
        <f t="shared" ref="BT4:BT11" si="20">+BP4/40</f>
        <v>12.074999999999999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139</v>
      </c>
      <c r="E5" s="134">
        <v>11</v>
      </c>
      <c r="F5" s="135"/>
      <c r="G5" s="135"/>
      <c r="H5" s="131">
        <f t="shared" si="0"/>
        <v>128</v>
      </c>
      <c r="I5" s="132">
        <v>52.462499999999999</v>
      </c>
      <c r="J5" s="123">
        <f t="shared" si="1"/>
        <v>6715.2</v>
      </c>
      <c r="K5" s="34">
        <f t="shared" si="2"/>
        <v>0</v>
      </c>
      <c r="M5" s="221"/>
      <c r="N5" s="45" t="s">
        <v>26</v>
      </c>
      <c r="O5" s="71">
        <v>70</v>
      </c>
      <c r="P5" s="128">
        <v>31</v>
      </c>
      <c r="Q5" s="134"/>
      <c r="R5" s="135"/>
      <c r="S5" s="135"/>
      <c r="T5" s="131">
        <f t="shared" si="3"/>
        <v>31</v>
      </c>
      <c r="U5" s="132">
        <v>52.462499999999999</v>
      </c>
      <c r="V5" s="151">
        <f t="shared" si="4"/>
        <v>1626.3374999999999</v>
      </c>
      <c r="W5" s="34">
        <f t="shared" si="5"/>
        <v>0</v>
      </c>
      <c r="Y5" s="221"/>
      <c r="Z5" s="45" t="s">
        <v>26</v>
      </c>
      <c r="AA5" s="71">
        <v>70</v>
      </c>
      <c r="AB5" s="188">
        <v>440</v>
      </c>
      <c r="AC5" s="185"/>
      <c r="AD5" s="189"/>
      <c r="AE5" s="189"/>
      <c r="AF5" s="187">
        <f t="shared" si="6"/>
        <v>440</v>
      </c>
      <c r="AG5" s="67">
        <v>52.462499999999999</v>
      </c>
      <c r="AH5" s="56">
        <f t="shared" si="7"/>
        <v>23083.5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610</v>
      </c>
      <c r="BM5" s="36">
        <f t="shared" si="15"/>
        <v>11</v>
      </c>
      <c r="BN5" s="31"/>
      <c r="BO5" s="36">
        <f t="shared" si="16"/>
        <v>0</v>
      </c>
      <c r="BP5" s="194">
        <f t="shared" si="17"/>
        <v>599</v>
      </c>
      <c r="BQ5" s="67">
        <v>52.462499999999999</v>
      </c>
      <c r="BR5" s="57">
        <f t="shared" si="18"/>
        <v>31425.037499999999</v>
      </c>
      <c r="BS5" s="34">
        <f t="shared" si="19"/>
        <v>0</v>
      </c>
      <c r="BT5" s="1">
        <f t="shared" si="20"/>
        <v>14.975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130</v>
      </c>
      <c r="E6" s="134">
        <v>15</v>
      </c>
      <c r="F6" s="135"/>
      <c r="G6" s="135"/>
      <c r="H6" s="131">
        <f t="shared" si="0"/>
        <v>115</v>
      </c>
      <c r="I6" s="132">
        <v>52.462499999999999</v>
      </c>
      <c r="J6" s="123">
        <f t="shared" si="1"/>
        <v>6033.1875</v>
      </c>
      <c r="K6" s="34">
        <f t="shared" si="2"/>
        <v>0</v>
      </c>
      <c r="M6" s="221"/>
      <c r="N6" s="45" t="s">
        <v>27</v>
      </c>
      <c r="O6" s="71">
        <v>70</v>
      </c>
      <c r="P6" s="133">
        <v>37</v>
      </c>
      <c r="Q6" s="134"/>
      <c r="R6" s="135"/>
      <c r="S6" s="135"/>
      <c r="T6" s="131">
        <f t="shared" si="3"/>
        <v>37</v>
      </c>
      <c r="U6" s="132">
        <v>52.462499999999999</v>
      </c>
      <c r="V6" s="152">
        <f t="shared" si="4"/>
        <v>1941.1125</v>
      </c>
      <c r="W6" s="34">
        <f t="shared" si="5"/>
        <v>0</v>
      </c>
      <c r="Y6" s="221"/>
      <c r="Z6" s="45" t="s">
        <v>27</v>
      </c>
      <c r="AA6" s="71">
        <v>70</v>
      </c>
      <c r="AB6" s="188">
        <v>480</v>
      </c>
      <c r="AC6" s="185"/>
      <c r="AD6" s="189"/>
      <c r="AE6" s="189"/>
      <c r="AF6" s="187">
        <f t="shared" si="6"/>
        <v>480</v>
      </c>
      <c r="AG6" s="67">
        <v>52.462499999999999</v>
      </c>
      <c r="AH6" s="56">
        <f t="shared" si="7"/>
        <v>25182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647</v>
      </c>
      <c r="BM6" s="36">
        <f t="shared" si="15"/>
        <v>15</v>
      </c>
      <c r="BN6" s="31"/>
      <c r="BO6" s="36">
        <f t="shared" si="16"/>
        <v>0</v>
      </c>
      <c r="BP6" s="194">
        <f t="shared" si="17"/>
        <v>632</v>
      </c>
      <c r="BQ6" s="67">
        <v>52.462499999999999</v>
      </c>
      <c r="BR6" s="57">
        <f t="shared" si="18"/>
        <v>33156.299999999996</v>
      </c>
      <c r="BS6" s="34">
        <f t="shared" si="19"/>
        <v>0</v>
      </c>
      <c r="BT6" s="1">
        <f t="shared" si="20"/>
        <v>15.8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263</v>
      </c>
      <c r="E7" s="137">
        <v>25</v>
      </c>
      <c r="F7" s="138"/>
      <c r="G7" s="159"/>
      <c r="H7" s="131">
        <f t="shared" si="0"/>
        <v>238</v>
      </c>
      <c r="I7" s="132">
        <v>72.64</v>
      </c>
      <c r="J7" s="125">
        <f t="shared" si="1"/>
        <v>17288.32</v>
      </c>
      <c r="K7" s="34">
        <f t="shared" si="2"/>
        <v>0</v>
      </c>
      <c r="M7" s="221"/>
      <c r="N7" s="46" t="s">
        <v>28</v>
      </c>
      <c r="O7" s="72">
        <v>120</v>
      </c>
      <c r="P7" s="136">
        <v>158</v>
      </c>
      <c r="Q7" s="137"/>
      <c r="R7" s="138"/>
      <c r="S7" s="138"/>
      <c r="T7" s="131">
        <f t="shared" si="3"/>
        <v>158</v>
      </c>
      <c r="U7" s="132">
        <v>72.64</v>
      </c>
      <c r="V7" s="152">
        <f t="shared" si="4"/>
        <v>11477.12</v>
      </c>
      <c r="W7" s="34">
        <f t="shared" si="5"/>
        <v>0</v>
      </c>
      <c r="Y7" s="221"/>
      <c r="Z7" s="46" t="s">
        <v>28</v>
      </c>
      <c r="AA7" s="72">
        <v>120</v>
      </c>
      <c r="AB7" s="190">
        <v>440</v>
      </c>
      <c r="AC7" s="185"/>
      <c r="AD7" s="191"/>
      <c r="AE7" s="191"/>
      <c r="AF7" s="187">
        <f t="shared" si="6"/>
        <v>440</v>
      </c>
      <c r="AG7" s="67">
        <v>72.64</v>
      </c>
      <c r="AH7" s="56">
        <f t="shared" si="7"/>
        <v>31961.599999999999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861</v>
      </c>
      <c r="BM7" s="36">
        <f t="shared" si="15"/>
        <v>25</v>
      </c>
      <c r="BN7" s="43"/>
      <c r="BO7" s="36">
        <f t="shared" si="16"/>
        <v>0</v>
      </c>
      <c r="BP7" s="194">
        <f t="shared" si="17"/>
        <v>836</v>
      </c>
      <c r="BQ7" s="67">
        <v>72.64</v>
      </c>
      <c r="BR7" s="58">
        <f t="shared" si="18"/>
        <v>60727.040000000001</v>
      </c>
      <c r="BS7" s="34">
        <f t="shared" si="19"/>
        <v>0</v>
      </c>
      <c r="BT7" s="1">
        <f t="shared" si="20"/>
        <v>20.9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129</v>
      </c>
      <c r="E8" s="140">
        <v>20</v>
      </c>
      <c r="F8" s="141"/>
      <c r="G8" s="141"/>
      <c r="H8" s="131">
        <f t="shared" si="0"/>
        <v>109</v>
      </c>
      <c r="I8" s="132">
        <v>72.64</v>
      </c>
      <c r="J8" s="125">
        <f t="shared" si="1"/>
        <v>7917.76</v>
      </c>
      <c r="K8" s="34">
        <f t="shared" si="2"/>
        <v>0</v>
      </c>
      <c r="M8" s="221"/>
      <c r="N8" s="63" t="s">
        <v>29</v>
      </c>
      <c r="O8" s="73">
        <v>120</v>
      </c>
      <c r="P8" s="139">
        <v>92</v>
      </c>
      <c r="Q8" s="140"/>
      <c r="R8" s="141"/>
      <c r="S8" s="141"/>
      <c r="T8" s="131">
        <f t="shared" si="3"/>
        <v>92</v>
      </c>
      <c r="U8" s="132">
        <v>72.64</v>
      </c>
      <c r="V8" s="152">
        <f t="shared" si="4"/>
        <v>6682.88</v>
      </c>
      <c r="W8" s="34">
        <f t="shared" si="5"/>
        <v>0</v>
      </c>
      <c r="Y8" s="221"/>
      <c r="Z8" s="63" t="s">
        <v>29</v>
      </c>
      <c r="AA8" s="73">
        <v>120</v>
      </c>
      <c r="AB8" s="188">
        <v>440</v>
      </c>
      <c r="AC8" s="185"/>
      <c r="AD8" s="189"/>
      <c r="AE8" s="189"/>
      <c r="AF8" s="187">
        <f t="shared" si="6"/>
        <v>440</v>
      </c>
      <c r="AG8" s="67">
        <v>72.64</v>
      </c>
      <c r="AH8" s="56">
        <f t="shared" si="7"/>
        <v>31961.599999999999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661</v>
      </c>
      <c r="BM8" s="36">
        <f t="shared" si="15"/>
        <v>20</v>
      </c>
      <c r="BN8" s="66"/>
      <c r="BO8" s="36">
        <f t="shared" si="16"/>
        <v>0</v>
      </c>
      <c r="BP8" s="194">
        <f t="shared" si="17"/>
        <v>641</v>
      </c>
      <c r="BQ8" s="67">
        <v>72.64</v>
      </c>
      <c r="BR8" s="58">
        <f t="shared" si="18"/>
        <v>46562.239999999998</v>
      </c>
      <c r="BS8" s="34">
        <f t="shared" si="19"/>
        <v>0</v>
      </c>
      <c r="BT8" s="1">
        <f t="shared" si="20"/>
        <v>16.024999999999999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235</v>
      </c>
      <c r="E9" s="129">
        <v>35</v>
      </c>
      <c r="F9" s="130"/>
      <c r="G9" s="130"/>
      <c r="H9" s="131">
        <f t="shared" si="0"/>
        <v>200</v>
      </c>
      <c r="I9" s="132">
        <v>72.64</v>
      </c>
      <c r="J9" s="121">
        <f t="shared" si="1"/>
        <v>14528</v>
      </c>
      <c r="K9" s="34">
        <f t="shared" si="2"/>
        <v>0</v>
      </c>
      <c r="M9" s="221"/>
      <c r="N9" s="44" t="s">
        <v>30</v>
      </c>
      <c r="O9" s="70">
        <v>120</v>
      </c>
      <c r="P9" s="128">
        <v>189</v>
      </c>
      <c r="Q9" s="129"/>
      <c r="R9" s="130"/>
      <c r="S9" s="130"/>
      <c r="T9" s="131">
        <f t="shared" si="3"/>
        <v>189</v>
      </c>
      <c r="U9" s="132">
        <v>72.64</v>
      </c>
      <c r="V9" s="150">
        <f t="shared" si="4"/>
        <v>13728.960000000001</v>
      </c>
      <c r="W9" s="34">
        <f t="shared" si="5"/>
        <v>0</v>
      </c>
      <c r="Y9" s="221"/>
      <c r="Z9" s="44" t="s">
        <v>30</v>
      </c>
      <c r="AA9" s="70">
        <v>120</v>
      </c>
      <c r="AB9" s="192">
        <v>440</v>
      </c>
      <c r="AC9" s="185"/>
      <c r="AD9" s="193"/>
      <c r="AE9" s="193"/>
      <c r="AF9" s="187">
        <f t="shared" si="6"/>
        <v>440</v>
      </c>
      <c r="AG9" s="67">
        <v>72.64</v>
      </c>
      <c r="AH9" s="56">
        <f t="shared" si="7"/>
        <v>31961.599999999999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864</v>
      </c>
      <c r="BM9" s="36">
        <f t="shared" si="15"/>
        <v>35</v>
      </c>
      <c r="BN9" s="38"/>
      <c r="BO9" s="36">
        <f t="shared" si="16"/>
        <v>0</v>
      </c>
      <c r="BP9" s="194">
        <f t="shared" si="17"/>
        <v>829</v>
      </c>
      <c r="BQ9" s="67">
        <v>72.64</v>
      </c>
      <c r="BR9" s="56">
        <f t="shared" si="18"/>
        <v>60218.559999999998</v>
      </c>
      <c r="BS9" s="34">
        <f t="shared" si="19"/>
        <v>0</v>
      </c>
      <c r="BT9" s="1">
        <f t="shared" si="20"/>
        <v>20.725000000000001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100.5</v>
      </c>
    </row>
    <row r="13" spans="1:73" ht="39.75" customHeight="1" thickBot="1" x14ac:dyDescent="0.45">
      <c r="A13" s="12"/>
      <c r="B13" s="11"/>
      <c r="C13" s="142"/>
      <c r="D13" s="143">
        <f>SUM(D4:D12)</f>
        <v>1020</v>
      </c>
      <c r="E13" s="143">
        <f>SUM(E4:E12)</f>
        <v>138</v>
      </c>
      <c r="F13" s="143">
        <f>SUM(F4:F12)</f>
        <v>0</v>
      </c>
      <c r="G13" s="143">
        <f>SUM(G4:G12)</f>
        <v>0</v>
      </c>
      <c r="H13" s="143">
        <f>SUM(H4:H12)</f>
        <v>882</v>
      </c>
      <c r="I13" s="142"/>
      <c r="J13" s="127">
        <f>SUM(J4:J12)</f>
        <v>57309.017500000002</v>
      </c>
      <c r="K13" s="35">
        <f>SUM(K4:K12)</f>
        <v>0</v>
      </c>
      <c r="M13" s="98"/>
      <c r="N13" s="99"/>
      <c r="O13" s="99"/>
      <c r="P13" s="100">
        <f>SUM(P4:P12)</f>
        <v>538</v>
      </c>
      <c r="Q13" s="100">
        <f>SUM(Q4:Q12)</f>
        <v>0</v>
      </c>
      <c r="R13" s="13">
        <f>SUM(R4:R12)</f>
        <v>0</v>
      </c>
      <c r="S13" s="13">
        <f>SUM(S4:S12)</f>
        <v>0</v>
      </c>
      <c r="T13" s="13">
        <f>SUM(T4:T12)</f>
        <v>538</v>
      </c>
      <c r="U13" s="11"/>
      <c r="V13" s="59">
        <f>SUM(V4:V12)</f>
        <v>37082.747500000005</v>
      </c>
      <c r="W13" s="35">
        <f>SUM(W4:W12)</f>
        <v>0</v>
      </c>
      <c r="Y13" s="12"/>
      <c r="Z13" s="11"/>
      <c r="AA13" s="11"/>
      <c r="AB13" s="13">
        <f>SUM(AB4:AB12)</f>
        <v>2600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2600</v>
      </c>
      <c r="AG13" s="11"/>
      <c r="AH13" s="59">
        <f>SUM(AH4:AH12)</f>
        <v>163036.80000000002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4158</v>
      </c>
      <c r="BM13" s="13">
        <f>SUM(BM4:BM12)</f>
        <v>138</v>
      </c>
      <c r="BN13" s="13">
        <f>SUM(BN4:BN12)</f>
        <v>0</v>
      </c>
      <c r="BO13" s="13">
        <f>SUM(BO4:BO12)</f>
        <v>0</v>
      </c>
      <c r="BP13" s="13">
        <f>SUM(BP4:BP12)</f>
        <v>4020</v>
      </c>
      <c r="BQ13" s="11"/>
      <c r="BR13" s="59">
        <f>SUM(BR4:BR12)</f>
        <v>257428.565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2440+2242+3780+2318-58</f>
        <v>10722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7008-9</f>
        <v>6999</v>
      </c>
      <c r="W14" s="29">
        <f>+V22</f>
        <v>0.74750000000494765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5674+5277+2837+2837+14186-3</f>
        <v>30808</v>
      </c>
      <c r="AI14" s="29">
        <f>+AH22</f>
        <v>0.8000000000174623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48529</v>
      </c>
      <c r="BS14" s="29">
        <f>+BR22</f>
        <v>1.5650000000023283</v>
      </c>
      <c r="BU14" s="1">
        <f>BP13/40</f>
        <v>100.5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451+415+700+429</f>
        <v>1995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1297</f>
        <v>1297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1050+977+525+2627</f>
        <v>5179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8471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9.2463633668122117E-2</v>
      </c>
      <c r="J16" s="49">
        <f>1033+949+1600+1717</f>
        <v>5299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8.3111425333303568E-2</v>
      </c>
      <c r="V16" s="49">
        <f>3082</f>
        <v>3082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0.12459150326797384</v>
      </c>
      <c r="AH16" s="49">
        <f>4203+3351+1501+2251+9007</f>
        <v>20313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0.11146393175131905</v>
      </c>
      <c r="BR16" s="53">
        <f t="shared" si="21"/>
        <v>28694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69+63+107+62</f>
        <v>301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198</f>
        <v>198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152+144+79+77+388</f>
        <v>840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1339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48536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39900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59613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148049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12502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109579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122081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1.750000000174623E-2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0.74750000000494765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0.8000000000174623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1.5650000000023283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203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67</v>
      </c>
      <c r="B26" s="182" t="s">
        <v>141</v>
      </c>
      <c r="C26" s="263">
        <v>12502</v>
      </c>
      <c r="D26" s="264"/>
      <c r="E26" s="265" t="s">
        <v>81</v>
      </c>
      <c r="F26" s="266"/>
      <c r="G26" s="146">
        <v>130</v>
      </c>
      <c r="H26" s="267" t="s">
        <v>18</v>
      </c>
      <c r="I26" s="268"/>
      <c r="J26" s="47">
        <f>26170+G35</f>
        <v>26300</v>
      </c>
      <c r="M26" s="175"/>
      <c r="N26" s="158"/>
      <c r="O26" s="269"/>
      <c r="P26" s="270"/>
      <c r="Q26" s="271"/>
      <c r="R26" s="272"/>
      <c r="S26" s="146"/>
      <c r="T26" s="267" t="s">
        <v>18</v>
      </c>
      <c r="U26" s="268"/>
      <c r="V26" s="47">
        <f>39900+S35</f>
        <v>39900</v>
      </c>
      <c r="Y26" s="180" t="s">
        <v>67</v>
      </c>
      <c r="Z26" s="148" t="s">
        <v>142</v>
      </c>
      <c r="AA26" s="259">
        <v>15902</v>
      </c>
      <c r="AB26" s="273"/>
      <c r="AC26" s="297" t="s">
        <v>144</v>
      </c>
      <c r="AD26" s="298"/>
      <c r="AE26" s="147">
        <v>73</v>
      </c>
      <c r="AF26" s="267" t="s">
        <v>18</v>
      </c>
      <c r="AG26" s="268"/>
      <c r="AH26" s="47">
        <f>59540+AE35</f>
        <v>59613</v>
      </c>
      <c r="AK26" s="176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181"/>
      <c r="B27" s="182"/>
      <c r="C27" s="263"/>
      <c r="D27" s="264"/>
      <c r="E27" s="265"/>
      <c r="F27" s="266"/>
      <c r="G27" s="146"/>
      <c r="H27" s="285" t="s">
        <v>54</v>
      </c>
      <c r="I27" s="286"/>
      <c r="J27" s="47">
        <f>1236+1000+20000</f>
        <v>22236</v>
      </c>
      <c r="M27" s="175"/>
      <c r="N27" s="158"/>
      <c r="O27" s="269"/>
      <c r="P27" s="270"/>
      <c r="Q27" s="271"/>
      <c r="R27" s="272"/>
      <c r="S27" s="146"/>
      <c r="T27" s="282" t="s">
        <v>53</v>
      </c>
      <c r="U27" s="267"/>
      <c r="V27" s="47"/>
      <c r="W27" s="145"/>
      <c r="Y27" s="180" t="s">
        <v>67</v>
      </c>
      <c r="Z27" s="148" t="s">
        <v>91</v>
      </c>
      <c r="AA27" s="283">
        <v>15676</v>
      </c>
      <c r="AB27" s="284"/>
      <c r="AC27" s="297"/>
      <c r="AD27" s="29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 t="s">
        <v>67</v>
      </c>
      <c r="Z28" s="148" t="s">
        <v>143</v>
      </c>
      <c r="AA28" s="283">
        <v>78001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12502</v>
      </c>
      <c r="D35" s="315"/>
      <c r="E35" s="316" t="s">
        <v>21</v>
      </c>
      <c r="F35" s="317"/>
      <c r="G35" s="87">
        <f>SUM(G26:G34)</f>
        <v>130</v>
      </c>
      <c r="H35" s="318" t="s">
        <v>17</v>
      </c>
      <c r="I35" s="319"/>
      <c r="J35" s="77">
        <f>SUM(J26:J34)</f>
        <v>48536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39900</v>
      </c>
      <c r="Y35" s="75"/>
      <c r="Z35" s="76" t="s">
        <v>16</v>
      </c>
      <c r="AA35" s="314">
        <f>SUM(AA26:AB34)</f>
        <v>109579</v>
      </c>
      <c r="AB35" s="315"/>
      <c r="AC35" s="316" t="s">
        <v>21</v>
      </c>
      <c r="AD35" s="317"/>
      <c r="AE35" s="87">
        <f>SUM(AE26:AE34)</f>
        <v>73</v>
      </c>
      <c r="AF35" s="318" t="s">
        <v>17</v>
      </c>
      <c r="AG35" s="319"/>
      <c r="AH35" s="77">
        <f>SUM(AH26:AH34)</f>
        <v>59613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157124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U38"/>
  <sheetViews>
    <sheetView zoomScale="85" zoomScaleNormal="85" zoomScaleSheetLayoutView="100" workbookViewId="0">
      <selection sqref="A1:K1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3.33203125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145</v>
      </c>
      <c r="M2" s="2"/>
      <c r="N2" s="93" t="s">
        <v>69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09.10.2026</v>
      </c>
      <c r="Y2" s="2"/>
      <c r="Z2" s="93" t="s">
        <v>66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09.10.2026</v>
      </c>
      <c r="AK2" s="94"/>
      <c r="AL2" s="93" t="s">
        <v>87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09.10.2026</v>
      </c>
      <c r="AW2" s="2"/>
      <c r="AX2" s="93" t="s">
        <v>67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09.10.2026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09.10.2026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37</v>
      </c>
      <c r="E4" s="129"/>
      <c r="F4" s="130"/>
      <c r="G4" s="130"/>
      <c r="H4" s="131">
        <f t="shared" ref="H4:H12" si="0">+D4-E4-F4-G4</f>
        <v>37</v>
      </c>
      <c r="I4" s="132">
        <v>52.462499999999999</v>
      </c>
      <c r="J4" s="121">
        <f t="shared" ref="J4:J12" si="1">+H4*I4</f>
        <v>1941.1125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280</v>
      </c>
      <c r="Q4" s="129">
        <v>80</v>
      </c>
      <c r="R4" s="130"/>
      <c r="S4" s="130"/>
      <c r="T4" s="131">
        <f t="shared" ref="T4:T12" si="3">+P4-Q4-R4-S4</f>
        <v>200</v>
      </c>
      <c r="U4" s="132">
        <v>52.462499999999999</v>
      </c>
      <c r="V4" s="150">
        <f t="shared" ref="V4:V12" si="4">+T4*U4</f>
        <v>10492.5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80</v>
      </c>
      <c r="AC4" s="185"/>
      <c r="AD4" s="186"/>
      <c r="AE4" s="186"/>
      <c r="AF4" s="187">
        <f t="shared" ref="AF4:AF12" si="6">+AB4-AC4-AD4-AE4</f>
        <v>80</v>
      </c>
      <c r="AG4" s="67">
        <v>52.462499999999999</v>
      </c>
      <c r="AH4" s="56">
        <f t="shared" ref="AH4:AH12" si="7">+AF4*AG4</f>
        <v>4197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>
        <v>40</v>
      </c>
      <c r="BA4" s="37"/>
      <c r="BB4" s="38"/>
      <c r="BC4" s="38"/>
      <c r="BD4" s="196">
        <f t="shared" ref="BD4:BD12" si="12">+AZ4-BA4-BB4-BC4</f>
        <v>40</v>
      </c>
      <c r="BE4" s="67">
        <v>52.462499999999999</v>
      </c>
      <c r="BF4" s="56">
        <f t="shared" ref="BF4:BF12" si="13">+BD4*BE4</f>
        <v>2098.5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437</v>
      </c>
      <c r="BM4" s="36">
        <f t="shared" si="15"/>
        <v>80</v>
      </c>
      <c r="BN4" s="38"/>
      <c r="BO4" s="36">
        <f t="shared" ref="BO4:BO12" si="16">+G4+S4+AE4+AQ4+BC4</f>
        <v>0</v>
      </c>
      <c r="BP4" s="194">
        <f t="shared" ref="BP4:BP12" si="17">+BL4-BM4-BN4-BO4</f>
        <v>357</v>
      </c>
      <c r="BQ4" s="67">
        <v>52.462499999999999</v>
      </c>
      <c r="BR4" s="56">
        <f t="shared" ref="BR4:BR12" si="18">+BP4*BQ4</f>
        <v>18729.112499999999</v>
      </c>
      <c r="BS4" s="34">
        <f t="shared" ref="BS4:BS12" si="19">+BO4*BQ4</f>
        <v>0</v>
      </c>
      <c r="BT4" s="1">
        <f t="shared" ref="BT4:BT11" si="20">+BP4/40</f>
        <v>8.9250000000000007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23</v>
      </c>
      <c r="E5" s="134">
        <v>3</v>
      </c>
      <c r="F5" s="135"/>
      <c r="G5" s="135"/>
      <c r="H5" s="131">
        <f t="shared" si="0"/>
        <v>20</v>
      </c>
      <c r="I5" s="132">
        <v>52.462499999999999</v>
      </c>
      <c r="J5" s="123">
        <f t="shared" si="1"/>
        <v>1049.25</v>
      </c>
      <c r="K5" s="34">
        <f t="shared" si="2"/>
        <v>0</v>
      </c>
      <c r="M5" s="221"/>
      <c r="N5" s="45" t="s">
        <v>26</v>
      </c>
      <c r="O5" s="71">
        <v>70</v>
      </c>
      <c r="P5" s="128">
        <v>120</v>
      </c>
      <c r="Q5" s="134">
        <v>40</v>
      </c>
      <c r="R5" s="135"/>
      <c r="S5" s="135"/>
      <c r="T5" s="131">
        <f t="shared" si="3"/>
        <v>80</v>
      </c>
      <c r="U5" s="132">
        <v>52.462499999999999</v>
      </c>
      <c r="V5" s="151">
        <f t="shared" si="4"/>
        <v>4197</v>
      </c>
      <c r="W5" s="34">
        <f t="shared" si="5"/>
        <v>0</v>
      </c>
      <c r="Y5" s="221"/>
      <c r="Z5" s="45" t="s">
        <v>26</v>
      </c>
      <c r="AA5" s="71">
        <v>70</v>
      </c>
      <c r="AB5" s="188">
        <v>80</v>
      </c>
      <c r="AC5" s="185"/>
      <c r="AD5" s="189"/>
      <c r="AE5" s="189"/>
      <c r="AF5" s="187">
        <f t="shared" si="6"/>
        <v>80</v>
      </c>
      <c r="AG5" s="67">
        <v>52.462499999999999</v>
      </c>
      <c r="AH5" s="56">
        <f t="shared" si="7"/>
        <v>4197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223</v>
      </c>
      <c r="BM5" s="36">
        <f t="shared" si="15"/>
        <v>43</v>
      </c>
      <c r="BN5" s="31"/>
      <c r="BO5" s="36">
        <f t="shared" si="16"/>
        <v>0</v>
      </c>
      <c r="BP5" s="194">
        <f t="shared" si="17"/>
        <v>180</v>
      </c>
      <c r="BQ5" s="67">
        <v>52.462499999999999</v>
      </c>
      <c r="BR5" s="57">
        <f t="shared" si="18"/>
        <v>9443.25</v>
      </c>
      <c r="BS5" s="34">
        <f t="shared" si="19"/>
        <v>0</v>
      </c>
      <c r="BT5" s="1">
        <f t="shared" si="20"/>
        <v>4.5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50</v>
      </c>
      <c r="E6" s="134">
        <v>3</v>
      </c>
      <c r="F6" s="135"/>
      <c r="G6" s="135"/>
      <c r="H6" s="131">
        <f t="shared" si="0"/>
        <v>47</v>
      </c>
      <c r="I6" s="132">
        <v>52.462499999999999</v>
      </c>
      <c r="J6" s="123">
        <f t="shared" si="1"/>
        <v>2465.7374999999997</v>
      </c>
      <c r="K6" s="34">
        <f t="shared" si="2"/>
        <v>0</v>
      </c>
      <c r="M6" s="221"/>
      <c r="N6" s="45" t="s">
        <v>27</v>
      </c>
      <c r="O6" s="71">
        <v>70</v>
      </c>
      <c r="P6" s="133">
        <v>80</v>
      </c>
      <c r="Q6" s="134"/>
      <c r="R6" s="135"/>
      <c r="S6" s="135"/>
      <c r="T6" s="131">
        <f t="shared" si="3"/>
        <v>80</v>
      </c>
      <c r="U6" s="132">
        <v>52.462499999999999</v>
      </c>
      <c r="V6" s="152">
        <f t="shared" si="4"/>
        <v>4197</v>
      </c>
      <c r="W6" s="34">
        <f t="shared" si="5"/>
        <v>0</v>
      </c>
      <c r="Y6" s="221"/>
      <c r="Z6" s="45" t="s">
        <v>27</v>
      </c>
      <c r="AA6" s="71">
        <v>70</v>
      </c>
      <c r="AB6" s="188"/>
      <c r="AC6" s="185"/>
      <c r="AD6" s="189"/>
      <c r="AE6" s="189"/>
      <c r="AF6" s="187">
        <f t="shared" si="6"/>
        <v>0</v>
      </c>
      <c r="AG6" s="67">
        <v>52.462499999999999</v>
      </c>
      <c r="AH6" s="56">
        <f t="shared" si="7"/>
        <v>0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130</v>
      </c>
      <c r="BM6" s="36">
        <f t="shared" si="15"/>
        <v>3</v>
      </c>
      <c r="BN6" s="31"/>
      <c r="BO6" s="36">
        <f t="shared" si="16"/>
        <v>0</v>
      </c>
      <c r="BP6" s="194">
        <f t="shared" si="17"/>
        <v>127</v>
      </c>
      <c r="BQ6" s="67">
        <v>52.462499999999999</v>
      </c>
      <c r="BR6" s="57">
        <f t="shared" si="18"/>
        <v>6662.7375000000002</v>
      </c>
      <c r="BS6" s="34">
        <f t="shared" si="19"/>
        <v>0</v>
      </c>
      <c r="BT6" s="1">
        <f t="shared" si="20"/>
        <v>3.1749999999999998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257</v>
      </c>
      <c r="E7" s="137">
        <v>6</v>
      </c>
      <c r="F7" s="138"/>
      <c r="G7" s="159"/>
      <c r="H7" s="131">
        <f t="shared" si="0"/>
        <v>251</v>
      </c>
      <c r="I7" s="132">
        <v>72.64</v>
      </c>
      <c r="J7" s="125">
        <f t="shared" si="1"/>
        <v>18232.64</v>
      </c>
      <c r="K7" s="34">
        <f t="shared" si="2"/>
        <v>0</v>
      </c>
      <c r="M7" s="221"/>
      <c r="N7" s="46" t="s">
        <v>28</v>
      </c>
      <c r="O7" s="72">
        <v>120</v>
      </c>
      <c r="P7" s="136">
        <v>280</v>
      </c>
      <c r="Q7" s="137">
        <v>20</v>
      </c>
      <c r="R7" s="138"/>
      <c r="S7" s="138"/>
      <c r="T7" s="131">
        <f t="shared" si="3"/>
        <v>260</v>
      </c>
      <c r="U7" s="132">
        <v>72.64</v>
      </c>
      <c r="V7" s="152">
        <f t="shared" si="4"/>
        <v>18886.400000000001</v>
      </c>
      <c r="W7" s="34">
        <f t="shared" si="5"/>
        <v>0</v>
      </c>
      <c r="Y7" s="221"/>
      <c r="Z7" s="46" t="s">
        <v>28</v>
      </c>
      <c r="AA7" s="72">
        <v>120</v>
      </c>
      <c r="AB7" s="190">
        <v>80</v>
      </c>
      <c r="AC7" s="185"/>
      <c r="AD7" s="191"/>
      <c r="AE7" s="191"/>
      <c r="AF7" s="187">
        <f t="shared" si="6"/>
        <v>80</v>
      </c>
      <c r="AG7" s="67">
        <v>72.64</v>
      </c>
      <c r="AH7" s="56">
        <f t="shared" si="7"/>
        <v>5811.2</v>
      </c>
      <c r="AI7" s="34">
        <f t="shared" si="8"/>
        <v>0</v>
      </c>
      <c r="AK7" s="221"/>
      <c r="AL7" s="46" t="s">
        <v>28</v>
      </c>
      <c r="AM7" s="72">
        <v>120</v>
      </c>
      <c r="AN7" s="41">
        <v>3000</v>
      </c>
      <c r="AO7" s="42"/>
      <c r="AP7" s="43"/>
      <c r="AQ7" s="43"/>
      <c r="AR7" s="196">
        <f t="shared" si="9"/>
        <v>3000</v>
      </c>
      <c r="AS7" s="67">
        <v>72.64</v>
      </c>
      <c r="AT7" s="58">
        <f t="shared" si="10"/>
        <v>217920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3617</v>
      </c>
      <c r="BM7" s="36">
        <f t="shared" si="15"/>
        <v>26</v>
      </c>
      <c r="BN7" s="43"/>
      <c r="BO7" s="36">
        <f t="shared" si="16"/>
        <v>0</v>
      </c>
      <c r="BP7" s="194">
        <f t="shared" si="17"/>
        <v>3591</v>
      </c>
      <c r="BQ7" s="67">
        <v>72.64</v>
      </c>
      <c r="BR7" s="58">
        <f t="shared" si="18"/>
        <v>260850.24</v>
      </c>
      <c r="BS7" s="34">
        <f t="shared" si="19"/>
        <v>0</v>
      </c>
      <c r="BT7" s="1">
        <f t="shared" si="20"/>
        <v>89.775000000000006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181</v>
      </c>
      <c r="E8" s="140"/>
      <c r="F8" s="141"/>
      <c r="G8" s="141"/>
      <c r="H8" s="131">
        <f t="shared" si="0"/>
        <v>181</v>
      </c>
      <c r="I8" s="132">
        <v>72.64</v>
      </c>
      <c r="J8" s="125">
        <f t="shared" si="1"/>
        <v>13147.84</v>
      </c>
      <c r="K8" s="34">
        <f t="shared" si="2"/>
        <v>0</v>
      </c>
      <c r="M8" s="221"/>
      <c r="N8" s="63" t="s">
        <v>29</v>
      </c>
      <c r="O8" s="73">
        <v>120</v>
      </c>
      <c r="P8" s="139">
        <v>240</v>
      </c>
      <c r="Q8" s="140">
        <v>20</v>
      </c>
      <c r="R8" s="141"/>
      <c r="S8" s="141"/>
      <c r="T8" s="131">
        <f t="shared" si="3"/>
        <v>220</v>
      </c>
      <c r="U8" s="132">
        <v>72.64</v>
      </c>
      <c r="V8" s="152">
        <f t="shared" si="4"/>
        <v>15980.8</v>
      </c>
      <c r="W8" s="34">
        <f t="shared" si="5"/>
        <v>0</v>
      </c>
      <c r="Y8" s="221"/>
      <c r="Z8" s="63" t="s">
        <v>29</v>
      </c>
      <c r="AA8" s="73">
        <v>120</v>
      </c>
      <c r="AB8" s="188">
        <v>80</v>
      </c>
      <c r="AC8" s="185"/>
      <c r="AD8" s="189"/>
      <c r="AE8" s="189"/>
      <c r="AF8" s="187">
        <f t="shared" si="6"/>
        <v>80</v>
      </c>
      <c r="AG8" s="67">
        <v>72.64</v>
      </c>
      <c r="AH8" s="56">
        <f t="shared" si="7"/>
        <v>5811.2</v>
      </c>
      <c r="AI8" s="34">
        <f t="shared" si="8"/>
        <v>0</v>
      </c>
      <c r="AK8" s="221"/>
      <c r="AL8" s="63" t="s">
        <v>29</v>
      </c>
      <c r="AM8" s="73">
        <v>120</v>
      </c>
      <c r="AN8" s="64">
        <v>2000</v>
      </c>
      <c r="AO8" s="65"/>
      <c r="AP8" s="66"/>
      <c r="AQ8" s="66"/>
      <c r="AR8" s="196">
        <f t="shared" si="9"/>
        <v>2000</v>
      </c>
      <c r="AS8" s="67">
        <v>72.64</v>
      </c>
      <c r="AT8" s="58">
        <f t="shared" si="10"/>
        <v>145280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2501</v>
      </c>
      <c r="BM8" s="36">
        <f t="shared" si="15"/>
        <v>20</v>
      </c>
      <c r="BN8" s="66"/>
      <c r="BO8" s="36">
        <f t="shared" si="16"/>
        <v>0</v>
      </c>
      <c r="BP8" s="194">
        <f t="shared" si="17"/>
        <v>2481</v>
      </c>
      <c r="BQ8" s="67">
        <v>72.64</v>
      </c>
      <c r="BR8" s="58">
        <f t="shared" si="18"/>
        <v>180219.84</v>
      </c>
      <c r="BS8" s="34">
        <f t="shared" si="19"/>
        <v>0</v>
      </c>
      <c r="BT8" s="1">
        <f t="shared" si="20"/>
        <v>62.024999999999999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458</v>
      </c>
      <c r="E9" s="129"/>
      <c r="F9" s="130"/>
      <c r="G9" s="130"/>
      <c r="H9" s="131">
        <f t="shared" si="0"/>
        <v>458</v>
      </c>
      <c r="I9" s="132">
        <v>72.64</v>
      </c>
      <c r="J9" s="121">
        <f t="shared" si="1"/>
        <v>33269.120000000003</v>
      </c>
      <c r="K9" s="34">
        <f t="shared" si="2"/>
        <v>0</v>
      </c>
      <c r="M9" s="221"/>
      <c r="N9" s="44" t="s">
        <v>30</v>
      </c>
      <c r="O9" s="70">
        <v>120</v>
      </c>
      <c r="P9" s="128">
        <v>680</v>
      </c>
      <c r="Q9" s="129">
        <v>60</v>
      </c>
      <c r="R9" s="130"/>
      <c r="S9" s="130"/>
      <c r="T9" s="131">
        <f t="shared" si="3"/>
        <v>620</v>
      </c>
      <c r="U9" s="132">
        <v>72.64</v>
      </c>
      <c r="V9" s="150">
        <f t="shared" si="4"/>
        <v>45036.800000000003</v>
      </c>
      <c r="W9" s="34">
        <f t="shared" si="5"/>
        <v>0</v>
      </c>
      <c r="Y9" s="221"/>
      <c r="Z9" s="44" t="s">
        <v>30</v>
      </c>
      <c r="AA9" s="70">
        <v>120</v>
      </c>
      <c r="AB9" s="192">
        <v>80</v>
      </c>
      <c r="AC9" s="185"/>
      <c r="AD9" s="193"/>
      <c r="AE9" s="193"/>
      <c r="AF9" s="187">
        <f t="shared" si="6"/>
        <v>80</v>
      </c>
      <c r="AG9" s="67">
        <v>72.64</v>
      </c>
      <c r="AH9" s="56">
        <f t="shared" si="7"/>
        <v>5811.2</v>
      </c>
      <c r="AI9" s="34">
        <f t="shared" si="8"/>
        <v>0</v>
      </c>
      <c r="AK9" s="221"/>
      <c r="AL9" s="44" t="s">
        <v>30</v>
      </c>
      <c r="AM9" s="70">
        <v>120</v>
      </c>
      <c r="AN9" s="36">
        <v>3000</v>
      </c>
      <c r="AO9" s="37"/>
      <c r="AP9" s="38"/>
      <c r="AQ9" s="38"/>
      <c r="AR9" s="196">
        <f t="shared" si="9"/>
        <v>3000</v>
      </c>
      <c r="AS9" s="67">
        <v>72.64</v>
      </c>
      <c r="AT9" s="56">
        <f t="shared" si="10"/>
        <v>217920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4218</v>
      </c>
      <c r="BM9" s="36">
        <f t="shared" si="15"/>
        <v>60</v>
      </c>
      <c r="BN9" s="38"/>
      <c r="BO9" s="36">
        <f t="shared" si="16"/>
        <v>0</v>
      </c>
      <c r="BP9" s="194">
        <f t="shared" si="17"/>
        <v>4158</v>
      </c>
      <c r="BQ9" s="67">
        <v>72.64</v>
      </c>
      <c r="BR9" s="56">
        <f t="shared" si="18"/>
        <v>302037.12</v>
      </c>
      <c r="BS9" s="34">
        <f t="shared" si="19"/>
        <v>0</v>
      </c>
      <c r="BT9" s="1">
        <f t="shared" si="20"/>
        <v>103.95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272.35000000000002</v>
      </c>
    </row>
    <row r="13" spans="1:73" ht="39.75" customHeight="1" thickBot="1" x14ac:dyDescent="0.45">
      <c r="A13" s="12"/>
      <c r="B13" s="11"/>
      <c r="C13" s="142"/>
      <c r="D13" s="143">
        <f>SUM(D4:D12)</f>
        <v>1006</v>
      </c>
      <c r="E13" s="143">
        <f>SUM(E4:E12)</f>
        <v>12</v>
      </c>
      <c r="F13" s="143">
        <f>SUM(F4:F12)</f>
        <v>0</v>
      </c>
      <c r="G13" s="143">
        <f>SUM(G4:G12)</f>
        <v>0</v>
      </c>
      <c r="H13" s="143">
        <f>SUM(H4:H12)</f>
        <v>994</v>
      </c>
      <c r="I13" s="142"/>
      <c r="J13" s="127">
        <f>SUM(J4:J12)</f>
        <v>70105.700000000012</v>
      </c>
      <c r="K13" s="35">
        <f>SUM(K4:K12)</f>
        <v>0</v>
      </c>
      <c r="M13" s="98"/>
      <c r="N13" s="99"/>
      <c r="O13" s="99"/>
      <c r="P13" s="100">
        <f>SUM(P4:P12)</f>
        <v>1680</v>
      </c>
      <c r="Q13" s="100">
        <f>SUM(Q4:Q12)</f>
        <v>220</v>
      </c>
      <c r="R13" s="13">
        <f>SUM(R4:R12)</f>
        <v>0</v>
      </c>
      <c r="S13" s="13">
        <f>SUM(S4:S12)</f>
        <v>0</v>
      </c>
      <c r="T13" s="13">
        <f>SUM(T4:T12)</f>
        <v>1460</v>
      </c>
      <c r="U13" s="11"/>
      <c r="V13" s="59">
        <f>SUM(V4:V12)</f>
        <v>98790.5</v>
      </c>
      <c r="W13" s="35">
        <f>SUM(W4:W12)</f>
        <v>0</v>
      </c>
      <c r="Y13" s="12"/>
      <c r="Z13" s="11"/>
      <c r="AA13" s="11"/>
      <c r="AB13" s="13">
        <f>SUM(AB4:AB12)</f>
        <v>400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400</v>
      </c>
      <c r="AG13" s="11"/>
      <c r="AH13" s="59">
        <f>SUM(AH4:AH12)</f>
        <v>25827.600000000002</v>
      </c>
      <c r="AI13" s="35">
        <f>SUM(AI4:AI12)</f>
        <v>0</v>
      </c>
      <c r="AK13" s="12"/>
      <c r="AL13" s="11"/>
      <c r="AM13" s="11"/>
      <c r="AN13" s="13">
        <f>SUM(AN4:AN12)</f>
        <v>8000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8000</v>
      </c>
      <c r="AS13" s="11"/>
      <c r="AT13" s="59">
        <f>SUM(AT4:AT12)</f>
        <v>581120</v>
      </c>
      <c r="AU13" s="35">
        <f>SUM(AU4:AU12)</f>
        <v>0</v>
      </c>
      <c r="AW13" s="12"/>
      <c r="AX13" s="11"/>
      <c r="AY13" s="11"/>
      <c r="AZ13" s="13">
        <f>SUM(AZ4:AZ12)</f>
        <v>40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40</v>
      </c>
      <c r="BE13" s="11"/>
      <c r="BF13" s="59">
        <f>SUM(BF4:BF12)</f>
        <v>2098.5</v>
      </c>
      <c r="BG13" s="35">
        <f>SUM(BG4:BG12)</f>
        <v>0</v>
      </c>
      <c r="BI13" s="12"/>
      <c r="BJ13" s="11"/>
      <c r="BK13" s="11"/>
      <c r="BL13" s="13">
        <f>SUM(BL4:BL12)</f>
        <v>11126</v>
      </c>
      <c r="BM13" s="13">
        <f>SUM(BM4:BM12)</f>
        <v>232</v>
      </c>
      <c r="BN13" s="13">
        <f>SUM(BN4:BN12)</f>
        <v>0</v>
      </c>
      <c r="BO13" s="13">
        <f>SUM(BO4:BO12)</f>
        <v>0</v>
      </c>
      <c r="BP13" s="13">
        <f>SUM(BP4:BP12)</f>
        <v>10894</v>
      </c>
      <c r="BQ13" s="11"/>
      <c r="BR13" s="59">
        <f>SUM(BR4:BR12)</f>
        <v>777942.29999999993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6025+5491+1732-18</f>
        <v>13230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11318+1098+1891+823+1494+1098+945+38</f>
        <v>18705</v>
      </c>
      <c r="W14" s="29">
        <f>+V22</f>
        <v>-0.5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945+1891+2044</f>
        <v>4880</v>
      </c>
      <c r="AI14" s="29">
        <f>+AH22</f>
        <v>0.60000000000218279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v>109830</v>
      </c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>
        <v>396</v>
      </c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147041</v>
      </c>
      <c r="BS14" s="29">
        <f>+BR22</f>
        <v>1.2999999999301508</v>
      </c>
      <c r="BU14" s="1">
        <f>BP13/40</f>
        <v>272.35000000000002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1115+1016+320</f>
        <v>2451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2096</f>
        <v>2096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/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v>20339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>
        <v>73</v>
      </c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24959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7.9979231360645414E-2</v>
      </c>
      <c r="J16" s="49">
        <f>2550+2324+733</f>
        <v>5607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0.11935358156907799</v>
      </c>
      <c r="V16" s="49">
        <f>4791+1046+1801+784+1423+1046+900</f>
        <v>11791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0.17992380244389722</v>
      </c>
      <c r="AH16" s="49">
        <f>900+1801+1946</f>
        <v>4647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0.1599996558370044</v>
      </c>
      <c r="AT16" s="49">
        <f>92979</f>
        <v>92979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>
        <f>+BF16/BF13</f>
        <v>7.9580652847271866E-2</v>
      </c>
      <c r="BF16" s="49">
        <v>167</v>
      </c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0.14807139295549299</v>
      </c>
      <c r="BR16" s="53">
        <f t="shared" si="21"/>
        <v>115191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171+156+49</f>
        <v>376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321+29+50+21+3+29+25</f>
        <v>478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25+50+54</f>
        <v>129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v>2888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>
        <v>11</v>
      </c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3882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53700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53700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21953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104087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26189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580520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2265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735014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0.70000000001164153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-0.5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0.60000000000218279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0.5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1.2999999999301508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146</v>
      </c>
      <c r="C26" s="263">
        <v>21953</v>
      </c>
      <c r="D26" s="264"/>
      <c r="E26" s="265"/>
      <c r="F26" s="266"/>
      <c r="G26" s="146"/>
      <c r="H26" s="267" t="s">
        <v>18</v>
      </c>
      <c r="I26" s="268"/>
      <c r="J26" s="47">
        <f>41250</f>
        <v>41250</v>
      </c>
      <c r="M26" s="175" t="s">
        <v>67</v>
      </c>
      <c r="N26" s="158" t="s">
        <v>147</v>
      </c>
      <c r="O26" s="269">
        <v>64641</v>
      </c>
      <c r="P26" s="270"/>
      <c r="Q26" s="271"/>
      <c r="R26" s="272"/>
      <c r="S26" s="146"/>
      <c r="T26" s="267" t="s">
        <v>18</v>
      </c>
      <c r="U26" s="268"/>
      <c r="V26" s="47"/>
      <c r="Y26" s="180" t="s">
        <v>67</v>
      </c>
      <c r="Z26" s="148" t="s">
        <v>154</v>
      </c>
      <c r="AA26" s="259">
        <v>5074</v>
      </c>
      <c r="AB26" s="273"/>
      <c r="AC26" s="297"/>
      <c r="AD26" s="298"/>
      <c r="AE26" s="147"/>
      <c r="AF26" s="267" t="s">
        <v>18</v>
      </c>
      <c r="AG26" s="268"/>
      <c r="AH26" s="47"/>
      <c r="AK26" s="204" t="s">
        <v>155</v>
      </c>
      <c r="AL26" s="162" t="s">
        <v>156</v>
      </c>
      <c r="AM26" s="259">
        <v>580520</v>
      </c>
      <c r="AN26" s="273"/>
      <c r="AO26" s="289"/>
      <c r="AP26" s="290"/>
      <c r="AQ26" s="163"/>
      <c r="AR26" s="280" t="s">
        <v>18</v>
      </c>
      <c r="AS26" s="281"/>
      <c r="AT26" s="164"/>
      <c r="AW26" s="102" t="s">
        <v>67</v>
      </c>
      <c r="AX26" s="78" t="s">
        <v>67</v>
      </c>
      <c r="AY26" s="283">
        <v>2265</v>
      </c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202"/>
      <c r="B27" s="203"/>
      <c r="C27" s="294"/>
      <c r="D27" s="295"/>
      <c r="E27" s="265"/>
      <c r="F27" s="266"/>
      <c r="G27" s="146"/>
      <c r="H27" s="285" t="s">
        <v>54</v>
      </c>
      <c r="I27" s="286"/>
      <c r="J27" s="47">
        <v>12450</v>
      </c>
      <c r="M27" s="175" t="s">
        <v>67</v>
      </c>
      <c r="N27" s="158" t="s">
        <v>94</v>
      </c>
      <c r="O27" s="269">
        <v>5892</v>
      </c>
      <c r="P27" s="270"/>
      <c r="Q27" s="271"/>
      <c r="R27" s="272"/>
      <c r="S27" s="146"/>
      <c r="T27" s="282" t="s">
        <v>53</v>
      </c>
      <c r="U27" s="267"/>
      <c r="V27" s="47"/>
      <c r="W27" s="145"/>
      <c r="Y27" s="180" t="s">
        <v>67</v>
      </c>
      <c r="Z27" s="148" t="s">
        <v>153</v>
      </c>
      <c r="AA27" s="283">
        <v>10148</v>
      </c>
      <c r="AB27" s="284"/>
      <c r="AC27" s="297"/>
      <c r="AD27" s="29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 t="s">
        <v>67</v>
      </c>
      <c r="N28" s="158" t="s">
        <v>148</v>
      </c>
      <c r="O28" s="296">
        <v>10148</v>
      </c>
      <c r="P28" s="248"/>
      <c r="Q28" s="271"/>
      <c r="R28" s="272"/>
      <c r="S28" s="146"/>
      <c r="T28" s="267"/>
      <c r="U28" s="268"/>
      <c r="V28" s="47"/>
      <c r="Y28" s="180" t="s">
        <v>67</v>
      </c>
      <c r="Z28" s="148" t="s">
        <v>152</v>
      </c>
      <c r="AA28" s="283">
        <v>10967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 t="s">
        <v>67</v>
      </c>
      <c r="N29" s="158" t="s">
        <v>149</v>
      </c>
      <c r="O29" s="306">
        <v>4420</v>
      </c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 t="s">
        <v>67</v>
      </c>
      <c r="N30" s="158" t="s">
        <v>95</v>
      </c>
      <c r="O30" s="306">
        <v>8020</v>
      </c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 t="s">
        <v>67</v>
      </c>
      <c r="N31" s="158" t="s">
        <v>150</v>
      </c>
      <c r="O31" s="306">
        <v>5892</v>
      </c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 t="s">
        <v>67</v>
      </c>
      <c r="N32" s="158" t="s">
        <v>151</v>
      </c>
      <c r="O32" s="306">
        <v>5074</v>
      </c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21953</v>
      </c>
      <c r="D35" s="315"/>
      <c r="E35" s="316" t="s">
        <v>21</v>
      </c>
      <c r="F35" s="317"/>
      <c r="G35" s="87">
        <f>SUM(G26:G34)</f>
        <v>0</v>
      </c>
      <c r="H35" s="318" t="s">
        <v>17</v>
      </c>
      <c r="I35" s="319"/>
      <c r="J35" s="77">
        <f>SUM(J26:J34)</f>
        <v>53700</v>
      </c>
      <c r="M35" s="177"/>
      <c r="N35" s="76" t="s">
        <v>16</v>
      </c>
      <c r="O35" s="314">
        <f>SUM(O26:O34)</f>
        <v>104087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0</v>
      </c>
      <c r="Y35" s="75"/>
      <c r="Z35" s="76" t="s">
        <v>16</v>
      </c>
      <c r="AA35" s="314">
        <f>SUM(AA26:AB34)</f>
        <v>26189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580520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2265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162652</v>
      </c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U38"/>
  <sheetViews>
    <sheetView zoomScale="85" zoomScaleNormal="85" zoomScaleSheetLayoutView="100" workbookViewId="0">
      <selection sqref="A1:K1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3.33203125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157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10.10.2026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10.10.2026</v>
      </c>
      <c r="AK2" s="94"/>
      <c r="AL2" s="93" t="s">
        <v>87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10.10.2026</v>
      </c>
      <c r="AW2" s="2"/>
      <c r="AX2" s="93" t="s">
        <v>67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10.10.2026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10.10.2026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88</v>
      </c>
      <c r="E4" s="129"/>
      <c r="F4" s="130"/>
      <c r="G4" s="130"/>
      <c r="H4" s="131">
        <f t="shared" ref="H4:H12" si="0">+D4-E4-F4-G4</f>
        <v>88</v>
      </c>
      <c r="I4" s="132">
        <v>52.462499999999999</v>
      </c>
      <c r="J4" s="121">
        <f t="shared" ref="J4:J12" si="1">+H4*I4</f>
        <v>4616.7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45</v>
      </c>
      <c r="Q4" s="129">
        <v>15</v>
      </c>
      <c r="R4" s="130"/>
      <c r="S4" s="130"/>
      <c r="T4" s="131">
        <f t="shared" ref="T4:T12" si="3">+P4-Q4-R4-S4</f>
        <v>30</v>
      </c>
      <c r="U4" s="132">
        <v>52.462499999999999</v>
      </c>
      <c r="V4" s="150">
        <f t="shared" ref="V4:V12" si="4">+T4*U4</f>
        <v>1573.875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400</v>
      </c>
      <c r="AC4" s="185"/>
      <c r="AD4" s="186"/>
      <c r="AE4" s="186"/>
      <c r="AF4" s="187">
        <f t="shared" ref="AF4:AF12" si="6">+AB4-AC4-AD4-AE4</f>
        <v>400</v>
      </c>
      <c r="AG4" s="67">
        <v>52.462499999999999</v>
      </c>
      <c r="AH4" s="56">
        <f t="shared" ref="AH4:AH12" si="7">+AF4*AG4</f>
        <v>20985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533</v>
      </c>
      <c r="BM4" s="36">
        <f t="shared" si="15"/>
        <v>15</v>
      </c>
      <c r="BN4" s="38"/>
      <c r="BO4" s="36">
        <f t="shared" ref="BO4:BO12" si="16">+G4+S4+AE4+AQ4+BC4</f>
        <v>0</v>
      </c>
      <c r="BP4" s="194">
        <f t="shared" ref="BP4:BP12" si="17">+BL4-BM4-BN4-BO4</f>
        <v>518</v>
      </c>
      <c r="BQ4" s="67">
        <v>52.462499999999999</v>
      </c>
      <c r="BR4" s="56">
        <f t="shared" ref="BR4:BR12" si="18">+BP4*BQ4</f>
        <v>27175.575000000001</v>
      </c>
      <c r="BS4" s="34">
        <f t="shared" ref="BS4:BS12" si="19">+BO4*BQ4</f>
        <v>0</v>
      </c>
      <c r="BT4" s="1">
        <f t="shared" ref="BT4:BT11" si="20">+BP4/40</f>
        <v>12.95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113</v>
      </c>
      <c r="E5" s="134">
        <v>10</v>
      </c>
      <c r="F5" s="135"/>
      <c r="G5" s="135"/>
      <c r="H5" s="131">
        <f t="shared" si="0"/>
        <v>103</v>
      </c>
      <c r="I5" s="132">
        <v>52.462499999999999</v>
      </c>
      <c r="J5" s="123">
        <f t="shared" si="1"/>
        <v>5403.6374999999998</v>
      </c>
      <c r="K5" s="34">
        <f t="shared" si="2"/>
        <v>0</v>
      </c>
      <c r="M5" s="221"/>
      <c r="N5" s="45" t="s">
        <v>26</v>
      </c>
      <c r="O5" s="71">
        <v>70</v>
      </c>
      <c r="P5" s="128">
        <v>40</v>
      </c>
      <c r="Q5" s="134">
        <v>10</v>
      </c>
      <c r="R5" s="135"/>
      <c r="S5" s="135"/>
      <c r="T5" s="131">
        <f t="shared" si="3"/>
        <v>30</v>
      </c>
      <c r="U5" s="132">
        <v>52.462499999999999</v>
      </c>
      <c r="V5" s="151">
        <f t="shared" si="4"/>
        <v>1573.875</v>
      </c>
      <c r="W5" s="34">
        <f t="shared" si="5"/>
        <v>0</v>
      </c>
      <c r="Y5" s="221"/>
      <c r="Z5" s="45" t="s">
        <v>26</v>
      </c>
      <c r="AA5" s="71">
        <v>70</v>
      </c>
      <c r="AB5" s="188">
        <v>480</v>
      </c>
      <c r="AC5" s="185">
        <v>2</v>
      </c>
      <c r="AD5" s="189"/>
      <c r="AE5" s="189"/>
      <c r="AF5" s="187">
        <f t="shared" si="6"/>
        <v>478</v>
      </c>
      <c r="AG5" s="67">
        <v>52.462499999999999</v>
      </c>
      <c r="AH5" s="56">
        <f t="shared" si="7"/>
        <v>25077.075000000001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633</v>
      </c>
      <c r="BM5" s="36">
        <f t="shared" si="15"/>
        <v>22</v>
      </c>
      <c r="BN5" s="31"/>
      <c r="BO5" s="36">
        <f t="shared" si="16"/>
        <v>0</v>
      </c>
      <c r="BP5" s="194">
        <f t="shared" si="17"/>
        <v>611</v>
      </c>
      <c r="BQ5" s="67">
        <v>52.462499999999999</v>
      </c>
      <c r="BR5" s="57">
        <f t="shared" si="18"/>
        <v>32054.587499999998</v>
      </c>
      <c r="BS5" s="34">
        <f t="shared" si="19"/>
        <v>0</v>
      </c>
      <c r="BT5" s="1">
        <f t="shared" si="20"/>
        <v>15.275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196</v>
      </c>
      <c r="E6" s="134">
        <v>30</v>
      </c>
      <c r="F6" s="135"/>
      <c r="G6" s="135"/>
      <c r="H6" s="131">
        <f t="shared" si="0"/>
        <v>166</v>
      </c>
      <c r="I6" s="132">
        <v>52.462499999999999</v>
      </c>
      <c r="J6" s="123">
        <f t="shared" si="1"/>
        <v>8708.7749999999996</v>
      </c>
      <c r="K6" s="34">
        <f t="shared" si="2"/>
        <v>0</v>
      </c>
      <c r="M6" s="221"/>
      <c r="N6" s="45" t="s">
        <v>27</v>
      </c>
      <c r="O6" s="71">
        <v>70</v>
      </c>
      <c r="P6" s="133">
        <v>25</v>
      </c>
      <c r="Q6" s="134">
        <v>15</v>
      </c>
      <c r="R6" s="135"/>
      <c r="S6" s="135"/>
      <c r="T6" s="131">
        <f t="shared" si="3"/>
        <v>10</v>
      </c>
      <c r="U6" s="132">
        <v>52.462499999999999</v>
      </c>
      <c r="V6" s="152">
        <f t="shared" si="4"/>
        <v>524.625</v>
      </c>
      <c r="W6" s="34">
        <f t="shared" si="5"/>
        <v>0</v>
      </c>
      <c r="Y6" s="221"/>
      <c r="Z6" s="45" t="s">
        <v>27</v>
      </c>
      <c r="AA6" s="71">
        <v>70</v>
      </c>
      <c r="AB6" s="188">
        <v>440</v>
      </c>
      <c r="AC6" s="185"/>
      <c r="AD6" s="189"/>
      <c r="AE6" s="189"/>
      <c r="AF6" s="187">
        <f t="shared" si="6"/>
        <v>440</v>
      </c>
      <c r="AG6" s="67">
        <v>52.462499999999999</v>
      </c>
      <c r="AH6" s="56">
        <f t="shared" si="7"/>
        <v>23083.5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661</v>
      </c>
      <c r="BM6" s="36">
        <f t="shared" si="15"/>
        <v>45</v>
      </c>
      <c r="BN6" s="31"/>
      <c r="BO6" s="36">
        <f t="shared" si="16"/>
        <v>0</v>
      </c>
      <c r="BP6" s="194">
        <f t="shared" si="17"/>
        <v>616</v>
      </c>
      <c r="BQ6" s="67">
        <v>52.462499999999999</v>
      </c>
      <c r="BR6" s="57">
        <f t="shared" si="18"/>
        <v>32316.899999999998</v>
      </c>
      <c r="BS6" s="34">
        <f t="shared" si="19"/>
        <v>0</v>
      </c>
      <c r="BT6" s="1">
        <f t="shared" si="20"/>
        <v>15.4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93</v>
      </c>
      <c r="E7" s="137"/>
      <c r="F7" s="138"/>
      <c r="G7" s="159"/>
      <c r="H7" s="131">
        <f t="shared" si="0"/>
        <v>93</v>
      </c>
      <c r="I7" s="132">
        <v>72.64</v>
      </c>
      <c r="J7" s="125">
        <f t="shared" si="1"/>
        <v>6755.52</v>
      </c>
      <c r="K7" s="34">
        <f t="shared" si="2"/>
        <v>0</v>
      </c>
      <c r="M7" s="221"/>
      <c r="N7" s="46" t="s">
        <v>28</v>
      </c>
      <c r="O7" s="72">
        <v>120</v>
      </c>
      <c r="P7" s="136">
        <v>138</v>
      </c>
      <c r="Q7" s="137">
        <v>15</v>
      </c>
      <c r="R7" s="138"/>
      <c r="S7" s="138"/>
      <c r="T7" s="131">
        <f t="shared" si="3"/>
        <v>123</v>
      </c>
      <c r="U7" s="132">
        <v>72.64</v>
      </c>
      <c r="V7" s="152">
        <f t="shared" si="4"/>
        <v>8934.7199999999993</v>
      </c>
      <c r="W7" s="34">
        <f t="shared" si="5"/>
        <v>0</v>
      </c>
      <c r="Y7" s="221"/>
      <c r="Z7" s="46" t="s">
        <v>28</v>
      </c>
      <c r="AA7" s="72">
        <v>120</v>
      </c>
      <c r="AB7" s="190">
        <v>440</v>
      </c>
      <c r="AC7" s="185"/>
      <c r="AD7" s="191"/>
      <c r="AE7" s="191"/>
      <c r="AF7" s="187">
        <f t="shared" si="6"/>
        <v>440</v>
      </c>
      <c r="AG7" s="67">
        <v>72.64</v>
      </c>
      <c r="AH7" s="56">
        <f t="shared" si="7"/>
        <v>31961.599999999999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671</v>
      </c>
      <c r="BM7" s="36">
        <f t="shared" si="15"/>
        <v>15</v>
      </c>
      <c r="BN7" s="43"/>
      <c r="BO7" s="36">
        <f t="shared" si="16"/>
        <v>0</v>
      </c>
      <c r="BP7" s="194">
        <f t="shared" si="17"/>
        <v>656</v>
      </c>
      <c r="BQ7" s="67">
        <v>72.64</v>
      </c>
      <c r="BR7" s="58">
        <f t="shared" si="18"/>
        <v>47651.840000000004</v>
      </c>
      <c r="BS7" s="34">
        <f t="shared" si="19"/>
        <v>0</v>
      </c>
      <c r="BT7" s="1">
        <f t="shared" si="20"/>
        <v>16.399999999999999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3</v>
      </c>
      <c r="E8" s="140"/>
      <c r="F8" s="141"/>
      <c r="G8" s="141"/>
      <c r="H8" s="131">
        <f t="shared" si="0"/>
        <v>3</v>
      </c>
      <c r="I8" s="132">
        <v>72.64</v>
      </c>
      <c r="J8" s="125">
        <f t="shared" si="1"/>
        <v>217.92000000000002</v>
      </c>
      <c r="K8" s="34">
        <f t="shared" si="2"/>
        <v>0</v>
      </c>
      <c r="M8" s="221"/>
      <c r="N8" s="63" t="s">
        <v>29</v>
      </c>
      <c r="O8" s="73">
        <v>120</v>
      </c>
      <c r="P8" s="139">
        <v>69</v>
      </c>
      <c r="Q8" s="140">
        <v>10</v>
      </c>
      <c r="R8" s="141"/>
      <c r="S8" s="141"/>
      <c r="T8" s="131">
        <f t="shared" si="3"/>
        <v>59</v>
      </c>
      <c r="U8" s="132">
        <v>72.64</v>
      </c>
      <c r="V8" s="152">
        <f t="shared" si="4"/>
        <v>4285.76</v>
      </c>
      <c r="W8" s="34">
        <f t="shared" si="5"/>
        <v>0</v>
      </c>
      <c r="Y8" s="221"/>
      <c r="Z8" s="63" t="s">
        <v>29</v>
      </c>
      <c r="AA8" s="73">
        <v>120</v>
      </c>
      <c r="AB8" s="188">
        <v>480</v>
      </c>
      <c r="AC8" s="185"/>
      <c r="AD8" s="189"/>
      <c r="AE8" s="189"/>
      <c r="AF8" s="187">
        <f t="shared" si="6"/>
        <v>480</v>
      </c>
      <c r="AG8" s="67">
        <v>72.64</v>
      </c>
      <c r="AH8" s="56">
        <f t="shared" si="7"/>
        <v>34867.199999999997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552</v>
      </c>
      <c r="BM8" s="36">
        <f t="shared" si="15"/>
        <v>10</v>
      </c>
      <c r="BN8" s="66"/>
      <c r="BO8" s="36">
        <f t="shared" si="16"/>
        <v>0</v>
      </c>
      <c r="BP8" s="194">
        <f t="shared" si="17"/>
        <v>542</v>
      </c>
      <c r="BQ8" s="67">
        <v>72.64</v>
      </c>
      <c r="BR8" s="58">
        <f t="shared" si="18"/>
        <v>39370.879999999997</v>
      </c>
      <c r="BS8" s="34">
        <f t="shared" si="19"/>
        <v>0</v>
      </c>
      <c r="BT8" s="1">
        <f t="shared" si="20"/>
        <v>13.55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95</v>
      </c>
      <c r="E9" s="129"/>
      <c r="F9" s="130"/>
      <c r="G9" s="130"/>
      <c r="H9" s="131">
        <f t="shared" si="0"/>
        <v>95</v>
      </c>
      <c r="I9" s="132">
        <v>72.64</v>
      </c>
      <c r="J9" s="121">
        <f t="shared" si="1"/>
        <v>6900.8</v>
      </c>
      <c r="K9" s="34">
        <f t="shared" si="2"/>
        <v>0</v>
      </c>
      <c r="M9" s="221"/>
      <c r="N9" s="44" t="s">
        <v>30</v>
      </c>
      <c r="O9" s="70">
        <v>120</v>
      </c>
      <c r="P9" s="128">
        <v>247</v>
      </c>
      <c r="Q9" s="129">
        <v>108</v>
      </c>
      <c r="R9" s="130"/>
      <c r="S9" s="130"/>
      <c r="T9" s="131">
        <f t="shared" si="3"/>
        <v>139</v>
      </c>
      <c r="U9" s="132">
        <v>72.64</v>
      </c>
      <c r="V9" s="150">
        <f t="shared" si="4"/>
        <v>10096.960000000001</v>
      </c>
      <c r="W9" s="34">
        <f t="shared" si="5"/>
        <v>0</v>
      </c>
      <c r="Y9" s="221"/>
      <c r="Z9" s="44" t="s">
        <v>30</v>
      </c>
      <c r="AA9" s="70">
        <v>120</v>
      </c>
      <c r="AB9" s="192">
        <v>400</v>
      </c>
      <c r="AC9" s="185"/>
      <c r="AD9" s="193"/>
      <c r="AE9" s="193"/>
      <c r="AF9" s="187">
        <f t="shared" si="6"/>
        <v>400</v>
      </c>
      <c r="AG9" s="67">
        <v>72.64</v>
      </c>
      <c r="AH9" s="56">
        <f t="shared" si="7"/>
        <v>29056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742</v>
      </c>
      <c r="BM9" s="36">
        <f t="shared" si="15"/>
        <v>108</v>
      </c>
      <c r="BN9" s="38"/>
      <c r="BO9" s="36">
        <f t="shared" si="16"/>
        <v>0</v>
      </c>
      <c r="BP9" s="194">
        <f t="shared" si="17"/>
        <v>634</v>
      </c>
      <c r="BQ9" s="67">
        <v>72.64</v>
      </c>
      <c r="BR9" s="56">
        <f t="shared" si="18"/>
        <v>46053.760000000002</v>
      </c>
      <c r="BS9" s="34">
        <f t="shared" si="19"/>
        <v>0</v>
      </c>
      <c r="BT9" s="1">
        <f t="shared" si="20"/>
        <v>15.85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89.424999999999997</v>
      </c>
    </row>
    <row r="13" spans="1:73" ht="39.75" customHeight="1" thickBot="1" x14ac:dyDescent="0.45">
      <c r="A13" s="12"/>
      <c r="B13" s="11"/>
      <c r="C13" s="142"/>
      <c r="D13" s="143">
        <f>SUM(D4:D12)</f>
        <v>588</v>
      </c>
      <c r="E13" s="143">
        <f>SUM(E4:E12)</f>
        <v>40</v>
      </c>
      <c r="F13" s="143">
        <f>SUM(F4:F12)</f>
        <v>0</v>
      </c>
      <c r="G13" s="143">
        <f>SUM(G4:G12)</f>
        <v>0</v>
      </c>
      <c r="H13" s="143">
        <f>SUM(H4:H12)</f>
        <v>548</v>
      </c>
      <c r="I13" s="142"/>
      <c r="J13" s="127">
        <f>SUM(J4:J12)</f>
        <v>32603.352499999997</v>
      </c>
      <c r="K13" s="35">
        <f>SUM(K4:K12)</f>
        <v>0</v>
      </c>
      <c r="M13" s="98"/>
      <c r="N13" s="99"/>
      <c r="O13" s="99"/>
      <c r="P13" s="100">
        <f>SUM(P4:P12)</f>
        <v>564</v>
      </c>
      <c r="Q13" s="100">
        <f>SUM(Q4:Q12)</f>
        <v>173</v>
      </c>
      <c r="R13" s="13">
        <f>SUM(R4:R12)</f>
        <v>0</v>
      </c>
      <c r="S13" s="13">
        <f>SUM(S4:S12)</f>
        <v>0</v>
      </c>
      <c r="T13" s="13">
        <f>SUM(T4:T12)</f>
        <v>391</v>
      </c>
      <c r="U13" s="11"/>
      <c r="V13" s="59">
        <f>SUM(V4:V12)</f>
        <v>26989.815000000002</v>
      </c>
      <c r="W13" s="35">
        <f>SUM(W4:W12)</f>
        <v>0</v>
      </c>
      <c r="Y13" s="12"/>
      <c r="Z13" s="11"/>
      <c r="AA13" s="11"/>
      <c r="AB13" s="13">
        <f>SUM(AB4:AB12)</f>
        <v>2640</v>
      </c>
      <c r="AC13" s="13">
        <f>SUM(AC4:AC12)</f>
        <v>2</v>
      </c>
      <c r="AD13" s="13">
        <f>SUM(AD4:AD12)</f>
        <v>0</v>
      </c>
      <c r="AE13" s="13">
        <f>SUM(AE4:AE12)</f>
        <v>0</v>
      </c>
      <c r="AF13" s="13">
        <f>SUM(AF4:AF12)</f>
        <v>2638</v>
      </c>
      <c r="AG13" s="11"/>
      <c r="AH13" s="59">
        <f>SUM(AH4:AH12)</f>
        <v>165030.375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3792</v>
      </c>
      <c r="BM13" s="13">
        <f>SUM(BM4:BM12)</f>
        <v>215</v>
      </c>
      <c r="BN13" s="13">
        <f>SUM(BN4:BN12)</f>
        <v>0</v>
      </c>
      <c r="BO13" s="13">
        <f>SUM(BO4:BO12)</f>
        <v>0</v>
      </c>
      <c r="BP13" s="13">
        <f>SUM(BP4:BP12)</f>
        <v>3577</v>
      </c>
      <c r="BQ13" s="11"/>
      <c r="BR13" s="59">
        <f>SUM(BR4:BR12)</f>
        <v>224623.54250000001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4179+1982+5</f>
        <v>6166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3070+2044+1</f>
        <v>5115</v>
      </c>
      <c r="W14" s="29">
        <f>+V22</f>
        <v>-0.18499999999767169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28372+1891+945+105</f>
        <v>31313</v>
      </c>
      <c r="AI14" s="29">
        <f>+AH22</f>
        <v>-0.625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42594</v>
      </c>
      <c r="BS14" s="29">
        <f>+BR22</f>
        <v>-1.4574999999895226</v>
      </c>
      <c r="BU14" s="1">
        <f>BP13/40</f>
        <v>89.424999999999997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774+367</f>
        <v>1141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568+378</f>
        <v>946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5254+350+175</f>
        <v>5779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7866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7.9991773852090831E-2</v>
      </c>
      <c r="J16" s="49">
        <f>1769+839</f>
        <v>2608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8.0178393219812724E-2</v>
      </c>
      <c r="V16" s="49">
        <f>1299+865</f>
        <v>2164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0.1388714047338255</v>
      </c>
      <c r="AH16" s="49">
        <f>21017+1401+500</f>
        <v>22918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0.12327292006802892</v>
      </c>
      <c r="BR16" s="53">
        <f t="shared" si="21"/>
        <v>27690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118+101</f>
        <v>219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87+58</f>
        <v>145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761+50+26</f>
        <v>837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1201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15900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29140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5300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50340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19340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163184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182524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-0.64750000000276486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-0.18499999999767169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-0.625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-1.4574999999895226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22080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57</v>
      </c>
      <c r="B26" s="182" t="s">
        <v>158</v>
      </c>
      <c r="C26" s="263">
        <v>19340</v>
      </c>
      <c r="D26" s="264"/>
      <c r="E26" s="265" t="s">
        <v>162</v>
      </c>
      <c r="F26" s="266"/>
      <c r="G26" s="146">
        <v>12030</v>
      </c>
      <c r="H26" s="267" t="s">
        <v>18</v>
      </c>
      <c r="I26" s="268"/>
      <c r="J26" s="47">
        <f>3870+G35</f>
        <v>15900</v>
      </c>
      <c r="M26" s="175"/>
      <c r="N26" s="158"/>
      <c r="O26" s="269"/>
      <c r="P26" s="270"/>
      <c r="Q26" s="271" t="s">
        <v>81</v>
      </c>
      <c r="R26" s="272"/>
      <c r="S26" s="146">
        <v>50</v>
      </c>
      <c r="T26" s="267" t="s">
        <v>18</v>
      </c>
      <c r="U26" s="268"/>
      <c r="V26" s="47">
        <f>19090+S35</f>
        <v>29140</v>
      </c>
      <c r="Y26" s="180" t="s">
        <v>67</v>
      </c>
      <c r="Z26" s="148" t="s">
        <v>160</v>
      </c>
      <c r="AA26" s="259">
        <v>152985</v>
      </c>
      <c r="AB26" s="273"/>
      <c r="AC26" s="297"/>
      <c r="AD26" s="298"/>
      <c r="AE26" s="147"/>
      <c r="AF26" s="267" t="s">
        <v>18</v>
      </c>
      <c r="AG26" s="268"/>
      <c r="AH26" s="47">
        <v>1300</v>
      </c>
      <c r="AK26" s="204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203"/>
      <c r="B27" s="203"/>
      <c r="C27" s="294"/>
      <c r="D27" s="295"/>
      <c r="E27" s="265"/>
      <c r="F27" s="266"/>
      <c r="G27" s="146"/>
      <c r="H27" s="285" t="s">
        <v>54</v>
      </c>
      <c r="I27" s="286"/>
      <c r="J27" s="47"/>
      <c r="M27" s="175"/>
      <c r="N27" s="158"/>
      <c r="O27" s="269"/>
      <c r="P27" s="270"/>
      <c r="Q27" s="271" t="s">
        <v>159</v>
      </c>
      <c r="R27" s="272"/>
      <c r="S27" s="146">
        <v>10000</v>
      </c>
      <c r="T27" s="282" t="s">
        <v>53</v>
      </c>
      <c r="U27" s="267"/>
      <c r="V27" s="47"/>
      <c r="W27" s="145"/>
      <c r="Y27" s="180" t="s">
        <v>67</v>
      </c>
      <c r="Z27" s="148" t="s">
        <v>161</v>
      </c>
      <c r="AA27" s="283">
        <v>10199</v>
      </c>
      <c r="AB27" s="284"/>
      <c r="AC27" s="297"/>
      <c r="AD27" s="298"/>
      <c r="AE27" s="147"/>
      <c r="AF27" s="267" t="s">
        <v>53</v>
      </c>
      <c r="AG27" s="268"/>
      <c r="AH27" s="47">
        <v>4000</v>
      </c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19340</v>
      </c>
      <c r="D35" s="315"/>
      <c r="E35" s="316" t="s">
        <v>21</v>
      </c>
      <c r="F35" s="317"/>
      <c r="G35" s="87">
        <f>SUM(G26:G34)</f>
        <v>12030</v>
      </c>
      <c r="H35" s="318" t="s">
        <v>17</v>
      </c>
      <c r="I35" s="319"/>
      <c r="J35" s="77">
        <f>SUM(J26:J34)</f>
        <v>15900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10050</v>
      </c>
      <c r="T35" s="318" t="s">
        <v>17</v>
      </c>
      <c r="U35" s="319"/>
      <c r="V35" s="77">
        <f>SUM(V26:V34)</f>
        <v>29140</v>
      </c>
      <c r="Y35" s="75"/>
      <c r="Z35" s="76" t="s">
        <v>16</v>
      </c>
      <c r="AA35" s="314">
        <f>SUM(AA26:AB34)</f>
        <v>163184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5300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162601</v>
      </c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C7AF-570E-4110-A42D-6B39692C4FD4}">
  <sheetPr>
    <pageSetUpPr fitToPage="1"/>
  </sheetPr>
  <dimension ref="A1:BU37"/>
  <sheetViews>
    <sheetView topLeftCell="A25" zoomScale="85" zoomScaleNormal="85" zoomScaleSheetLayoutView="100" workbookViewId="0">
      <selection activeCell="E28" sqref="E28:F28"/>
    </sheetView>
  </sheetViews>
  <sheetFormatPr defaultColWidth="7.58203125" defaultRowHeight="15.5" x14ac:dyDescent="0.35"/>
  <cols>
    <col min="1" max="1" width="13.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3.33203125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163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12.10.2026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12.10.2026</v>
      </c>
      <c r="AK2" s="94"/>
      <c r="AL2" s="93" t="s">
        <v>156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12.10.2026</v>
      </c>
      <c r="AW2" s="2"/>
      <c r="AX2" s="93" t="s">
        <v>67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12.10.2026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12.10.2026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345</v>
      </c>
      <c r="E4" s="129">
        <v>127</v>
      </c>
      <c r="F4" s="130"/>
      <c r="G4" s="130"/>
      <c r="H4" s="131">
        <f t="shared" ref="H4:H12" si="0">+D4-E4-F4-G4</f>
        <v>218</v>
      </c>
      <c r="I4" s="132">
        <v>52.462499999999999</v>
      </c>
      <c r="J4" s="121">
        <f t="shared" ref="J4:J12" si="1">+H4*I4</f>
        <v>11436.824999999999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132</v>
      </c>
      <c r="Q4" s="129">
        <v>80</v>
      </c>
      <c r="R4" s="130"/>
      <c r="S4" s="130"/>
      <c r="T4" s="131">
        <f t="shared" ref="T4:T12" si="3">+P4-Q4-R4-S4</f>
        <v>52</v>
      </c>
      <c r="U4" s="132">
        <v>52.462499999999999</v>
      </c>
      <c r="V4" s="150">
        <f t="shared" ref="V4:V12" si="4">+T4*U4</f>
        <v>2728.0499999999997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200</v>
      </c>
      <c r="AC4" s="185">
        <v>40</v>
      </c>
      <c r="AD4" s="186"/>
      <c r="AE4" s="186"/>
      <c r="AF4" s="187">
        <f t="shared" ref="AF4:AF12" si="6">+AB4-AC4-AD4-AE4</f>
        <v>160</v>
      </c>
      <c r="AG4" s="67">
        <v>52.462499999999999</v>
      </c>
      <c r="AH4" s="56">
        <f t="shared" ref="AH4:AH12" si="7">+AF4*AG4</f>
        <v>8394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>
        <v>600</v>
      </c>
      <c r="AO4" s="37"/>
      <c r="AP4" s="38"/>
      <c r="AQ4" s="38"/>
      <c r="AR4" s="196">
        <f t="shared" ref="AR4:AR12" si="9">+AN4-AO4-AP4-AQ4</f>
        <v>600</v>
      </c>
      <c r="AS4" s="67">
        <v>52.462499999999999</v>
      </c>
      <c r="AT4" s="56">
        <f t="shared" ref="AT4:AT12" si="10">+AR4*AS4</f>
        <v>31477.5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1277</v>
      </c>
      <c r="BM4" s="36">
        <f t="shared" si="15"/>
        <v>247</v>
      </c>
      <c r="BN4" s="38"/>
      <c r="BO4" s="36">
        <f t="shared" ref="BO4:BO12" si="16">+G4+S4+AE4+AQ4+BC4</f>
        <v>0</v>
      </c>
      <c r="BP4" s="194">
        <f t="shared" ref="BP4:BP12" si="17">+BL4-BM4-BN4-BO4</f>
        <v>1030</v>
      </c>
      <c r="BQ4" s="67">
        <v>52.462499999999999</v>
      </c>
      <c r="BR4" s="56">
        <f t="shared" ref="BR4:BR12" si="18">+BP4*BQ4</f>
        <v>54036.375</v>
      </c>
      <c r="BS4" s="34">
        <f t="shared" ref="BS4:BS12" si="19">+BO4*BQ4</f>
        <v>0</v>
      </c>
      <c r="BT4" s="1">
        <f t="shared" ref="BT4:BT11" si="20">+BP4/40</f>
        <v>25.75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325</v>
      </c>
      <c r="E5" s="134">
        <v>72</v>
      </c>
      <c r="F5" s="135"/>
      <c r="G5" s="135"/>
      <c r="H5" s="131">
        <f t="shared" si="0"/>
        <v>253</v>
      </c>
      <c r="I5" s="132">
        <v>52.462499999999999</v>
      </c>
      <c r="J5" s="123">
        <f t="shared" si="1"/>
        <v>13273.012499999999</v>
      </c>
      <c r="K5" s="34">
        <f t="shared" si="2"/>
        <v>0</v>
      </c>
      <c r="M5" s="221"/>
      <c r="N5" s="45" t="s">
        <v>26</v>
      </c>
      <c r="O5" s="71">
        <v>70</v>
      </c>
      <c r="P5" s="128">
        <v>120</v>
      </c>
      <c r="Q5" s="134">
        <f>40</f>
        <v>40</v>
      </c>
      <c r="R5" s="135"/>
      <c r="S5" s="135"/>
      <c r="T5" s="131">
        <f t="shared" si="3"/>
        <v>80</v>
      </c>
      <c r="U5" s="132">
        <v>52.462499999999999</v>
      </c>
      <c r="V5" s="151">
        <f t="shared" si="4"/>
        <v>4197</v>
      </c>
      <c r="W5" s="34">
        <f t="shared" si="5"/>
        <v>0</v>
      </c>
      <c r="Y5" s="221"/>
      <c r="Z5" s="45" t="s">
        <v>26</v>
      </c>
      <c r="AA5" s="71">
        <v>70</v>
      </c>
      <c r="AB5" s="188">
        <v>200</v>
      </c>
      <c r="AC5" s="185">
        <v>40</v>
      </c>
      <c r="AD5" s="189"/>
      <c r="AE5" s="189"/>
      <c r="AF5" s="187">
        <f t="shared" si="6"/>
        <v>160</v>
      </c>
      <c r="AG5" s="67">
        <v>52.462499999999999</v>
      </c>
      <c r="AH5" s="56">
        <f t="shared" si="7"/>
        <v>8394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645</v>
      </c>
      <c r="BM5" s="36">
        <f t="shared" si="15"/>
        <v>152</v>
      </c>
      <c r="BN5" s="31"/>
      <c r="BO5" s="36">
        <f t="shared" si="16"/>
        <v>0</v>
      </c>
      <c r="BP5" s="194">
        <f t="shared" si="17"/>
        <v>493</v>
      </c>
      <c r="BQ5" s="67">
        <v>52.462499999999999</v>
      </c>
      <c r="BR5" s="57">
        <f t="shared" si="18"/>
        <v>25864.012500000001</v>
      </c>
      <c r="BS5" s="34">
        <f t="shared" si="19"/>
        <v>0</v>
      </c>
      <c r="BT5" s="1">
        <f t="shared" si="20"/>
        <v>12.324999999999999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492</v>
      </c>
      <c r="E6" s="134">
        <v>103</v>
      </c>
      <c r="F6" s="135"/>
      <c r="G6" s="135"/>
      <c r="H6" s="131">
        <f t="shared" si="0"/>
        <v>389</v>
      </c>
      <c r="I6" s="132">
        <v>52.462499999999999</v>
      </c>
      <c r="J6" s="123">
        <f t="shared" si="1"/>
        <v>20407.912499999999</v>
      </c>
      <c r="K6" s="34">
        <f t="shared" si="2"/>
        <v>0</v>
      </c>
      <c r="M6" s="221"/>
      <c r="N6" s="45" t="s">
        <v>27</v>
      </c>
      <c r="O6" s="71">
        <v>70</v>
      </c>
      <c r="P6" s="133">
        <v>86</v>
      </c>
      <c r="Q6" s="134">
        <f>40</f>
        <v>40</v>
      </c>
      <c r="R6" s="135"/>
      <c r="S6" s="135"/>
      <c r="T6" s="131">
        <f t="shared" si="3"/>
        <v>46</v>
      </c>
      <c r="U6" s="132">
        <v>52.462499999999999</v>
      </c>
      <c r="V6" s="152">
        <f t="shared" si="4"/>
        <v>2413.2750000000001</v>
      </c>
      <c r="W6" s="34">
        <f t="shared" si="5"/>
        <v>0</v>
      </c>
      <c r="Y6" s="221"/>
      <c r="Z6" s="45" t="s">
        <v>27</v>
      </c>
      <c r="AA6" s="71">
        <v>70</v>
      </c>
      <c r="AB6" s="188">
        <v>320</v>
      </c>
      <c r="AC6" s="185">
        <v>120</v>
      </c>
      <c r="AD6" s="189"/>
      <c r="AE6" s="189"/>
      <c r="AF6" s="187">
        <f t="shared" si="6"/>
        <v>200</v>
      </c>
      <c r="AG6" s="67">
        <v>52.462499999999999</v>
      </c>
      <c r="AH6" s="56">
        <f t="shared" si="7"/>
        <v>10492.5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898</v>
      </c>
      <c r="BM6" s="36">
        <f t="shared" si="15"/>
        <v>263</v>
      </c>
      <c r="BN6" s="31"/>
      <c r="BO6" s="36">
        <f t="shared" si="16"/>
        <v>0</v>
      </c>
      <c r="BP6" s="194">
        <f t="shared" si="17"/>
        <v>635</v>
      </c>
      <c r="BQ6" s="67">
        <v>52.462499999999999</v>
      </c>
      <c r="BR6" s="57">
        <f t="shared" si="18"/>
        <v>33313.6875</v>
      </c>
      <c r="BS6" s="34">
        <f t="shared" si="19"/>
        <v>0</v>
      </c>
      <c r="BT6" s="1">
        <f t="shared" si="20"/>
        <v>15.875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386</v>
      </c>
      <c r="E7" s="137">
        <v>90</v>
      </c>
      <c r="F7" s="138"/>
      <c r="G7" s="159"/>
      <c r="H7" s="131">
        <f t="shared" si="0"/>
        <v>296</v>
      </c>
      <c r="I7" s="132">
        <v>72.64</v>
      </c>
      <c r="J7" s="125">
        <f t="shared" si="1"/>
        <v>21501.439999999999</v>
      </c>
      <c r="K7" s="34">
        <f t="shared" si="2"/>
        <v>0</v>
      </c>
      <c r="M7" s="221"/>
      <c r="N7" s="46" t="s">
        <v>28</v>
      </c>
      <c r="O7" s="72">
        <v>120</v>
      </c>
      <c r="P7" s="136">
        <v>293</v>
      </c>
      <c r="Q7" s="137">
        <v>80</v>
      </c>
      <c r="R7" s="138"/>
      <c r="S7" s="138"/>
      <c r="T7" s="131">
        <f t="shared" si="3"/>
        <v>213</v>
      </c>
      <c r="U7" s="132">
        <v>72.64</v>
      </c>
      <c r="V7" s="152">
        <f t="shared" si="4"/>
        <v>15472.32</v>
      </c>
      <c r="W7" s="34">
        <f t="shared" si="5"/>
        <v>0</v>
      </c>
      <c r="Y7" s="221"/>
      <c r="Z7" s="46" t="s">
        <v>28</v>
      </c>
      <c r="AA7" s="72">
        <v>120</v>
      </c>
      <c r="AB7" s="190">
        <v>240</v>
      </c>
      <c r="AC7" s="185">
        <v>80</v>
      </c>
      <c r="AD7" s="191"/>
      <c r="AE7" s="191"/>
      <c r="AF7" s="187">
        <f t="shared" si="6"/>
        <v>160</v>
      </c>
      <c r="AG7" s="67">
        <v>72.64</v>
      </c>
      <c r="AH7" s="56">
        <f t="shared" si="7"/>
        <v>11622.4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919</v>
      </c>
      <c r="BM7" s="36">
        <f t="shared" si="15"/>
        <v>250</v>
      </c>
      <c r="BN7" s="43"/>
      <c r="BO7" s="36">
        <f t="shared" si="16"/>
        <v>0</v>
      </c>
      <c r="BP7" s="194">
        <f t="shared" si="17"/>
        <v>669</v>
      </c>
      <c r="BQ7" s="67">
        <v>72.64</v>
      </c>
      <c r="BR7" s="58">
        <f t="shared" si="18"/>
        <v>48596.160000000003</v>
      </c>
      <c r="BS7" s="34">
        <f t="shared" si="19"/>
        <v>0</v>
      </c>
      <c r="BT7" s="1">
        <f t="shared" si="20"/>
        <v>16.725000000000001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307</v>
      </c>
      <c r="E8" s="140">
        <v>65</v>
      </c>
      <c r="F8" s="141"/>
      <c r="G8" s="141"/>
      <c r="H8" s="131">
        <f t="shared" si="0"/>
        <v>242</v>
      </c>
      <c r="I8" s="132">
        <v>72.64</v>
      </c>
      <c r="J8" s="125">
        <f t="shared" si="1"/>
        <v>17578.88</v>
      </c>
      <c r="K8" s="34">
        <f t="shared" si="2"/>
        <v>0</v>
      </c>
      <c r="M8" s="221"/>
      <c r="N8" s="63" t="s">
        <v>29</v>
      </c>
      <c r="O8" s="73">
        <v>120</v>
      </c>
      <c r="P8" s="139">
        <v>253</v>
      </c>
      <c r="Q8" s="140">
        <f>80</f>
        <v>80</v>
      </c>
      <c r="R8" s="141"/>
      <c r="S8" s="141"/>
      <c r="T8" s="131">
        <f t="shared" si="3"/>
        <v>173</v>
      </c>
      <c r="U8" s="132">
        <v>72.64</v>
      </c>
      <c r="V8" s="152">
        <f t="shared" si="4"/>
        <v>12566.72</v>
      </c>
      <c r="W8" s="34">
        <f t="shared" si="5"/>
        <v>0</v>
      </c>
      <c r="Y8" s="221"/>
      <c r="Z8" s="63" t="s">
        <v>29</v>
      </c>
      <c r="AA8" s="73">
        <v>120</v>
      </c>
      <c r="AB8" s="188">
        <v>320</v>
      </c>
      <c r="AC8" s="185">
        <v>40</v>
      </c>
      <c r="AD8" s="189"/>
      <c r="AE8" s="189"/>
      <c r="AF8" s="187">
        <f t="shared" si="6"/>
        <v>280</v>
      </c>
      <c r="AG8" s="67">
        <v>72.64</v>
      </c>
      <c r="AH8" s="56">
        <f t="shared" si="7"/>
        <v>20339.2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880</v>
      </c>
      <c r="BM8" s="36">
        <f t="shared" si="15"/>
        <v>185</v>
      </c>
      <c r="BN8" s="66"/>
      <c r="BO8" s="36">
        <f t="shared" si="16"/>
        <v>0</v>
      </c>
      <c r="BP8" s="194">
        <f t="shared" si="17"/>
        <v>695</v>
      </c>
      <c r="BQ8" s="67">
        <v>72.64</v>
      </c>
      <c r="BR8" s="58">
        <f t="shared" si="18"/>
        <v>50484.800000000003</v>
      </c>
      <c r="BS8" s="34">
        <f t="shared" si="19"/>
        <v>0</v>
      </c>
      <c r="BT8" s="1">
        <f t="shared" si="20"/>
        <v>17.375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289</v>
      </c>
      <c r="E9" s="129">
        <v>115</v>
      </c>
      <c r="F9" s="130"/>
      <c r="G9" s="130"/>
      <c r="H9" s="131">
        <f t="shared" si="0"/>
        <v>174</v>
      </c>
      <c r="I9" s="132">
        <v>72.64</v>
      </c>
      <c r="J9" s="121">
        <f t="shared" si="1"/>
        <v>12639.36</v>
      </c>
      <c r="K9" s="34">
        <f t="shared" si="2"/>
        <v>0</v>
      </c>
      <c r="M9" s="221"/>
      <c r="N9" s="44" t="s">
        <v>30</v>
      </c>
      <c r="O9" s="70">
        <v>120</v>
      </c>
      <c r="P9" s="128">
        <v>426</v>
      </c>
      <c r="Q9" s="129">
        <f>80</f>
        <v>80</v>
      </c>
      <c r="R9" s="130"/>
      <c r="S9" s="130"/>
      <c r="T9" s="131">
        <f t="shared" si="3"/>
        <v>346</v>
      </c>
      <c r="U9" s="132">
        <v>72.64</v>
      </c>
      <c r="V9" s="150">
        <f t="shared" si="4"/>
        <v>25133.439999999999</v>
      </c>
      <c r="W9" s="34">
        <f t="shared" si="5"/>
        <v>0</v>
      </c>
      <c r="Y9" s="221"/>
      <c r="Z9" s="44" t="s">
        <v>30</v>
      </c>
      <c r="AA9" s="70">
        <v>120</v>
      </c>
      <c r="AB9" s="192">
        <v>280</v>
      </c>
      <c r="AC9" s="185">
        <v>40</v>
      </c>
      <c r="AD9" s="193"/>
      <c r="AE9" s="193"/>
      <c r="AF9" s="187">
        <f t="shared" si="6"/>
        <v>240</v>
      </c>
      <c r="AG9" s="67">
        <v>72.64</v>
      </c>
      <c r="AH9" s="56">
        <f t="shared" si="7"/>
        <v>17433.599999999999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995</v>
      </c>
      <c r="BM9" s="36">
        <f t="shared" si="15"/>
        <v>235</v>
      </c>
      <c r="BN9" s="38"/>
      <c r="BO9" s="36">
        <f t="shared" si="16"/>
        <v>0</v>
      </c>
      <c r="BP9" s="194">
        <f t="shared" si="17"/>
        <v>760</v>
      </c>
      <c r="BQ9" s="67">
        <v>72.64</v>
      </c>
      <c r="BR9" s="56">
        <f t="shared" si="18"/>
        <v>55206.400000000001</v>
      </c>
      <c r="BS9" s="34">
        <f t="shared" si="19"/>
        <v>0</v>
      </c>
      <c r="BT9" s="1">
        <f t="shared" si="20"/>
        <v>19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107.05000000000001</v>
      </c>
    </row>
    <row r="13" spans="1:73" ht="39.75" customHeight="1" thickBot="1" x14ac:dyDescent="0.45">
      <c r="A13" s="12"/>
      <c r="B13" s="11"/>
      <c r="C13" s="142"/>
      <c r="D13" s="143">
        <f>SUM(D4:D12)</f>
        <v>2144</v>
      </c>
      <c r="E13" s="143">
        <f>SUM(E4:E12)</f>
        <v>572</v>
      </c>
      <c r="F13" s="143">
        <f>SUM(F4:F12)</f>
        <v>0</v>
      </c>
      <c r="G13" s="143">
        <f>SUM(G4:G12)</f>
        <v>0</v>
      </c>
      <c r="H13" s="143">
        <f>SUM(H4:H12)</f>
        <v>1572</v>
      </c>
      <c r="I13" s="142"/>
      <c r="J13" s="127">
        <f>SUM(J4:J12)</f>
        <v>96837.430000000008</v>
      </c>
      <c r="K13" s="35">
        <f>SUM(K4:K12)</f>
        <v>0</v>
      </c>
      <c r="M13" s="98"/>
      <c r="N13" s="99"/>
      <c r="O13" s="99"/>
      <c r="P13" s="100">
        <f>SUM(P4:P12)</f>
        <v>1310</v>
      </c>
      <c r="Q13" s="100">
        <f>SUM(Q4:Q12)</f>
        <v>400</v>
      </c>
      <c r="R13" s="13">
        <f>SUM(R4:R12)</f>
        <v>0</v>
      </c>
      <c r="S13" s="13">
        <f>SUM(S4:S12)</f>
        <v>0</v>
      </c>
      <c r="T13" s="13">
        <f>SUM(T4:T12)</f>
        <v>910</v>
      </c>
      <c r="U13" s="11"/>
      <c r="V13" s="59">
        <f>SUM(V4:V12)</f>
        <v>62510.804999999993</v>
      </c>
      <c r="W13" s="35">
        <f>SUM(W4:W12)</f>
        <v>0</v>
      </c>
      <c r="Y13" s="12"/>
      <c r="Z13" s="11"/>
      <c r="AA13" s="11"/>
      <c r="AB13" s="13">
        <f>SUM(AB4:AB12)</f>
        <v>1560</v>
      </c>
      <c r="AC13" s="13">
        <f>SUM(AC4:AC12)</f>
        <v>360</v>
      </c>
      <c r="AD13" s="13">
        <f>SUM(AD4:AD12)</f>
        <v>0</v>
      </c>
      <c r="AE13" s="13">
        <f>SUM(AE4:AE12)</f>
        <v>0</v>
      </c>
      <c r="AF13" s="13">
        <f>SUM(AF4:AF12)</f>
        <v>1200</v>
      </c>
      <c r="AG13" s="11"/>
      <c r="AH13" s="59">
        <f>SUM(AH4:AH12)</f>
        <v>76675.700000000012</v>
      </c>
      <c r="AI13" s="35">
        <f>SUM(AI4:AI12)</f>
        <v>0</v>
      </c>
      <c r="AK13" s="12"/>
      <c r="AL13" s="11"/>
      <c r="AM13" s="11"/>
      <c r="AN13" s="13">
        <f>SUM(AN4:AN12)</f>
        <v>600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600</v>
      </c>
      <c r="AS13" s="11"/>
      <c r="AT13" s="59">
        <f>SUM(AT4:AT12)</f>
        <v>31477.5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5614</v>
      </c>
      <c r="BM13" s="13">
        <f>SUM(BM4:BM12)</f>
        <v>1332</v>
      </c>
      <c r="BN13" s="13">
        <f>SUM(BN4:BN12)</f>
        <v>0</v>
      </c>
      <c r="BO13" s="13">
        <f>SUM(BO4:BO12)</f>
        <v>0</v>
      </c>
      <c r="BP13" s="13">
        <f>SUM(BP4:BP12)</f>
        <v>4282</v>
      </c>
      <c r="BQ13" s="11"/>
      <c r="BR13" s="59">
        <f>SUM(BR4:BR12)</f>
        <v>267501.435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4255+7221+6824-33</f>
        <v>18267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3088+2837+1098+1098+1647+1098+945+1</f>
        <v>11812</v>
      </c>
      <c r="W14" s="29">
        <f>+V22</f>
        <v>-0.19500000000698492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396+2837+1494+945+1494+2837+1647+2837-25</f>
        <v>14462</v>
      </c>
      <c r="AI14" s="29">
        <f>+AH22</f>
        <v>0.70000000001164153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v>5949</v>
      </c>
      <c r="AU14" s="29">
        <f>+AT22</f>
        <v>0.5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50490</v>
      </c>
      <c r="BS14" s="29">
        <f>+BR22</f>
        <v>1.4349999999976717</v>
      </c>
      <c r="BU14" s="1">
        <f>BP13/40</f>
        <v>107.05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788+1337+1263</f>
        <v>3388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572</f>
        <v>572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525</f>
        <v>525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v>1101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5586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8.2643663715569485E-2</v>
      </c>
      <c r="J16" s="49">
        <f>1801+3314+2888</f>
        <v>8003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0.15382940597229552</v>
      </c>
      <c r="V16" s="49">
        <f>1307+2702+1046+1046+1569+1046+900</f>
        <v>9616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0.1721145030302951</v>
      </c>
      <c r="AH16" s="49">
        <f>377+2702+1423+900+1423+2702+1569+2101</f>
        <v>13197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0.15998729251052338</v>
      </c>
      <c r="AT16" s="49">
        <v>5036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0.13402544924665544</v>
      </c>
      <c r="BR16" s="53">
        <f t="shared" si="21"/>
        <v>35852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120+203+193</f>
        <v>516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87+75+29+29+43+29+25</f>
        <v>317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10+75+39+25+39+75+43+76</f>
        <v>382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v>156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1371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82624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17640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15270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31445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146979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21605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46812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62527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130944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0.430000000007567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-0.19500000000698492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0.70000000001164153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0.5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1.4349999999976717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2934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 t="s">
        <v>62</v>
      </c>
      <c r="B26" s="182" t="s">
        <v>164</v>
      </c>
      <c r="C26" s="263">
        <v>21605</v>
      </c>
      <c r="D26" s="264"/>
      <c r="E26" s="265" t="s">
        <v>81</v>
      </c>
      <c r="F26" s="266"/>
      <c r="G26" s="146">
        <f>20+120+120+80</f>
        <v>340</v>
      </c>
      <c r="H26" s="267" t="s">
        <v>18</v>
      </c>
      <c r="I26" s="268"/>
      <c r="J26" s="47">
        <f>82250+G35</f>
        <v>82624</v>
      </c>
      <c r="M26" s="175" t="s">
        <v>67</v>
      </c>
      <c r="N26" s="158" t="s">
        <v>165</v>
      </c>
      <c r="O26" s="269">
        <v>15223</v>
      </c>
      <c r="P26" s="270"/>
      <c r="Q26" s="271" t="s">
        <v>81</v>
      </c>
      <c r="R26" s="272"/>
      <c r="S26" s="146">
        <f>130+130</f>
        <v>260</v>
      </c>
      <c r="T26" s="267" t="s">
        <v>18</v>
      </c>
      <c r="U26" s="268"/>
      <c r="V26" s="47">
        <f>15280+S35</f>
        <v>17640</v>
      </c>
      <c r="Y26" s="180" t="s">
        <v>67</v>
      </c>
      <c r="Z26" s="148" t="s">
        <v>171</v>
      </c>
      <c r="AA26" s="259">
        <v>2128</v>
      </c>
      <c r="AB26" s="273"/>
      <c r="AC26" s="297" t="s">
        <v>81</v>
      </c>
      <c r="AD26" s="298"/>
      <c r="AE26" s="147">
        <f>100+100</f>
        <v>200</v>
      </c>
      <c r="AF26" s="267" t="s">
        <v>18</v>
      </c>
      <c r="AG26" s="268"/>
      <c r="AH26" s="47">
        <f>15070+AE35</f>
        <v>15270</v>
      </c>
      <c r="AK26" s="204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203"/>
      <c r="B27" s="203"/>
      <c r="C27" s="294"/>
      <c r="D27" s="295"/>
      <c r="E27" s="265" t="s">
        <v>144</v>
      </c>
      <c r="F27" s="266"/>
      <c r="G27" s="146">
        <v>34</v>
      </c>
      <c r="H27" s="285" t="s">
        <v>54</v>
      </c>
      <c r="I27" s="286"/>
      <c r="J27" s="47"/>
      <c r="M27" s="175" t="s">
        <v>67</v>
      </c>
      <c r="N27" s="158" t="s">
        <v>166</v>
      </c>
      <c r="O27" s="269">
        <v>5892</v>
      </c>
      <c r="P27" s="270"/>
      <c r="Q27" s="322" t="s">
        <v>170</v>
      </c>
      <c r="R27" s="323"/>
      <c r="S27" s="146">
        <v>2100</v>
      </c>
      <c r="T27" s="282" t="s">
        <v>53</v>
      </c>
      <c r="U27" s="267"/>
      <c r="V27" s="47"/>
      <c r="W27" s="145"/>
      <c r="Y27" s="180" t="s">
        <v>67</v>
      </c>
      <c r="Z27" s="148" t="s">
        <v>172</v>
      </c>
      <c r="AA27" s="283">
        <v>15223</v>
      </c>
      <c r="AB27" s="284"/>
      <c r="AC27" s="297"/>
      <c r="AD27" s="29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>
        <v>31445</v>
      </c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 t="s">
        <v>67</v>
      </c>
      <c r="N28" s="158" t="s">
        <v>104</v>
      </c>
      <c r="O28" s="296">
        <v>5892</v>
      </c>
      <c r="P28" s="248"/>
      <c r="Q28" s="271"/>
      <c r="R28" s="272"/>
      <c r="S28" s="146"/>
      <c r="T28" s="267"/>
      <c r="U28" s="268"/>
      <c r="V28" s="47"/>
      <c r="Y28" s="180" t="s">
        <v>67</v>
      </c>
      <c r="Z28" s="148" t="s">
        <v>173</v>
      </c>
      <c r="AA28" s="283">
        <v>8020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 t="s">
        <v>67</v>
      </c>
      <c r="N29" s="158" t="s">
        <v>167</v>
      </c>
      <c r="O29" s="306">
        <v>8839</v>
      </c>
      <c r="P29" s="307"/>
      <c r="Q29" s="308"/>
      <c r="R29" s="272"/>
      <c r="S29" s="146"/>
      <c r="T29" s="267"/>
      <c r="U29" s="268"/>
      <c r="V29" s="47"/>
      <c r="Y29" s="180" t="s">
        <v>67</v>
      </c>
      <c r="Z29" s="148" t="s">
        <v>174</v>
      </c>
      <c r="AA29" s="283">
        <v>5074</v>
      </c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 t="s">
        <v>67</v>
      </c>
      <c r="N30" s="158" t="s">
        <v>168</v>
      </c>
      <c r="O30" s="306">
        <v>5892</v>
      </c>
      <c r="P30" s="307"/>
      <c r="Q30" s="308"/>
      <c r="R30" s="272"/>
      <c r="S30" s="146"/>
      <c r="T30" s="267"/>
      <c r="U30" s="268"/>
      <c r="V30" s="47"/>
      <c r="Y30" s="180" t="s">
        <v>67</v>
      </c>
      <c r="Z30" s="148" t="s">
        <v>175</v>
      </c>
      <c r="AA30" s="284">
        <v>8020</v>
      </c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 t="s">
        <v>67</v>
      </c>
      <c r="N31" s="158" t="s">
        <v>169</v>
      </c>
      <c r="O31" s="306">
        <v>5074</v>
      </c>
      <c r="P31" s="307"/>
      <c r="Q31" s="308"/>
      <c r="R31" s="272"/>
      <c r="S31" s="146"/>
      <c r="T31" s="267"/>
      <c r="U31" s="268"/>
      <c r="V31" s="47"/>
      <c r="Y31" s="180" t="s">
        <v>67</v>
      </c>
      <c r="Z31" s="148" t="s">
        <v>176</v>
      </c>
      <c r="AA31" s="284">
        <v>15223</v>
      </c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 t="s">
        <v>67</v>
      </c>
      <c r="Z32" s="148" t="s">
        <v>177</v>
      </c>
      <c r="AA32" s="284">
        <v>8839</v>
      </c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21605</v>
      </c>
      <c r="D35" s="315"/>
      <c r="E35" s="316" t="s">
        <v>21</v>
      </c>
      <c r="F35" s="317"/>
      <c r="G35" s="87">
        <f>SUM(G26:G34)</f>
        <v>374</v>
      </c>
      <c r="H35" s="318" t="s">
        <v>17</v>
      </c>
      <c r="I35" s="319"/>
      <c r="J35" s="77">
        <f>SUM(J26:J34)</f>
        <v>82624</v>
      </c>
      <c r="M35" s="177"/>
      <c r="N35" s="76" t="s">
        <v>16</v>
      </c>
      <c r="O35" s="314">
        <f>SUM(O26:O34)</f>
        <v>46812</v>
      </c>
      <c r="P35" s="315"/>
      <c r="Q35" s="316" t="s">
        <v>21</v>
      </c>
      <c r="R35" s="317"/>
      <c r="S35" s="87">
        <f>SUM(S26:S34)</f>
        <v>2360</v>
      </c>
      <c r="T35" s="318" t="s">
        <v>17</v>
      </c>
      <c r="U35" s="319"/>
      <c r="V35" s="77">
        <f>SUM(V26:V34)</f>
        <v>17640</v>
      </c>
      <c r="Y35" s="75"/>
      <c r="Z35" s="76" t="s">
        <v>16</v>
      </c>
      <c r="AA35" s="314">
        <f>SUM(AA26:AB34)</f>
        <v>62527</v>
      </c>
      <c r="AB35" s="315"/>
      <c r="AC35" s="316" t="s">
        <v>21</v>
      </c>
      <c r="AD35" s="317"/>
      <c r="AE35" s="87">
        <f>SUM(AE26:AE34)</f>
        <v>200</v>
      </c>
      <c r="AF35" s="318" t="s">
        <v>17</v>
      </c>
      <c r="AG35" s="319"/>
      <c r="AH35" s="77">
        <f>SUM(AH26:AH34)</f>
        <v>15270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31445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90BB-21CC-49BC-B341-6235A6C5827A}">
  <sheetPr>
    <pageSetUpPr fitToPage="1"/>
  </sheetPr>
  <dimension ref="A1:BU38"/>
  <sheetViews>
    <sheetView topLeftCell="H22" zoomScale="85" zoomScaleNormal="85" zoomScaleSheetLayoutView="100" workbookViewId="0">
      <selection activeCell="L27" sqref="L27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3.33203125" style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69</v>
      </c>
      <c r="C2" s="3"/>
      <c r="D2" s="223"/>
      <c r="E2" s="223"/>
      <c r="F2" s="60"/>
      <c r="G2" s="60"/>
      <c r="I2" s="5" t="s">
        <v>0</v>
      </c>
      <c r="J2" s="52" t="s">
        <v>178</v>
      </c>
      <c r="M2" s="2"/>
      <c r="N2" s="93" t="s">
        <v>43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13.10.2026</v>
      </c>
      <c r="Y2" s="2"/>
      <c r="Z2" s="93" t="s">
        <v>66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13.10.2026</v>
      </c>
      <c r="AK2" s="94"/>
      <c r="AL2" s="93" t="s">
        <v>156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13.10.2026</v>
      </c>
      <c r="AW2" s="2"/>
      <c r="AX2" s="93" t="s">
        <v>67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13.10.2026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13.10.2026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63</v>
      </c>
      <c r="E4" s="129">
        <v>9</v>
      </c>
      <c r="F4" s="130"/>
      <c r="G4" s="130"/>
      <c r="H4" s="131">
        <f t="shared" ref="H4:H12" si="0">+D4-E4-F4-G4</f>
        <v>54</v>
      </c>
      <c r="I4" s="132">
        <v>52.462499999999999</v>
      </c>
      <c r="J4" s="121">
        <f t="shared" ref="J4:J12" si="1">+H4*I4</f>
        <v>2832.9749999999999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165</v>
      </c>
      <c r="Q4" s="129">
        <v>70</v>
      </c>
      <c r="R4" s="130"/>
      <c r="S4" s="130"/>
      <c r="T4" s="131">
        <f t="shared" ref="T4:T12" si="3">+P4-Q4-R4-S4</f>
        <v>95</v>
      </c>
      <c r="U4" s="132">
        <v>52.462499999999999</v>
      </c>
      <c r="V4" s="150">
        <f t="shared" ref="V4:V12" si="4">+T4*U4</f>
        <v>4983.9375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/>
      <c r="AC4" s="185"/>
      <c r="AD4" s="186"/>
      <c r="AE4" s="186"/>
      <c r="AF4" s="187">
        <f t="shared" ref="AF4:AF12" si="6">+AB4-AC4-AD4-AE4</f>
        <v>0</v>
      </c>
      <c r="AG4" s="67">
        <v>52.462499999999999</v>
      </c>
      <c r="AH4" s="56">
        <f t="shared" ref="AH4:AH12" si="7">+AF4*AG4</f>
        <v>0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228</v>
      </c>
      <c r="BM4" s="36">
        <f t="shared" si="15"/>
        <v>79</v>
      </c>
      <c r="BN4" s="38"/>
      <c r="BO4" s="36">
        <f t="shared" ref="BO4:BO12" si="16">+G4+S4+AE4+AQ4+BC4</f>
        <v>0</v>
      </c>
      <c r="BP4" s="194">
        <f t="shared" ref="BP4:BP12" si="17">+BL4-BM4-BN4-BO4</f>
        <v>149</v>
      </c>
      <c r="BQ4" s="67">
        <v>52.462499999999999</v>
      </c>
      <c r="BR4" s="56">
        <f t="shared" ref="BR4:BR12" si="18">+BP4*BQ4</f>
        <v>7816.9124999999995</v>
      </c>
      <c r="BS4" s="34">
        <f t="shared" ref="BS4:BS12" si="19">+BO4*BQ4</f>
        <v>0</v>
      </c>
      <c r="BT4" s="1">
        <f t="shared" ref="BT4:BT11" si="20">+BP4/40</f>
        <v>3.7250000000000001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56</v>
      </c>
      <c r="E5" s="134">
        <v>8</v>
      </c>
      <c r="F5" s="135"/>
      <c r="G5" s="135"/>
      <c r="H5" s="131">
        <f t="shared" si="0"/>
        <v>48</v>
      </c>
      <c r="I5" s="132">
        <v>52.462499999999999</v>
      </c>
      <c r="J5" s="123">
        <f t="shared" si="1"/>
        <v>2518.1999999999998</v>
      </c>
      <c r="K5" s="34">
        <f t="shared" si="2"/>
        <v>0</v>
      </c>
      <c r="M5" s="221"/>
      <c r="N5" s="45" t="s">
        <v>26</v>
      </c>
      <c r="O5" s="71">
        <v>70</v>
      </c>
      <c r="P5" s="128">
        <v>90</v>
      </c>
      <c r="Q5" s="134">
        <v>20</v>
      </c>
      <c r="R5" s="135"/>
      <c r="S5" s="135"/>
      <c r="T5" s="131">
        <f t="shared" si="3"/>
        <v>70</v>
      </c>
      <c r="U5" s="132">
        <v>52.462499999999999</v>
      </c>
      <c r="V5" s="151">
        <f t="shared" si="4"/>
        <v>3672.375</v>
      </c>
      <c r="W5" s="34">
        <f t="shared" si="5"/>
        <v>0</v>
      </c>
      <c r="Y5" s="221"/>
      <c r="Z5" s="45" t="s">
        <v>26</v>
      </c>
      <c r="AA5" s="71">
        <v>70</v>
      </c>
      <c r="AB5" s="188"/>
      <c r="AC5" s="185"/>
      <c r="AD5" s="189"/>
      <c r="AE5" s="189"/>
      <c r="AF5" s="187">
        <f t="shared" si="6"/>
        <v>0</v>
      </c>
      <c r="AG5" s="67">
        <v>52.462499999999999</v>
      </c>
      <c r="AH5" s="56">
        <f t="shared" si="7"/>
        <v>0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146</v>
      </c>
      <c r="BM5" s="36">
        <f t="shared" si="15"/>
        <v>28</v>
      </c>
      <c r="BN5" s="31"/>
      <c r="BO5" s="36">
        <f t="shared" si="16"/>
        <v>0</v>
      </c>
      <c r="BP5" s="194">
        <f t="shared" si="17"/>
        <v>118</v>
      </c>
      <c r="BQ5" s="67">
        <v>52.462499999999999</v>
      </c>
      <c r="BR5" s="57">
        <f t="shared" si="18"/>
        <v>6190.5749999999998</v>
      </c>
      <c r="BS5" s="34">
        <f t="shared" si="19"/>
        <v>0</v>
      </c>
      <c r="BT5" s="1">
        <f t="shared" si="20"/>
        <v>2.95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134</v>
      </c>
      <c r="E6" s="134">
        <v>8</v>
      </c>
      <c r="F6" s="135"/>
      <c r="G6" s="135"/>
      <c r="H6" s="131">
        <f t="shared" si="0"/>
        <v>126</v>
      </c>
      <c r="I6" s="132">
        <v>52.462499999999999</v>
      </c>
      <c r="J6" s="123">
        <f t="shared" si="1"/>
        <v>6610.2749999999996</v>
      </c>
      <c r="K6" s="34">
        <f t="shared" si="2"/>
        <v>0</v>
      </c>
      <c r="M6" s="221"/>
      <c r="N6" s="45" t="s">
        <v>27</v>
      </c>
      <c r="O6" s="71">
        <v>70</v>
      </c>
      <c r="P6" s="133">
        <v>197</v>
      </c>
      <c r="Q6" s="134">
        <v>1</v>
      </c>
      <c r="R6" s="135"/>
      <c r="S6" s="135"/>
      <c r="T6" s="131">
        <f t="shared" si="3"/>
        <v>196</v>
      </c>
      <c r="U6" s="132">
        <v>52.462499999999999</v>
      </c>
      <c r="V6" s="152">
        <f t="shared" si="4"/>
        <v>10282.65</v>
      </c>
      <c r="W6" s="34">
        <f t="shared" si="5"/>
        <v>0</v>
      </c>
      <c r="Y6" s="221"/>
      <c r="Z6" s="45" t="s">
        <v>27</v>
      </c>
      <c r="AA6" s="71">
        <v>70</v>
      </c>
      <c r="AB6" s="188"/>
      <c r="AC6" s="185"/>
      <c r="AD6" s="189"/>
      <c r="AE6" s="189"/>
      <c r="AF6" s="187">
        <f t="shared" si="6"/>
        <v>0</v>
      </c>
      <c r="AG6" s="67">
        <v>52.462499999999999</v>
      </c>
      <c r="AH6" s="56">
        <f t="shared" si="7"/>
        <v>0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331</v>
      </c>
      <c r="BM6" s="36">
        <f t="shared" si="15"/>
        <v>9</v>
      </c>
      <c r="BN6" s="31"/>
      <c r="BO6" s="36">
        <f t="shared" si="16"/>
        <v>0</v>
      </c>
      <c r="BP6" s="194">
        <f t="shared" si="17"/>
        <v>322</v>
      </c>
      <c r="BQ6" s="67">
        <v>52.462499999999999</v>
      </c>
      <c r="BR6" s="57">
        <f t="shared" si="18"/>
        <v>16892.924999999999</v>
      </c>
      <c r="BS6" s="34">
        <f t="shared" si="19"/>
        <v>0</v>
      </c>
      <c r="BT6" s="1">
        <f t="shared" si="20"/>
        <v>8.0500000000000007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255</v>
      </c>
      <c r="E7" s="137">
        <v>72</v>
      </c>
      <c r="F7" s="138"/>
      <c r="G7" s="159"/>
      <c r="H7" s="131">
        <f t="shared" si="0"/>
        <v>183</v>
      </c>
      <c r="I7" s="132">
        <v>72.64</v>
      </c>
      <c r="J7" s="125">
        <f t="shared" si="1"/>
        <v>13293.12</v>
      </c>
      <c r="K7" s="34">
        <f t="shared" si="2"/>
        <v>0</v>
      </c>
      <c r="M7" s="221"/>
      <c r="N7" s="46" t="s">
        <v>28</v>
      </c>
      <c r="O7" s="72">
        <v>120</v>
      </c>
      <c r="P7" s="136">
        <v>282</v>
      </c>
      <c r="Q7" s="137"/>
      <c r="R7" s="138"/>
      <c r="S7" s="138"/>
      <c r="T7" s="131">
        <f t="shared" si="3"/>
        <v>282</v>
      </c>
      <c r="U7" s="132">
        <v>72.64</v>
      </c>
      <c r="V7" s="152">
        <f t="shared" si="4"/>
        <v>20484.48</v>
      </c>
      <c r="W7" s="34">
        <f t="shared" si="5"/>
        <v>0</v>
      </c>
      <c r="Y7" s="221"/>
      <c r="Z7" s="46" t="s">
        <v>28</v>
      </c>
      <c r="AA7" s="72">
        <v>120</v>
      </c>
      <c r="AB7" s="190"/>
      <c r="AC7" s="185"/>
      <c r="AD7" s="191"/>
      <c r="AE7" s="191"/>
      <c r="AF7" s="187">
        <f t="shared" si="6"/>
        <v>0</v>
      </c>
      <c r="AG7" s="67">
        <v>72.64</v>
      </c>
      <c r="AH7" s="56">
        <f t="shared" si="7"/>
        <v>0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537</v>
      </c>
      <c r="BM7" s="36">
        <f t="shared" si="15"/>
        <v>72</v>
      </c>
      <c r="BN7" s="43"/>
      <c r="BO7" s="36">
        <f t="shared" si="16"/>
        <v>0</v>
      </c>
      <c r="BP7" s="194">
        <f t="shared" si="17"/>
        <v>465</v>
      </c>
      <c r="BQ7" s="67">
        <v>72.64</v>
      </c>
      <c r="BR7" s="58">
        <f t="shared" si="18"/>
        <v>33777.599999999999</v>
      </c>
      <c r="BS7" s="34">
        <f t="shared" si="19"/>
        <v>0</v>
      </c>
      <c r="BT7" s="1">
        <f t="shared" si="20"/>
        <v>11.625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153</v>
      </c>
      <c r="E8" s="140">
        <v>41</v>
      </c>
      <c r="F8" s="141"/>
      <c r="G8" s="141"/>
      <c r="H8" s="131">
        <f t="shared" si="0"/>
        <v>112</v>
      </c>
      <c r="I8" s="132">
        <v>72.64</v>
      </c>
      <c r="J8" s="125">
        <f t="shared" si="1"/>
        <v>8135.68</v>
      </c>
      <c r="K8" s="34">
        <f t="shared" si="2"/>
        <v>0</v>
      </c>
      <c r="M8" s="221"/>
      <c r="N8" s="63" t="s">
        <v>29</v>
      </c>
      <c r="O8" s="73">
        <v>120</v>
      </c>
      <c r="P8" s="139">
        <v>180</v>
      </c>
      <c r="Q8" s="140"/>
      <c r="R8" s="141"/>
      <c r="S8" s="141"/>
      <c r="T8" s="131">
        <f t="shared" si="3"/>
        <v>180</v>
      </c>
      <c r="U8" s="132">
        <v>72.64</v>
      </c>
      <c r="V8" s="152">
        <f t="shared" si="4"/>
        <v>13075.2</v>
      </c>
      <c r="W8" s="34">
        <f t="shared" si="5"/>
        <v>0</v>
      </c>
      <c r="Y8" s="221"/>
      <c r="Z8" s="63" t="s">
        <v>29</v>
      </c>
      <c r="AA8" s="73">
        <v>120</v>
      </c>
      <c r="AB8" s="188"/>
      <c r="AC8" s="185"/>
      <c r="AD8" s="189"/>
      <c r="AE8" s="189"/>
      <c r="AF8" s="187">
        <f t="shared" si="6"/>
        <v>0</v>
      </c>
      <c r="AG8" s="67">
        <v>72.64</v>
      </c>
      <c r="AH8" s="56">
        <f t="shared" si="7"/>
        <v>0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333</v>
      </c>
      <c r="BM8" s="36">
        <f t="shared" si="15"/>
        <v>41</v>
      </c>
      <c r="BN8" s="66"/>
      <c r="BO8" s="36">
        <f t="shared" si="16"/>
        <v>0</v>
      </c>
      <c r="BP8" s="194">
        <f t="shared" si="17"/>
        <v>292</v>
      </c>
      <c r="BQ8" s="67">
        <v>72.64</v>
      </c>
      <c r="BR8" s="58">
        <f t="shared" si="18"/>
        <v>21210.880000000001</v>
      </c>
      <c r="BS8" s="34">
        <f t="shared" si="19"/>
        <v>0</v>
      </c>
      <c r="BT8" s="1">
        <f t="shared" si="20"/>
        <v>7.3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210</v>
      </c>
      <c r="E9" s="129">
        <v>51</v>
      </c>
      <c r="F9" s="130"/>
      <c r="G9" s="130"/>
      <c r="H9" s="131">
        <f t="shared" si="0"/>
        <v>159</v>
      </c>
      <c r="I9" s="132">
        <v>72.64</v>
      </c>
      <c r="J9" s="121">
        <f t="shared" si="1"/>
        <v>11549.76</v>
      </c>
      <c r="K9" s="34">
        <f t="shared" si="2"/>
        <v>0</v>
      </c>
      <c r="M9" s="221"/>
      <c r="N9" s="44" t="s">
        <v>30</v>
      </c>
      <c r="O9" s="70">
        <v>120</v>
      </c>
      <c r="P9" s="128">
        <v>181</v>
      </c>
      <c r="Q9" s="129">
        <v>1</v>
      </c>
      <c r="R9" s="130"/>
      <c r="S9" s="130"/>
      <c r="T9" s="131">
        <f t="shared" si="3"/>
        <v>180</v>
      </c>
      <c r="U9" s="132">
        <v>72.64</v>
      </c>
      <c r="V9" s="150">
        <f t="shared" si="4"/>
        <v>13075.2</v>
      </c>
      <c r="W9" s="34">
        <f t="shared" si="5"/>
        <v>0</v>
      </c>
      <c r="Y9" s="221"/>
      <c r="Z9" s="44" t="s">
        <v>30</v>
      </c>
      <c r="AA9" s="70">
        <v>120</v>
      </c>
      <c r="AB9" s="192"/>
      <c r="AC9" s="185"/>
      <c r="AD9" s="193"/>
      <c r="AE9" s="193"/>
      <c r="AF9" s="187">
        <f t="shared" si="6"/>
        <v>0</v>
      </c>
      <c r="AG9" s="67">
        <v>72.64</v>
      </c>
      <c r="AH9" s="56">
        <f t="shared" si="7"/>
        <v>0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391</v>
      </c>
      <c r="BM9" s="36">
        <f t="shared" si="15"/>
        <v>52</v>
      </c>
      <c r="BN9" s="38"/>
      <c r="BO9" s="36">
        <f t="shared" si="16"/>
        <v>0</v>
      </c>
      <c r="BP9" s="194">
        <f t="shared" si="17"/>
        <v>339</v>
      </c>
      <c r="BQ9" s="67">
        <v>72.64</v>
      </c>
      <c r="BR9" s="56">
        <f t="shared" si="18"/>
        <v>24624.959999999999</v>
      </c>
      <c r="BS9" s="34">
        <f t="shared" si="19"/>
        <v>0</v>
      </c>
      <c r="BT9" s="1">
        <f t="shared" si="20"/>
        <v>8.4749999999999996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42.125</v>
      </c>
    </row>
    <row r="13" spans="1:73" ht="39.75" customHeight="1" thickBot="1" x14ac:dyDescent="0.45">
      <c r="A13" s="12"/>
      <c r="B13" s="11"/>
      <c r="C13" s="142"/>
      <c r="D13" s="143">
        <f>SUM(D4:D12)</f>
        <v>871</v>
      </c>
      <c r="E13" s="143">
        <f>SUM(E4:E12)</f>
        <v>189</v>
      </c>
      <c r="F13" s="143">
        <f>SUM(F4:F12)</f>
        <v>0</v>
      </c>
      <c r="G13" s="143">
        <f>SUM(G4:G12)</f>
        <v>0</v>
      </c>
      <c r="H13" s="143">
        <f>SUM(H4:H12)</f>
        <v>682</v>
      </c>
      <c r="I13" s="142"/>
      <c r="J13" s="127">
        <f>SUM(J4:J12)</f>
        <v>44940.01</v>
      </c>
      <c r="K13" s="35">
        <f>SUM(K4:K12)</f>
        <v>0</v>
      </c>
      <c r="M13" s="98"/>
      <c r="N13" s="99"/>
      <c r="O13" s="99"/>
      <c r="P13" s="100">
        <f>SUM(P4:P12)</f>
        <v>1095</v>
      </c>
      <c r="Q13" s="100">
        <f>SUM(Q4:Q12)</f>
        <v>92</v>
      </c>
      <c r="R13" s="13">
        <f>SUM(R4:R12)</f>
        <v>0</v>
      </c>
      <c r="S13" s="13">
        <f>SUM(S4:S12)</f>
        <v>0</v>
      </c>
      <c r="T13" s="13">
        <f>SUM(T4:T12)</f>
        <v>1003</v>
      </c>
      <c r="U13" s="11"/>
      <c r="V13" s="59">
        <f>SUM(V4:V12)</f>
        <v>65573.842499999999</v>
      </c>
      <c r="W13" s="35">
        <f>SUM(W4:W12)</f>
        <v>0</v>
      </c>
      <c r="Y13" s="12"/>
      <c r="Z13" s="11"/>
      <c r="AA13" s="11"/>
      <c r="AB13" s="13">
        <f>SUM(AB4:AB12)</f>
        <v>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0</v>
      </c>
      <c r="AG13" s="11"/>
      <c r="AH13" s="59">
        <f>SUM(AH4:AH12)</f>
        <v>0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1966</v>
      </c>
      <c r="BM13" s="13">
        <f>SUM(BM4:BM12)</f>
        <v>281</v>
      </c>
      <c r="BN13" s="13">
        <f>SUM(BN4:BN12)</f>
        <v>0</v>
      </c>
      <c r="BO13" s="13">
        <f>SUM(BO4:BO12)</f>
        <v>0</v>
      </c>
      <c r="BP13" s="13">
        <f>SUM(BP4:BP12)</f>
        <v>1685</v>
      </c>
      <c r="BQ13" s="11"/>
      <c r="BR13" s="59">
        <f>SUM(BR4:BR12)</f>
        <v>110513.85250000001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4924+3564+3</f>
        <v>8491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4338+8078+8</f>
        <v>12424</v>
      </c>
      <c r="W14" s="29">
        <f>+V22</f>
        <v>-0.15750000000116415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/>
      <c r="AI14" s="29">
        <f>+AH22</f>
        <v>0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20915</v>
      </c>
      <c r="BS14" s="29">
        <f>+BR22</f>
        <v>-0.14749999999185093</v>
      </c>
      <c r="BU14" s="1">
        <f>BP13/40</f>
        <v>42.125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912+660</f>
        <v>1572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803+1496</f>
        <v>2299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/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3871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8.3800604405739998E-2</v>
      </c>
      <c r="J16" s="49">
        <f>2258+1508</f>
        <v>3766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9.328414756234546E-2</v>
      </c>
      <c r="V16" s="49">
        <f>1836+4281</f>
        <v>6117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 t="e">
        <f>+AH16/AH13</f>
        <v>#DIV/0!</v>
      </c>
      <c r="AH16" s="49"/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8.9427703192231034E-2</v>
      </c>
      <c r="BR16" s="53">
        <f t="shared" si="21"/>
        <v>9883</v>
      </c>
      <c r="BS16" s="30"/>
    </row>
    <row r="17" spans="1:70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139+101</f>
        <v>240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123+225</f>
        <v>348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/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588</v>
      </c>
    </row>
    <row r="18" spans="1:70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48333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25935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74268</v>
      </c>
    </row>
    <row r="19" spans="1:70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0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43995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0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43995</v>
      </c>
    </row>
    <row r="20" spans="1:70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0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0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1.0000000002037268E-2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-0.15750000000116415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-0.14749999999185093</v>
      </c>
    </row>
    <row r="23" spans="1:70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12478</v>
      </c>
    </row>
    <row r="24" spans="1:70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0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0" ht="33" customHeight="1" thickBot="1" x14ac:dyDescent="0.55000000000000004">
      <c r="A26" s="181"/>
      <c r="B26" s="182"/>
      <c r="C26" s="263"/>
      <c r="D26" s="264"/>
      <c r="E26" s="265" t="s">
        <v>81</v>
      </c>
      <c r="F26" s="266"/>
      <c r="G26" s="146">
        <f>50+50</f>
        <v>100</v>
      </c>
      <c r="H26" s="267" t="s">
        <v>18</v>
      </c>
      <c r="I26" s="268"/>
      <c r="J26" s="47">
        <f>30750+G35</f>
        <v>42933</v>
      </c>
      <c r="M26" s="175" t="s">
        <v>57</v>
      </c>
      <c r="N26" s="158" t="s">
        <v>182</v>
      </c>
      <c r="O26" s="269">
        <v>30147</v>
      </c>
      <c r="P26" s="270"/>
      <c r="Q26" s="271" t="s">
        <v>81</v>
      </c>
      <c r="R26" s="272"/>
      <c r="S26" s="146">
        <f>130+130</f>
        <v>260</v>
      </c>
      <c r="T26" s="267" t="s">
        <v>18</v>
      </c>
      <c r="U26" s="268"/>
      <c r="V26" s="47">
        <f>25640+S35</f>
        <v>25935</v>
      </c>
      <c r="Y26" s="180"/>
      <c r="Z26" s="148"/>
      <c r="AA26" s="259"/>
      <c r="AB26" s="273"/>
      <c r="AC26" s="297"/>
      <c r="AD26" s="298"/>
      <c r="AE26" s="147"/>
      <c r="AF26" s="267" t="s">
        <v>18</v>
      </c>
      <c r="AG26" s="268"/>
      <c r="AH26" s="47"/>
      <c r="AK26" s="204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0" ht="35.15" customHeight="1" thickBot="1" x14ac:dyDescent="0.55000000000000004">
      <c r="A27" s="203"/>
      <c r="B27" s="203"/>
      <c r="C27" s="294"/>
      <c r="D27" s="295"/>
      <c r="E27" s="265" t="s">
        <v>179</v>
      </c>
      <c r="F27" s="266"/>
      <c r="G27" s="146">
        <v>23</v>
      </c>
      <c r="H27" s="285" t="s">
        <v>54</v>
      </c>
      <c r="I27" s="286"/>
      <c r="J27" s="47">
        <v>5400</v>
      </c>
      <c r="L27" s="205" t="s">
        <v>185</v>
      </c>
      <c r="M27" s="175" t="s">
        <v>183</v>
      </c>
      <c r="N27" s="158" t="s">
        <v>184</v>
      </c>
      <c r="O27" s="269">
        <v>13848</v>
      </c>
      <c r="P27" s="270"/>
      <c r="Q27" s="322" t="s">
        <v>181</v>
      </c>
      <c r="R27" s="323"/>
      <c r="S27" s="146">
        <v>35</v>
      </c>
      <c r="T27" s="282" t="s">
        <v>53</v>
      </c>
      <c r="U27" s="267"/>
      <c r="V27" s="47"/>
      <c r="W27" s="145"/>
      <c r="Y27" s="180"/>
      <c r="Z27" s="148"/>
      <c r="AA27" s="283"/>
      <c r="AB27" s="284"/>
      <c r="AC27" s="297"/>
      <c r="AD27" s="29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0" ht="33" customHeight="1" thickBot="1" x14ac:dyDescent="0.55000000000000004">
      <c r="A28" s="198"/>
      <c r="B28" s="198"/>
      <c r="C28" s="294"/>
      <c r="D28" s="295"/>
      <c r="E28" s="265" t="s">
        <v>180</v>
      </c>
      <c r="F28" s="266"/>
      <c r="G28" s="146">
        <v>12060</v>
      </c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0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0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0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0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0</v>
      </c>
      <c r="D35" s="315"/>
      <c r="E35" s="316" t="s">
        <v>21</v>
      </c>
      <c r="F35" s="317"/>
      <c r="G35" s="87">
        <f>SUM(G26:G34)</f>
        <v>12183</v>
      </c>
      <c r="H35" s="318" t="s">
        <v>17</v>
      </c>
      <c r="I35" s="319"/>
      <c r="J35" s="77">
        <f>SUM(J26:J34)</f>
        <v>48333</v>
      </c>
      <c r="M35" s="177"/>
      <c r="N35" s="76" t="s">
        <v>16</v>
      </c>
      <c r="O35" s="314">
        <f>SUM(O26:O34)</f>
        <v>43995</v>
      </c>
      <c r="P35" s="315"/>
      <c r="Q35" s="316" t="s">
        <v>21</v>
      </c>
      <c r="R35" s="317"/>
      <c r="S35" s="87">
        <f>SUM(S26:S34)</f>
        <v>295</v>
      </c>
      <c r="T35" s="318" t="s">
        <v>17</v>
      </c>
      <c r="U35" s="319"/>
      <c r="V35" s="77">
        <f>SUM(V26:V34)</f>
        <v>25935</v>
      </c>
      <c r="Y35" s="75"/>
      <c r="Z35" s="76" t="s">
        <v>16</v>
      </c>
      <c r="AA35" s="314">
        <f>SUM(AA26:AB34)</f>
        <v>0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172800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0B96-2367-438D-86F4-09B86533BF13}">
  <sheetPr>
    <pageSetUpPr fitToPage="1"/>
  </sheetPr>
  <dimension ref="A1:BU38"/>
  <sheetViews>
    <sheetView topLeftCell="A23" zoomScale="85" zoomScaleNormal="85" zoomScaleSheetLayoutView="100" workbookViewId="0">
      <selection activeCell="G28" sqref="G28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186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16.10.2026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16.10.2026</v>
      </c>
      <c r="AK2" s="94"/>
      <c r="AL2" s="93" t="s">
        <v>156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16.10.2026</v>
      </c>
      <c r="AW2" s="2"/>
      <c r="AX2" s="93" t="s">
        <v>87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16.10.2026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16.10.2026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185</v>
      </c>
      <c r="E4" s="129">
        <v>65</v>
      </c>
      <c r="F4" s="130"/>
      <c r="G4" s="130"/>
      <c r="H4" s="131">
        <f t="shared" ref="H4:H12" si="0">+D4-E4-F4-G4</f>
        <v>120</v>
      </c>
      <c r="I4" s="132">
        <v>52.462499999999999</v>
      </c>
      <c r="J4" s="121">
        <f t="shared" ref="J4:J12" si="1">+H4*I4</f>
        <v>6295.5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85</v>
      </c>
      <c r="Q4" s="129">
        <v>60</v>
      </c>
      <c r="R4" s="130"/>
      <c r="S4" s="130"/>
      <c r="T4" s="131">
        <f t="shared" ref="T4:T12" si="3">+P4-Q4-R4-S4</f>
        <v>25</v>
      </c>
      <c r="U4" s="132">
        <v>52.462499999999999</v>
      </c>
      <c r="V4" s="150">
        <f t="shared" ref="V4:V12" si="4">+T4*U4</f>
        <v>1311.5625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400</v>
      </c>
      <c r="AC4" s="185">
        <v>122</v>
      </c>
      <c r="AD4" s="186"/>
      <c r="AE4" s="186"/>
      <c r="AF4" s="187">
        <f t="shared" ref="AF4:AF12" si="6">+AB4-AC4-AD4-AE4</f>
        <v>278</v>
      </c>
      <c r="AG4" s="67">
        <v>52.462499999999999</v>
      </c>
      <c r="AH4" s="56">
        <f t="shared" ref="AH4:AH12" si="7">+AF4*AG4</f>
        <v>14584.574999999999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>
        <v>200</v>
      </c>
      <c r="AO4" s="37"/>
      <c r="AP4" s="38"/>
      <c r="AQ4" s="38"/>
      <c r="AR4" s="196">
        <f t="shared" ref="AR4:AR12" si="9">+AN4-AO4-AP4-AQ4</f>
        <v>200</v>
      </c>
      <c r="AS4" s="67">
        <v>52.462499999999999</v>
      </c>
      <c r="AT4" s="56">
        <f t="shared" ref="AT4:AT12" si="10">+AR4*AS4</f>
        <v>10492.5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>
        <v>400</v>
      </c>
      <c r="BA4" s="37">
        <v>2</v>
      </c>
      <c r="BB4" s="38"/>
      <c r="BC4" s="38"/>
      <c r="BD4" s="196">
        <f t="shared" ref="BD4:BD12" si="12">+AZ4-BA4-BB4-BC4</f>
        <v>398</v>
      </c>
      <c r="BE4" s="67">
        <v>52.462499999999999</v>
      </c>
      <c r="BF4" s="56">
        <f t="shared" ref="BF4:BF12" si="13">+BD4*BE4</f>
        <v>20880.075000000001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1270</v>
      </c>
      <c r="BM4" s="36">
        <f t="shared" si="15"/>
        <v>249</v>
      </c>
      <c r="BN4" s="38"/>
      <c r="BO4" s="36">
        <f t="shared" ref="BO4:BO12" si="16">+G4+S4+AE4+AQ4+BC4</f>
        <v>0</v>
      </c>
      <c r="BP4" s="194">
        <f t="shared" ref="BP4:BP12" si="17">+BL4-BM4-BN4-BO4</f>
        <v>1021</v>
      </c>
      <c r="BQ4" s="67">
        <v>52.462499999999999</v>
      </c>
      <c r="BR4" s="56">
        <f t="shared" ref="BR4:BR12" si="18">+BP4*BQ4</f>
        <v>53564.212500000001</v>
      </c>
      <c r="BS4" s="34">
        <f t="shared" ref="BS4:BS12" si="19">+BO4*BQ4</f>
        <v>0</v>
      </c>
      <c r="BT4" s="1">
        <f t="shared" ref="BT4:BT11" si="20">+BP4/40</f>
        <v>25.524999999999999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97</v>
      </c>
      <c r="E5" s="134">
        <v>41</v>
      </c>
      <c r="F5" s="135"/>
      <c r="G5" s="135"/>
      <c r="H5" s="131">
        <f t="shared" si="0"/>
        <v>56</v>
      </c>
      <c r="I5" s="132">
        <v>52.462499999999999</v>
      </c>
      <c r="J5" s="123">
        <f t="shared" si="1"/>
        <v>2937.9</v>
      </c>
      <c r="K5" s="34">
        <f t="shared" si="2"/>
        <v>0</v>
      </c>
      <c r="M5" s="221"/>
      <c r="N5" s="45" t="s">
        <v>26</v>
      </c>
      <c r="O5" s="71">
        <v>70</v>
      </c>
      <c r="P5" s="128">
        <v>59</v>
      </c>
      <c r="Q5" s="134">
        <v>39</v>
      </c>
      <c r="R5" s="135"/>
      <c r="S5" s="135"/>
      <c r="T5" s="131">
        <f t="shared" si="3"/>
        <v>20</v>
      </c>
      <c r="U5" s="132">
        <v>52.462499999999999</v>
      </c>
      <c r="V5" s="151">
        <f t="shared" si="4"/>
        <v>1049.25</v>
      </c>
      <c r="W5" s="34">
        <f t="shared" si="5"/>
        <v>0</v>
      </c>
      <c r="Y5" s="221"/>
      <c r="Z5" s="45" t="s">
        <v>26</v>
      </c>
      <c r="AA5" s="71">
        <v>70</v>
      </c>
      <c r="AB5" s="188">
        <v>400</v>
      </c>
      <c r="AC5" s="185">
        <v>122</v>
      </c>
      <c r="AD5" s="189"/>
      <c r="AE5" s="189"/>
      <c r="AF5" s="187">
        <f t="shared" si="6"/>
        <v>278</v>
      </c>
      <c r="AG5" s="67">
        <v>52.462499999999999</v>
      </c>
      <c r="AH5" s="56">
        <f t="shared" si="7"/>
        <v>14584.574999999999</v>
      </c>
      <c r="AI5" s="34">
        <f t="shared" si="8"/>
        <v>0</v>
      </c>
      <c r="AK5" s="221"/>
      <c r="AL5" s="45" t="s">
        <v>26</v>
      </c>
      <c r="AM5" s="71">
        <v>70</v>
      </c>
      <c r="AN5" s="39">
        <v>200</v>
      </c>
      <c r="AO5" s="40"/>
      <c r="AP5" s="31"/>
      <c r="AQ5" s="31"/>
      <c r="AR5" s="196">
        <f t="shared" si="9"/>
        <v>200</v>
      </c>
      <c r="AS5" s="67">
        <v>52.462499999999999</v>
      </c>
      <c r="AT5" s="57">
        <f t="shared" si="10"/>
        <v>10492.5</v>
      </c>
      <c r="AU5" s="34">
        <f t="shared" si="11"/>
        <v>0</v>
      </c>
      <c r="AW5" s="221"/>
      <c r="AX5" s="45" t="s">
        <v>26</v>
      </c>
      <c r="AY5" s="71">
        <v>70</v>
      </c>
      <c r="AZ5" s="36">
        <v>400</v>
      </c>
      <c r="BA5" s="40">
        <v>1</v>
      </c>
      <c r="BB5" s="31"/>
      <c r="BC5" s="31"/>
      <c r="BD5" s="196">
        <f t="shared" si="12"/>
        <v>399</v>
      </c>
      <c r="BE5" s="67">
        <v>52.462499999999999</v>
      </c>
      <c r="BF5" s="57">
        <f t="shared" si="13"/>
        <v>20932.537499999999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1156</v>
      </c>
      <c r="BM5" s="36">
        <f t="shared" si="15"/>
        <v>203</v>
      </c>
      <c r="BN5" s="31"/>
      <c r="BO5" s="36">
        <f t="shared" si="16"/>
        <v>0</v>
      </c>
      <c r="BP5" s="194">
        <f t="shared" si="17"/>
        <v>953</v>
      </c>
      <c r="BQ5" s="67">
        <v>52.462499999999999</v>
      </c>
      <c r="BR5" s="57">
        <f t="shared" si="18"/>
        <v>49996.762499999997</v>
      </c>
      <c r="BS5" s="34">
        <f t="shared" si="19"/>
        <v>0</v>
      </c>
      <c r="BT5" s="1">
        <f t="shared" si="20"/>
        <v>23.824999999999999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150</v>
      </c>
      <c r="E6" s="134">
        <v>73</v>
      </c>
      <c r="F6" s="135"/>
      <c r="G6" s="135"/>
      <c r="H6" s="131">
        <f t="shared" si="0"/>
        <v>77</v>
      </c>
      <c r="I6" s="132">
        <v>52.462499999999999</v>
      </c>
      <c r="J6" s="123">
        <f t="shared" si="1"/>
        <v>4039.6124999999997</v>
      </c>
      <c r="K6" s="34">
        <f t="shared" si="2"/>
        <v>0</v>
      </c>
      <c r="M6" s="221"/>
      <c r="N6" s="45" t="s">
        <v>27</v>
      </c>
      <c r="O6" s="71">
        <v>70</v>
      </c>
      <c r="P6" s="133">
        <v>103</v>
      </c>
      <c r="Q6" s="134">
        <v>66</v>
      </c>
      <c r="R6" s="135"/>
      <c r="S6" s="135"/>
      <c r="T6" s="131">
        <f t="shared" si="3"/>
        <v>37</v>
      </c>
      <c r="U6" s="132">
        <v>52.462499999999999</v>
      </c>
      <c r="V6" s="152">
        <f t="shared" si="4"/>
        <v>1941.1125</v>
      </c>
      <c r="W6" s="34">
        <f t="shared" si="5"/>
        <v>0</v>
      </c>
      <c r="Y6" s="221"/>
      <c r="Z6" s="45" t="s">
        <v>27</v>
      </c>
      <c r="AA6" s="71">
        <v>70</v>
      </c>
      <c r="AB6" s="188">
        <v>400</v>
      </c>
      <c r="AC6" s="185">
        <v>120</v>
      </c>
      <c r="AD6" s="189"/>
      <c r="AE6" s="189"/>
      <c r="AF6" s="187">
        <f t="shared" si="6"/>
        <v>280</v>
      </c>
      <c r="AG6" s="67">
        <v>52.462499999999999</v>
      </c>
      <c r="AH6" s="56">
        <f t="shared" si="7"/>
        <v>14689.5</v>
      </c>
      <c r="AI6" s="34">
        <f t="shared" si="8"/>
        <v>0</v>
      </c>
      <c r="AK6" s="221"/>
      <c r="AL6" s="45" t="s">
        <v>27</v>
      </c>
      <c r="AM6" s="71">
        <v>70</v>
      </c>
      <c r="AN6" s="39">
        <v>200</v>
      </c>
      <c r="AO6" s="40"/>
      <c r="AP6" s="31"/>
      <c r="AQ6" s="31"/>
      <c r="AR6" s="196">
        <f t="shared" si="9"/>
        <v>200</v>
      </c>
      <c r="AS6" s="67">
        <v>52.462499999999999</v>
      </c>
      <c r="AT6" s="57">
        <f t="shared" si="10"/>
        <v>10492.5</v>
      </c>
      <c r="AU6" s="34">
        <f t="shared" si="11"/>
        <v>0</v>
      </c>
      <c r="AW6" s="221"/>
      <c r="AX6" s="45" t="s">
        <v>27</v>
      </c>
      <c r="AY6" s="71">
        <v>70</v>
      </c>
      <c r="AZ6" s="36">
        <v>800</v>
      </c>
      <c r="BA6" s="40"/>
      <c r="BB6" s="31"/>
      <c r="BC6" s="31"/>
      <c r="BD6" s="196">
        <f t="shared" si="12"/>
        <v>800</v>
      </c>
      <c r="BE6" s="67">
        <v>52.462499999999999</v>
      </c>
      <c r="BF6" s="57">
        <f t="shared" si="13"/>
        <v>41970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1653</v>
      </c>
      <c r="BM6" s="36">
        <f t="shared" si="15"/>
        <v>259</v>
      </c>
      <c r="BN6" s="31"/>
      <c r="BO6" s="36">
        <f t="shared" si="16"/>
        <v>0</v>
      </c>
      <c r="BP6" s="194">
        <f t="shared" si="17"/>
        <v>1394</v>
      </c>
      <c r="BQ6" s="67">
        <v>52.462499999999999</v>
      </c>
      <c r="BR6" s="57">
        <f t="shared" si="18"/>
        <v>73132.724999999991</v>
      </c>
      <c r="BS6" s="34">
        <f t="shared" si="19"/>
        <v>0</v>
      </c>
      <c r="BT6" s="1">
        <f t="shared" si="20"/>
        <v>34.85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357</v>
      </c>
      <c r="E7" s="137">
        <v>147</v>
      </c>
      <c r="F7" s="138"/>
      <c r="G7" s="159"/>
      <c r="H7" s="131">
        <f t="shared" si="0"/>
        <v>210</v>
      </c>
      <c r="I7" s="132">
        <v>72.64</v>
      </c>
      <c r="J7" s="125">
        <f t="shared" si="1"/>
        <v>15254.4</v>
      </c>
      <c r="K7" s="34">
        <f t="shared" si="2"/>
        <v>0</v>
      </c>
      <c r="M7" s="221"/>
      <c r="N7" s="46" t="s">
        <v>28</v>
      </c>
      <c r="O7" s="72">
        <v>120</v>
      </c>
      <c r="P7" s="136">
        <v>262</v>
      </c>
      <c r="Q7" s="137">
        <v>80</v>
      </c>
      <c r="R7" s="138"/>
      <c r="S7" s="138"/>
      <c r="T7" s="131">
        <f t="shared" si="3"/>
        <v>182</v>
      </c>
      <c r="U7" s="132">
        <v>72.64</v>
      </c>
      <c r="V7" s="152">
        <f t="shared" si="4"/>
        <v>13220.48</v>
      </c>
      <c r="W7" s="34">
        <f t="shared" si="5"/>
        <v>0</v>
      </c>
      <c r="Y7" s="221"/>
      <c r="Z7" s="46" t="s">
        <v>28</v>
      </c>
      <c r="AA7" s="72">
        <v>120</v>
      </c>
      <c r="AB7" s="190">
        <v>600</v>
      </c>
      <c r="AC7" s="185">
        <v>120</v>
      </c>
      <c r="AD7" s="191"/>
      <c r="AE7" s="191"/>
      <c r="AF7" s="187">
        <f t="shared" si="6"/>
        <v>480</v>
      </c>
      <c r="AG7" s="67">
        <v>72.64</v>
      </c>
      <c r="AH7" s="56">
        <f t="shared" si="7"/>
        <v>34867.199999999997</v>
      </c>
      <c r="AI7" s="34">
        <f t="shared" si="8"/>
        <v>0</v>
      </c>
      <c r="AK7" s="221"/>
      <c r="AL7" s="46" t="s">
        <v>28</v>
      </c>
      <c r="AM7" s="72">
        <v>120</v>
      </c>
      <c r="AN7" s="41">
        <v>2800</v>
      </c>
      <c r="AO7" s="42"/>
      <c r="AP7" s="43"/>
      <c r="AQ7" s="43"/>
      <c r="AR7" s="196">
        <f t="shared" si="9"/>
        <v>2800</v>
      </c>
      <c r="AS7" s="67">
        <v>72.64</v>
      </c>
      <c r="AT7" s="58">
        <f t="shared" si="10"/>
        <v>203392</v>
      </c>
      <c r="AU7" s="34">
        <f t="shared" si="11"/>
        <v>0</v>
      </c>
      <c r="AW7" s="221"/>
      <c r="AX7" s="46" t="s">
        <v>28</v>
      </c>
      <c r="AY7" s="72">
        <v>120</v>
      </c>
      <c r="AZ7" s="36">
        <v>1200</v>
      </c>
      <c r="BA7" s="42">
        <v>1</v>
      </c>
      <c r="BB7" s="43"/>
      <c r="BC7" s="43"/>
      <c r="BD7" s="196">
        <f t="shared" si="12"/>
        <v>1199</v>
      </c>
      <c r="BE7" s="67">
        <v>72.64</v>
      </c>
      <c r="BF7" s="58">
        <f t="shared" si="13"/>
        <v>87095.360000000001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5219</v>
      </c>
      <c r="BM7" s="36">
        <f t="shared" si="15"/>
        <v>348</v>
      </c>
      <c r="BN7" s="43"/>
      <c r="BO7" s="36">
        <f t="shared" si="16"/>
        <v>0</v>
      </c>
      <c r="BP7" s="194">
        <f t="shared" si="17"/>
        <v>4871</v>
      </c>
      <c r="BQ7" s="67">
        <v>72.64</v>
      </c>
      <c r="BR7" s="58">
        <f t="shared" si="18"/>
        <v>353829.44</v>
      </c>
      <c r="BS7" s="34">
        <f t="shared" si="19"/>
        <v>0</v>
      </c>
      <c r="BT7" s="1">
        <f t="shared" si="20"/>
        <v>121.77500000000001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169</v>
      </c>
      <c r="E8" s="140">
        <v>52</v>
      </c>
      <c r="F8" s="141"/>
      <c r="G8" s="141"/>
      <c r="H8" s="131">
        <f t="shared" si="0"/>
        <v>117</v>
      </c>
      <c r="I8" s="132">
        <v>72.64</v>
      </c>
      <c r="J8" s="125">
        <f t="shared" si="1"/>
        <v>8498.8799999999992</v>
      </c>
      <c r="K8" s="34">
        <f t="shared" si="2"/>
        <v>0</v>
      </c>
      <c r="M8" s="221"/>
      <c r="N8" s="63" t="s">
        <v>29</v>
      </c>
      <c r="O8" s="73">
        <v>120</v>
      </c>
      <c r="P8" s="139">
        <v>148</v>
      </c>
      <c r="Q8" s="140">
        <v>63</v>
      </c>
      <c r="R8" s="141"/>
      <c r="S8" s="141"/>
      <c r="T8" s="131">
        <f t="shared" si="3"/>
        <v>85</v>
      </c>
      <c r="U8" s="132">
        <v>72.64</v>
      </c>
      <c r="V8" s="152">
        <f t="shared" si="4"/>
        <v>6174.4</v>
      </c>
      <c r="W8" s="34">
        <f t="shared" si="5"/>
        <v>0</v>
      </c>
      <c r="Y8" s="221"/>
      <c r="Z8" s="63" t="s">
        <v>29</v>
      </c>
      <c r="AA8" s="73">
        <v>120</v>
      </c>
      <c r="AB8" s="188">
        <v>760</v>
      </c>
      <c r="AC8" s="185">
        <v>122</v>
      </c>
      <c r="AD8" s="189"/>
      <c r="AE8" s="189"/>
      <c r="AF8" s="187">
        <f t="shared" si="6"/>
        <v>638</v>
      </c>
      <c r="AG8" s="67">
        <v>72.64</v>
      </c>
      <c r="AH8" s="56">
        <f t="shared" si="7"/>
        <v>46344.32</v>
      </c>
      <c r="AI8" s="34">
        <f t="shared" si="8"/>
        <v>0</v>
      </c>
      <c r="AK8" s="221"/>
      <c r="AL8" s="63" t="s">
        <v>29</v>
      </c>
      <c r="AM8" s="73">
        <v>120</v>
      </c>
      <c r="AN8" s="64">
        <v>2400</v>
      </c>
      <c r="AO8" s="65"/>
      <c r="AP8" s="66"/>
      <c r="AQ8" s="66"/>
      <c r="AR8" s="196">
        <f t="shared" si="9"/>
        <v>2400</v>
      </c>
      <c r="AS8" s="67">
        <v>72.64</v>
      </c>
      <c r="AT8" s="58">
        <f t="shared" si="10"/>
        <v>174336</v>
      </c>
      <c r="AU8" s="34">
        <f t="shared" si="11"/>
        <v>0</v>
      </c>
      <c r="AW8" s="221"/>
      <c r="AX8" s="63" t="s">
        <v>29</v>
      </c>
      <c r="AY8" s="73">
        <v>120</v>
      </c>
      <c r="AZ8" s="36">
        <v>800</v>
      </c>
      <c r="BA8" s="65">
        <v>1</v>
      </c>
      <c r="BB8" s="66"/>
      <c r="BC8" s="66"/>
      <c r="BD8" s="196">
        <f t="shared" si="12"/>
        <v>799</v>
      </c>
      <c r="BE8" s="67">
        <v>72.64</v>
      </c>
      <c r="BF8" s="58">
        <f t="shared" si="13"/>
        <v>58039.360000000001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4277</v>
      </c>
      <c r="BM8" s="36">
        <f t="shared" si="15"/>
        <v>238</v>
      </c>
      <c r="BN8" s="66"/>
      <c r="BO8" s="36">
        <f t="shared" si="16"/>
        <v>0</v>
      </c>
      <c r="BP8" s="194">
        <f t="shared" si="17"/>
        <v>4039</v>
      </c>
      <c r="BQ8" s="67">
        <v>72.64</v>
      </c>
      <c r="BR8" s="58">
        <f t="shared" si="18"/>
        <v>293392.96000000002</v>
      </c>
      <c r="BS8" s="34">
        <f t="shared" si="19"/>
        <v>0</v>
      </c>
      <c r="BT8" s="1">
        <f t="shared" si="20"/>
        <v>100.97499999999999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235</v>
      </c>
      <c r="E9" s="129">
        <v>27</v>
      </c>
      <c r="F9" s="130"/>
      <c r="G9" s="130"/>
      <c r="H9" s="131">
        <f t="shared" si="0"/>
        <v>208</v>
      </c>
      <c r="I9" s="132">
        <v>72.64</v>
      </c>
      <c r="J9" s="121">
        <f t="shared" si="1"/>
        <v>15109.12</v>
      </c>
      <c r="K9" s="34">
        <f t="shared" si="2"/>
        <v>0</v>
      </c>
      <c r="M9" s="221"/>
      <c r="N9" s="44" t="s">
        <v>30</v>
      </c>
      <c r="O9" s="70">
        <v>120</v>
      </c>
      <c r="P9" s="128">
        <v>251</v>
      </c>
      <c r="Q9" s="129">
        <v>90</v>
      </c>
      <c r="R9" s="130"/>
      <c r="S9" s="130"/>
      <c r="T9" s="131">
        <f t="shared" si="3"/>
        <v>161</v>
      </c>
      <c r="U9" s="132">
        <v>72.64</v>
      </c>
      <c r="V9" s="150">
        <f t="shared" si="4"/>
        <v>11695.04</v>
      </c>
      <c r="W9" s="34">
        <f t="shared" si="5"/>
        <v>0</v>
      </c>
      <c r="Y9" s="221"/>
      <c r="Z9" s="44" t="s">
        <v>30</v>
      </c>
      <c r="AA9" s="70">
        <v>120</v>
      </c>
      <c r="AB9" s="192">
        <v>400</v>
      </c>
      <c r="AC9" s="185">
        <v>120</v>
      </c>
      <c r="AD9" s="193"/>
      <c r="AE9" s="193"/>
      <c r="AF9" s="187">
        <f t="shared" si="6"/>
        <v>280</v>
      </c>
      <c r="AG9" s="67">
        <v>72.64</v>
      </c>
      <c r="AH9" s="56">
        <f t="shared" si="7"/>
        <v>20339.2</v>
      </c>
      <c r="AI9" s="34">
        <f t="shared" si="8"/>
        <v>0</v>
      </c>
      <c r="AK9" s="221"/>
      <c r="AL9" s="44" t="s">
        <v>30</v>
      </c>
      <c r="AM9" s="70">
        <v>120</v>
      </c>
      <c r="AN9" s="36">
        <v>2800</v>
      </c>
      <c r="AO9" s="37"/>
      <c r="AP9" s="38"/>
      <c r="AQ9" s="38"/>
      <c r="AR9" s="196">
        <f t="shared" si="9"/>
        <v>2800</v>
      </c>
      <c r="AS9" s="67">
        <v>72.64</v>
      </c>
      <c r="AT9" s="56">
        <f t="shared" si="10"/>
        <v>203392</v>
      </c>
      <c r="AU9" s="34">
        <f t="shared" si="11"/>
        <v>0</v>
      </c>
      <c r="AW9" s="221"/>
      <c r="AX9" s="44" t="s">
        <v>30</v>
      </c>
      <c r="AY9" s="70">
        <v>120</v>
      </c>
      <c r="AZ9" s="36">
        <v>2000</v>
      </c>
      <c r="BA9" s="37">
        <v>2</v>
      </c>
      <c r="BB9" s="38"/>
      <c r="BC9" s="38"/>
      <c r="BD9" s="196">
        <f t="shared" si="12"/>
        <v>1998</v>
      </c>
      <c r="BE9" s="67">
        <v>72.64</v>
      </c>
      <c r="BF9" s="56">
        <f t="shared" si="13"/>
        <v>145134.72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5686</v>
      </c>
      <c r="BM9" s="36">
        <f t="shared" si="15"/>
        <v>239</v>
      </c>
      <c r="BN9" s="38"/>
      <c r="BO9" s="36">
        <f t="shared" si="16"/>
        <v>0</v>
      </c>
      <c r="BP9" s="194">
        <f t="shared" si="17"/>
        <v>5447</v>
      </c>
      <c r="BQ9" s="67">
        <v>72.64</v>
      </c>
      <c r="BR9" s="56">
        <f t="shared" si="18"/>
        <v>395670.08</v>
      </c>
      <c r="BS9" s="34">
        <f t="shared" si="19"/>
        <v>0</v>
      </c>
      <c r="BT9" s="1">
        <f t="shared" si="20"/>
        <v>136.17500000000001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443.125</v>
      </c>
    </row>
    <row r="13" spans="1:73" ht="39.75" customHeight="1" thickBot="1" x14ac:dyDescent="0.45">
      <c r="A13" s="12"/>
      <c r="B13" s="11"/>
      <c r="C13" s="142"/>
      <c r="D13" s="143">
        <f>SUM(D4:D12)</f>
        <v>1193</v>
      </c>
      <c r="E13" s="143">
        <f>SUM(E4:E12)</f>
        <v>405</v>
      </c>
      <c r="F13" s="143">
        <f>SUM(F4:F12)</f>
        <v>0</v>
      </c>
      <c r="G13" s="143">
        <f>SUM(G4:G12)</f>
        <v>0</v>
      </c>
      <c r="H13" s="143">
        <f>SUM(H4:H12)</f>
        <v>788</v>
      </c>
      <c r="I13" s="142"/>
      <c r="J13" s="127">
        <f>SUM(J4:J12)</f>
        <v>52135.412499999999</v>
      </c>
      <c r="K13" s="35">
        <f>SUM(K4:K12)</f>
        <v>0</v>
      </c>
      <c r="M13" s="98"/>
      <c r="N13" s="99"/>
      <c r="O13" s="99"/>
      <c r="P13" s="100">
        <f>SUM(P4:P12)</f>
        <v>908</v>
      </c>
      <c r="Q13" s="100">
        <f>SUM(Q4:Q12)</f>
        <v>398</v>
      </c>
      <c r="R13" s="13">
        <f>SUM(R4:R12)</f>
        <v>0</v>
      </c>
      <c r="S13" s="13">
        <f>SUM(S4:S12)</f>
        <v>0</v>
      </c>
      <c r="T13" s="13">
        <f>SUM(T4:T12)</f>
        <v>510</v>
      </c>
      <c r="U13" s="11"/>
      <c r="V13" s="59">
        <f>SUM(V4:V12)</f>
        <v>35391.845000000001</v>
      </c>
      <c r="W13" s="35">
        <f>SUM(W4:W12)</f>
        <v>0</v>
      </c>
      <c r="Y13" s="12"/>
      <c r="Z13" s="11"/>
      <c r="AA13" s="11"/>
      <c r="AB13" s="13">
        <f>SUM(AB4:AB12)</f>
        <v>2960</v>
      </c>
      <c r="AC13" s="13">
        <f>SUM(AC4:AC12)</f>
        <v>726</v>
      </c>
      <c r="AD13" s="13">
        <f>SUM(AD4:AD12)</f>
        <v>0</v>
      </c>
      <c r="AE13" s="13">
        <f>SUM(AE4:AE12)</f>
        <v>0</v>
      </c>
      <c r="AF13" s="13">
        <f>SUM(AF4:AF12)</f>
        <v>2234</v>
      </c>
      <c r="AG13" s="11"/>
      <c r="AH13" s="59">
        <f>SUM(AH4:AH12)</f>
        <v>145409.37</v>
      </c>
      <c r="AI13" s="35">
        <f>SUM(AI4:AI12)</f>
        <v>0</v>
      </c>
      <c r="AK13" s="12"/>
      <c r="AL13" s="11"/>
      <c r="AM13" s="11"/>
      <c r="AN13" s="13">
        <f>SUM(AN4:AN12)</f>
        <v>8600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8600</v>
      </c>
      <c r="AS13" s="11"/>
      <c r="AT13" s="59">
        <f>SUM(AT4:AT12)</f>
        <v>612597.5</v>
      </c>
      <c r="AU13" s="35">
        <f>SUM(AU4:AU12)</f>
        <v>0</v>
      </c>
      <c r="AW13" s="12"/>
      <c r="AX13" s="11"/>
      <c r="AY13" s="11"/>
      <c r="AZ13" s="13">
        <f>SUM(AZ4:AZ12)</f>
        <v>5600</v>
      </c>
      <c r="BA13" s="13">
        <f>SUM(BA4:BA12)</f>
        <v>7</v>
      </c>
      <c r="BB13" s="13">
        <f>SUM(BB4:BB12)</f>
        <v>0</v>
      </c>
      <c r="BC13" s="13">
        <f>SUM(BC4:BC12)</f>
        <v>0</v>
      </c>
      <c r="BD13" s="13">
        <f>SUM(BD4:BD12)</f>
        <v>5593</v>
      </c>
      <c r="BE13" s="11"/>
      <c r="BF13" s="59">
        <f>SUM(BF4:BF12)</f>
        <v>374052.05249999999</v>
      </c>
      <c r="BG13" s="35">
        <f>SUM(BG4:BG12)</f>
        <v>0</v>
      </c>
      <c r="BI13" s="12"/>
      <c r="BJ13" s="11"/>
      <c r="BK13" s="11"/>
      <c r="BL13" s="13">
        <f>SUM(BL4:BL12)</f>
        <v>19261</v>
      </c>
      <c r="BM13" s="13">
        <f>SUM(BM4:BM12)</f>
        <v>1536</v>
      </c>
      <c r="BN13" s="13">
        <f>SUM(BN4:BN12)</f>
        <v>0</v>
      </c>
      <c r="BO13" s="13">
        <f>SUM(BO4:BO12)</f>
        <v>0</v>
      </c>
      <c r="BP13" s="13">
        <f>SUM(BP4:BP12)</f>
        <v>17725</v>
      </c>
      <c r="BQ13" s="11"/>
      <c r="BR13" s="59">
        <f>SUM(BR4:BR12)</f>
        <v>1219586.1800000002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2492+2336+4332+668</f>
        <v>9828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6041+631-2</f>
        <v>6670</v>
      </c>
      <c r="W14" s="29">
        <f>+V22</f>
        <v>0.84500000000116415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2837+8511+8511+2196+5491</f>
        <v>27546</v>
      </c>
      <c r="AI14" s="29">
        <f>+AH22</f>
        <v>-0.63000000000465661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115779</f>
        <v>115779</v>
      </c>
      <c r="AU14" s="29">
        <f>+AT22</f>
        <v>0.5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>
        <f>70779-5</f>
        <v>70774</v>
      </c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230597</v>
      </c>
      <c r="BS14" s="29">
        <f>+BR22</f>
        <v>1.1800000001676381</v>
      </c>
      <c r="BU14" s="1">
        <f>BP13/40</f>
        <v>443.125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461+432+802+123</f>
        <v>1818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1118+116</f>
        <v>1234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525+1576+1576+406+1016-241</f>
        <v>4858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f>21440</f>
        <v>21440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29350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8.144176475059059E-2</v>
      </c>
      <c r="J16" s="49">
        <f>1055+1076+1833+282</f>
        <v>4246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7.9792392852082158E-2</v>
      </c>
      <c r="V16" s="49">
        <f>2557+267</f>
        <v>2824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0.13233672630587698</v>
      </c>
      <c r="AH16" s="49">
        <f>2101+6305+6305+1627+2905</f>
        <v>19243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0.15999902056407347</v>
      </c>
      <c r="AT16" s="49">
        <f>98015</f>
        <v>98015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>
        <f>+BF16/BF13</f>
        <v>0.18021555970475528</v>
      </c>
      <c r="BF16" s="49">
        <f>67410</f>
        <v>67410</v>
      </c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0.15721562210552434</v>
      </c>
      <c r="BR16" s="53">
        <f t="shared" si="21"/>
        <v>191738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70+65+123+18</f>
        <v>276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171+17</f>
        <v>188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76+228+228+58+153</f>
        <v>743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f>3044</f>
        <v>3044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>
        <f>1889</f>
        <v>1889</v>
      </c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6140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35964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22510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58474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20211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15681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149598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611965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379305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1176760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0.41249999999854481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0.84500000000116415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-0.63000000000465661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0.5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5.2499999990686774E-2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1.1800000001676381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32324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57</v>
      </c>
      <c r="B26" s="182" t="s">
        <v>187</v>
      </c>
      <c r="C26" s="263">
        <v>20211</v>
      </c>
      <c r="D26" s="264"/>
      <c r="E26" s="265" t="s">
        <v>63</v>
      </c>
      <c r="F26" s="266"/>
      <c r="G26" s="146">
        <v>130</v>
      </c>
      <c r="H26" s="267" t="s">
        <v>18</v>
      </c>
      <c r="I26" s="268"/>
      <c r="J26" s="47">
        <f>4060+G35</f>
        <v>35964</v>
      </c>
      <c r="M26" s="175" t="s">
        <v>189</v>
      </c>
      <c r="N26" s="158" t="s">
        <v>190</v>
      </c>
      <c r="O26" s="269">
        <v>15681</v>
      </c>
      <c r="P26" s="270"/>
      <c r="Q26" s="271"/>
      <c r="R26" s="272"/>
      <c r="S26" s="146"/>
      <c r="T26" s="267" t="s">
        <v>18</v>
      </c>
      <c r="U26" s="268"/>
      <c r="V26" s="47">
        <v>10010</v>
      </c>
      <c r="Y26" s="180" t="s">
        <v>67</v>
      </c>
      <c r="Z26" s="148" t="s">
        <v>191</v>
      </c>
      <c r="AA26" s="259">
        <v>15299</v>
      </c>
      <c r="AB26" s="273"/>
      <c r="AC26" s="297" t="s">
        <v>81</v>
      </c>
      <c r="AD26" s="298"/>
      <c r="AE26" s="147">
        <v>340</v>
      </c>
      <c r="AF26" s="267" t="s">
        <v>18</v>
      </c>
      <c r="AG26" s="268"/>
      <c r="AH26" s="47"/>
      <c r="AK26" s="206" t="s">
        <v>74</v>
      </c>
      <c r="AL26" s="162" t="s">
        <v>156</v>
      </c>
      <c r="AM26" s="259">
        <v>611965</v>
      </c>
      <c r="AN26" s="273"/>
      <c r="AO26" s="289"/>
      <c r="AP26" s="290"/>
      <c r="AQ26" s="163"/>
      <c r="AR26" s="280" t="s">
        <v>18</v>
      </c>
      <c r="AS26" s="281"/>
      <c r="AT26" s="164"/>
      <c r="AW26" s="102" t="s">
        <v>67</v>
      </c>
      <c r="AX26" s="78" t="s">
        <v>196</v>
      </c>
      <c r="AY26" s="283">
        <v>379305</v>
      </c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203"/>
      <c r="B27" s="203"/>
      <c r="C27" s="294"/>
      <c r="D27" s="295"/>
      <c r="E27" s="265" t="s">
        <v>131</v>
      </c>
      <c r="F27" s="266"/>
      <c r="G27" s="146">
        <v>11774</v>
      </c>
      <c r="H27" s="285" t="s">
        <v>54</v>
      </c>
      <c r="I27" s="286"/>
      <c r="J27" s="47"/>
      <c r="L27" s="205"/>
      <c r="M27" s="175"/>
      <c r="N27" s="158"/>
      <c r="O27" s="269"/>
      <c r="P27" s="270"/>
      <c r="Q27" s="322"/>
      <c r="R27" s="323"/>
      <c r="S27" s="146"/>
      <c r="T27" s="282" t="s">
        <v>53</v>
      </c>
      <c r="U27" s="267"/>
      <c r="V27" s="47">
        <v>12500</v>
      </c>
      <c r="W27" s="145"/>
      <c r="Y27" s="180" t="s">
        <v>67</v>
      </c>
      <c r="Z27" s="148" t="s">
        <v>192</v>
      </c>
      <c r="AA27" s="283">
        <v>45896</v>
      </c>
      <c r="AB27" s="284"/>
      <c r="AC27" s="297" t="s">
        <v>198</v>
      </c>
      <c r="AD27" s="298"/>
      <c r="AE27" s="147">
        <v>80</v>
      </c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98"/>
      <c r="B28" s="198"/>
      <c r="C28" s="294"/>
      <c r="D28" s="295"/>
      <c r="E28" s="265" t="s">
        <v>188</v>
      </c>
      <c r="F28" s="266"/>
      <c r="G28" s="146">
        <v>10000</v>
      </c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W28" s="145"/>
      <c r="Y28" s="180" t="s">
        <v>67</v>
      </c>
      <c r="Z28" s="148" t="s">
        <v>193</v>
      </c>
      <c r="AA28" s="283">
        <v>45781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 t="s">
        <v>197</v>
      </c>
      <c r="F29" s="266"/>
      <c r="G29" s="146">
        <v>10000</v>
      </c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 t="s">
        <v>67</v>
      </c>
      <c r="Z29" s="148" t="s">
        <v>194</v>
      </c>
      <c r="AA29" s="283">
        <v>11844</v>
      </c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 t="s">
        <v>67</v>
      </c>
      <c r="Z30" s="148" t="s">
        <v>195</v>
      </c>
      <c r="AA30" s="284">
        <v>30778</v>
      </c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20211</v>
      </c>
      <c r="D35" s="315"/>
      <c r="E35" s="316" t="s">
        <v>21</v>
      </c>
      <c r="F35" s="317"/>
      <c r="G35" s="87">
        <f>SUM(G26:G34)</f>
        <v>31904</v>
      </c>
      <c r="H35" s="318" t="s">
        <v>17</v>
      </c>
      <c r="I35" s="319"/>
      <c r="J35" s="77">
        <f>SUM(J26:J34)</f>
        <v>35964</v>
      </c>
      <c r="M35" s="177"/>
      <c r="N35" s="76" t="s">
        <v>16</v>
      </c>
      <c r="O35" s="314">
        <f>SUM(O26:O34)</f>
        <v>15681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22510</v>
      </c>
      <c r="Y35" s="75"/>
      <c r="Z35" s="76" t="s">
        <v>16</v>
      </c>
      <c r="AA35" s="314">
        <f>SUM(AA26:AB34)</f>
        <v>149598</v>
      </c>
      <c r="AB35" s="315"/>
      <c r="AC35" s="316" t="s">
        <v>21</v>
      </c>
      <c r="AD35" s="317"/>
      <c r="AE35" s="87">
        <f>SUM(AE26:AE34)</f>
        <v>420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611965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379305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126904</v>
      </c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EB9B-78E0-4E0E-8E35-E3AEE0BF566F}">
  <sheetPr>
    <pageSetUpPr fitToPage="1"/>
  </sheetPr>
  <dimension ref="A1:BU38"/>
  <sheetViews>
    <sheetView zoomScale="87" zoomScaleNormal="87" zoomScaleSheetLayoutView="100" workbookViewId="0">
      <selection sqref="A1:K1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9.5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199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17.10.2026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17.10.2026</v>
      </c>
      <c r="AK2" s="94"/>
      <c r="AL2" s="5" t="s">
        <v>200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17.10.2026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17.10.2026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17.10.2026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186</v>
      </c>
      <c r="E4" s="129">
        <v>85</v>
      </c>
      <c r="F4" s="130"/>
      <c r="G4" s="130"/>
      <c r="H4" s="131">
        <f t="shared" ref="H4:H12" si="0">+D4-E4-F4-G4</f>
        <v>101</v>
      </c>
      <c r="I4" s="132">
        <v>52.462499999999999</v>
      </c>
      <c r="J4" s="121">
        <f t="shared" ref="J4:J12" si="1">+H4*I4</f>
        <v>5298.7124999999996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219</v>
      </c>
      <c r="Q4" s="129"/>
      <c r="R4" s="130"/>
      <c r="S4" s="130"/>
      <c r="T4" s="131">
        <f t="shared" ref="T4:T12" si="3">+P4-Q4-R4-S4</f>
        <v>219</v>
      </c>
      <c r="U4" s="132">
        <v>52.462499999999999</v>
      </c>
      <c r="V4" s="150">
        <f t="shared" ref="V4:V12" si="4">+T4*U4</f>
        <v>11489.2875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360</v>
      </c>
      <c r="AC4" s="185"/>
      <c r="AD4" s="186"/>
      <c r="AE4" s="186"/>
      <c r="AF4" s="187">
        <f t="shared" ref="AF4:AF12" si="6">+AB4-AC4-AD4-AE4</f>
        <v>360</v>
      </c>
      <c r="AG4" s="67">
        <v>52.462499999999999</v>
      </c>
      <c r="AH4" s="56">
        <f t="shared" ref="AH4:AH12" si="7">+AF4*AG4</f>
        <v>18886.5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>
        <v>20</v>
      </c>
      <c r="AO4" s="37"/>
      <c r="AP4" s="38"/>
      <c r="AQ4" s="38"/>
      <c r="AR4" s="196">
        <f t="shared" ref="AR4:AR12" si="9">+AN4-AO4-AP4-AQ4</f>
        <v>20</v>
      </c>
      <c r="AS4" s="67">
        <v>52.462499999999999</v>
      </c>
      <c r="AT4" s="56">
        <f t="shared" ref="AT4:AT12" si="10">+AR4*AS4</f>
        <v>1049.25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785</v>
      </c>
      <c r="BM4" s="36">
        <f t="shared" si="15"/>
        <v>85</v>
      </c>
      <c r="BN4" s="38"/>
      <c r="BO4" s="36">
        <f t="shared" ref="BO4:BO12" si="16">+G4+S4+AE4+AQ4+BC4</f>
        <v>0</v>
      </c>
      <c r="BP4" s="194">
        <f t="shared" ref="BP4:BP12" si="17">+BL4-BM4-BN4-BO4</f>
        <v>700</v>
      </c>
      <c r="BQ4" s="67">
        <v>52.462499999999999</v>
      </c>
      <c r="BR4" s="56">
        <f t="shared" ref="BR4:BR12" si="18">+BP4*BQ4</f>
        <v>36723.75</v>
      </c>
      <c r="BS4" s="34">
        <f t="shared" ref="BS4:BS12" si="19">+BO4*BQ4</f>
        <v>0</v>
      </c>
      <c r="BT4" s="1">
        <f t="shared" ref="BT4:BT11" si="20">+BP4/40</f>
        <v>17.5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176</v>
      </c>
      <c r="E5" s="134">
        <v>86</v>
      </c>
      <c r="F5" s="135"/>
      <c r="G5" s="135"/>
      <c r="H5" s="131">
        <f t="shared" si="0"/>
        <v>90</v>
      </c>
      <c r="I5" s="132">
        <v>52.462499999999999</v>
      </c>
      <c r="J5" s="123">
        <f t="shared" si="1"/>
        <v>4721.625</v>
      </c>
      <c r="K5" s="34">
        <f t="shared" si="2"/>
        <v>0</v>
      </c>
      <c r="M5" s="221"/>
      <c r="N5" s="45" t="s">
        <v>26</v>
      </c>
      <c r="O5" s="71">
        <v>70</v>
      </c>
      <c r="P5" s="128">
        <v>104</v>
      </c>
      <c r="Q5" s="134"/>
      <c r="R5" s="135"/>
      <c r="S5" s="135"/>
      <c r="T5" s="131">
        <f t="shared" si="3"/>
        <v>104</v>
      </c>
      <c r="U5" s="132">
        <v>52.462499999999999</v>
      </c>
      <c r="V5" s="151">
        <f t="shared" si="4"/>
        <v>5456.0999999999995</v>
      </c>
      <c r="W5" s="34">
        <f t="shared" si="5"/>
        <v>0</v>
      </c>
      <c r="Y5" s="221"/>
      <c r="Z5" s="45" t="s">
        <v>26</v>
      </c>
      <c r="AA5" s="71">
        <v>70</v>
      </c>
      <c r="AB5" s="188">
        <v>600</v>
      </c>
      <c r="AC5" s="185"/>
      <c r="AD5" s="189"/>
      <c r="AE5" s="189"/>
      <c r="AF5" s="187">
        <f t="shared" si="6"/>
        <v>600</v>
      </c>
      <c r="AG5" s="67">
        <v>52.462499999999999</v>
      </c>
      <c r="AH5" s="56">
        <f t="shared" si="7"/>
        <v>31477.5</v>
      </c>
      <c r="AI5" s="34">
        <f t="shared" si="8"/>
        <v>0</v>
      </c>
      <c r="AK5" s="221"/>
      <c r="AL5" s="45" t="s">
        <v>26</v>
      </c>
      <c r="AM5" s="71">
        <v>70</v>
      </c>
      <c r="AN5" s="39">
        <v>20</v>
      </c>
      <c r="AO5" s="40"/>
      <c r="AP5" s="31"/>
      <c r="AQ5" s="31"/>
      <c r="AR5" s="196">
        <f t="shared" si="9"/>
        <v>20</v>
      </c>
      <c r="AS5" s="67">
        <v>52.462499999999999</v>
      </c>
      <c r="AT5" s="57">
        <f t="shared" si="10"/>
        <v>1049.25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900</v>
      </c>
      <c r="BM5" s="36">
        <f t="shared" si="15"/>
        <v>86</v>
      </c>
      <c r="BN5" s="31"/>
      <c r="BO5" s="36">
        <f t="shared" si="16"/>
        <v>0</v>
      </c>
      <c r="BP5" s="194">
        <f t="shared" si="17"/>
        <v>814</v>
      </c>
      <c r="BQ5" s="67">
        <v>52.462499999999999</v>
      </c>
      <c r="BR5" s="57">
        <f t="shared" si="18"/>
        <v>42704.474999999999</v>
      </c>
      <c r="BS5" s="34">
        <f t="shared" si="19"/>
        <v>0</v>
      </c>
      <c r="BT5" s="1">
        <f t="shared" si="20"/>
        <v>20.350000000000001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176</v>
      </c>
      <c r="E6" s="134">
        <v>86</v>
      </c>
      <c r="F6" s="135"/>
      <c r="G6" s="135"/>
      <c r="H6" s="131">
        <f t="shared" si="0"/>
        <v>90</v>
      </c>
      <c r="I6" s="132">
        <v>52.462499999999999</v>
      </c>
      <c r="J6" s="123">
        <f t="shared" si="1"/>
        <v>4721.625</v>
      </c>
      <c r="K6" s="34">
        <f t="shared" si="2"/>
        <v>0</v>
      </c>
      <c r="M6" s="221"/>
      <c r="N6" s="45" t="s">
        <v>27</v>
      </c>
      <c r="O6" s="71">
        <v>70</v>
      </c>
      <c r="P6" s="133">
        <v>65</v>
      </c>
      <c r="Q6" s="134"/>
      <c r="R6" s="135"/>
      <c r="S6" s="135"/>
      <c r="T6" s="131">
        <f t="shared" si="3"/>
        <v>65</v>
      </c>
      <c r="U6" s="132">
        <v>52.462499999999999</v>
      </c>
      <c r="V6" s="152">
        <f t="shared" si="4"/>
        <v>3410.0625</v>
      </c>
      <c r="W6" s="34">
        <f t="shared" si="5"/>
        <v>0</v>
      </c>
      <c r="Y6" s="221"/>
      <c r="Z6" s="45" t="s">
        <v>27</v>
      </c>
      <c r="AA6" s="71">
        <v>70</v>
      </c>
      <c r="AB6" s="188">
        <v>800</v>
      </c>
      <c r="AC6" s="185"/>
      <c r="AD6" s="189"/>
      <c r="AE6" s="189"/>
      <c r="AF6" s="187">
        <f t="shared" si="6"/>
        <v>800</v>
      </c>
      <c r="AG6" s="67">
        <v>52.462499999999999</v>
      </c>
      <c r="AH6" s="56">
        <f t="shared" si="7"/>
        <v>41970</v>
      </c>
      <c r="AI6" s="34">
        <f t="shared" si="8"/>
        <v>0</v>
      </c>
      <c r="AK6" s="221"/>
      <c r="AL6" s="45" t="s">
        <v>27</v>
      </c>
      <c r="AM6" s="71">
        <v>70</v>
      </c>
      <c r="AN6" s="39">
        <v>20</v>
      </c>
      <c r="AO6" s="40"/>
      <c r="AP6" s="31"/>
      <c r="AQ6" s="31"/>
      <c r="AR6" s="196">
        <f t="shared" si="9"/>
        <v>20</v>
      </c>
      <c r="AS6" s="67">
        <v>52.462499999999999</v>
      </c>
      <c r="AT6" s="57">
        <f t="shared" si="10"/>
        <v>1049.25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1061</v>
      </c>
      <c r="BM6" s="36">
        <f t="shared" si="15"/>
        <v>86</v>
      </c>
      <c r="BN6" s="31"/>
      <c r="BO6" s="36">
        <f t="shared" si="16"/>
        <v>0</v>
      </c>
      <c r="BP6" s="194">
        <f t="shared" si="17"/>
        <v>975</v>
      </c>
      <c r="BQ6" s="67">
        <v>52.462499999999999</v>
      </c>
      <c r="BR6" s="57">
        <f t="shared" si="18"/>
        <v>51150.9375</v>
      </c>
      <c r="BS6" s="34">
        <f t="shared" si="19"/>
        <v>0</v>
      </c>
      <c r="BT6" s="1">
        <f t="shared" si="20"/>
        <v>24.375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285</v>
      </c>
      <c r="E7" s="137">
        <v>80</v>
      </c>
      <c r="F7" s="138"/>
      <c r="G7" s="159"/>
      <c r="H7" s="131">
        <f t="shared" si="0"/>
        <v>205</v>
      </c>
      <c r="I7" s="132">
        <v>72.64</v>
      </c>
      <c r="J7" s="125">
        <f t="shared" si="1"/>
        <v>14891.2</v>
      </c>
      <c r="K7" s="34">
        <f t="shared" si="2"/>
        <v>0</v>
      </c>
      <c r="M7" s="221"/>
      <c r="N7" s="46" t="s">
        <v>28</v>
      </c>
      <c r="O7" s="72">
        <v>120</v>
      </c>
      <c r="P7" s="136">
        <v>153</v>
      </c>
      <c r="Q7" s="137">
        <v>13</v>
      </c>
      <c r="R7" s="138"/>
      <c r="S7" s="138"/>
      <c r="T7" s="131">
        <f t="shared" si="3"/>
        <v>140</v>
      </c>
      <c r="U7" s="132">
        <v>72.64</v>
      </c>
      <c r="V7" s="152">
        <f t="shared" si="4"/>
        <v>10169.6</v>
      </c>
      <c r="W7" s="34">
        <f t="shared" si="5"/>
        <v>0</v>
      </c>
      <c r="Y7" s="221"/>
      <c r="Z7" s="46" t="s">
        <v>28</v>
      </c>
      <c r="AA7" s="72">
        <v>120</v>
      </c>
      <c r="AB7" s="190">
        <v>760</v>
      </c>
      <c r="AC7" s="185"/>
      <c r="AD7" s="191"/>
      <c r="AE7" s="191"/>
      <c r="AF7" s="187">
        <f t="shared" si="6"/>
        <v>760</v>
      </c>
      <c r="AG7" s="67">
        <v>72.64</v>
      </c>
      <c r="AH7" s="56">
        <f t="shared" si="7"/>
        <v>55206.400000000001</v>
      </c>
      <c r="AI7" s="34">
        <f t="shared" si="8"/>
        <v>0</v>
      </c>
      <c r="AK7" s="221"/>
      <c r="AL7" s="46" t="s">
        <v>28</v>
      </c>
      <c r="AM7" s="72">
        <v>120</v>
      </c>
      <c r="AN7" s="41">
        <v>820</v>
      </c>
      <c r="AO7" s="42"/>
      <c r="AP7" s="43"/>
      <c r="AQ7" s="43"/>
      <c r="AR7" s="196">
        <f t="shared" si="9"/>
        <v>820</v>
      </c>
      <c r="AS7" s="67">
        <v>72.64</v>
      </c>
      <c r="AT7" s="58">
        <f t="shared" si="10"/>
        <v>59564.800000000003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2018</v>
      </c>
      <c r="BM7" s="36">
        <f t="shared" si="15"/>
        <v>93</v>
      </c>
      <c r="BN7" s="43"/>
      <c r="BO7" s="36">
        <f t="shared" si="16"/>
        <v>0</v>
      </c>
      <c r="BP7" s="194">
        <f t="shared" si="17"/>
        <v>1925</v>
      </c>
      <c r="BQ7" s="67">
        <v>72.64</v>
      </c>
      <c r="BR7" s="58">
        <f t="shared" si="18"/>
        <v>139832</v>
      </c>
      <c r="BS7" s="34">
        <f t="shared" si="19"/>
        <v>0</v>
      </c>
      <c r="BT7" s="1">
        <f t="shared" si="20"/>
        <v>48.125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250</v>
      </c>
      <c r="E8" s="140">
        <v>60</v>
      </c>
      <c r="F8" s="141"/>
      <c r="G8" s="141"/>
      <c r="H8" s="131">
        <f t="shared" si="0"/>
        <v>190</v>
      </c>
      <c r="I8" s="132">
        <v>72.64</v>
      </c>
      <c r="J8" s="125">
        <f t="shared" si="1"/>
        <v>13801.6</v>
      </c>
      <c r="K8" s="34">
        <f t="shared" si="2"/>
        <v>0</v>
      </c>
      <c r="M8" s="221"/>
      <c r="N8" s="63" t="s">
        <v>29</v>
      </c>
      <c r="O8" s="73">
        <v>120</v>
      </c>
      <c r="P8" s="139">
        <v>113</v>
      </c>
      <c r="Q8" s="140">
        <v>13</v>
      </c>
      <c r="R8" s="141"/>
      <c r="S8" s="141"/>
      <c r="T8" s="131">
        <f t="shared" si="3"/>
        <v>100</v>
      </c>
      <c r="U8" s="132">
        <v>72.64</v>
      </c>
      <c r="V8" s="152">
        <f t="shared" si="4"/>
        <v>7264</v>
      </c>
      <c r="W8" s="34">
        <f t="shared" si="5"/>
        <v>0</v>
      </c>
      <c r="Y8" s="221"/>
      <c r="Z8" s="63" t="s">
        <v>29</v>
      </c>
      <c r="AA8" s="73">
        <v>120</v>
      </c>
      <c r="AB8" s="188">
        <v>760</v>
      </c>
      <c r="AC8" s="185"/>
      <c r="AD8" s="189"/>
      <c r="AE8" s="189"/>
      <c r="AF8" s="187">
        <f t="shared" si="6"/>
        <v>760</v>
      </c>
      <c r="AG8" s="67">
        <v>72.64</v>
      </c>
      <c r="AH8" s="56">
        <f t="shared" si="7"/>
        <v>55206.400000000001</v>
      </c>
      <c r="AI8" s="34">
        <f t="shared" si="8"/>
        <v>0</v>
      </c>
      <c r="AK8" s="221"/>
      <c r="AL8" s="63" t="s">
        <v>29</v>
      </c>
      <c r="AM8" s="73">
        <v>120</v>
      </c>
      <c r="AN8" s="64">
        <v>740</v>
      </c>
      <c r="AO8" s="65"/>
      <c r="AP8" s="66"/>
      <c r="AQ8" s="66"/>
      <c r="AR8" s="196">
        <f t="shared" si="9"/>
        <v>740</v>
      </c>
      <c r="AS8" s="67">
        <v>72.64</v>
      </c>
      <c r="AT8" s="58">
        <f t="shared" si="10"/>
        <v>53753.599999999999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1863</v>
      </c>
      <c r="BM8" s="36">
        <f t="shared" si="15"/>
        <v>73</v>
      </c>
      <c r="BN8" s="66"/>
      <c r="BO8" s="36">
        <f t="shared" si="16"/>
        <v>0</v>
      </c>
      <c r="BP8" s="194">
        <f t="shared" si="17"/>
        <v>1790</v>
      </c>
      <c r="BQ8" s="67">
        <v>72.64</v>
      </c>
      <c r="BR8" s="58">
        <f t="shared" si="18"/>
        <v>130025.60000000001</v>
      </c>
      <c r="BS8" s="34">
        <f t="shared" si="19"/>
        <v>0</v>
      </c>
      <c r="BT8" s="1">
        <f t="shared" si="20"/>
        <v>44.75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305</v>
      </c>
      <c r="E9" s="129">
        <v>60</v>
      </c>
      <c r="F9" s="130"/>
      <c r="G9" s="130"/>
      <c r="H9" s="131">
        <f t="shared" si="0"/>
        <v>245</v>
      </c>
      <c r="I9" s="132">
        <v>72.64</v>
      </c>
      <c r="J9" s="121">
        <f t="shared" si="1"/>
        <v>17796.8</v>
      </c>
      <c r="K9" s="34">
        <f t="shared" si="2"/>
        <v>0</v>
      </c>
      <c r="M9" s="221"/>
      <c r="N9" s="44" t="s">
        <v>30</v>
      </c>
      <c r="O9" s="70">
        <v>120</v>
      </c>
      <c r="P9" s="128">
        <v>174</v>
      </c>
      <c r="Q9" s="129">
        <v>12</v>
      </c>
      <c r="R9" s="130"/>
      <c r="S9" s="130"/>
      <c r="T9" s="131">
        <f t="shared" si="3"/>
        <v>162</v>
      </c>
      <c r="U9" s="132">
        <v>72.64</v>
      </c>
      <c r="V9" s="150">
        <f t="shared" si="4"/>
        <v>11767.68</v>
      </c>
      <c r="W9" s="34">
        <f t="shared" si="5"/>
        <v>0</v>
      </c>
      <c r="Y9" s="221"/>
      <c r="Z9" s="44" t="s">
        <v>30</v>
      </c>
      <c r="AA9" s="70">
        <v>120</v>
      </c>
      <c r="AB9" s="192">
        <v>1120</v>
      </c>
      <c r="AC9" s="185"/>
      <c r="AD9" s="193"/>
      <c r="AE9" s="193"/>
      <c r="AF9" s="187">
        <f t="shared" si="6"/>
        <v>1120</v>
      </c>
      <c r="AG9" s="67">
        <v>72.64</v>
      </c>
      <c r="AH9" s="56">
        <f t="shared" si="7"/>
        <v>81356.800000000003</v>
      </c>
      <c r="AI9" s="34">
        <f t="shared" si="8"/>
        <v>0</v>
      </c>
      <c r="AK9" s="221"/>
      <c r="AL9" s="44" t="s">
        <v>30</v>
      </c>
      <c r="AM9" s="70">
        <v>120</v>
      </c>
      <c r="AN9" s="36">
        <v>900</v>
      </c>
      <c r="AO9" s="37"/>
      <c r="AP9" s="38"/>
      <c r="AQ9" s="38"/>
      <c r="AR9" s="196">
        <f t="shared" si="9"/>
        <v>900</v>
      </c>
      <c r="AS9" s="67">
        <v>72.64</v>
      </c>
      <c r="AT9" s="56">
        <f t="shared" si="10"/>
        <v>65376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2499</v>
      </c>
      <c r="BM9" s="36">
        <f t="shared" si="15"/>
        <v>72</v>
      </c>
      <c r="BN9" s="38"/>
      <c r="BO9" s="36">
        <f t="shared" si="16"/>
        <v>0</v>
      </c>
      <c r="BP9" s="194">
        <f t="shared" si="17"/>
        <v>2427</v>
      </c>
      <c r="BQ9" s="67">
        <v>72.64</v>
      </c>
      <c r="BR9" s="56">
        <f t="shared" si="18"/>
        <v>176297.28</v>
      </c>
      <c r="BS9" s="34">
        <f t="shared" si="19"/>
        <v>0</v>
      </c>
      <c r="BT9" s="1">
        <f t="shared" si="20"/>
        <v>60.674999999999997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215.77499999999998</v>
      </c>
    </row>
    <row r="13" spans="1:73" ht="39.75" customHeight="1" thickBot="1" x14ac:dyDescent="0.45">
      <c r="A13" s="12"/>
      <c r="B13" s="11"/>
      <c r="C13" s="142"/>
      <c r="D13" s="143">
        <f>SUM(D4:D12)</f>
        <v>1378</v>
      </c>
      <c r="E13" s="143">
        <f>SUM(E4:E12)</f>
        <v>457</v>
      </c>
      <c r="F13" s="143">
        <f>SUM(F4:F12)</f>
        <v>0</v>
      </c>
      <c r="G13" s="143">
        <f>SUM(G4:G12)</f>
        <v>0</v>
      </c>
      <c r="H13" s="143">
        <f>SUM(H4:H12)</f>
        <v>921</v>
      </c>
      <c r="I13" s="142"/>
      <c r="J13" s="127">
        <f>SUM(J4:J12)</f>
        <v>61231.5625</v>
      </c>
      <c r="K13" s="35">
        <f>SUM(K4:K12)</f>
        <v>0</v>
      </c>
      <c r="M13" s="98"/>
      <c r="N13" s="99"/>
      <c r="O13" s="99"/>
      <c r="P13" s="100">
        <f>SUM(P4:P12)</f>
        <v>828</v>
      </c>
      <c r="Q13" s="100">
        <f>SUM(Q4:Q12)</f>
        <v>38</v>
      </c>
      <c r="R13" s="13">
        <f>SUM(R4:R12)</f>
        <v>0</v>
      </c>
      <c r="S13" s="13">
        <f>SUM(S4:S12)</f>
        <v>0</v>
      </c>
      <c r="T13" s="13">
        <f>SUM(T4:T12)</f>
        <v>790</v>
      </c>
      <c r="U13" s="11"/>
      <c r="V13" s="59">
        <f>SUM(V4:V12)</f>
        <v>49556.73</v>
      </c>
      <c r="W13" s="35">
        <f>SUM(W4:W12)</f>
        <v>0</v>
      </c>
      <c r="Y13" s="12"/>
      <c r="Z13" s="11"/>
      <c r="AA13" s="11"/>
      <c r="AB13" s="13">
        <f>SUM(AB4:AB12)</f>
        <v>4400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4400</v>
      </c>
      <c r="AG13" s="11"/>
      <c r="AH13" s="59">
        <f>SUM(AH4:AH12)</f>
        <v>284103.59999999998</v>
      </c>
      <c r="AI13" s="35">
        <f>SUM(AI4:AI12)</f>
        <v>0</v>
      </c>
      <c r="AK13" s="12"/>
      <c r="AL13" s="11"/>
      <c r="AM13" s="11"/>
      <c r="AN13" s="13">
        <f>SUM(AN4:AN12)</f>
        <v>2520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2520</v>
      </c>
      <c r="AS13" s="11"/>
      <c r="AT13" s="59">
        <f>SUM(AT4:AT12)</f>
        <v>181842.15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9126</v>
      </c>
      <c r="BM13" s="13">
        <f>SUM(BM4:BM12)</f>
        <v>495</v>
      </c>
      <c r="BN13" s="13">
        <f>SUM(BN4:BN12)</f>
        <v>0</v>
      </c>
      <c r="BO13" s="13">
        <f>SUM(BO4:BO12)</f>
        <v>0</v>
      </c>
      <c r="BP13" s="13">
        <f>SUM(BP4:BP12)</f>
        <v>8631</v>
      </c>
      <c r="BQ13" s="11"/>
      <c r="BR13" s="59">
        <f>SUM(BR4:BR12)</f>
        <v>576734.04249999998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3935+7627+7</f>
        <v>11569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3501+5837+1</f>
        <v>9339</v>
      </c>
      <c r="W14" s="29">
        <f>+V22</f>
        <v>-0.26999999999679858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12203+6223+9366+8511+11715+2837+2837</f>
        <v>53692</v>
      </c>
      <c r="AI14" s="29">
        <f>+AH22</f>
        <v>0.59999999997671694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1418+32949-5</f>
        <v>34362</v>
      </c>
      <c r="AU14" s="29">
        <f>+AT22</f>
        <v>0.14999999999417923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108962</v>
      </c>
      <c r="BS14" s="29">
        <f>+BR22</f>
        <v>4.2499999981373549E-2</v>
      </c>
      <c r="BU14" s="1">
        <f>BP13/40</f>
        <v>215.77500000000001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728+1412</f>
        <v>2140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648+1080</f>
        <v>1728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2259+1152+1734+1576+2169+525+525</f>
        <v>9940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f>262+6101</f>
        <v>6363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20171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8.9088041808503576E-2</v>
      </c>
      <c r="J16" s="49">
        <f>1665+3790</f>
        <v>5455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7.9746988955889539E-2</v>
      </c>
      <c r="V16" s="49">
        <f>1482+2470</f>
        <v>3952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0.12529936262687275</v>
      </c>
      <c r="AH16" s="49">
        <f>9039+4610+3964+6305+8678+1501+1501</f>
        <v>35598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0.1644228249610995</v>
      </c>
      <c r="AT16" s="49">
        <f>600+17433+11866</f>
        <v>29899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0.12987615517771348</v>
      </c>
      <c r="BR16" s="53">
        <f t="shared" si="21"/>
        <v>74904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111+213</f>
        <v>324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99+165</f>
        <v>264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327+166+266+228+314+79+79</f>
        <v>1459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f>40+918</f>
        <v>958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3005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65530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53220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15902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8100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142752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0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260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277814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172800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450874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-0.4375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-0.26999999999679858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0.59999999997671694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0.14999999999417923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4.2499999981373549E-2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12310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/>
      <c r="B26" s="182"/>
      <c r="C26" s="263"/>
      <c r="D26" s="264"/>
      <c r="E26" s="265" t="s">
        <v>81</v>
      </c>
      <c r="F26" s="266"/>
      <c r="G26" s="146">
        <f>100+120+130</f>
        <v>350</v>
      </c>
      <c r="H26" s="267" t="s">
        <v>18</v>
      </c>
      <c r="I26" s="268"/>
      <c r="J26" s="47">
        <f>49230+G35</f>
        <v>49630</v>
      </c>
      <c r="M26" s="175" t="s">
        <v>74</v>
      </c>
      <c r="N26" s="158" t="s">
        <v>132</v>
      </c>
      <c r="O26" s="269">
        <v>260</v>
      </c>
      <c r="P26" s="270"/>
      <c r="Q26" s="271"/>
      <c r="R26" s="272"/>
      <c r="S26" s="146"/>
      <c r="T26" s="267" t="s">
        <v>18</v>
      </c>
      <c r="U26" s="268"/>
      <c r="V26" s="47">
        <v>53220</v>
      </c>
      <c r="Y26" s="180" t="s">
        <v>67</v>
      </c>
      <c r="Z26" s="148" t="s">
        <v>202</v>
      </c>
      <c r="AA26" s="259">
        <v>65800</v>
      </c>
      <c r="AB26" s="273"/>
      <c r="AC26" s="297" t="s">
        <v>81</v>
      </c>
      <c r="AD26" s="298"/>
      <c r="AE26" s="147">
        <f>70+200</f>
        <v>270</v>
      </c>
      <c r="AF26" s="267" t="s">
        <v>18</v>
      </c>
      <c r="AG26" s="268"/>
      <c r="AH26" s="47">
        <f>3992+AE35</f>
        <v>15902</v>
      </c>
      <c r="AK26" s="206" t="s">
        <v>74</v>
      </c>
      <c r="AL26" s="162" t="s">
        <v>201</v>
      </c>
      <c r="AM26" s="259">
        <v>172800</v>
      </c>
      <c r="AN26" s="273"/>
      <c r="AO26" s="289"/>
      <c r="AP26" s="290"/>
      <c r="AQ26" s="163"/>
      <c r="AR26" s="280" t="s">
        <v>18</v>
      </c>
      <c r="AS26" s="281"/>
      <c r="AT26" s="164">
        <v>8100</v>
      </c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203"/>
      <c r="B27" s="203"/>
      <c r="C27" s="294"/>
      <c r="D27" s="295"/>
      <c r="E27" s="265" t="s">
        <v>61</v>
      </c>
      <c r="F27" s="266"/>
      <c r="G27" s="146">
        <v>50</v>
      </c>
      <c r="H27" s="285" t="s">
        <v>54</v>
      </c>
      <c r="I27" s="286"/>
      <c r="J27" s="47">
        <v>15900</v>
      </c>
      <c r="L27" s="205"/>
      <c r="M27" s="175"/>
      <c r="N27" s="158"/>
      <c r="O27" s="269"/>
      <c r="P27" s="270"/>
      <c r="Q27" s="322"/>
      <c r="R27" s="323"/>
      <c r="S27" s="146"/>
      <c r="T27" s="282" t="s">
        <v>53</v>
      </c>
      <c r="U27" s="267"/>
      <c r="V27" s="47"/>
      <c r="W27" s="145"/>
      <c r="Y27" s="180" t="s">
        <v>67</v>
      </c>
      <c r="Z27" s="148" t="s">
        <v>139</v>
      </c>
      <c r="AA27" s="283">
        <v>33558</v>
      </c>
      <c r="AB27" s="284"/>
      <c r="AC27" s="297" t="s">
        <v>206</v>
      </c>
      <c r="AD27" s="298"/>
      <c r="AE27" s="147">
        <v>11640</v>
      </c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98"/>
      <c r="B28" s="198"/>
      <c r="C28" s="294"/>
      <c r="D28" s="29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W28" s="145"/>
      <c r="Y28" s="180" t="s">
        <v>67</v>
      </c>
      <c r="Z28" s="148" t="s">
        <v>97</v>
      </c>
      <c r="AA28" s="283">
        <v>53490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 t="s">
        <v>67</v>
      </c>
      <c r="Z29" s="148" t="s">
        <v>203</v>
      </c>
      <c r="AA29" s="283">
        <v>45896</v>
      </c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 t="s">
        <v>67</v>
      </c>
      <c r="Z30" s="148" t="s">
        <v>204</v>
      </c>
      <c r="AA30" s="284">
        <v>63168</v>
      </c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 t="s">
        <v>67</v>
      </c>
      <c r="Z31" s="148" t="s">
        <v>205</v>
      </c>
      <c r="AA31" s="284">
        <v>15902</v>
      </c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0</v>
      </c>
      <c r="D35" s="315"/>
      <c r="E35" s="316" t="s">
        <v>21</v>
      </c>
      <c r="F35" s="317"/>
      <c r="G35" s="87">
        <f>SUM(G26:G34)</f>
        <v>400</v>
      </c>
      <c r="H35" s="318" t="s">
        <v>17</v>
      </c>
      <c r="I35" s="319"/>
      <c r="J35" s="77">
        <f>SUM(J26:J34)</f>
        <v>65530</v>
      </c>
      <c r="M35" s="177"/>
      <c r="N35" s="76" t="s">
        <v>16</v>
      </c>
      <c r="O35" s="314">
        <f>SUM(O26:O34)</f>
        <v>260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53220</v>
      </c>
      <c r="Y35" s="75"/>
      <c r="Z35" s="76" t="s">
        <v>16</v>
      </c>
      <c r="AA35" s="314">
        <f>SUM(AA26:AB34)</f>
        <v>277814</v>
      </c>
      <c r="AB35" s="315"/>
      <c r="AC35" s="316" t="s">
        <v>21</v>
      </c>
      <c r="AD35" s="317"/>
      <c r="AE35" s="87">
        <f>SUM(AE26:AE34)</f>
        <v>11910</v>
      </c>
      <c r="AF35" s="318" t="s">
        <v>17</v>
      </c>
      <c r="AG35" s="319"/>
      <c r="AH35" s="77">
        <f>SUM(AH26:AH34)</f>
        <v>15902</v>
      </c>
      <c r="AK35" s="75"/>
      <c r="AL35" s="76" t="s">
        <v>16</v>
      </c>
      <c r="AM35" s="314">
        <f>SUM(AM26:AM34)</f>
        <v>172800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8100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139242</v>
      </c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09C9-4576-457C-B51A-E1D7A0C4D5AE}">
  <sheetPr>
    <pageSetUpPr fitToPage="1"/>
  </sheetPr>
  <dimension ref="A1:BU38"/>
  <sheetViews>
    <sheetView zoomScale="87" zoomScaleNormal="87" zoomScaleSheetLayoutView="100" workbookViewId="0">
      <selection sqref="A1:K1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5.0820312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211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19.10.2026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19.10.2026</v>
      </c>
      <c r="AK2" s="94"/>
      <c r="AL2" s="93" t="s">
        <v>47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19.10.2026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19.10.2026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19.10.2026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137</v>
      </c>
      <c r="E4" s="129">
        <v>15</v>
      </c>
      <c r="F4" s="130"/>
      <c r="G4" s="130"/>
      <c r="H4" s="131">
        <f t="shared" ref="H4:H12" si="0">+D4-E4-F4-G4</f>
        <v>122</v>
      </c>
      <c r="I4" s="132">
        <v>52.462499999999999</v>
      </c>
      <c r="J4" s="121">
        <f t="shared" ref="J4:J12" si="1">+H4*I4</f>
        <v>6400.4250000000002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223</v>
      </c>
      <c r="Q4" s="129">
        <v>70</v>
      </c>
      <c r="R4" s="130"/>
      <c r="S4" s="130"/>
      <c r="T4" s="131">
        <f t="shared" ref="T4:T12" si="3">+P4-Q4-R4-S4</f>
        <v>153</v>
      </c>
      <c r="U4" s="132">
        <v>52.462499999999999</v>
      </c>
      <c r="V4" s="150">
        <f t="shared" ref="V4:V12" si="4">+T4*U4</f>
        <v>8026.7624999999998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400</v>
      </c>
      <c r="AC4" s="185">
        <v>120</v>
      </c>
      <c r="AD4" s="186"/>
      <c r="AE4" s="186"/>
      <c r="AF4" s="187">
        <f t="shared" ref="AF4:AF12" si="6">+AB4-AC4-AD4-AE4</f>
        <v>280</v>
      </c>
      <c r="AG4" s="67">
        <v>52.462499999999999</v>
      </c>
      <c r="AH4" s="56">
        <f t="shared" ref="AH4:AH12" si="7">+AF4*AG4</f>
        <v>14689.5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760</v>
      </c>
      <c r="BM4" s="36">
        <f t="shared" si="15"/>
        <v>205</v>
      </c>
      <c r="BN4" s="38"/>
      <c r="BO4" s="36">
        <f t="shared" ref="BO4:BO12" si="16">+G4+S4+AE4+AQ4+BC4</f>
        <v>0</v>
      </c>
      <c r="BP4" s="194">
        <f t="shared" ref="BP4:BP12" si="17">+BL4-BM4-BN4-BO4</f>
        <v>555</v>
      </c>
      <c r="BQ4" s="67">
        <v>52.462499999999999</v>
      </c>
      <c r="BR4" s="56">
        <f t="shared" ref="BR4:BR12" si="18">+BP4*BQ4</f>
        <v>29116.6875</v>
      </c>
      <c r="BS4" s="34">
        <f t="shared" ref="BS4:BS12" si="19">+BO4*BQ4</f>
        <v>0</v>
      </c>
      <c r="BT4" s="1">
        <f t="shared" ref="BT4:BT11" si="20">+BP4/40</f>
        <v>13.875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133</v>
      </c>
      <c r="E5" s="134">
        <v>10</v>
      </c>
      <c r="F5" s="135"/>
      <c r="G5" s="135"/>
      <c r="H5" s="131">
        <f t="shared" si="0"/>
        <v>123</v>
      </c>
      <c r="I5" s="132">
        <v>52.462499999999999</v>
      </c>
      <c r="J5" s="123">
        <f t="shared" si="1"/>
        <v>6452.8874999999998</v>
      </c>
      <c r="K5" s="34">
        <f t="shared" si="2"/>
        <v>0</v>
      </c>
      <c r="M5" s="221"/>
      <c r="N5" s="45" t="s">
        <v>26</v>
      </c>
      <c r="O5" s="71">
        <v>70</v>
      </c>
      <c r="P5" s="128">
        <v>102</v>
      </c>
      <c r="Q5" s="134">
        <v>34</v>
      </c>
      <c r="R5" s="135"/>
      <c r="S5" s="135"/>
      <c r="T5" s="131">
        <f t="shared" si="3"/>
        <v>68</v>
      </c>
      <c r="U5" s="132">
        <v>52.462499999999999</v>
      </c>
      <c r="V5" s="151">
        <f t="shared" si="4"/>
        <v>3567.45</v>
      </c>
      <c r="W5" s="34">
        <f t="shared" si="5"/>
        <v>0</v>
      </c>
      <c r="Y5" s="221"/>
      <c r="Z5" s="45" t="s">
        <v>26</v>
      </c>
      <c r="AA5" s="71">
        <v>70</v>
      </c>
      <c r="AB5" s="188">
        <v>320</v>
      </c>
      <c r="AC5" s="185">
        <v>120</v>
      </c>
      <c r="AD5" s="189"/>
      <c r="AE5" s="189"/>
      <c r="AF5" s="187">
        <f t="shared" si="6"/>
        <v>200</v>
      </c>
      <c r="AG5" s="67">
        <v>52.462499999999999</v>
      </c>
      <c r="AH5" s="56">
        <f t="shared" si="7"/>
        <v>10492.5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555</v>
      </c>
      <c r="BM5" s="36">
        <f t="shared" si="15"/>
        <v>164</v>
      </c>
      <c r="BN5" s="31"/>
      <c r="BO5" s="36">
        <f t="shared" si="16"/>
        <v>0</v>
      </c>
      <c r="BP5" s="194">
        <f t="shared" si="17"/>
        <v>391</v>
      </c>
      <c r="BQ5" s="67">
        <v>52.462499999999999</v>
      </c>
      <c r="BR5" s="57">
        <f t="shared" si="18"/>
        <v>20512.837499999998</v>
      </c>
      <c r="BS5" s="34">
        <f t="shared" si="19"/>
        <v>0</v>
      </c>
      <c r="BT5" s="1">
        <f t="shared" si="20"/>
        <v>9.7750000000000004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200</v>
      </c>
      <c r="E6" s="134">
        <v>15</v>
      </c>
      <c r="F6" s="135"/>
      <c r="G6" s="135"/>
      <c r="H6" s="131">
        <f t="shared" si="0"/>
        <v>185</v>
      </c>
      <c r="I6" s="132">
        <v>52.462499999999999</v>
      </c>
      <c r="J6" s="123">
        <f t="shared" si="1"/>
        <v>9705.5625</v>
      </c>
      <c r="K6" s="34">
        <f t="shared" si="2"/>
        <v>0</v>
      </c>
      <c r="M6" s="221"/>
      <c r="N6" s="45" t="s">
        <v>27</v>
      </c>
      <c r="O6" s="71">
        <v>70</v>
      </c>
      <c r="P6" s="133">
        <v>156</v>
      </c>
      <c r="Q6" s="134">
        <v>32</v>
      </c>
      <c r="R6" s="135"/>
      <c r="S6" s="135"/>
      <c r="T6" s="131">
        <f t="shared" si="3"/>
        <v>124</v>
      </c>
      <c r="U6" s="132">
        <v>52.462499999999999</v>
      </c>
      <c r="V6" s="152">
        <f t="shared" si="4"/>
        <v>6505.3499999999995</v>
      </c>
      <c r="W6" s="34">
        <f t="shared" si="5"/>
        <v>0</v>
      </c>
      <c r="Y6" s="221"/>
      <c r="Z6" s="45" t="s">
        <v>27</v>
      </c>
      <c r="AA6" s="71">
        <v>70</v>
      </c>
      <c r="AB6" s="188">
        <v>1120</v>
      </c>
      <c r="AC6" s="185">
        <v>200</v>
      </c>
      <c r="AD6" s="189"/>
      <c r="AE6" s="189"/>
      <c r="AF6" s="187">
        <f t="shared" si="6"/>
        <v>920</v>
      </c>
      <c r="AG6" s="67">
        <v>52.462499999999999</v>
      </c>
      <c r="AH6" s="56">
        <f t="shared" si="7"/>
        <v>48265.5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1476</v>
      </c>
      <c r="BM6" s="36">
        <f t="shared" si="15"/>
        <v>247</v>
      </c>
      <c r="BN6" s="31"/>
      <c r="BO6" s="36">
        <f t="shared" si="16"/>
        <v>0</v>
      </c>
      <c r="BP6" s="194">
        <f t="shared" si="17"/>
        <v>1229</v>
      </c>
      <c r="BQ6" s="67">
        <v>52.462499999999999</v>
      </c>
      <c r="BR6" s="57">
        <f t="shared" si="18"/>
        <v>64476.412499999999</v>
      </c>
      <c r="BS6" s="34">
        <f t="shared" si="19"/>
        <v>0</v>
      </c>
      <c r="BT6" s="1">
        <f t="shared" si="20"/>
        <v>30.725000000000001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240</v>
      </c>
      <c r="E7" s="137">
        <v>25</v>
      </c>
      <c r="F7" s="138"/>
      <c r="G7" s="159"/>
      <c r="H7" s="131">
        <f t="shared" si="0"/>
        <v>215</v>
      </c>
      <c r="I7" s="132">
        <v>72.64</v>
      </c>
      <c r="J7" s="125">
        <f t="shared" si="1"/>
        <v>15617.6</v>
      </c>
      <c r="K7" s="34">
        <f t="shared" si="2"/>
        <v>0</v>
      </c>
      <c r="M7" s="221"/>
      <c r="N7" s="46" t="s">
        <v>28</v>
      </c>
      <c r="O7" s="72">
        <v>120</v>
      </c>
      <c r="P7" s="136">
        <v>254</v>
      </c>
      <c r="Q7" s="137">
        <v>132</v>
      </c>
      <c r="R7" s="138"/>
      <c r="S7" s="138"/>
      <c r="T7" s="131">
        <f t="shared" si="3"/>
        <v>122</v>
      </c>
      <c r="U7" s="132">
        <v>72.64</v>
      </c>
      <c r="V7" s="152">
        <f t="shared" si="4"/>
        <v>8862.08</v>
      </c>
      <c r="W7" s="34">
        <f t="shared" si="5"/>
        <v>0</v>
      </c>
      <c r="Y7" s="221"/>
      <c r="Z7" s="46" t="s">
        <v>28</v>
      </c>
      <c r="AA7" s="72">
        <v>120</v>
      </c>
      <c r="AB7" s="190">
        <v>720</v>
      </c>
      <c r="AC7" s="185">
        <v>120</v>
      </c>
      <c r="AD7" s="191"/>
      <c r="AE7" s="191"/>
      <c r="AF7" s="187">
        <f t="shared" si="6"/>
        <v>600</v>
      </c>
      <c r="AG7" s="67">
        <v>72.64</v>
      </c>
      <c r="AH7" s="56">
        <f t="shared" si="7"/>
        <v>43584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1214</v>
      </c>
      <c r="BM7" s="36">
        <f t="shared" si="15"/>
        <v>277</v>
      </c>
      <c r="BN7" s="43"/>
      <c r="BO7" s="36">
        <f t="shared" si="16"/>
        <v>0</v>
      </c>
      <c r="BP7" s="194">
        <f t="shared" si="17"/>
        <v>937</v>
      </c>
      <c r="BQ7" s="67">
        <v>72.64</v>
      </c>
      <c r="BR7" s="58">
        <f t="shared" si="18"/>
        <v>68063.680000000008</v>
      </c>
      <c r="BS7" s="34">
        <f t="shared" si="19"/>
        <v>0</v>
      </c>
      <c r="BT7" s="1">
        <f t="shared" si="20"/>
        <v>23.425000000000001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230</v>
      </c>
      <c r="E8" s="140">
        <v>20</v>
      </c>
      <c r="F8" s="141"/>
      <c r="G8" s="141"/>
      <c r="H8" s="131">
        <f t="shared" si="0"/>
        <v>210</v>
      </c>
      <c r="I8" s="132">
        <v>72.64</v>
      </c>
      <c r="J8" s="125">
        <f t="shared" si="1"/>
        <v>15254.4</v>
      </c>
      <c r="K8" s="34">
        <f t="shared" si="2"/>
        <v>0</v>
      </c>
      <c r="M8" s="221"/>
      <c r="N8" s="63" t="s">
        <v>29</v>
      </c>
      <c r="O8" s="73">
        <v>120</v>
      </c>
      <c r="P8" s="139">
        <v>149</v>
      </c>
      <c r="Q8" s="140">
        <v>52</v>
      </c>
      <c r="R8" s="141"/>
      <c r="S8" s="141"/>
      <c r="T8" s="131">
        <f t="shared" si="3"/>
        <v>97</v>
      </c>
      <c r="U8" s="132">
        <v>72.64</v>
      </c>
      <c r="V8" s="152">
        <f t="shared" si="4"/>
        <v>7046.08</v>
      </c>
      <c r="W8" s="34">
        <f t="shared" si="5"/>
        <v>0</v>
      </c>
      <c r="Y8" s="221"/>
      <c r="Z8" s="63" t="s">
        <v>29</v>
      </c>
      <c r="AA8" s="73">
        <v>120</v>
      </c>
      <c r="AB8" s="188">
        <v>800</v>
      </c>
      <c r="AC8" s="185">
        <v>120</v>
      </c>
      <c r="AD8" s="189"/>
      <c r="AE8" s="189"/>
      <c r="AF8" s="187">
        <f t="shared" si="6"/>
        <v>680</v>
      </c>
      <c r="AG8" s="67">
        <v>72.64</v>
      </c>
      <c r="AH8" s="56">
        <f t="shared" si="7"/>
        <v>49395.199999999997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1179</v>
      </c>
      <c r="BM8" s="36">
        <f t="shared" si="15"/>
        <v>192</v>
      </c>
      <c r="BN8" s="66"/>
      <c r="BO8" s="36">
        <f t="shared" si="16"/>
        <v>0</v>
      </c>
      <c r="BP8" s="194">
        <f t="shared" si="17"/>
        <v>987</v>
      </c>
      <c r="BQ8" s="67">
        <v>72.64</v>
      </c>
      <c r="BR8" s="58">
        <f t="shared" si="18"/>
        <v>71695.680000000008</v>
      </c>
      <c r="BS8" s="34">
        <f t="shared" si="19"/>
        <v>0</v>
      </c>
      <c r="BT8" s="1">
        <f t="shared" si="20"/>
        <v>24.675000000000001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298</v>
      </c>
      <c r="E9" s="129">
        <v>35</v>
      </c>
      <c r="F9" s="130"/>
      <c r="G9" s="130"/>
      <c r="H9" s="131">
        <f t="shared" si="0"/>
        <v>263</v>
      </c>
      <c r="I9" s="132">
        <v>72.64</v>
      </c>
      <c r="J9" s="121">
        <f t="shared" si="1"/>
        <v>19104.32</v>
      </c>
      <c r="K9" s="34">
        <f t="shared" si="2"/>
        <v>0</v>
      </c>
      <c r="M9" s="221"/>
      <c r="N9" s="44" t="s">
        <v>30</v>
      </c>
      <c r="O9" s="70">
        <v>120</v>
      </c>
      <c r="P9" s="128">
        <v>209</v>
      </c>
      <c r="Q9" s="129">
        <v>124</v>
      </c>
      <c r="R9" s="130"/>
      <c r="S9" s="130"/>
      <c r="T9" s="131">
        <f t="shared" si="3"/>
        <v>85</v>
      </c>
      <c r="U9" s="132">
        <v>72.64</v>
      </c>
      <c r="V9" s="150">
        <f t="shared" si="4"/>
        <v>6174.4</v>
      </c>
      <c r="W9" s="34">
        <f t="shared" si="5"/>
        <v>0</v>
      </c>
      <c r="Y9" s="221"/>
      <c r="Z9" s="44" t="s">
        <v>30</v>
      </c>
      <c r="AA9" s="70">
        <v>120</v>
      </c>
      <c r="AB9" s="192">
        <v>1400</v>
      </c>
      <c r="AC9" s="185">
        <v>280</v>
      </c>
      <c r="AD9" s="193"/>
      <c r="AE9" s="193"/>
      <c r="AF9" s="187">
        <f t="shared" si="6"/>
        <v>1120</v>
      </c>
      <c r="AG9" s="67">
        <v>72.64</v>
      </c>
      <c r="AH9" s="56">
        <f t="shared" si="7"/>
        <v>81356.800000000003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1907</v>
      </c>
      <c r="BM9" s="36">
        <f t="shared" si="15"/>
        <v>439</v>
      </c>
      <c r="BN9" s="38"/>
      <c r="BO9" s="36">
        <f t="shared" si="16"/>
        <v>0</v>
      </c>
      <c r="BP9" s="194">
        <f t="shared" si="17"/>
        <v>1468</v>
      </c>
      <c r="BQ9" s="67">
        <v>72.64</v>
      </c>
      <c r="BR9" s="56">
        <f t="shared" si="18"/>
        <v>106635.52</v>
      </c>
      <c r="BS9" s="34">
        <f t="shared" si="19"/>
        <v>0</v>
      </c>
      <c r="BT9" s="1">
        <f t="shared" si="20"/>
        <v>36.700000000000003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139.17500000000001</v>
      </c>
    </row>
    <row r="13" spans="1:73" ht="39.75" customHeight="1" thickBot="1" x14ac:dyDescent="0.45">
      <c r="A13" s="12"/>
      <c r="B13" s="11"/>
      <c r="C13" s="142"/>
      <c r="D13" s="143">
        <f>SUM(D4:D12)</f>
        <v>1238</v>
      </c>
      <c r="E13" s="143">
        <f>SUM(E4:E12)</f>
        <v>120</v>
      </c>
      <c r="F13" s="143">
        <f>SUM(F4:F12)</f>
        <v>0</v>
      </c>
      <c r="G13" s="143">
        <f>SUM(G4:G12)</f>
        <v>0</v>
      </c>
      <c r="H13" s="143">
        <f>SUM(H4:H12)</f>
        <v>1118</v>
      </c>
      <c r="I13" s="142"/>
      <c r="J13" s="127">
        <f>SUM(J4:J12)</f>
        <v>72535.195000000007</v>
      </c>
      <c r="K13" s="35">
        <f>SUM(K4:K12)</f>
        <v>0</v>
      </c>
      <c r="M13" s="98"/>
      <c r="N13" s="99"/>
      <c r="O13" s="99"/>
      <c r="P13" s="100">
        <f>SUM(P4:P12)</f>
        <v>1093</v>
      </c>
      <c r="Q13" s="100">
        <f>SUM(Q4:Q12)</f>
        <v>444</v>
      </c>
      <c r="R13" s="13">
        <f>SUM(R4:R12)</f>
        <v>0</v>
      </c>
      <c r="S13" s="13">
        <f>SUM(S4:S12)</f>
        <v>0</v>
      </c>
      <c r="T13" s="13">
        <f>SUM(T4:T12)</f>
        <v>649</v>
      </c>
      <c r="U13" s="11"/>
      <c r="V13" s="59">
        <f>SUM(V4:V12)</f>
        <v>40182.122500000005</v>
      </c>
      <c r="W13" s="35">
        <f>SUM(W4:W12)</f>
        <v>0</v>
      </c>
      <c r="Y13" s="12"/>
      <c r="Z13" s="11"/>
      <c r="AA13" s="11"/>
      <c r="AB13" s="13">
        <f>SUM(AB4:AB12)</f>
        <v>4760</v>
      </c>
      <c r="AC13" s="13">
        <f>SUM(AC4:AC12)</f>
        <v>960</v>
      </c>
      <c r="AD13" s="13">
        <f>SUM(AD4:AD12)</f>
        <v>0</v>
      </c>
      <c r="AE13" s="13">
        <f>SUM(AE4:AE12)</f>
        <v>0</v>
      </c>
      <c r="AF13" s="13">
        <f>SUM(AF4:AF12)</f>
        <v>3800</v>
      </c>
      <c r="AG13" s="11"/>
      <c r="AH13" s="59">
        <f>SUM(AH4:AH12)</f>
        <v>247783.5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7091</v>
      </c>
      <c r="BM13" s="13">
        <f>SUM(BM4:BM12)</f>
        <v>1524</v>
      </c>
      <c r="BN13" s="13">
        <f>SUM(BN4:BN12)</f>
        <v>0</v>
      </c>
      <c r="BO13" s="13">
        <f>SUM(BO4:BO12)</f>
        <v>0</v>
      </c>
      <c r="BP13" s="13">
        <f>SUM(BP4:BP12)</f>
        <v>5567</v>
      </c>
      <c r="BQ13" s="11"/>
      <c r="BR13" s="59">
        <f>SUM(BR4:BR12)</f>
        <v>360500.8175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12111+1597</f>
        <v>13708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4332+3262-12</f>
        <v>7582</v>
      </c>
      <c r="W14" s="29">
        <f>+V22</f>
        <v>0.12250000000494765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1738+2745+3844+5522+7322+14796+10861</f>
        <v>46828</v>
      </c>
      <c r="AI14" s="29">
        <f>+AH22</f>
        <v>0.5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68118</v>
      </c>
      <c r="BS14" s="29">
        <f>+BR22</f>
        <v>0.81750000000465661</v>
      </c>
      <c r="BU14" s="1">
        <f>BP13/40</f>
        <v>139.17500000000001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2242+295</f>
        <v>2537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802+604</f>
        <v>1406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322+508+711+1022+1355+2740+2011</f>
        <v>8669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12612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9.2010506072259121E-2</v>
      </c>
      <c r="J16" s="49">
        <f>5998+676</f>
        <v>6674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8.4913384055309668E-2</v>
      </c>
      <c r="V16" s="49">
        <f>1833+1579</f>
        <v>3412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0.13258752096083878</v>
      </c>
      <c r="AH16" s="49">
        <f>1288+1452+2033+3652+5423+10960+8045</f>
        <v>32853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0.11910929993938224</v>
      </c>
      <c r="BR16" s="53">
        <f t="shared" si="21"/>
        <v>42939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339+45</f>
        <v>384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123+91</f>
        <v>214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46+76+107+150+196+396+291</f>
        <v>1262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1860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16670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43160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59830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60746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254351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315097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0.19500000000698492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0.12250000000494765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0.5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0.81750000000465661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1080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57</v>
      </c>
      <c r="B26" s="182" t="s">
        <v>207</v>
      </c>
      <c r="C26" s="324">
        <v>25913</v>
      </c>
      <c r="D26" s="325"/>
      <c r="E26" s="265" t="s">
        <v>81</v>
      </c>
      <c r="F26" s="266"/>
      <c r="G26" s="146">
        <f>70+130+150</f>
        <v>350</v>
      </c>
      <c r="H26" s="267" t="s">
        <v>18</v>
      </c>
      <c r="I26" s="268"/>
      <c r="J26" s="47">
        <f>14020+G35</f>
        <v>14370</v>
      </c>
      <c r="M26" s="175"/>
      <c r="N26" s="158"/>
      <c r="O26" s="269"/>
      <c r="P26" s="270"/>
      <c r="Q26" s="271" t="s">
        <v>81</v>
      </c>
      <c r="R26" s="272"/>
      <c r="S26" s="146">
        <v>50</v>
      </c>
      <c r="T26" s="267" t="s">
        <v>18</v>
      </c>
      <c r="U26" s="268"/>
      <c r="V26" s="47">
        <f>42610+S35</f>
        <v>43160</v>
      </c>
      <c r="Y26" s="180" t="s">
        <v>67</v>
      </c>
      <c r="Z26" s="148" t="s">
        <v>92</v>
      </c>
      <c r="AA26" s="259">
        <v>9377</v>
      </c>
      <c r="AB26" s="273"/>
      <c r="AC26" s="297" t="s">
        <v>81</v>
      </c>
      <c r="AD26" s="298"/>
      <c r="AE26" s="147">
        <f>100+40+40</f>
        <v>180</v>
      </c>
      <c r="AF26" s="267" t="s">
        <v>18</v>
      </c>
      <c r="AG26" s="268"/>
      <c r="AH26" s="47"/>
      <c r="AK26" s="206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181" t="s">
        <v>57</v>
      </c>
      <c r="B27" s="182" t="s">
        <v>208</v>
      </c>
      <c r="C27" s="324">
        <v>18469</v>
      </c>
      <c r="D27" s="325"/>
      <c r="E27" s="265"/>
      <c r="F27" s="266"/>
      <c r="G27" s="146"/>
      <c r="H27" s="285" t="s">
        <v>54</v>
      </c>
      <c r="I27" s="286"/>
      <c r="J27" s="47">
        <v>2300</v>
      </c>
      <c r="L27" s="205"/>
      <c r="M27" s="175"/>
      <c r="N27" s="158"/>
      <c r="O27" s="269"/>
      <c r="P27" s="270"/>
      <c r="Q27" s="271" t="s">
        <v>210</v>
      </c>
      <c r="R27" s="272"/>
      <c r="S27" s="146">
        <v>500</v>
      </c>
      <c r="T27" s="282" t="s">
        <v>53</v>
      </c>
      <c r="U27" s="267"/>
      <c r="V27" s="47"/>
      <c r="W27" s="145"/>
      <c r="Y27" s="180" t="s">
        <v>67</v>
      </c>
      <c r="Z27" s="148" t="s">
        <v>213</v>
      </c>
      <c r="AA27" s="283">
        <v>15389</v>
      </c>
      <c r="AB27" s="284"/>
      <c r="AC27" s="297"/>
      <c r="AD27" s="29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 t="s">
        <v>57</v>
      </c>
      <c r="B28" s="182" t="s">
        <v>209</v>
      </c>
      <c r="C28" s="324">
        <v>16204</v>
      </c>
      <c r="D28" s="325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W28" s="145"/>
      <c r="Y28" s="180" t="s">
        <v>67</v>
      </c>
      <c r="Z28" s="148" t="s">
        <v>212</v>
      </c>
      <c r="AA28" s="283">
        <v>21545</v>
      </c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 t="s">
        <v>74</v>
      </c>
      <c r="B29" s="182" t="s">
        <v>127</v>
      </c>
      <c r="C29" s="263">
        <v>160</v>
      </c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 t="s">
        <v>67</v>
      </c>
      <c r="Z29" s="148" t="s">
        <v>214</v>
      </c>
      <c r="AA29" s="283">
        <v>30215</v>
      </c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 t="s">
        <v>67</v>
      </c>
      <c r="Z30" s="148" t="s">
        <v>215</v>
      </c>
      <c r="AA30" s="284">
        <v>39480</v>
      </c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 t="s">
        <v>67</v>
      </c>
      <c r="Z31" s="148" t="s">
        <v>90</v>
      </c>
      <c r="AA31" s="284">
        <v>79783</v>
      </c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 t="s">
        <v>67</v>
      </c>
      <c r="Z32" s="148" t="s">
        <v>216</v>
      </c>
      <c r="AA32" s="284">
        <v>58562</v>
      </c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60746</v>
      </c>
      <c r="D35" s="315"/>
      <c r="E35" s="316" t="s">
        <v>21</v>
      </c>
      <c r="F35" s="317"/>
      <c r="G35" s="87">
        <f>SUM(G26:G34)</f>
        <v>350</v>
      </c>
      <c r="H35" s="318" t="s">
        <v>17</v>
      </c>
      <c r="I35" s="319"/>
      <c r="J35" s="77">
        <f>SUM(J26:J34)</f>
        <v>16670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550</v>
      </c>
      <c r="T35" s="318" t="s">
        <v>17</v>
      </c>
      <c r="U35" s="319"/>
      <c r="V35" s="77">
        <f>SUM(V26:V34)</f>
        <v>43160</v>
      </c>
      <c r="Y35" s="75"/>
      <c r="Z35" s="76" t="s">
        <v>16</v>
      </c>
      <c r="AA35" s="314">
        <f>SUM(AA26:AB34)</f>
        <v>254351</v>
      </c>
      <c r="AB35" s="315"/>
      <c r="AC35" s="316" t="s">
        <v>21</v>
      </c>
      <c r="AD35" s="317"/>
      <c r="AE35" s="87">
        <f>SUM(AE26:AE34)</f>
        <v>180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  <c r="AA37" s="1">
        <f>60*40*72</f>
        <v>172800</v>
      </c>
    </row>
    <row r="38" spans="1:70" x14ac:dyDescent="0.35">
      <c r="AA38" s="1">
        <f>+AA37-AA27</f>
        <v>157411</v>
      </c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40EF-E168-4610-AD6D-B70EBA2E99EE}">
  <sheetPr>
    <pageSetUpPr fitToPage="1"/>
  </sheetPr>
  <dimension ref="A1:BU37"/>
  <sheetViews>
    <sheetView zoomScale="87" zoomScaleNormal="87" zoomScaleSheetLayoutView="100" workbookViewId="0">
      <selection sqref="A1:K1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217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20.10.2026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20.10.2026</v>
      </c>
      <c r="AK2" s="94"/>
      <c r="AL2" s="93" t="s">
        <v>47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20.10.2026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20.10.2026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20.10.2026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44</v>
      </c>
      <c r="E4" s="129"/>
      <c r="F4" s="130"/>
      <c r="G4" s="130"/>
      <c r="H4" s="131">
        <f t="shared" ref="H4:H12" si="0">+D4-E4-F4-G4</f>
        <v>44</v>
      </c>
      <c r="I4" s="132">
        <v>52.462499999999999</v>
      </c>
      <c r="J4" s="121">
        <f t="shared" ref="J4:J12" si="1">+H4*I4</f>
        <v>2308.35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26</v>
      </c>
      <c r="Q4" s="129"/>
      <c r="R4" s="130"/>
      <c r="S4" s="130"/>
      <c r="T4" s="131">
        <f t="shared" ref="T4:T12" si="3">+P4-Q4-R4-S4</f>
        <v>26</v>
      </c>
      <c r="U4" s="132">
        <v>52.462499999999999</v>
      </c>
      <c r="V4" s="150">
        <f t="shared" ref="V4:V12" si="4">+T4*U4</f>
        <v>1364.0249999999999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/>
      <c r="AC4" s="185"/>
      <c r="AD4" s="186"/>
      <c r="AE4" s="186"/>
      <c r="AF4" s="187">
        <f t="shared" ref="AF4:AF12" si="6">+AB4-AC4-AD4-AE4</f>
        <v>0</v>
      </c>
      <c r="AG4" s="67">
        <v>52.462499999999999</v>
      </c>
      <c r="AH4" s="56">
        <f t="shared" ref="AH4:AH12" si="7">+AF4*AG4</f>
        <v>0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70</v>
      </c>
      <c r="BM4" s="36">
        <f t="shared" si="15"/>
        <v>0</v>
      </c>
      <c r="BN4" s="38"/>
      <c r="BO4" s="36">
        <f t="shared" ref="BO4:BO12" si="16">+G4+S4+AE4+AQ4+BC4</f>
        <v>0</v>
      </c>
      <c r="BP4" s="194">
        <f t="shared" ref="BP4:BP12" si="17">+BL4-BM4-BN4-BO4</f>
        <v>70</v>
      </c>
      <c r="BQ4" s="67">
        <v>52.462499999999999</v>
      </c>
      <c r="BR4" s="56">
        <f t="shared" ref="BR4:BR12" si="18">+BP4*BQ4</f>
        <v>3672.375</v>
      </c>
      <c r="BS4" s="34">
        <f t="shared" ref="BS4:BS12" si="19">+BO4*BQ4</f>
        <v>0</v>
      </c>
      <c r="BT4" s="1">
        <f t="shared" ref="BT4:BT11" si="20">+BP4/40</f>
        <v>1.75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55</v>
      </c>
      <c r="E5" s="134"/>
      <c r="F5" s="135"/>
      <c r="G5" s="135"/>
      <c r="H5" s="131">
        <f t="shared" si="0"/>
        <v>55</v>
      </c>
      <c r="I5" s="132">
        <v>52.462499999999999</v>
      </c>
      <c r="J5" s="123">
        <f t="shared" si="1"/>
        <v>2885.4375</v>
      </c>
      <c r="K5" s="34">
        <f t="shared" si="2"/>
        <v>0</v>
      </c>
      <c r="M5" s="221"/>
      <c r="N5" s="45" t="s">
        <v>26</v>
      </c>
      <c r="O5" s="71">
        <v>70</v>
      </c>
      <c r="P5" s="128">
        <v>26</v>
      </c>
      <c r="Q5" s="134"/>
      <c r="R5" s="135"/>
      <c r="S5" s="135"/>
      <c r="T5" s="131">
        <f t="shared" si="3"/>
        <v>26</v>
      </c>
      <c r="U5" s="132">
        <v>52.462499999999999</v>
      </c>
      <c r="V5" s="151">
        <f t="shared" si="4"/>
        <v>1364.0249999999999</v>
      </c>
      <c r="W5" s="34">
        <f t="shared" si="5"/>
        <v>0</v>
      </c>
      <c r="Y5" s="221"/>
      <c r="Z5" s="45" t="s">
        <v>26</v>
      </c>
      <c r="AA5" s="71">
        <v>70</v>
      </c>
      <c r="AB5" s="188"/>
      <c r="AC5" s="185"/>
      <c r="AD5" s="189"/>
      <c r="AE5" s="189"/>
      <c r="AF5" s="187">
        <f t="shared" si="6"/>
        <v>0</v>
      </c>
      <c r="AG5" s="67">
        <v>52.462499999999999</v>
      </c>
      <c r="AH5" s="56">
        <f t="shared" si="7"/>
        <v>0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81</v>
      </c>
      <c r="BM5" s="36">
        <f t="shared" si="15"/>
        <v>0</v>
      </c>
      <c r="BN5" s="31"/>
      <c r="BO5" s="36">
        <f t="shared" si="16"/>
        <v>0</v>
      </c>
      <c r="BP5" s="194">
        <f t="shared" si="17"/>
        <v>81</v>
      </c>
      <c r="BQ5" s="67">
        <v>52.462499999999999</v>
      </c>
      <c r="BR5" s="57">
        <f t="shared" si="18"/>
        <v>4249.4624999999996</v>
      </c>
      <c r="BS5" s="34">
        <f t="shared" si="19"/>
        <v>0</v>
      </c>
      <c r="BT5" s="1">
        <f t="shared" si="20"/>
        <v>2.0249999999999999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77</v>
      </c>
      <c r="E6" s="134">
        <v>40</v>
      </c>
      <c r="F6" s="135"/>
      <c r="G6" s="135"/>
      <c r="H6" s="131">
        <f t="shared" si="0"/>
        <v>37</v>
      </c>
      <c r="I6" s="132">
        <v>52.462499999999999</v>
      </c>
      <c r="J6" s="123">
        <f t="shared" si="1"/>
        <v>1941.1125</v>
      </c>
      <c r="K6" s="34">
        <f t="shared" si="2"/>
        <v>0</v>
      </c>
      <c r="M6" s="221"/>
      <c r="N6" s="45" t="s">
        <v>27</v>
      </c>
      <c r="O6" s="71">
        <v>70</v>
      </c>
      <c r="P6" s="133">
        <v>28</v>
      </c>
      <c r="Q6" s="134"/>
      <c r="R6" s="135"/>
      <c r="S6" s="135"/>
      <c r="T6" s="131">
        <f t="shared" si="3"/>
        <v>28</v>
      </c>
      <c r="U6" s="132">
        <v>52.462499999999999</v>
      </c>
      <c r="V6" s="152">
        <f t="shared" si="4"/>
        <v>1468.95</v>
      </c>
      <c r="W6" s="34">
        <f t="shared" si="5"/>
        <v>0</v>
      </c>
      <c r="Y6" s="221"/>
      <c r="Z6" s="45" t="s">
        <v>27</v>
      </c>
      <c r="AA6" s="71">
        <v>70</v>
      </c>
      <c r="AB6" s="188"/>
      <c r="AC6" s="185"/>
      <c r="AD6" s="189"/>
      <c r="AE6" s="189"/>
      <c r="AF6" s="187">
        <f t="shared" si="6"/>
        <v>0</v>
      </c>
      <c r="AG6" s="67">
        <v>52.462499999999999</v>
      </c>
      <c r="AH6" s="56">
        <f t="shared" si="7"/>
        <v>0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105</v>
      </c>
      <c r="BM6" s="36">
        <f t="shared" si="15"/>
        <v>40</v>
      </c>
      <c r="BN6" s="31"/>
      <c r="BO6" s="36">
        <f t="shared" si="16"/>
        <v>0</v>
      </c>
      <c r="BP6" s="194">
        <f t="shared" si="17"/>
        <v>65</v>
      </c>
      <c r="BQ6" s="67">
        <v>52.462499999999999</v>
      </c>
      <c r="BR6" s="57">
        <f t="shared" si="18"/>
        <v>3410.0625</v>
      </c>
      <c r="BS6" s="34">
        <f t="shared" si="19"/>
        <v>0</v>
      </c>
      <c r="BT6" s="1">
        <f t="shared" si="20"/>
        <v>1.625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339</v>
      </c>
      <c r="E7" s="137">
        <v>35</v>
      </c>
      <c r="F7" s="138"/>
      <c r="G7" s="159"/>
      <c r="H7" s="131">
        <f t="shared" si="0"/>
        <v>304</v>
      </c>
      <c r="I7" s="132">
        <v>72.64</v>
      </c>
      <c r="J7" s="125">
        <f t="shared" si="1"/>
        <v>22082.560000000001</v>
      </c>
      <c r="K7" s="34">
        <f t="shared" si="2"/>
        <v>0</v>
      </c>
      <c r="M7" s="221"/>
      <c r="N7" s="46" t="s">
        <v>28</v>
      </c>
      <c r="O7" s="72">
        <v>120</v>
      </c>
      <c r="P7" s="136">
        <v>83</v>
      </c>
      <c r="Q7" s="137">
        <v>13</v>
      </c>
      <c r="R7" s="138"/>
      <c r="S7" s="138"/>
      <c r="T7" s="131">
        <f t="shared" si="3"/>
        <v>70</v>
      </c>
      <c r="U7" s="132">
        <v>72.64</v>
      </c>
      <c r="V7" s="152">
        <f t="shared" si="4"/>
        <v>5084.8</v>
      </c>
      <c r="W7" s="34">
        <f t="shared" si="5"/>
        <v>0</v>
      </c>
      <c r="Y7" s="221"/>
      <c r="Z7" s="46" t="s">
        <v>28</v>
      </c>
      <c r="AA7" s="72">
        <v>120</v>
      </c>
      <c r="AB7" s="190"/>
      <c r="AC7" s="185"/>
      <c r="AD7" s="191"/>
      <c r="AE7" s="191"/>
      <c r="AF7" s="187">
        <f t="shared" si="6"/>
        <v>0</v>
      </c>
      <c r="AG7" s="67">
        <v>72.64</v>
      </c>
      <c r="AH7" s="56">
        <f t="shared" si="7"/>
        <v>0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422</v>
      </c>
      <c r="BM7" s="36">
        <f t="shared" si="15"/>
        <v>48</v>
      </c>
      <c r="BN7" s="43"/>
      <c r="BO7" s="36">
        <f t="shared" si="16"/>
        <v>0</v>
      </c>
      <c r="BP7" s="194">
        <f t="shared" si="17"/>
        <v>374</v>
      </c>
      <c r="BQ7" s="67">
        <v>72.64</v>
      </c>
      <c r="BR7" s="58">
        <f t="shared" si="18"/>
        <v>27167.360000000001</v>
      </c>
      <c r="BS7" s="34">
        <f t="shared" si="19"/>
        <v>0</v>
      </c>
      <c r="BT7" s="1">
        <f t="shared" si="20"/>
        <v>9.35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259</v>
      </c>
      <c r="E8" s="140">
        <v>30</v>
      </c>
      <c r="F8" s="141"/>
      <c r="G8" s="141"/>
      <c r="H8" s="131">
        <f t="shared" si="0"/>
        <v>229</v>
      </c>
      <c r="I8" s="132">
        <v>72.64</v>
      </c>
      <c r="J8" s="125">
        <f t="shared" si="1"/>
        <v>16634.560000000001</v>
      </c>
      <c r="K8" s="34">
        <f t="shared" si="2"/>
        <v>0</v>
      </c>
      <c r="M8" s="221"/>
      <c r="N8" s="63" t="s">
        <v>29</v>
      </c>
      <c r="O8" s="73">
        <v>120</v>
      </c>
      <c r="P8" s="139">
        <v>51</v>
      </c>
      <c r="Q8" s="140">
        <v>13</v>
      </c>
      <c r="R8" s="141"/>
      <c r="S8" s="141"/>
      <c r="T8" s="131">
        <f t="shared" si="3"/>
        <v>38</v>
      </c>
      <c r="U8" s="132">
        <v>72.64</v>
      </c>
      <c r="V8" s="152">
        <f t="shared" si="4"/>
        <v>2760.32</v>
      </c>
      <c r="W8" s="34">
        <f t="shared" si="5"/>
        <v>0</v>
      </c>
      <c r="Y8" s="221"/>
      <c r="Z8" s="63" t="s">
        <v>29</v>
      </c>
      <c r="AA8" s="73">
        <v>120</v>
      </c>
      <c r="AB8" s="188"/>
      <c r="AC8" s="185"/>
      <c r="AD8" s="189"/>
      <c r="AE8" s="189"/>
      <c r="AF8" s="187">
        <f t="shared" si="6"/>
        <v>0</v>
      </c>
      <c r="AG8" s="67">
        <v>72.64</v>
      </c>
      <c r="AH8" s="56">
        <f t="shared" si="7"/>
        <v>0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310</v>
      </c>
      <c r="BM8" s="36">
        <f t="shared" si="15"/>
        <v>43</v>
      </c>
      <c r="BN8" s="66"/>
      <c r="BO8" s="36">
        <f t="shared" si="16"/>
        <v>0</v>
      </c>
      <c r="BP8" s="194">
        <f t="shared" si="17"/>
        <v>267</v>
      </c>
      <c r="BQ8" s="67">
        <v>72.64</v>
      </c>
      <c r="BR8" s="58">
        <f t="shared" si="18"/>
        <v>19394.88</v>
      </c>
      <c r="BS8" s="34">
        <f t="shared" si="19"/>
        <v>0</v>
      </c>
      <c r="BT8" s="1">
        <f t="shared" si="20"/>
        <v>6.6749999999999998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322</v>
      </c>
      <c r="E9" s="129">
        <v>35</v>
      </c>
      <c r="F9" s="130"/>
      <c r="G9" s="130"/>
      <c r="H9" s="131">
        <f t="shared" si="0"/>
        <v>287</v>
      </c>
      <c r="I9" s="132">
        <v>72.64</v>
      </c>
      <c r="J9" s="121">
        <f t="shared" si="1"/>
        <v>20847.68</v>
      </c>
      <c r="K9" s="34">
        <f t="shared" si="2"/>
        <v>0</v>
      </c>
      <c r="M9" s="221"/>
      <c r="N9" s="44" t="s">
        <v>30</v>
      </c>
      <c r="O9" s="70">
        <v>120</v>
      </c>
      <c r="P9" s="128">
        <v>120</v>
      </c>
      <c r="Q9" s="129">
        <v>14</v>
      </c>
      <c r="R9" s="130"/>
      <c r="S9" s="130"/>
      <c r="T9" s="131">
        <f t="shared" si="3"/>
        <v>106</v>
      </c>
      <c r="U9" s="132">
        <v>72.64</v>
      </c>
      <c r="V9" s="150">
        <f t="shared" si="4"/>
        <v>7699.84</v>
      </c>
      <c r="W9" s="34">
        <f t="shared" si="5"/>
        <v>0</v>
      </c>
      <c r="Y9" s="221"/>
      <c r="Z9" s="44" t="s">
        <v>30</v>
      </c>
      <c r="AA9" s="70">
        <v>120</v>
      </c>
      <c r="AB9" s="192"/>
      <c r="AC9" s="185"/>
      <c r="AD9" s="193"/>
      <c r="AE9" s="193"/>
      <c r="AF9" s="187">
        <f t="shared" si="6"/>
        <v>0</v>
      </c>
      <c r="AG9" s="67">
        <v>72.64</v>
      </c>
      <c r="AH9" s="56">
        <f t="shared" si="7"/>
        <v>0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442</v>
      </c>
      <c r="BM9" s="36">
        <f t="shared" si="15"/>
        <v>49</v>
      </c>
      <c r="BN9" s="38"/>
      <c r="BO9" s="36">
        <f t="shared" si="16"/>
        <v>0</v>
      </c>
      <c r="BP9" s="194">
        <f t="shared" si="17"/>
        <v>393</v>
      </c>
      <c r="BQ9" s="67">
        <v>72.64</v>
      </c>
      <c r="BR9" s="56">
        <f t="shared" si="18"/>
        <v>28547.52</v>
      </c>
      <c r="BS9" s="34">
        <f t="shared" si="19"/>
        <v>0</v>
      </c>
      <c r="BT9" s="1">
        <f t="shared" si="20"/>
        <v>9.8249999999999993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31.25</v>
      </c>
    </row>
    <row r="13" spans="1:73" ht="39.75" customHeight="1" thickBot="1" x14ac:dyDescent="0.45">
      <c r="A13" s="12"/>
      <c r="B13" s="11"/>
      <c r="C13" s="142"/>
      <c r="D13" s="143">
        <f>SUM(D4:D12)</f>
        <v>1096</v>
      </c>
      <c r="E13" s="143">
        <f>SUM(E4:E12)</f>
        <v>140</v>
      </c>
      <c r="F13" s="143">
        <f>SUM(F4:F12)</f>
        <v>0</v>
      </c>
      <c r="G13" s="143">
        <f>SUM(G4:G12)</f>
        <v>0</v>
      </c>
      <c r="H13" s="143">
        <f>SUM(H4:H12)</f>
        <v>956</v>
      </c>
      <c r="I13" s="142"/>
      <c r="J13" s="127">
        <f>SUM(J4:J12)</f>
        <v>66699.700000000012</v>
      </c>
      <c r="K13" s="35">
        <f>SUM(K4:K12)</f>
        <v>0</v>
      </c>
      <c r="M13" s="98"/>
      <c r="N13" s="99"/>
      <c r="O13" s="99"/>
      <c r="P13" s="100">
        <f>SUM(P4:P12)</f>
        <v>334</v>
      </c>
      <c r="Q13" s="100">
        <f>SUM(Q4:Q12)</f>
        <v>40</v>
      </c>
      <c r="R13" s="13">
        <f>SUM(R4:R12)</f>
        <v>0</v>
      </c>
      <c r="S13" s="13">
        <f>SUM(S4:S12)</f>
        <v>0</v>
      </c>
      <c r="T13" s="13">
        <f>SUM(T4:T12)</f>
        <v>294</v>
      </c>
      <c r="U13" s="11"/>
      <c r="V13" s="59">
        <f>SUM(V4:V12)</f>
        <v>19741.96</v>
      </c>
      <c r="W13" s="35">
        <f>SUM(W4:W12)</f>
        <v>0</v>
      </c>
      <c r="Y13" s="12"/>
      <c r="Z13" s="11"/>
      <c r="AA13" s="11"/>
      <c r="AB13" s="13">
        <f>SUM(AB4:AB12)</f>
        <v>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0</v>
      </c>
      <c r="AG13" s="11"/>
      <c r="AH13" s="59">
        <f>SUM(AH4:AH12)</f>
        <v>0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1430</v>
      </c>
      <c r="BM13" s="13">
        <f>SUM(BM4:BM12)</f>
        <v>180</v>
      </c>
      <c r="BN13" s="13">
        <f>SUM(BN4:BN12)</f>
        <v>0</v>
      </c>
      <c r="BO13" s="13">
        <f>SUM(BO4:BO12)</f>
        <v>0</v>
      </c>
      <c r="BP13" s="13">
        <f>SUM(BP4:BP12)</f>
        <v>1250</v>
      </c>
      <c r="BQ13" s="11"/>
      <c r="BR13" s="59">
        <f>SUM(BR4:BR12)</f>
        <v>86441.66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7755+4831-72</f>
        <v>12514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3731-1</f>
        <v>3730</v>
      </c>
      <c r="W14" s="29">
        <f>+V22</f>
        <v>-4.0000000000873115E-2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/>
      <c r="AI14" s="29">
        <f>+AH22</f>
        <v>0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16244</v>
      </c>
      <c r="BS14" s="29">
        <f>+BR22</f>
        <v>-0.33999999999650754</v>
      </c>
      <c r="BU14" s="1">
        <f>BP13/40</f>
        <v>31.25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1436+894</f>
        <v>2330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690</f>
        <v>690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/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3020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9.8021430381246069E-2</v>
      </c>
      <c r="J16" s="49">
        <f>4145+2393</f>
        <v>6538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8.2919831668182897E-2</v>
      </c>
      <c r="V16" s="49">
        <f>1637</f>
        <v>1637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 t="e">
        <f>+AH16/AH13</f>
        <v>#DIV/0!</v>
      </c>
      <c r="AH16" s="49"/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9.4572454994501495E-2</v>
      </c>
      <c r="BR16" s="53">
        <f t="shared" si="21"/>
        <v>8175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215+135</f>
        <v>350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105</f>
        <v>105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/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455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40210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21250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61460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30486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0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30486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-0.29999999998835847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-4.0000000000873115E-2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-0.33999999999650754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11620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57</v>
      </c>
      <c r="B26" s="182" t="s">
        <v>218</v>
      </c>
      <c r="C26" s="324">
        <v>30486</v>
      </c>
      <c r="D26" s="325"/>
      <c r="E26" s="265" t="s">
        <v>219</v>
      </c>
      <c r="F26" s="266"/>
      <c r="G26" s="146">
        <f>490+1650</f>
        <v>2140</v>
      </c>
      <c r="H26" s="267" t="s">
        <v>18</v>
      </c>
      <c r="I26" s="268"/>
      <c r="J26" s="47">
        <f>24990+G35</f>
        <v>32460</v>
      </c>
      <c r="M26" s="175"/>
      <c r="N26" s="158"/>
      <c r="O26" s="269"/>
      <c r="P26" s="270"/>
      <c r="Q26" s="271" t="s">
        <v>81</v>
      </c>
      <c r="R26" s="272"/>
      <c r="S26" s="146">
        <f>50+50+50</f>
        <v>150</v>
      </c>
      <c r="T26" s="267" t="s">
        <v>18</v>
      </c>
      <c r="U26" s="268"/>
      <c r="V26" s="47">
        <f>17100+S35</f>
        <v>21250</v>
      </c>
      <c r="Y26" s="180"/>
      <c r="Z26" s="148"/>
      <c r="AA26" s="259"/>
      <c r="AB26" s="273"/>
      <c r="AC26" s="297"/>
      <c r="AD26" s="298"/>
      <c r="AE26" s="147"/>
      <c r="AF26" s="267" t="s">
        <v>18</v>
      </c>
      <c r="AG26" s="268"/>
      <c r="AH26" s="47"/>
      <c r="AK26" s="206"/>
      <c r="AL26" s="162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202"/>
      <c r="B27" s="203"/>
      <c r="C27" s="326"/>
      <c r="D27" s="327"/>
      <c r="E27" s="265" t="s">
        <v>81</v>
      </c>
      <c r="F27" s="266"/>
      <c r="G27" s="146">
        <f>130</f>
        <v>130</v>
      </c>
      <c r="H27" s="285" t="s">
        <v>54</v>
      </c>
      <c r="I27" s="286"/>
      <c r="J27" s="47">
        <v>7750</v>
      </c>
      <c r="L27" s="205"/>
      <c r="M27" s="175"/>
      <c r="N27" s="158"/>
      <c r="O27" s="269"/>
      <c r="P27" s="270"/>
      <c r="Q27" s="271" t="s">
        <v>221</v>
      </c>
      <c r="R27" s="272"/>
      <c r="S27" s="146">
        <v>4000</v>
      </c>
      <c r="T27" s="282" t="s">
        <v>53</v>
      </c>
      <c r="U27" s="267"/>
      <c r="V27" s="47"/>
      <c r="W27" s="145"/>
      <c r="Y27" s="180"/>
      <c r="Z27" s="148"/>
      <c r="AA27" s="283"/>
      <c r="AB27" s="284"/>
      <c r="AC27" s="297"/>
      <c r="AD27" s="298"/>
      <c r="AE27" s="147"/>
      <c r="AF27" s="267" t="s">
        <v>53</v>
      </c>
      <c r="AG27" s="268"/>
      <c r="AH27" s="47"/>
      <c r="AK27" s="176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/>
      <c r="B28" s="182"/>
      <c r="C28" s="324"/>
      <c r="D28" s="325"/>
      <c r="E28" s="265" t="s">
        <v>220</v>
      </c>
      <c r="F28" s="266"/>
      <c r="G28" s="146">
        <v>5200</v>
      </c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W28" s="145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76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76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76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76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30486</v>
      </c>
      <c r="D35" s="315"/>
      <c r="E35" s="316" t="s">
        <v>21</v>
      </c>
      <c r="F35" s="317"/>
      <c r="G35" s="87">
        <f>SUM(G26:G34)</f>
        <v>7470</v>
      </c>
      <c r="H35" s="318" t="s">
        <v>17</v>
      </c>
      <c r="I35" s="319"/>
      <c r="J35" s="77">
        <f>SUM(J26:J34)</f>
        <v>40210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4150</v>
      </c>
      <c r="T35" s="318" t="s">
        <v>17</v>
      </c>
      <c r="U35" s="319"/>
      <c r="V35" s="77">
        <f>SUM(V26:V34)</f>
        <v>21250</v>
      </c>
      <c r="Y35" s="75"/>
      <c r="Z35" s="76" t="s">
        <v>16</v>
      </c>
      <c r="AA35" s="314">
        <f>SUM(AA26:AB34)</f>
        <v>0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FF01-50A3-4A2C-A47F-4C61E02BEC18}">
  <sheetPr>
    <pageSetUpPr fitToPage="1"/>
  </sheetPr>
  <dimension ref="A1:BU37"/>
  <sheetViews>
    <sheetView zoomScale="87" zoomScaleNormal="87" zoomScaleSheetLayoutView="100" workbookViewId="0">
      <selection sqref="A1:K1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222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21.10.2026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21.10.2026</v>
      </c>
      <c r="AK2" s="94"/>
      <c r="AL2" s="93" t="s">
        <v>69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21.10.2026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21.10.2026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21.10.2026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223</v>
      </c>
      <c r="E4" s="129">
        <v>35</v>
      </c>
      <c r="F4" s="130"/>
      <c r="G4" s="130"/>
      <c r="H4" s="131">
        <f t="shared" ref="H4:H12" si="0">+D4-E4-F4-G4</f>
        <v>188</v>
      </c>
      <c r="I4" s="132">
        <v>52.462499999999999</v>
      </c>
      <c r="J4" s="121">
        <f t="shared" ref="J4:J12" si="1">+H4*I4</f>
        <v>9862.9499999999989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460</v>
      </c>
      <c r="Q4" s="129"/>
      <c r="R4" s="130"/>
      <c r="S4" s="130"/>
      <c r="T4" s="131">
        <f t="shared" ref="T4:T12" si="3">+P4-Q4-R4-S4</f>
        <v>460</v>
      </c>
      <c r="U4" s="132">
        <v>52.462499999999999</v>
      </c>
      <c r="V4" s="150">
        <f t="shared" ref="V4:V12" si="4">+T4*U4</f>
        <v>24132.75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240</v>
      </c>
      <c r="AC4" s="185">
        <v>28</v>
      </c>
      <c r="AD4" s="186"/>
      <c r="AE4" s="186"/>
      <c r="AF4" s="187">
        <f t="shared" ref="AF4:AF12" si="6">+AB4-AC4-AD4-AE4</f>
        <v>212</v>
      </c>
      <c r="AG4" s="67">
        <v>52.462499999999999</v>
      </c>
      <c r="AH4" s="56">
        <f t="shared" ref="AH4:AH12" si="7">+AF4*AG4</f>
        <v>11122.05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>
        <v>360</v>
      </c>
      <c r="AO4" s="37">
        <v>160</v>
      </c>
      <c r="AP4" s="38"/>
      <c r="AQ4" s="38"/>
      <c r="AR4" s="196">
        <f t="shared" ref="AR4:AR12" si="9">+AN4-AO4-AP4-AQ4</f>
        <v>200</v>
      </c>
      <c r="AS4" s="67">
        <v>52.462499999999999</v>
      </c>
      <c r="AT4" s="56">
        <f t="shared" ref="AT4:AT12" si="10">+AR4*AS4</f>
        <v>10492.5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1283</v>
      </c>
      <c r="BM4" s="36">
        <f t="shared" si="15"/>
        <v>223</v>
      </c>
      <c r="BN4" s="38"/>
      <c r="BO4" s="36">
        <f t="shared" ref="BO4:BO12" si="16">+G4+S4+AE4+AQ4+BC4</f>
        <v>0</v>
      </c>
      <c r="BP4" s="194">
        <f t="shared" ref="BP4:BP12" si="17">+BL4-BM4-BN4-BO4</f>
        <v>1060</v>
      </c>
      <c r="BQ4" s="67">
        <v>52.462499999999999</v>
      </c>
      <c r="BR4" s="56">
        <f t="shared" ref="BR4:BR12" si="18">+BP4*BQ4</f>
        <v>55610.25</v>
      </c>
      <c r="BS4" s="34">
        <f t="shared" ref="BS4:BS12" si="19">+BO4*BQ4</f>
        <v>0</v>
      </c>
      <c r="BT4" s="1">
        <f t="shared" ref="BT4:BT11" si="20">+BP4/40</f>
        <v>26.5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114</v>
      </c>
      <c r="E5" s="134">
        <v>29</v>
      </c>
      <c r="F5" s="135"/>
      <c r="G5" s="135"/>
      <c r="H5" s="131">
        <f t="shared" si="0"/>
        <v>85</v>
      </c>
      <c r="I5" s="132">
        <v>52.462499999999999</v>
      </c>
      <c r="J5" s="123">
        <f t="shared" si="1"/>
        <v>4459.3125</v>
      </c>
      <c r="K5" s="34">
        <f t="shared" si="2"/>
        <v>0</v>
      </c>
      <c r="M5" s="221"/>
      <c r="N5" s="45" t="s">
        <v>26</v>
      </c>
      <c r="O5" s="71">
        <v>70</v>
      </c>
      <c r="P5" s="128">
        <v>450</v>
      </c>
      <c r="Q5" s="134">
        <v>6</v>
      </c>
      <c r="R5" s="135"/>
      <c r="S5" s="135"/>
      <c r="T5" s="131">
        <f t="shared" si="3"/>
        <v>444</v>
      </c>
      <c r="U5" s="132">
        <v>52.462499999999999</v>
      </c>
      <c r="V5" s="151">
        <f t="shared" si="4"/>
        <v>23293.35</v>
      </c>
      <c r="W5" s="34">
        <f t="shared" si="5"/>
        <v>0</v>
      </c>
      <c r="Y5" s="221"/>
      <c r="Z5" s="45" t="s">
        <v>26</v>
      </c>
      <c r="AA5" s="71">
        <v>70</v>
      </c>
      <c r="AB5" s="188">
        <v>80</v>
      </c>
      <c r="AC5" s="185">
        <v>5</v>
      </c>
      <c r="AD5" s="189"/>
      <c r="AE5" s="189"/>
      <c r="AF5" s="187">
        <f t="shared" si="6"/>
        <v>75</v>
      </c>
      <c r="AG5" s="67">
        <v>52.462499999999999</v>
      </c>
      <c r="AH5" s="56">
        <f t="shared" si="7"/>
        <v>3934.6875</v>
      </c>
      <c r="AI5" s="34">
        <f t="shared" si="8"/>
        <v>0</v>
      </c>
      <c r="AK5" s="221"/>
      <c r="AL5" s="45" t="s">
        <v>26</v>
      </c>
      <c r="AM5" s="71">
        <v>70</v>
      </c>
      <c r="AN5" s="39">
        <v>360</v>
      </c>
      <c r="AO5" s="40">
        <v>160</v>
      </c>
      <c r="AP5" s="31"/>
      <c r="AQ5" s="31"/>
      <c r="AR5" s="196">
        <f t="shared" si="9"/>
        <v>200</v>
      </c>
      <c r="AS5" s="67">
        <v>52.462499999999999</v>
      </c>
      <c r="AT5" s="57">
        <f t="shared" si="10"/>
        <v>10492.5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1004</v>
      </c>
      <c r="BM5" s="36">
        <f t="shared" si="15"/>
        <v>200</v>
      </c>
      <c r="BN5" s="31"/>
      <c r="BO5" s="36">
        <f t="shared" si="16"/>
        <v>0</v>
      </c>
      <c r="BP5" s="194">
        <f t="shared" si="17"/>
        <v>804</v>
      </c>
      <c r="BQ5" s="67">
        <v>52.462499999999999</v>
      </c>
      <c r="BR5" s="57">
        <f t="shared" si="18"/>
        <v>42179.85</v>
      </c>
      <c r="BS5" s="34">
        <f t="shared" si="19"/>
        <v>0</v>
      </c>
      <c r="BT5" s="1">
        <f t="shared" si="20"/>
        <v>20.100000000000001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311</v>
      </c>
      <c r="E6" s="134">
        <v>35</v>
      </c>
      <c r="F6" s="135"/>
      <c r="G6" s="135"/>
      <c r="H6" s="131">
        <f t="shared" si="0"/>
        <v>276</v>
      </c>
      <c r="I6" s="132">
        <v>52.462499999999999</v>
      </c>
      <c r="J6" s="123">
        <f t="shared" si="1"/>
        <v>14479.65</v>
      </c>
      <c r="K6" s="34">
        <f t="shared" si="2"/>
        <v>0</v>
      </c>
      <c r="M6" s="221"/>
      <c r="N6" s="45" t="s">
        <v>27</v>
      </c>
      <c r="O6" s="71">
        <v>70</v>
      </c>
      <c r="P6" s="133">
        <v>650</v>
      </c>
      <c r="Q6" s="134">
        <v>6</v>
      </c>
      <c r="R6" s="135"/>
      <c r="S6" s="135"/>
      <c r="T6" s="131">
        <f t="shared" si="3"/>
        <v>644</v>
      </c>
      <c r="U6" s="132">
        <v>52.462499999999999</v>
      </c>
      <c r="V6" s="152">
        <f t="shared" si="4"/>
        <v>33785.85</v>
      </c>
      <c r="W6" s="34">
        <f t="shared" si="5"/>
        <v>0</v>
      </c>
      <c r="Y6" s="221"/>
      <c r="Z6" s="45" t="s">
        <v>27</v>
      </c>
      <c r="AA6" s="71">
        <v>70</v>
      </c>
      <c r="AB6" s="188">
        <v>400</v>
      </c>
      <c r="AC6" s="185"/>
      <c r="AD6" s="189"/>
      <c r="AE6" s="189"/>
      <c r="AF6" s="187">
        <f t="shared" si="6"/>
        <v>400</v>
      </c>
      <c r="AG6" s="67">
        <v>52.462499999999999</v>
      </c>
      <c r="AH6" s="56">
        <f t="shared" si="7"/>
        <v>20985</v>
      </c>
      <c r="AI6" s="34">
        <f t="shared" si="8"/>
        <v>0</v>
      </c>
      <c r="AK6" s="221"/>
      <c r="AL6" s="45" t="s">
        <v>27</v>
      </c>
      <c r="AM6" s="71">
        <v>70</v>
      </c>
      <c r="AN6" s="39">
        <v>440</v>
      </c>
      <c r="AO6" s="40">
        <v>200</v>
      </c>
      <c r="AP6" s="31"/>
      <c r="AQ6" s="31"/>
      <c r="AR6" s="196">
        <f t="shared" si="9"/>
        <v>240</v>
      </c>
      <c r="AS6" s="67">
        <v>52.462499999999999</v>
      </c>
      <c r="AT6" s="57">
        <f t="shared" si="10"/>
        <v>12591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1801</v>
      </c>
      <c r="BM6" s="36">
        <f t="shared" si="15"/>
        <v>241</v>
      </c>
      <c r="BN6" s="31"/>
      <c r="BO6" s="36">
        <f t="shared" si="16"/>
        <v>0</v>
      </c>
      <c r="BP6" s="194">
        <f t="shared" si="17"/>
        <v>1560</v>
      </c>
      <c r="BQ6" s="67">
        <v>52.462499999999999</v>
      </c>
      <c r="BR6" s="57">
        <f t="shared" si="18"/>
        <v>81841.5</v>
      </c>
      <c r="BS6" s="34">
        <f t="shared" si="19"/>
        <v>0</v>
      </c>
      <c r="BT6" s="1">
        <f t="shared" si="20"/>
        <v>39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417</v>
      </c>
      <c r="E7" s="137">
        <v>15</v>
      </c>
      <c r="F7" s="138"/>
      <c r="G7" s="159"/>
      <c r="H7" s="131">
        <f t="shared" si="0"/>
        <v>402</v>
      </c>
      <c r="I7" s="132">
        <v>72.64</v>
      </c>
      <c r="J7" s="125">
        <f t="shared" si="1"/>
        <v>29201.279999999999</v>
      </c>
      <c r="K7" s="34">
        <f t="shared" si="2"/>
        <v>0</v>
      </c>
      <c r="M7" s="221"/>
      <c r="N7" s="46" t="s">
        <v>28</v>
      </c>
      <c r="O7" s="72">
        <v>120</v>
      </c>
      <c r="P7" s="136">
        <v>760</v>
      </c>
      <c r="Q7" s="137">
        <v>101</v>
      </c>
      <c r="R7" s="138"/>
      <c r="S7" s="138"/>
      <c r="T7" s="131">
        <f t="shared" si="3"/>
        <v>659</v>
      </c>
      <c r="U7" s="132">
        <v>72.64</v>
      </c>
      <c r="V7" s="152">
        <f t="shared" si="4"/>
        <v>47869.760000000002</v>
      </c>
      <c r="W7" s="34">
        <f t="shared" si="5"/>
        <v>0</v>
      </c>
      <c r="Y7" s="221"/>
      <c r="Z7" s="46" t="s">
        <v>28</v>
      </c>
      <c r="AA7" s="72">
        <v>120</v>
      </c>
      <c r="AB7" s="190">
        <v>320</v>
      </c>
      <c r="AC7" s="185">
        <v>4</v>
      </c>
      <c r="AD7" s="191"/>
      <c r="AE7" s="191"/>
      <c r="AF7" s="187">
        <f t="shared" si="6"/>
        <v>316</v>
      </c>
      <c r="AG7" s="67">
        <v>72.64</v>
      </c>
      <c r="AH7" s="56">
        <f t="shared" si="7"/>
        <v>22954.240000000002</v>
      </c>
      <c r="AI7" s="34">
        <f t="shared" si="8"/>
        <v>0</v>
      </c>
      <c r="AK7" s="221"/>
      <c r="AL7" s="46" t="s">
        <v>28</v>
      </c>
      <c r="AM7" s="72">
        <v>120</v>
      </c>
      <c r="AN7" s="41">
        <v>440</v>
      </c>
      <c r="AO7" s="42">
        <v>200</v>
      </c>
      <c r="AP7" s="43"/>
      <c r="AQ7" s="43"/>
      <c r="AR7" s="196">
        <f t="shared" si="9"/>
        <v>240</v>
      </c>
      <c r="AS7" s="67">
        <v>72.64</v>
      </c>
      <c r="AT7" s="58">
        <f t="shared" si="10"/>
        <v>17433.599999999999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1937</v>
      </c>
      <c r="BM7" s="36">
        <f t="shared" si="15"/>
        <v>320</v>
      </c>
      <c r="BN7" s="43"/>
      <c r="BO7" s="36">
        <f t="shared" si="16"/>
        <v>0</v>
      </c>
      <c r="BP7" s="194">
        <f t="shared" si="17"/>
        <v>1617</v>
      </c>
      <c r="BQ7" s="67">
        <v>72.64</v>
      </c>
      <c r="BR7" s="58">
        <f t="shared" si="18"/>
        <v>117458.88</v>
      </c>
      <c r="BS7" s="34">
        <f t="shared" si="19"/>
        <v>0</v>
      </c>
      <c r="BT7" s="1">
        <f t="shared" si="20"/>
        <v>40.424999999999997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413</v>
      </c>
      <c r="E8" s="140">
        <v>20</v>
      </c>
      <c r="F8" s="141"/>
      <c r="G8" s="141"/>
      <c r="H8" s="131">
        <f t="shared" si="0"/>
        <v>393</v>
      </c>
      <c r="I8" s="132">
        <v>72.64</v>
      </c>
      <c r="J8" s="125">
        <f t="shared" si="1"/>
        <v>28547.52</v>
      </c>
      <c r="K8" s="34">
        <f t="shared" si="2"/>
        <v>0</v>
      </c>
      <c r="M8" s="221"/>
      <c r="N8" s="63" t="s">
        <v>29</v>
      </c>
      <c r="O8" s="73">
        <v>120</v>
      </c>
      <c r="P8" s="139">
        <v>1105</v>
      </c>
      <c r="Q8" s="140">
        <v>61</v>
      </c>
      <c r="R8" s="141"/>
      <c r="S8" s="141"/>
      <c r="T8" s="131">
        <f t="shared" si="3"/>
        <v>1044</v>
      </c>
      <c r="U8" s="132">
        <v>72.64</v>
      </c>
      <c r="V8" s="152">
        <f t="shared" si="4"/>
        <v>75836.160000000003</v>
      </c>
      <c r="W8" s="34">
        <f t="shared" si="5"/>
        <v>0</v>
      </c>
      <c r="Y8" s="221"/>
      <c r="Z8" s="63" t="s">
        <v>29</v>
      </c>
      <c r="AA8" s="73">
        <v>120</v>
      </c>
      <c r="AB8" s="188">
        <v>440</v>
      </c>
      <c r="AC8" s="185">
        <v>9</v>
      </c>
      <c r="AD8" s="189"/>
      <c r="AE8" s="189"/>
      <c r="AF8" s="187">
        <f t="shared" si="6"/>
        <v>431</v>
      </c>
      <c r="AG8" s="67">
        <v>72.64</v>
      </c>
      <c r="AH8" s="56">
        <f t="shared" si="7"/>
        <v>31307.84</v>
      </c>
      <c r="AI8" s="34">
        <f t="shared" si="8"/>
        <v>0</v>
      </c>
      <c r="AK8" s="221"/>
      <c r="AL8" s="63" t="s">
        <v>29</v>
      </c>
      <c r="AM8" s="73">
        <v>120</v>
      </c>
      <c r="AN8" s="64">
        <v>440</v>
      </c>
      <c r="AO8" s="65">
        <v>200</v>
      </c>
      <c r="AP8" s="66"/>
      <c r="AQ8" s="66"/>
      <c r="AR8" s="196">
        <f t="shared" si="9"/>
        <v>240</v>
      </c>
      <c r="AS8" s="67">
        <v>72.64</v>
      </c>
      <c r="AT8" s="58">
        <f t="shared" si="10"/>
        <v>17433.599999999999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2398</v>
      </c>
      <c r="BM8" s="36">
        <f t="shared" si="15"/>
        <v>290</v>
      </c>
      <c r="BN8" s="66"/>
      <c r="BO8" s="36">
        <f t="shared" si="16"/>
        <v>0</v>
      </c>
      <c r="BP8" s="194">
        <f t="shared" si="17"/>
        <v>2108</v>
      </c>
      <c r="BQ8" s="67">
        <v>72.64</v>
      </c>
      <c r="BR8" s="58">
        <f t="shared" si="18"/>
        <v>153125.12</v>
      </c>
      <c r="BS8" s="34">
        <f t="shared" si="19"/>
        <v>0</v>
      </c>
      <c r="BT8" s="1">
        <f t="shared" si="20"/>
        <v>52.7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438</v>
      </c>
      <c r="E9" s="129">
        <v>15</v>
      </c>
      <c r="F9" s="130"/>
      <c r="G9" s="130"/>
      <c r="H9" s="131">
        <f t="shared" si="0"/>
        <v>423</v>
      </c>
      <c r="I9" s="132">
        <v>72.64</v>
      </c>
      <c r="J9" s="121">
        <f t="shared" si="1"/>
        <v>30726.720000000001</v>
      </c>
      <c r="K9" s="34">
        <f t="shared" si="2"/>
        <v>0</v>
      </c>
      <c r="M9" s="221"/>
      <c r="N9" s="44" t="s">
        <v>30</v>
      </c>
      <c r="O9" s="70">
        <v>120</v>
      </c>
      <c r="P9" s="128">
        <v>2215</v>
      </c>
      <c r="Q9" s="129">
        <v>133</v>
      </c>
      <c r="R9" s="130"/>
      <c r="S9" s="130"/>
      <c r="T9" s="131">
        <f t="shared" si="3"/>
        <v>2082</v>
      </c>
      <c r="U9" s="132">
        <v>72.64</v>
      </c>
      <c r="V9" s="150">
        <f t="shared" si="4"/>
        <v>151236.48000000001</v>
      </c>
      <c r="W9" s="34">
        <f t="shared" si="5"/>
        <v>0</v>
      </c>
      <c r="Y9" s="221"/>
      <c r="Z9" s="44" t="s">
        <v>30</v>
      </c>
      <c r="AA9" s="70">
        <v>120</v>
      </c>
      <c r="AB9" s="192">
        <v>1000</v>
      </c>
      <c r="AC9" s="185">
        <v>4</v>
      </c>
      <c r="AD9" s="193"/>
      <c r="AE9" s="193"/>
      <c r="AF9" s="187">
        <f t="shared" si="6"/>
        <v>996</v>
      </c>
      <c r="AG9" s="67">
        <v>72.64</v>
      </c>
      <c r="AH9" s="56">
        <f t="shared" si="7"/>
        <v>72349.440000000002</v>
      </c>
      <c r="AI9" s="34">
        <f t="shared" si="8"/>
        <v>0</v>
      </c>
      <c r="AK9" s="221"/>
      <c r="AL9" s="44" t="s">
        <v>30</v>
      </c>
      <c r="AM9" s="70">
        <v>120</v>
      </c>
      <c r="AN9" s="36">
        <v>480</v>
      </c>
      <c r="AO9" s="37">
        <v>240</v>
      </c>
      <c r="AP9" s="38"/>
      <c r="AQ9" s="38"/>
      <c r="AR9" s="196">
        <f t="shared" si="9"/>
        <v>240</v>
      </c>
      <c r="AS9" s="67">
        <v>72.64</v>
      </c>
      <c r="AT9" s="56">
        <f t="shared" si="10"/>
        <v>17433.599999999999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4133</v>
      </c>
      <c r="BM9" s="36">
        <f t="shared" si="15"/>
        <v>392</v>
      </c>
      <c r="BN9" s="38"/>
      <c r="BO9" s="36">
        <f t="shared" si="16"/>
        <v>0</v>
      </c>
      <c r="BP9" s="194">
        <f t="shared" si="17"/>
        <v>3741</v>
      </c>
      <c r="BQ9" s="67">
        <v>72.64</v>
      </c>
      <c r="BR9" s="56">
        <f t="shared" si="18"/>
        <v>271746.24</v>
      </c>
      <c r="BS9" s="34">
        <f t="shared" si="19"/>
        <v>0</v>
      </c>
      <c r="BT9" s="1">
        <f t="shared" si="20"/>
        <v>93.525000000000006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272.25</v>
      </c>
    </row>
    <row r="13" spans="1:73" ht="39.75" customHeight="1" thickBot="1" x14ac:dyDescent="0.45">
      <c r="A13" s="12"/>
      <c r="B13" s="11"/>
      <c r="C13" s="142"/>
      <c r="D13" s="143">
        <f>SUM(D4:D12)</f>
        <v>1916</v>
      </c>
      <c r="E13" s="143">
        <f>SUM(E4:E12)</f>
        <v>149</v>
      </c>
      <c r="F13" s="143">
        <f>SUM(F4:F12)</f>
        <v>0</v>
      </c>
      <c r="G13" s="143">
        <f>SUM(G4:G12)</f>
        <v>0</v>
      </c>
      <c r="H13" s="143">
        <f>SUM(H4:H12)</f>
        <v>1767</v>
      </c>
      <c r="I13" s="142"/>
      <c r="J13" s="127">
        <f>SUM(J4:J12)</f>
        <v>117277.4325</v>
      </c>
      <c r="K13" s="35">
        <f>SUM(K4:K12)</f>
        <v>0</v>
      </c>
      <c r="M13" s="98"/>
      <c r="N13" s="99"/>
      <c r="O13" s="99"/>
      <c r="P13" s="100">
        <f>SUM(P4:P12)</f>
        <v>5640</v>
      </c>
      <c r="Q13" s="100">
        <f>SUM(Q4:Q12)</f>
        <v>307</v>
      </c>
      <c r="R13" s="13">
        <f>SUM(R4:R12)</f>
        <v>0</v>
      </c>
      <c r="S13" s="13">
        <f>SUM(S4:S12)</f>
        <v>0</v>
      </c>
      <c r="T13" s="13">
        <f>SUM(T4:T12)</f>
        <v>5333</v>
      </c>
      <c r="U13" s="11"/>
      <c r="V13" s="59">
        <f>SUM(V4:V12)</f>
        <v>356154.35</v>
      </c>
      <c r="W13" s="35">
        <f>SUM(W4:W12)</f>
        <v>0</v>
      </c>
      <c r="Y13" s="12"/>
      <c r="Z13" s="11"/>
      <c r="AA13" s="11"/>
      <c r="AB13" s="13">
        <f>SUM(AB4:AB12)</f>
        <v>2480</v>
      </c>
      <c r="AC13" s="13">
        <f>SUM(AC4:AC12)</f>
        <v>50</v>
      </c>
      <c r="AD13" s="13">
        <f>SUM(AD4:AD12)</f>
        <v>0</v>
      </c>
      <c r="AE13" s="13">
        <f>SUM(AE4:AE12)</f>
        <v>0</v>
      </c>
      <c r="AF13" s="13">
        <f>SUM(AF4:AF12)</f>
        <v>2430</v>
      </c>
      <c r="AG13" s="11"/>
      <c r="AH13" s="59">
        <f>SUM(AH4:AH12)</f>
        <v>162653.25750000001</v>
      </c>
      <c r="AI13" s="35">
        <f>SUM(AI4:AI12)</f>
        <v>0</v>
      </c>
      <c r="AK13" s="12"/>
      <c r="AL13" s="11"/>
      <c r="AM13" s="11"/>
      <c r="AN13" s="13">
        <f>SUM(AN4:AN12)</f>
        <v>2520</v>
      </c>
      <c r="AO13" s="13">
        <f>SUM(AO4:AO12)</f>
        <v>1160</v>
      </c>
      <c r="AP13" s="13">
        <f>SUM(AP4:AP12)</f>
        <v>0</v>
      </c>
      <c r="AQ13" s="13">
        <f>SUM(AQ4:AQ12)</f>
        <v>0</v>
      </c>
      <c r="AR13" s="13">
        <f>SUM(AR4:AR12)</f>
        <v>1360</v>
      </c>
      <c r="AS13" s="11"/>
      <c r="AT13" s="59">
        <f>SUM(AT4:AT12)</f>
        <v>85876.799999999988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12556</v>
      </c>
      <c r="BM13" s="13">
        <f>SUM(BM4:BM12)</f>
        <v>1666</v>
      </c>
      <c r="BN13" s="13">
        <f>SUM(BN4:BN12)</f>
        <v>0</v>
      </c>
      <c r="BO13" s="13">
        <f>SUM(BO4:BO12)</f>
        <v>0</v>
      </c>
      <c r="BP13" s="13">
        <f>SUM(BP4:BP12)</f>
        <v>10890</v>
      </c>
      <c r="BQ13" s="11"/>
      <c r="BR13" s="59">
        <f>SUM(BR4:BR12)</f>
        <v>721961.84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12416+5721+4173</f>
        <v>22310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4027+63305-4</f>
        <v>67328</v>
      </c>
      <c r="W14" s="29">
        <f>+V22</f>
        <v>0.34999999997671694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4088+793+1891+3011+4789+6620+8237+1308-27</f>
        <v>30710</v>
      </c>
      <c r="AI14" s="29">
        <f>+AH22</f>
        <v>0.25750000000698492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>
        <f>2044+14186+1</f>
        <v>16231</v>
      </c>
      <c r="AU14" s="29">
        <f>+AT22</f>
        <v>-0.20000000001164153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136579</v>
      </c>
      <c r="BS14" s="29">
        <f>+BR22</f>
        <v>0.83999999996740371</v>
      </c>
      <c r="BU14" s="1">
        <f>BP13/40</f>
        <v>272.25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2299+1059+772</f>
        <v>4130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745</f>
        <v>745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757+146+350+557+887+1226+1525+146</f>
        <v>5594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>
        <f>2627</f>
        <v>2627</v>
      </c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13096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9.5713214049088266E-2</v>
      </c>
      <c r="J16" s="49">
        <f>6563+2596+2066</f>
        <v>11225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0.17406778830582864</v>
      </c>
      <c r="V16" s="49">
        <f>1704+60291</f>
        <v>61995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0.13032016896433812</v>
      </c>
      <c r="AH16" s="49">
        <f>3028+587+1401+2231+3548+4203+5230+969</f>
        <v>21197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>
        <f>+AT16/AT13</f>
        <v>0.13494913643731488</v>
      </c>
      <c r="AT16" s="49">
        <f>1081+10508</f>
        <v>11589</v>
      </c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0.14683047513979411</v>
      </c>
      <c r="BR16" s="53">
        <f t="shared" si="21"/>
        <v>106006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346+161+117</f>
        <v>624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114+1689</f>
        <v>1803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109+21+50+80+128+181+225+35</f>
        <v>829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>
        <f>58+380</f>
        <v>438</v>
      </c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3694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60658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22890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81640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165188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64198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339655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85761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88330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577944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0.43249999999534339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0.34999999997671694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0.25750000000698492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-0.20000000001164153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0.83999999996740371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12318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57</v>
      </c>
      <c r="B26" s="182" t="s">
        <v>223</v>
      </c>
      <c r="C26" s="324">
        <v>18469</v>
      </c>
      <c r="D26" s="325"/>
      <c r="E26" s="265" t="s">
        <v>81</v>
      </c>
      <c r="F26" s="266"/>
      <c r="G26" s="146">
        <v>130</v>
      </c>
      <c r="H26" s="267" t="s">
        <v>18</v>
      </c>
      <c r="I26" s="268"/>
      <c r="J26" s="47">
        <f>31140+G35</f>
        <v>42888</v>
      </c>
      <c r="M26" s="175" t="s">
        <v>67</v>
      </c>
      <c r="N26" s="158" t="s">
        <v>196</v>
      </c>
      <c r="O26" s="269">
        <v>339655</v>
      </c>
      <c r="P26" s="270"/>
      <c r="Q26" s="271" t="s">
        <v>81</v>
      </c>
      <c r="R26" s="272"/>
      <c r="S26" s="146">
        <v>70</v>
      </c>
      <c r="T26" s="267" t="s">
        <v>18</v>
      </c>
      <c r="U26" s="268"/>
      <c r="V26" s="47">
        <f>22820+S35</f>
        <v>22890</v>
      </c>
      <c r="Y26" s="180" t="s">
        <v>67</v>
      </c>
      <c r="Z26" s="148" t="s">
        <v>100</v>
      </c>
      <c r="AA26" s="259">
        <v>22043</v>
      </c>
      <c r="AB26" s="273"/>
      <c r="AC26" s="297" t="s">
        <v>81</v>
      </c>
      <c r="AD26" s="298"/>
      <c r="AE26" s="147">
        <f>70+70</f>
        <v>140</v>
      </c>
      <c r="AF26" s="267" t="s">
        <v>18</v>
      </c>
      <c r="AG26" s="268"/>
      <c r="AH26" s="47">
        <f>81140+AE35</f>
        <v>81640</v>
      </c>
      <c r="AK26" s="208" t="s">
        <v>67</v>
      </c>
      <c r="AL26" s="78" t="s">
        <v>229</v>
      </c>
      <c r="AM26" s="259">
        <v>11837</v>
      </c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181" t="s">
        <v>57</v>
      </c>
      <c r="B27" s="182" t="s">
        <v>224</v>
      </c>
      <c r="C27" s="324">
        <v>45729</v>
      </c>
      <c r="D27" s="325"/>
      <c r="E27" s="265" t="s">
        <v>113</v>
      </c>
      <c r="F27" s="266"/>
      <c r="G27" s="146">
        <v>11538</v>
      </c>
      <c r="H27" s="285" t="s">
        <v>54</v>
      </c>
      <c r="I27" s="286"/>
      <c r="J27" s="47">
        <f>9233+5401+3136</f>
        <v>17770</v>
      </c>
      <c r="L27" s="205"/>
      <c r="M27" s="175"/>
      <c r="N27" s="158"/>
      <c r="O27" s="269"/>
      <c r="P27" s="270"/>
      <c r="Q27" s="271"/>
      <c r="R27" s="272"/>
      <c r="S27" s="146"/>
      <c r="T27" s="282" t="s">
        <v>53</v>
      </c>
      <c r="U27" s="267"/>
      <c r="V27" s="47"/>
      <c r="W27" s="145"/>
      <c r="Y27" s="180" t="s">
        <v>67</v>
      </c>
      <c r="Z27" s="148" t="s">
        <v>226</v>
      </c>
      <c r="AA27" s="283">
        <v>4277</v>
      </c>
      <c r="AB27" s="284"/>
      <c r="AC27" s="297" t="s">
        <v>228</v>
      </c>
      <c r="AD27" s="298"/>
      <c r="AE27" s="147">
        <v>360</v>
      </c>
      <c r="AF27" s="267" t="s">
        <v>53</v>
      </c>
      <c r="AG27" s="268"/>
      <c r="AH27" s="47"/>
      <c r="AK27" s="208" t="s">
        <v>67</v>
      </c>
      <c r="AL27" s="162" t="s">
        <v>230</v>
      </c>
      <c r="AM27" s="283">
        <v>76493</v>
      </c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202"/>
      <c r="B28" s="203"/>
      <c r="C28" s="326"/>
      <c r="D28" s="327"/>
      <c r="E28" s="265" t="s">
        <v>225</v>
      </c>
      <c r="F28" s="266"/>
      <c r="G28" s="146">
        <v>80</v>
      </c>
      <c r="H28" s="267"/>
      <c r="I28" s="268"/>
      <c r="J28" s="47"/>
      <c r="M28" s="175"/>
      <c r="N28" s="158"/>
      <c r="O28" s="296"/>
      <c r="P28" s="248"/>
      <c r="Q28" s="271"/>
      <c r="R28" s="272"/>
      <c r="S28" s="146"/>
      <c r="T28" s="267"/>
      <c r="U28" s="268"/>
      <c r="V28" s="47"/>
      <c r="W28" s="145"/>
      <c r="Y28" s="180" t="s">
        <v>67</v>
      </c>
      <c r="Z28" s="148" t="s">
        <v>98</v>
      </c>
      <c r="AA28" s="283">
        <v>10199</v>
      </c>
      <c r="AB28" s="284"/>
      <c r="AC28" s="297"/>
      <c r="AD28" s="298"/>
      <c r="AE28" s="147"/>
      <c r="AF28" s="267"/>
      <c r="AG28" s="268"/>
      <c r="AH28" s="47"/>
      <c r="AK28" s="180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 t="s">
        <v>67</v>
      </c>
      <c r="Z29" s="148" t="s">
        <v>86</v>
      </c>
      <c r="AA29" s="283">
        <v>16255</v>
      </c>
      <c r="AB29" s="284"/>
      <c r="AC29" s="297"/>
      <c r="AD29" s="298"/>
      <c r="AE29" s="147"/>
      <c r="AF29" s="267"/>
      <c r="AG29" s="268"/>
      <c r="AH29" s="47"/>
      <c r="AK29" s="180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 t="s">
        <v>67</v>
      </c>
      <c r="Z30" s="148" t="s">
        <v>227</v>
      </c>
      <c r="AA30" s="284">
        <v>25827</v>
      </c>
      <c r="AB30" s="291"/>
      <c r="AC30" s="309"/>
      <c r="AD30" s="298"/>
      <c r="AE30" s="147"/>
      <c r="AF30" s="267"/>
      <c r="AG30" s="268"/>
      <c r="AH30" s="47"/>
      <c r="AK30" s="180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 t="s">
        <v>67</v>
      </c>
      <c r="Z31" s="148" t="s">
        <v>88</v>
      </c>
      <c r="AA31" s="284">
        <v>7160</v>
      </c>
      <c r="AB31" s="291"/>
      <c r="AC31" s="309"/>
      <c r="AD31" s="298"/>
      <c r="AE31" s="147"/>
      <c r="AF31" s="267"/>
      <c r="AG31" s="268"/>
      <c r="AH31" s="47"/>
      <c r="AK31" s="180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64198</v>
      </c>
      <c r="D35" s="315"/>
      <c r="E35" s="316" t="s">
        <v>21</v>
      </c>
      <c r="F35" s="317"/>
      <c r="G35" s="87">
        <f>SUM(G26:G34)</f>
        <v>11748</v>
      </c>
      <c r="H35" s="318" t="s">
        <v>17</v>
      </c>
      <c r="I35" s="319"/>
      <c r="J35" s="77">
        <f>SUM(J26:J34)</f>
        <v>60658</v>
      </c>
      <c r="M35" s="177"/>
      <c r="N35" s="76" t="s">
        <v>16</v>
      </c>
      <c r="O35" s="314">
        <f>SUM(O26:O34)</f>
        <v>339655</v>
      </c>
      <c r="P35" s="315"/>
      <c r="Q35" s="316" t="s">
        <v>21</v>
      </c>
      <c r="R35" s="317"/>
      <c r="S35" s="87">
        <f>SUM(S26:S34)</f>
        <v>70</v>
      </c>
      <c r="T35" s="318" t="s">
        <v>17</v>
      </c>
      <c r="U35" s="319"/>
      <c r="V35" s="77">
        <f>SUM(V26:V34)</f>
        <v>22890</v>
      </c>
      <c r="Y35" s="75"/>
      <c r="Z35" s="76" t="s">
        <v>16</v>
      </c>
      <c r="AA35" s="314">
        <f>SUM(AA26:AB34)</f>
        <v>85761</v>
      </c>
      <c r="AB35" s="315"/>
      <c r="AC35" s="316" t="s">
        <v>21</v>
      </c>
      <c r="AD35" s="317"/>
      <c r="AE35" s="87">
        <f>SUM(AE26:AE34)</f>
        <v>500</v>
      </c>
      <c r="AF35" s="318" t="s">
        <v>17</v>
      </c>
      <c r="AG35" s="319"/>
      <c r="AH35" s="77">
        <f>SUM(AH26:AH34)</f>
        <v>81640</v>
      </c>
      <c r="AK35" s="75"/>
      <c r="AL35" s="76" t="s">
        <v>16</v>
      </c>
      <c r="AM35" s="314">
        <f>SUM(AM26:AM34)</f>
        <v>88330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537B-DBFD-437A-94F1-7DBF027201DE}">
  <sheetPr>
    <pageSetUpPr fitToPage="1"/>
  </sheetPr>
  <dimension ref="A1:BU37"/>
  <sheetViews>
    <sheetView topLeftCell="A21" zoomScale="87" zoomScaleNormal="87" zoomScaleSheetLayoutView="100" workbookViewId="0">
      <selection activeCell="E27" sqref="E27:F27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29.33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231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22.10.2026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22.10.2026</v>
      </c>
      <c r="AK2" s="94"/>
      <c r="AL2" s="93" t="s">
        <v>69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22.10.2026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22.10.2026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22.10.2026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78</v>
      </c>
      <c r="E4" s="129">
        <v>27</v>
      </c>
      <c r="F4" s="130"/>
      <c r="G4" s="130"/>
      <c r="H4" s="131">
        <f t="shared" ref="H4:H12" si="0">+D4-E4-F4-G4</f>
        <v>51</v>
      </c>
      <c r="I4" s="132">
        <v>52.462499999999999</v>
      </c>
      <c r="J4" s="121">
        <f t="shared" ref="J4:J12" si="1">+H4*I4</f>
        <v>2675.5875000000001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174</v>
      </c>
      <c r="Q4" s="129">
        <v>67</v>
      </c>
      <c r="R4" s="130"/>
      <c r="S4" s="130"/>
      <c r="T4" s="131">
        <f t="shared" ref="T4:T12" si="3">+P4-Q4-R4-S4</f>
        <v>107</v>
      </c>
      <c r="U4" s="132">
        <v>52.462499999999999</v>
      </c>
      <c r="V4" s="150">
        <f t="shared" ref="V4:V12" si="4">+T4*U4</f>
        <v>5613.4875000000002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1320</v>
      </c>
      <c r="AC4" s="185">
        <v>40</v>
      </c>
      <c r="AD4" s="186"/>
      <c r="AE4" s="186"/>
      <c r="AF4" s="187">
        <f t="shared" ref="AF4:AF12" si="6">+AB4-AC4-AD4-AE4</f>
        <v>1280</v>
      </c>
      <c r="AG4" s="67">
        <v>52.462499999999999</v>
      </c>
      <c r="AH4" s="56">
        <f t="shared" ref="AH4:AH12" si="7">+AF4*AG4</f>
        <v>67152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1572</v>
      </c>
      <c r="BM4" s="36">
        <f t="shared" si="15"/>
        <v>134</v>
      </c>
      <c r="BN4" s="38"/>
      <c r="BO4" s="36">
        <f t="shared" ref="BO4:BO12" si="16">+G4+S4+AE4+AQ4+BC4</f>
        <v>0</v>
      </c>
      <c r="BP4" s="194">
        <f t="shared" ref="BP4:BP12" si="17">+BL4-BM4-BN4-BO4</f>
        <v>1438</v>
      </c>
      <c r="BQ4" s="67">
        <v>52.462499999999999</v>
      </c>
      <c r="BR4" s="56">
        <f t="shared" ref="BR4:BR12" si="18">+BP4*BQ4</f>
        <v>75441.074999999997</v>
      </c>
      <c r="BS4" s="34">
        <f t="shared" ref="BS4:BS12" si="19">+BO4*BQ4</f>
        <v>0</v>
      </c>
      <c r="BT4" s="1">
        <f t="shared" ref="BT4:BT11" si="20">+BP4/40</f>
        <v>35.950000000000003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82</v>
      </c>
      <c r="E5" s="134">
        <v>4</v>
      </c>
      <c r="F5" s="135"/>
      <c r="G5" s="135"/>
      <c r="H5" s="131">
        <f t="shared" si="0"/>
        <v>78</v>
      </c>
      <c r="I5" s="132">
        <v>52.462499999999999</v>
      </c>
      <c r="J5" s="123">
        <f t="shared" si="1"/>
        <v>4092.0749999999998</v>
      </c>
      <c r="K5" s="34">
        <f t="shared" si="2"/>
        <v>0</v>
      </c>
      <c r="M5" s="221"/>
      <c r="N5" s="45" t="s">
        <v>26</v>
      </c>
      <c r="O5" s="71">
        <v>70</v>
      </c>
      <c r="P5" s="128">
        <v>147</v>
      </c>
      <c r="Q5" s="134">
        <v>22</v>
      </c>
      <c r="R5" s="135"/>
      <c r="S5" s="135"/>
      <c r="T5" s="131">
        <f t="shared" si="3"/>
        <v>125</v>
      </c>
      <c r="U5" s="132">
        <v>52.462499999999999</v>
      </c>
      <c r="V5" s="151">
        <f t="shared" si="4"/>
        <v>6557.8125</v>
      </c>
      <c r="W5" s="34">
        <f t="shared" si="5"/>
        <v>0</v>
      </c>
      <c r="Y5" s="221"/>
      <c r="Z5" s="45" t="s">
        <v>26</v>
      </c>
      <c r="AA5" s="71">
        <v>70</v>
      </c>
      <c r="AB5" s="188">
        <v>1200</v>
      </c>
      <c r="AC5" s="185">
        <v>41</v>
      </c>
      <c r="AD5" s="189"/>
      <c r="AE5" s="189"/>
      <c r="AF5" s="187">
        <f t="shared" si="6"/>
        <v>1159</v>
      </c>
      <c r="AG5" s="67">
        <v>52.462499999999999</v>
      </c>
      <c r="AH5" s="56">
        <f t="shared" si="7"/>
        <v>60804.037499999999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1429</v>
      </c>
      <c r="BM5" s="36">
        <f t="shared" si="15"/>
        <v>67</v>
      </c>
      <c r="BN5" s="31"/>
      <c r="BO5" s="36">
        <f t="shared" si="16"/>
        <v>0</v>
      </c>
      <c r="BP5" s="194">
        <f t="shared" si="17"/>
        <v>1362</v>
      </c>
      <c r="BQ5" s="67">
        <v>52.462499999999999</v>
      </c>
      <c r="BR5" s="57">
        <f t="shared" si="18"/>
        <v>71453.925000000003</v>
      </c>
      <c r="BS5" s="34">
        <f t="shared" si="19"/>
        <v>0</v>
      </c>
      <c r="BT5" s="1">
        <f t="shared" si="20"/>
        <v>34.049999999999997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85</v>
      </c>
      <c r="E6" s="134">
        <v>31</v>
      </c>
      <c r="F6" s="135"/>
      <c r="G6" s="135"/>
      <c r="H6" s="131">
        <f t="shared" si="0"/>
        <v>54</v>
      </c>
      <c r="I6" s="132">
        <v>52.462499999999999</v>
      </c>
      <c r="J6" s="123">
        <f t="shared" si="1"/>
        <v>2832.9749999999999</v>
      </c>
      <c r="K6" s="34">
        <f t="shared" si="2"/>
        <v>0</v>
      </c>
      <c r="M6" s="221"/>
      <c r="N6" s="45" t="s">
        <v>27</v>
      </c>
      <c r="O6" s="71">
        <v>70</v>
      </c>
      <c r="P6" s="133">
        <v>174</v>
      </c>
      <c r="Q6" s="134">
        <v>27</v>
      </c>
      <c r="R6" s="135"/>
      <c r="S6" s="135"/>
      <c r="T6" s="131">
        <f t="shared" si="3"/>
        <v>147</v>
      </c>
      <c r="U6" s="132">
        <v>52.462499999999999</v>
      </c>
      <c r="V6" s="152">
        <f t="shared" si="4"/>
        <v>7711.9875000000002</v>
      </c>
      <c r="W6" s="34">
        <f t="shared" si="5"/>
        <v>0</v>
      </c>
      <c r="Y6" s="221"/>
      <c r="Z6" s="45" t="s">
        <v>27</v>
      </c>
      <c r="AA6" s="71">
        <v>70</v>
      </c>
      <c r="AB6" s="188">
        <v>1200</v>
      </c>
      <c r="AC6" s="185">
        <v>41</v>
      </c>
      <c r="AD6" s="189"/>
      <c r="AE6" s="189"/>
      <c r="AF6" s="187">
        <f t="shared" si="6"/>
        <v>1159</v>
      </c>
      <c r="AG6" s="67">
        <v>52.462499999999999</v>
      </c>
      <c r="AH6" s="56">
        <f t="shared" si="7"/>
        <v>60804.037499999999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1459</v>
      </c>
      <c r="BM6" s="36">
        <f t="shared" si="15"/>
        <v>99</v>
      </c>
      <c r="BN6" s="31"/>
      <c r="BO6" s="36">
        <f t="shared" si="16"/>
        <v>0</v>
      </c>
      <c r="BP6" s="194">
        <f t="shared" si="17"/>
        <v>1360</v>
      </c>
      <c r="BQ6" s="67">
        <v>52.462499999999999</v>
      </c>
      <c r="BR6" s="57">
        <f t="shared" si="18"/>
        <v>71349</v>
      </c>
      <c r="BS6" s="34">
        <f t="shared" si="19"/>
        <v>0</v>
      </c>
      <c r="BT6" s="1">
        <f t="shared" si="20"/>
        <v>34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598</v>
      </c>
      <c r="E7" s="137">
        <v>65</v>
      </c>
      <c r="F7" s="138"/>
      <c r="G7" s="159"/>
      <c r="H7" s="131">
        <f t="shared" si="0"/>
        <v>533</v>
      </c>
      <c r="I7" s="132">
        <v>72.64</v>
      </c>
      <c r="J7" s="125">
        <f t="shared" si="1"/>
        <v>38717.120000000003</v>
      </c>
      <c r="K7" s="34">
        <f t="shared" si="2"/>
        <v>0</v>
      </c>
      <c r="M7" s="221"/>
      <c r="N7" s="46" t="s">
        <v>28</v>
      </c>
      <c r="O7" s="72">
        <v>120</v>
      </c>
      <c r="P7" s="136">
        <v>115</v>
      </c>
      <c r="Q7" s="137">
        <v>12</v>
      </c>
      <c r="R7" s="138"/>
      <c r="S7" s="138"/>
      <c r="T7" s="131">
        <f t="shared" si="3"/>
        <v>103</v>
      </c>
      <c r="U7" s="132">
        <v>72.64</v>
      </c>
      <c r="V7" s="152">
        <f t="shared" si="4"/>
        <v>7481.92</v>
      </c>
      <c r="W7" s="34">
        <f t="shared" si="5"/>
        <v>0</v>
      </c>
      <c r="Y7" s="221"/>
      <c r="Z7" s="46" t="s">
        <v>28</v>
      </c>
      <c r="AA7" s="72">
        <v>120</v>
      </c>
      <c r="AB7" s="190">
        <v>1320</v>
      </c>
      <c r="AC7" s="185">
        <v>41</v>
      </c>
      <c r="AD7" s="191"/>
      <c r="AE7" s="191"/>
      <c r="AF7" s="187">
        <f t="shared" si="6"/>
        <v>1279</v>
      </c>
      <c r="AG7" s="67">
        <v>72.64</v>
      </c>
      <c r="AH7" s="56">
        <f t="shared" si="7"/>
        <v>92906.559999999998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2033</v>
      </c>
      <c r="BM7" s="36">
        <f t="shared" si="15"/>
        <v>118</v>
      </c>
      <c r="BN7" s="43"/>
      <c r="BO7" s="36">
        <f t="shared" si="16"/>
        <v>0</v>
      </c>
      <c r="BP7" s="194">
        <f t="shared" si="17"/>
        <v>1915</v>
      </c>
      <c r="BQ7" s="67">
        <v>72.64</v>
      </c>
      <c r="BR7" s="58">
        <f t="shared" si="18"/>
        <v>139105.60000000001</v>
      </c>
      <c r="BS7" s="34">
        <f t="shared" si="19"/>
        <v>0</v>
      </c>
      <c r="BT7" s="1">
        <f t="shared" si="20"/>
        <v>47.875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429</v>
      </c>
      <c r="E8" s="140">
        <v>22</v>
      </c>
      <c r="F8" s="141"/>
      <c r="G8" s="141"/>
      <c r="H8" s="131">
        <f t="shared" si="0"/>
        <v>407</v>
      </c>
      <c r="I8" s="132">
        <v>72.64</v>
      </c>
      <c r="J8" s="125">
        <f t="shared" si="1"/>
        <v>29564.48</v>
      </c>
      <c r="K8" s="34">
        <f t="shared" si="2"/>
        <v>0</v>
      </c>
      <c r="M8" s="221"/>
      <c r="N8" s="63" t="s">
        <v>29</v>
      </c>
      <c r="O8" s="73">
        <v>120</v>
      </c>
      <c r="P8" s="139">
        <v>155</v>
      </c>
      <c r="Q8" s="140">
        <v>52</v>
      </c>
      <c r="R8" s="141"/>
      <c r="S8" s="141"/>
      <c r="T8" s="131">
        <f t="shared" si="3"/>
        <v>103</v>
      </c>
      <c r="U8" s="132">
        <v>72.64</v>
      </c>
      <c r="V8" s="152">
        <f t="shared" si="4"/>
        <v>7481.92</v>
      </c>
      <c r="W8" s="34">
        <f t="shared" si="5"/>
        <v>0</v>
      </c>
      <c r="Y8" s="221"/>
      <c r="Z8" s="63" t="s">
        <v>29</v>
      </c>
      <c r="AA8" s="73">
        <v>120</v>
      </c>
      <c r="AB8" s="188">
        <v>1200</v>
      </c>
      <c r="AC8" s="185">
        <v>42</v>
      </c>
      <c r="AD8" s="189"/>
      <c r="AE8" s="189"/>
      <c r="AF8" s="187">
        <f t="shared" si="6"/>
        <v>1158</v>
      </c>
      <c r="AG8" s="67">
        <v>72.64</v>
      </c>
      <c r="AH8" s="56">
        <f t="shared" si="7"/>
        <v>84117.119999999995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1784</v>
      </c>
      <c r="BM8" s="36">
        <f t="shared" si="15"/>
        <v>116</v>
      </c>
      <c r="BN8" s="66"/>
      <c r="BO8" s="36">
        <f t="shared" si="16"/>
        <v>0</v>
      </c>
      <c r="BP8" s="194">
        <f t="shared" si="17"/>
        <v>1668</v>
      </c>
      <c r="BQ8" s="67">
        <v>72.64</v>
      </c>
      <c r="BR8" s="58">
        <f t="shared" si="18"/>
        <v>121163.52</v>
      </c>
      <c r="BS8" s="34">
        <f t="shared" si="19"/>
        <v>0</v>
      </c>
      <c r="BT8" s="1">
        <f t="shared" si="20"/>
        <v>41.7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642</v>
      </c>
      <c r="E9" s="129">
        <v>45</v>
      </c>
      <c r="F9" s="130"/>
      <c r="G9" s="130"/>
      <c r="H9" s="131">
        <f t="shared" si="0"/>
        <v>597</v>
      </c>
      <c r="I9" s="132">
        <v>72.64</v>
      </c>
      <c r="J9" s="121">
        <f t="shared" si="1"/>
        <v>43366.080000000002</v>
      </c>
      <c r="K9" s="34">
        <f t="shared" si="2"/>
        <v>0</v>
      </c>
      <c r="M9" s="221"/>
      <c r="N9" s="44" t="s">
        <v>30</v>
      </c>
      <c r="O9" s="70">
        <v>120</v>
      </c>
      <c r="P9" s="128">
        <v>208</v>
      </c>
      <c r="Q9" s="129">
        <v>23</v>
      </c>
      <c r="R9" s="130"/>
      <c r="S9" s="130"/>
      <c r="T9" s="131">
        <f t="shared" si="3"/>
        <v>185</v>
      </c>
      <c r="U9" s="132">
        <v>72.64</v>
      </c>
      <c r="V9" s="150">
        <f t="shared" si="4"/>
        <v>13438.4</v>
      </c>
      <c r="W9" s="34">
        <f t="shared" si="5"/>
        <v>0</v>
      </c>
      <c r="Y9" s="221"/>
      <c r="Z9" s="44" t="s">
        <v>30</v>
      </c>
      <c r="AA9" s="70">
        <v>120</v>
      </c>
      <c r="AB9" s="192">
        <v>1280</v>
      </c>
      <c r="AC9" s="185">
        <v>41</v>
      </c>
      <c r="AD9" s="193"/>
      <c r="AE9" s="193"/>
      <c r="AF9" s="187">
        <f t="shared" si="6"/>
        <v>1239</v>
      </c>
      <c r="AG9" s="67">
        <v>72.64</v>
      </c>
      <c r="AH9" s="56">
        <f t="shared" si="7"/>
        <v>90000.960000000006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2130</v>
      </c>
      <c r="BM9" s="36">
        <f t="shared" si="15"/>
        <v>109</v>
      </c>
      <c r="BN9" s="38"/>
      <c r="BO9" s="36">
        <f t="shared" si="16"/>
        <v>0</v>
      </c>
      <c r="BP9" s="194">
        <f t="shared" si="17"/>
        <v>2021</v>
      </c>
      <c r="BQ9" s="67">
        <v>72.64</v>
      </c>
      <c r="BR9" s="56">
        <f t="shared" si="18"/>
        <v>146805.44</v>
      </c>
      <c r="BS9" s="34">
        <f t="shared" si="19"/>
        <v>0</v>
      </c>
      <c r="BT9" s="1">
        <f t="shared" si="20"/>
        <v>50.524999999999999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244.1</v>
      </c>
    </row>
    <row r="13" spans="1:73" ht="39.75" customHeight="1" thickBot="1" x14ac:dyDescent="0.45">
      <c r="A13" s="12"/>
      <c r="B13" s="11"/>
      <c r="C13" s="142"/>
      <c r="D13" s="143">
        <f>SUM(D4:D12)</f>
        <v>1914</v>
      </c>
      <c r="E13" s="143">
        <f>SUM(E4:E12)</f>
        <v>194</v>
      </c>
      <c r="F13" s="143">
        <f>SUM(F4:F12)</f>
        <v>0</v>
      </c>
      <c r="G13" s="143">
        <f>SUM(G4:G12)</f>
        <v>0</v>
      </c>
      <c r="H13" s="143">
        <f>SUM(H4:H12)</f>
        <v>1720</v>
      </c>
      <c r="I13" s="142"/>
      <c r="J13" s="127">
        <f>SUM(J4:J12)</f>
        <v>121248.3175</v>
      </c>
      <c r="K13" s="35">
        <f>SUM(K4:K12)</f>
        <v>0</v>
      </c>
      <c r="M13" s="98"/>
      <c r="N13" s="99"/>
      <c r="O13" s="99"/>
      <c r="P13" s="100">
        <f>SUM(P4:P12)</f>
        <v>973</v>
      </c>
      <c r="Q13" s="100">
        <f>SUM(Q4:Q12)</f>
        <v>203</v>
      </c>
      <c r="R13" s="13">
        <f>SUM(R4:R12)</f>
        <v>0</v>
      </c>
      <c r="S13" s="13">
        <f>SUM(S4:S12)</f>
        <v>0</v>
      </c>
      <c r="T13" s="13">
        <f>SUM(T4:T12)</f>
        <v>770</v>
      </c>
      <c r="U13" s="11"/>
      <c r="V13" s="59">
        <f>SUM(V4:V12)</f>
        <v>48285.527499999997</v>
      </c>
      <c r="W13" s="35">
        <f>SUM(W4:W12)</f>
        <v>0</v>
      </c>
      <c r="Y13" s="12"/>
      <c r="Z13" s="11"/>
      <c r="AA13" s="11"/>
      <c r="AB13" s="13">
        <f>SUM(AB4:AB12)</f>
        <v>7520</v>
      </c>
      <c r="AC13" s="13">
        <f>SUM(AC4:AC12)</f>
        <v>246</v>
      </c>
      <c r="AD13" s="13">
        <f>SUM(AD4:AD12)</f>
        <v>0</v>
      </c>
      <c r="AE13" s="13">
        <f>SUM(AE4:AE12)</f>
        <v>0</v>
      </c>
      <c r="AF13" s="13">
        <f>SUM(AF4:AF12)</f>
        <v>7274</v>
      </c>
      <c r="AG13" s="11"/>
      <c r="AH13" s="59">
        <f>SUM(AH4:AH12)</f>
        <v>455784.71500000003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10407</v>
      </c>
      <c r="BM13" s="13">
        <f>SUM(BM4:BM12)</f>
        <v>643</v>
      </c>
      <c r="BN13" s="13">
        <f>SUM(BN4:BN12)</f>
        <v>0</v>
      </c>
      <c r="BO13" s="13">
        <f>SUM(BO4:BO12)</f>
        <v>0</v>
      </c>
      <c r="BP13" s="13">
        <f>SUM(BP4:BP12)</f>
        <v>9764</v>
      </c>
      <c r="BQ13" s="11"/>
      <c r="BR13" s="59">
        <f>SUM(BR4:BR12)</f>
        <v>625318.56000000006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10182+6143+6589-5</f>
        <v>22909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6765+2297-33</f>
        <v>9029</v>
      </c>
      <c r="W14" s="29">
        <f>+V22</f>
        <v>0.52749999999650754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3935+5599+5674+70932-157</f>
        <v>85983</v>
      </c>
      <c r="AI14" s="29">
        <f>+AH22</f>
        <v>0.71500000002561137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117921</v>
      </c>
      <c r="BS14" s="29">
        <f>+BR22</f>
        <v>1.5600000000558794</v>
      </c>
      <c r="BU14" s="1">
        <f>BP13/40</f>
        <v>244.1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1885+1137+1220</f>
        <v>4242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1252+425</f>
        <v>1677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1037+1050</f>
        <v>2087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8006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9.0533215027911618E-2</v>
      </c>
      <c r="J16" s="49">
        <f>5588+2600+2789</f>
        <v>10977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9.2367221213437101E-2</v>
      </c>
      <c r="V16" s="49">
        <f>3314+1146</f>
        <v>4460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0.14299514190597637</v>
      </c>
      <c r="AH16" s="49">
        <f>2915+2962+3002+56296</f>
        <v>65175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0.12891349330811483</v>
      </c>
      <c r="BR16" s="53">
        <f t="shared" si="21"/>
        <v>80612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282+174+187</f>
        <v>643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189+64</f>
        <v>253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109+156+158+1949</f>
        <v>2372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3268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77550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35680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113230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52031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15750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476877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544658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0.31750000000465661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0.52749999999650754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0.71500000002561137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1.5600000000558794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28582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57</v>
      </c>
      <c r="B26" s="182" t="s">
        <v>232</v>
      </c>
      <c r="C26" s="324">
        <v>30486</v>
      </c>
      <c r="D26" s="325"/>
      <c r="E26" s="265" t="s">
        <v>81</v>
      </c>
      <c r="F26" s="266"/>
      <c r="G26" s="146">
        <f>130+130+80</f>
        <v>340</v>
      </c>
      <c r="H26" s="267" t="s">
        <v>18</v>
      </c>
      <c r="I26" s="268"/>
      <c r="J26" s="47">
        <f>66060+G35</f>
        <v>66400</v>
      </c>
      <c r="M26" s="175" t="s">
        <v>189</v>
      </c>
      <c r="N26" s="158" t="s">
        <v>234</v>
      </c>
      <c r="O26" s="269">
        <v>15750</v>
      </c>
      <c r="P26" s="270"/>
      <c r="Q26" s="271" t="s">
        <v>235</v>
      </c>
      <c r="R26" s="272"/>
      <c r="S26" s="146">
        <v>11450</v>
      </c>
      <c r="T26" s="267" t="s">
        <v>18</v>
      </c>
      <c r="U26" s="268"/>
      <c r="V26" s="47">
        <f>18930+S35</f>
        <v>35680</v>
      </c>
      <c r="Y26" s="180" t="s">
        <v>67</v>
      </c>
      <c r="Z26" s="148" t="s">
        <v>238</v>
      </c>
      <c r="AA26" s="259">
        <v>21953</v>
      </c>
      <c r="AB26" s="273"/>
      <c r="AC26" s="297" t="s">
        <v>81</v>
      </c>
      <c r="AD26" s="298"/>
      <c r="AE26" s="147">
        <v>70</v>
      </c>
      <c r="AF26" s="267" t="s">
        <v>18</v>
      </c>
      <c r="AG26" s="268"/>
      <c r="AH26" s="47"/>
      <c r="AK26" s="208"/>
      <c r="AL26" s="78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181" t="s">
        <v>57</v>
      </c>
      <c r="B27" s="182" t="s">
        <v>233</v>
      </c>
      <c r="C27" s="324">
        <v>21545</v>
      </c>
      <c r="D27" s="325"/>
      <c r="E27" s="265"/>
      <c r="F27" s="266"/>
      <c r="G27" s="146"/>
      <c r="H27" s="285" t="s">
        <v>54</v>
      </c>
      <c r="I27" s="286"/>
      <c r="J27" s="47">
        <f>6270+4880</f>
        <v>11150</v>
      </c>
      <c r="L27" s="205"/>
      <c r="M27" s="175"/>
      <c r="N27" s="158"/>
      <c r="O27" s="269"/>
      <c r="P27" s="270"/>
      <c r="Q27" s="271" t="s">
        <v>236</v>
      </c>
      <c r="R27" s="272"/>
      <c r="S27" s="146">
        <v>5000</v>
      </c>
      <c r="T27" s="282" t="s">
        <v>53</v>
      </c>
      <c r="U27" s="267"/>
      <c r="V27" s="47"/>
      <c r="W27" s="145"/>
      <c r="Y27" s="180" t="s">
        <v>67</v>
      </c>
      <c r="Z27" s="148" t="s">
        <v>239</v>
      </c>
      <c r="AA27" s="283">
        <v>31227</v>
      </c>
      <c r="AB27" s="284"/>
      <c r="AC27" s="297" t="s">
        <v>240</v>
      </c>
      <c r="AD27" s="298"/>
      <c r="AE27" s="147">
        <v>11422</v>
      </c>
      <c r="AF27" s="267" t="s">
        <v>53</v>
      </c>
      <c r="AG27" s="268"/>
      <c r="AH27" s="47"/>
      <c r="AK27" s="208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/>
      <c r="B28" s="203"/>
      <c r="C28" s="326"/>
      <c r="D28" s="327"/>
      <c r="E28" s="265"/>
      <c r="F28" s="266"/>
      <c r="G28" s="146"/>
      <c r="H28" s="267"/>
      <c r="I28" s="268"/>
      <c r="J28" s="47"/>
      <c r="M28" s="175"/>
      <c r="N28" s="158"/>
      <c r="O28" s="296"/>
      <c r="P28" s="248"/>
      <c r="Q28" s="271" t="s">
        <v>237</v>
      </c>
      <c r="R28" s="272"/>
      <c r="S28" s="146">
        <v>300</v>
      </c>
      <c r="T28" s="267"/>
      <c r="U28" s="268"/>
      <c r="V28" s="47"/>
      <c r="W28" s="145"/>
      <c r="Y28" s="180" t="s">
        <v>67</v>
      </c>
      <c r="Z28" s="148" t="s">
        <v>241</v>
      </c>
      <c r="AA28" s="283">
        <v>31804</v>
      </c>
      <c r="AB28" s="284"/>
      <c r="AC28" s="297"/>
      <c r="AD28" s="298"/>
      <c r="AE28" s="147"/>
      <c r="AF28" s="267"/>
      <c r="AG28" s="268"/>
      <c r="AH28" s="47"/>
      <c r="AK28" s="180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 t="s">
        <v>67</v>
      </c>
      <c r="Z29" s="148" t="s">
        <v>242</v>
      </c>
      <c r="AA29" s="283">
        <v>391893</v>
      </c>
      <c r="AB29" s="284"/>
      <c r="AC29" s="297"/>
      <c r="AD29" s="298"/>
      <c r="AE29" s="147"/>
      <c r="AF29" s="267"/>
      <c r="AG29" s="268"/>
      <c r="AH29" s="47"/>
      <c r="AK29" s="180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80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80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52031</v>
      </c>
      <c r="D35" s="315"/>
      <c r="E35" s="316" t="s">
        <v>21</v>
      </c>
      <c r="F35" s="317"/>
      <c r="G35" s="87">
        <f>SUM(G26:G34)</f>
        <v>340</v>
      </c>
      <c r="H35" s="318" t="s">
        <v>17</v>
      </c>
      <c r="I35" s="319"/>
      <c r="J35" s="77">
        <f>SUM(J26:J34)</f>
        <v>77550</v>
      </c>
      <c r="M35" s="177"/>
      <c r="N35" s="76" t="s">
        <v>16</v>
      </c>
      <c r="O35" s="314">
        <f>SUM(O26:O34)</f>
        <v>15750</v>
      </c>
      <c r="P35" s="315"/>
      <c r="Q35" s="316" t="s">
        <v>21</v>
      </c>
      <c r="R35" s="317"/>
      <c r="S35" s="87">
        <f>SUM(S26:S34)</f>
        <v>16750</v>
      </c>
      <c r="T35" s="318" t="s">
        <v>17</v>
      </c>
      <c r="U35" s="319"/>
      <c r="V35" s="77">
        <f>SUM(V26:V34)</f>
        <v>35680</v>
      </c>
      <c r="Y35" s="75"/>
      <c r="Z35" s="76" t="s">
        <v>16</v>
      </c>
      <c r="AA35" s="314">
        <f>SUM(AA26:AB34)</f>
        <v>476877</v>
      </c>
      <c r="AB35" s="315"/>
      <c r="AC35" s="316" t="s">
        <v>21</v>
      </c>
      <c r="AD35" s="317"/>
      <c r="AE35" s="87">
        <f>SUM(AE26:AE34)</f>
        <v>11492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FAE0-AECD-44C8-946D-8E1A697E996A}">
  <sheetPr>
    <pageSetUpPr fitToPage="1"/>
  </sheetPr>
  <dimension ref="A1:BU37"/>
  <sheetViews>
    <sheetView topLeftCell="A25" zoomScale="87" zoomScaleNormal="87" zoomScaleSheetLayoutView="100" workbookViewId="0">
      <selection sqref="A1:K1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30.582031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243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23.10.2026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23.10.2026</v>
      </c>
      <c r="AK2" s="94"/>
      <c r="AL2" s="93" t="s">
        <v>69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23.10.2026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23.10.2026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23.10.2026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137</v>
      </c>
      <c r="E4" s="129">
        <v>9</v>
      </c>
      <c r="F4" s="130"/>
      <c r="G4" s="130"/>
      <c r="H4" s="131">
        <f t="shared" ref="H4:H12" si="0">+D4-E4-F4-G4</f>
        <v>128</v>
      </c>
      <c r="I4" s="132">
        <v>52.462499999999999</v>
      </c>
      <c r="J4" s="121">
        <f t="shared" ref="J4:J12" si="1">+H4*I4</f>
        <v>6715.2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24</v>
      </c>
      <c r="Q4" s="129"/>
      <c r="R4" s="130"/>
      <c r="S4" s="130"/>
      <c r="T4" s="131">
        <f t="shared" ref="T4:T12" si="3">+P4-Q4-R4-S4</f>
        <v>24</v>
      </c>
      <c r="U4" s="132">
        <v>52.462499999999999</v>
      </c>
      <c r="V4" s="150">
        <f t="shared" ref="V4:V12" si="4">+T4*U4</f>
        <v>1259.0999999999999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240</v>
      </c>
      <c r="AC4" s="185"/>
      <c r="AD4" s="186"/>
      <c r="AE4" s="186"/>
      <c r="AF4" s="187">
        <f t="shared" ref="AF4:AF12" si="6">+AB4-AC4-AD4-AE4</f>
        <v>240</v>
      </c>
      <c r="AG4" s="67">
        <v>52.462499999999999</v>
      </c>
      <c r="AH4" s="56">
        <f t="shared" ref="AH4:AH12" si="7">+AF4*AG4</f>
        <v>12591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401</v>
      </c>
      <c r="BM4" s="36">
        <f t="shared" si="15"/>
        <v>9</v>
      </c>
      <c r="BN4" s="38"/>
      <c r="BO4" s="36">
        <f t="shared" ref="BO4:BO12" si="16">+G4+S4+AE4+AQ4+BC4</f>
        <v>0</v>
      </c>
      <c r="BP4" s="194">
        <f t="shared" ref="BP4:BP12" si="17">+BL4-BM4-BN4-BO4</f>
        <v>392</v>
      </c>
      <c r="BQ4" s="67">
        <v>52.462499999999999</v>
      </c>
      <c r="BR4" s="56">
        <f t="shared" ref="BR4:BR12" si="18">+BP4*BQ4</f>
        <v>20565.3</v>
      </c>
      <c r="BS4" s="34">
        <f t="shared" ref="BS4:BS12" si="19">+BO4*BQ4</f>
        <v>0</v>
      </c>
      <c r="BT4" s="1">
        <f t="shared" ref="BT4:BT11" si="20">+BP4/40</f>
        <v>9.8000000000000007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101</v>
      </c>
      <c r="E5" s="134">
        <v>3</v>
      </c>
      <c r="F5" s="135"/>
      <c r="G5" s="135"/>
      <c r="H5" s="131">
        <f t="shared" si="0"/>
        <v>98</v>
      </c>
      <c r="I5" s="132">
        <v>52.462499999999999</v>
      </c>
      <c r="J5" s="123">
        <f t="shared" si="1"/>
        <v>5141.3249999999998</v>
      </c>
      <c r="K5" s="34">
        <f t="shared" si="2"/>
        <v>0</v>
      </c>
      <c r="M5" s="221"/>
      <c r="N5" s="45" t="s">
        <v>26</v>
      </c>
      <c r="O5" s="71">
        <v>70</v>
      </c>
      <c r="P5" s="128">
        <v>144</v>
      </c>
      <c r="Q5" s="134"/>
      <c r="R5" s="135"/>
      <c r="S5" s="135"/>
      <c r="T5" s="131">
        <f t="shared" si="3"/>
        <v>144</v>
      </c>
      <c r="U5" s="132">
        <v>52.462499999999999</v>
      </c>
      <c r="V5" s="151">
        <f t="shared" si="4"/>
        <v>7554.5999999999995</v>
      </c>
      <c r="W5" s="34">
        <f t="shared" si="5"/>
        <v>0</v>
      </c>
      <c r="Y5" s="221"/>
      <c r="Z5" s="45" t="s">
        <v>26</v>
      </c>
      <c r="AA5" s="71">
        <v>70</v>
      </c>
      <c r="AB5" s="188">
        <v>200</v>
      </c>
      <c r="AC5" s="185"/>
      <c r="AD5" s="189"/>
      <c r="AE5" s="189"/>
      <c r="AF5" s="187">
        <f t="shared" si="6"/>
        <v>200</v>
      </c>
      <c r="AG5" s="67">
        <v>52.462499999999999</v>
      </c>
      <c r="AH5" s="56">
        <f t="shared" si="7"/>
        <v>10492.5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445</v>
      </c>
      <c r="BM5" s="36">
        <f t="shared" si="15"/>
        <v>3</v>
      </c>
      <c r="BN5" s="31"/>
      <c r="BO5" s="36">
        <f t="shared" si="16"/>
        <v>0</v>
      </c>
      <c r="BP5" s="194">
        <f t="shared" si="17"/>
        <v>442</v>
      </c>
      <c r="BQ5" s="67">
        <v>52.462499999999999</v>
      </c>
      <c r="BR5" s="57">
        <f t="shared" si="18"/>
        <v>23188.424999999999</v>
      </c>
      <c r="BS5" s="34">
        <f t="shared" si="19"/>
        <v>0</v>
      </c>
      <c r="BT5" s="1">
        <f t="shared" si="20"/>
        <v>11.05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128</v>
      </c>
      <c r="E6" s="134"/>
      <c r="F6" s="135"/>
      <c r="G6" s="135"/>
      <c r="H6" s="131">
        <f t="shared" si="0"/>
        <v>128</v>
      </c>
      <c r="I6" s="132">
        <v>52.462499999999999</v>
      </c>
      <c r="J6" s="123">
        <f t="shared" si="1"/>
        <v>6715.2</v>
      </c>
      <c r="K6" s="34">
        <f t="shared" si="2"/>
        <v>0</v>
      </c>
      <c r="M6" s="221"/>
      <c r="N6" s="45" t="s">
        <v>27</v>
      </c>
      <c r="O6" s="71">
        <v>70</v>
      </c>
      <c r="P6" s="133">
        <v>146</v>
      </c>
      <c r="Q6" s="134"/>
      <c r="R6" s="135"/>
      <c r="S6" s="135"/>
      <c r="T6" s="131">
        <f t="shared" si="3"/>
        <v>146</v>
      </c>
      <c r="U6" s="132">
        <v>52.462499999999999</v>
      </c>
      <c r="V6" s="152">
        <f t="shared" si="4"/>
        <v>7659.5249999999996</v>
      </c>
      <c r="W6" s="34">
        <f t="shared" si="5"/>
        <v>0</v>
      </c>
      <c r="Y6" s="221"/>
      <c r="Z6" s="45" t="s">
        <v>27</v>
      </c>
      <c r="AA6" s="71">
        <v>70</v>
      </c>
      <c r="AB6" s="188">
        <v>200</v>
      </c>
      <c r="AC6" s="185"/>
      <c r="AD6" s="189"/>
      <c r="AE6" s="189"/>
      <c r="AF6" s="187">
        <f t="shared" si="6"/>
        <v>200</v>
      </c>
      <c r="AG6" s="67">
        <v>52.462499999999999</v>
      </c>
      <c r="AH6" s="56">
        <f t="shared" si="7"/>
        <v>10492.5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474</v>
      </c>
      <c r="BM6" s="36">
        <f t="shared" si="15"/>
        <v>0</v>
      </c>
      <c r="BN6" s="31"/>
      <c r="BO6" s="36">
        <f t="shared" si="16"/>
        <v>0</v>
      </c>
      <c r="BP6" s="194">
        <f t="shared" si="17"/>
        <v>474</v>
      </c>
      <c r="BQ6" s="67">
        <v>52.462499999999999</v>
      </c>
      <c r="BR6" s="57">
        <f t="shared" si="18"/>
        <v>24867.224999999999</v>
      </c>
      <c r="BS6" s="34">
        <f t="shared" si="19"/>
        <v>0</v>
      </c>
      <c r="BT6" s="1">
        <f t="shared" si="20"/>
        <v>11.85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372</v>
      </c>
      <c r="E7" s="137">
        <v>104</v>
      </c>
      <c r="F7" s="138"/>
      <c r="G7" s="159"/>
      <c r="H7" s="131">
        <f t="shared" si="0"/>
        <v>268</v>
      </c>
      <c r="I7" s="132">
        <v>72.64</v>
      </c>
      <c r="J7" s="125">
        <f t="shared" si="1"/>
        <v>19467.52</v>
      </c>
      <c r="K7" s="34">
        <f t="shared" si="2"/>
        <v>0</v>
      </c>
      <c r="M7" s="221"/>
      <c r="N7" s="46" t="s">
        <v>28</v>
      </c>
      <c r="O7" s="72">
        <v>120</v>
      </c>
      <c r="P7" s="136">
        <v>199</v>
      </c>
      <c r="Q7" s="137">
        <v>34</v>
      </c>
      <c r="R7" s="138"/>
      <c r="S7" s="138"/>
      <c r="T7" s="131">
        <f t="shared" si="3"/>
        <v>165</v>
      </c>
      <c r="U7" s="132">
        <v>72.64</v>
      </c>
      <c r="V7" s="152">
        <f t="shared" si="4"/>
        <v>11985.6</v>
      </c>
      <c r="W7" s="34">
        <f t="shared" si="5"/>
        <v>0</v>
      </c>
      <c r="Y7" s="221"/>
      <c r="Z7" s="46" t="s">
        <v>28</v>
      </c>
      <c r="AA7" s="72">
        <v>120</v>
      </c>
      <c r="AB7" s="190">
        <v>240</v>
      </c>
      <c r="AC7" s="185"/>
      <c r="AD7" s="191"/>
      <c r="AE7" s="191"/>
      <c r="AF7" s="187">
        <f t="shared" si="6"/>
        <v>240</v>
      </c>
      <c r="AG7" s="67">
        <v>72.64</v>
      </c>
      <c r="AH7" s="56">
        <f t="shared" si="7"/>
        <v>17433.599999999999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811</v>
      </c>
      <c r="BM7" s="36">
        <f t="shared" si="15"/>
        <v>138</v>
      </c>
      <c r="BN7" s="43"/>
      <c r="BO7" s="36">
        <f t="shared" si="16"/>
        <v>0</v>
      </c>
      <c r="BP7" s="194">
        <f t="shared" si="17"/>
        <v>673</v>
      </c>
      <c r="BQ7" s="67">
        <v>72.64</v>
      </c>
      <c r="BR7" s="58">
        <f t="shared" si="18"/>
        <v>48886.720000000001</v>
      </c>
      <c r="BS7" s="34">
        <f t="shared" si="19"/>
        <v>0</v>
      </c>
      <c r="BT7" s="1">
        <f t="shared" si="20"/>
        <v>16.824999999999999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241</v>
      </c>
      <c r="E8" s="140">
        <v>50</v>
      </c>
      <c r="F8" s="141"/>
      <c r="G8" s="141"/>
      <c r="H8" s="131">
        <f t="shared" si="0"/>
        <v>191</v>
      </c>
      <c r="I8" s="132">
        <v>72.64</v>
      </c>
      <c r="J8" s="125">
        <f t="shared" si="1"/>
        <v>13874.24</v>
      </c>
      <c r="K8" s="34">
        <f t="shared" si="2"/>
        <v>0</v>
      </c>
      <c r="M8" s="221"/>
      <c r="N8" s="63" t="s">
        <v>29</v>
      </c>
      <c r="O8" s="73">
        <v>120</v>
      </c>
      <c r="P8" s="139">
        <v>214</v>
      </c>
      <c r="Q8" s="140">
        <v>29</v>
      </c>
      <c r="R8" s="141"/>
      <c r="S8" s="141"/>
      <c r="T8" s="131">
        <f t="shared" si="3"/>
        <v>185</v>
      </c>
      <c r="U8" s="132">
        <v>72.64</v>
      </c>
      <c r="V8" s="152">
        <f t="shared" si="4"/>
        <v>13438.4</v>
      </c>
      <c r="W8" s="34">
        <f t="shared" si="5"/>
        <v>0</v>
      </c>
      <c r="Y8" s="221"/>
      <c r="Z8" s="63" t="s">
        <v>29</v>
      </c>
      <c r="AA8" s="73">
        <v>120</v>
      </c>
      <c r="AB8" s="188">
        <v>200</v>
      </c>
      <c r="AC8" s="185"/>
      <c r="AD8" s="189"/>
      <c r="AE8" s="189"/>
      <c r="AF8" s="187">
        <f t="shared" si="6"/>
        <v>200</v>
      </c>
      <c r="AG8" s="67">
        <v>72.64</v>
      </c>
      <c r="AH8" s="56">
        <f t="shared" si="7"/>
        <v>14528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655</v>
      </c>
      <c r="BM8" s="36">
        <f t="shared" si="15"/>
        <v>79</v>
      </c>
      <c r="BN8" s="66"/>
      <c r="BO8" s="36">
        <f t="shared" si="16"/>
        <v>0</v>
      </c>
      <c r="BP8" s="194">
        <f t="shared" si="17"/>
        <v>576</v>
      </c>
      <c r="BQ8" s="67">
        <v>72.64</v>
      </c>
      <c r="BR8" s="58">
        <f t="shared" si="18"/>
        <v>41840.639999999999</v>
      </c>
      <c r="BS8" s="34">
        <f t="shared" si="19"/>
        <v>0</v>
      </c>
      <c r="BT8" s="1">
        <f t="shared" si="20"/>
        <v>14.4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325</v>
      </c>
      <c r="E9" s="129">
        <v>85</v>
      </c>
      <c r="F9" s="130"/>
      <c r="G9" s="130"/>
      <c r="H9" s="131">
        <f t="shared" si="0"/>
        <v>240</v>
      </c>
      <c r="I9" s="132">
        <v>72.64</v>
      </c>
      <c r="J9" s="121">
        <f t="shared" si="1"/>
        <v>17433.599999999999</v>
      </c>
      <c r="K9" s="34">
        <f t="shared" si="2"/>
        <v>0</v>
      </c>
      <c r="M9" s="221"/>
      <c r="N9" s="44" t="s">
        <v>30</v>
      </c>
      <c r="O9" s="70">
        <v>120</v>
      </c>
      <c r="P9" s="128">
        <v>267</v>
      </c>
      <c r="Q9" s="129">
        <v>54</v>
      </c>
      <c r="R9" s="130"/>
      <c r="S9" s="130"/>
      <c r="T9" s="131">
        <f t="shared" si="3"/>
        <v>213</v>
      </c>
      <c r="U9" s="132">
        <v>72.64</v>
      </c>
      <c r="V9" s="150">
        <f t="shared" si="4"/>
        <v>15472.32</v>
      </c>
      <c r="W9" s="34">
        <f t="shared" si="5"/>
        <v>0</v>
      </c>
      <c r="Y9" s="221"/>
      <c r="Z9" s="44" t="s">
        <v>30</v>
      </c>
      <c r="AA9" s="70">
        <v>120</v>
      </c>
      <c r="AB9" s="192">
        <v>240</v>
      </c>
      <c r="AC9" s="185"/>
      <c r="AD9" s="193"/>
      <c r="AE9" s="193"/>
      <c r="AF9" s="187">
        <f t="shared" si="6"/>
        <v>240</v>
      </c>
      <c r="AG9" s="67">
        <v>72.64</v>
      </c>
      <c r="AH9" s="56">
        <f t="shared" si="7"/>
        <v>17433.599999999999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832</v>
      </c>
      <c r="BM9" s="36">
        <f t="shared" si="15"/>
        <v>139</v>
      </c>
      <c r="BN9" s="38"/>
      <c r="BO9" s="36">
        <f t="shared" si="16"/>
        <v>0</v>
      </c>
      <c r="BP9" s="194">
        <f t="shared" si="17"/>
        <v>693</v>
      </c>
      <c r="BQ9" s="67">
        <v>72.64</v>
      </c>
      <c r="BR9" s="56">
        <f t="shared" si="18"/>
        <v>50339.519999999997</v>
      </c>
      <c r="BS9" s="34">
        <f t="shared" si="19"/>
        <v>0</v>
      </c>
      <c r="BT9" s="1">
        <f t="shared" si="20"/>
        <v>17.324999999999999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81.25</v>
      </c>
    </row>
    <row r="13" spans="1:73" ht="39.75" customHeight="1" thickBot="1" x14ac:dyDescent="0.45">
      <c r="A13" s="12"/>
      <c r="B13" s="11"/>
      <c r="C13" s="142"/>
      <c r="D13" s="143">
        <f>SUM(D4:D12)</f>
        <v>1304</v>
      </c>
      <c r="E13" s="143">
        <f>SUM(E4:E12)</f>
        <v>251</v>
      </c>
      <c r="F13" s="143">
        <f>SUM(F4:F12)</f>
        <v>0</v>
      </c>
      <c r="G13" s="143">
        <f>SUM(G4:G12)</f>
        <v>0</v>
      </c>
      <c r="H13" s="143">
        <f>SUM(H4:H12)</f>
        <v>1053</v>
      </c>
      <c r="I13" s="142"/>
      <c r="J13" s="127">
        <f>SUM(J4:J12)</f>
        <v>69347.084999999992</v>
      </c>
      <c r="K13" s="35">
        <f>SUM(K4:K12)</f>
        <v>0</v>
      </c>
      <c r="M13" s="98"/>
      <c r="N13" s="99"/>
      <c r="O13" s="99"/>
      <c r="P13" s="100">
        <f>SUM(P4:P12)</f>
        <v>994</v>
      </c>
      <c r="Q13" s="100">
        <f>SUM(Q4:Q12)</f>
        <v>117</v>
      </c>
      <c r="R13" s="13">
        <f>SUM(R4:R12)</f>
        <v>0</v>
      </c>
      <c r="S13" s="13">
        <f>SUM(S4:S12)</f>
        <v>0</v>
      </c>
      <c r="T13" s="13">
        <f>SUM(T4:T12)</f>
        <v>877</v>
      </c>
      <c r="U13" s="11"/>
      <c r="V13" s="59">
        <f>SUM(V4:V12)</f>
        <v>57369.544999999998</v>
      </c>
      <c r="W13" s="35">
        <f>SUM(W4:W12)</f>
        <v>0</v>
      </c>
      <c r="Y13" s="12"/>
      <c r="Z13" s="11"/>
      <c r="AA13" s="11"/>
      <c r="AB13" s="13">
        <f>SUM(AB4:AB12)</f>
        <v>1320</v>
      </c>
      <c r="AC13" s="13">
        <f>SUM(AC4:AC12)</f>
        <v>0</v>
      </c>
      <c r="AD13" s="13">
        <f>SUM(AD4:AD12)</f>
        <v>0</v>
      </c>
      <c r="AE13" s="13">
        <f>SUM(AE4:AE12)</f>
        <v>0</v>
      </c>
      <c r="AF13" s="13">
        <f>SUM(AF4:AF12)</f>
        <v>1320</v>
      </c>
      <c r="AG13" s="11"/>
      <c r="AH13" s="59">
        <f>SUM(AH4:AH12)</f>
        <v>82971.200000000012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3618</v>
      </c>
      <c r="BM13" s="13">
        <f>SUM(BM4:BM12)</f>
        <v>368</v>
      </c>
      <c r="BN13" s="13">
        <f>SUM(BN4:BN12)</f>
        <v>0</v>
      </c>
      <c r="BO13" s="13">
        <f>SUM(BO4:BO12)</f>
        <v>0</v>
      </c>
      <c r="BP13" s="13">
        <f>SUM(BP4:BP12)</f>
        <v>3250</v>
      </c>
      <c r="BQ13" s="11"/>
      <c r="BR13" s="59">
        <f>SUM(BR4:BR12)</f>
        <v>209687.83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3654+9533-7</f>
        <v>13180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2004+8818-40</f>
        <v>10782</v>
      </c>
      <c r="W14" s="29">
        <f>+V22</f>
        <v>0.54499999999825377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5674+7169+2837</f>
        <v>15680</v>
      </c>
      <c r="AI14" s="29">
        <f>+AH22</f>
        <v>-0.79999999998835847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39642</v>
      </c>
      <c r="BS14" s="29">
        <f>+BR22</f>
        <v>-0.17000000001280569</v>
      </c>
      <c r="BU14" s="1">
        <f>BP13/40</f>
        <v>81.25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676+1765</f>
        <v>2441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371+1633</f>
        <v>2004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/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4445</v>
      </c>
    </row>
    <row r="16" spans="1:73" ht="33" customHeight="1" x14ac:dyDescent="0.45">
      <c r="A16" s="103"/>
      <c r="B16" s="104"/>
      <c r="C16" s="104"/>
      <c r="D16" s="109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8.0493650165684702E-2</v>
      </c>
      <c r="J16" s="49">
        <f>1547+4035</f>
        <v>5582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8.1036027041873876E-2</v>
      </c>
      <c r="V16" s="49">
        <f>848+3801</f>
        <v>4649</v>
      </c>
      <c r="W16" s="165"/>
      <c r="Y16" s="95"/>
      <c r="Z16" s="90"/>
      <c r="AA16" s="118"/>
      <c r="AB16" s="11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0.13008128121565071</v>
      </c>
      <c r="AH16" s="49">
        <f>3602+5690+1501</f>
        <v>10793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0.10026332954087036</v>
      </c>
      <c r="BR16" s="53">
        <f t="shared" si="21"/>
        <v>21024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103+270</f>
        <v>373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56+250</f>
        <v>306</v>
      </c>
      <c r="W17" s="178"/>
      <c r="Y17" s="95"/>
      <c r="Z17" s="90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160+197+82</f>
        <v>439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1118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58673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42986</v>
      </c>
      <c r="W18" s="178"/>
      <c r="Y18" s="95"/>
      <c r="Z18" s="90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101659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16204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18818</v>
      </c>
      <c r="Y19" s="95"/>
      <c r="Z19" s="90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88298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123320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95"/>
      <c r="Z20" s="90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95"/>
      <c r="Z21" s="90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8.4999999991850927E-2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0.54499999999825377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-0.79999999998835847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-0.17000000001280569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21673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85"/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42"/>
      <c r="F25" s="243"/>
      <c r="G25" s="89" t="s">
        <v>15</v>
      </c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57</v>
      </c>
      <c r="B26" s="182" t="s">
        <v>246</v>
      </c>
      <c r="C26" s="324">
        <v>16204</v>
      </c>
      <c r="D26" s="325"/>
      <c r="E26" s="265" t="s">
        <v>81</v>
      </c>
      <c r="F26" s="266"/>
      <c r="G26" s="146">
        <v>100</v>
      </c>
      <c r="H26" s="267" t="s">
        <v>18</v>
      </c>
      <c r="I26" s="268"/>
      <c r="J26" s="47">
        <f>57000+G35</f>
        <v>58673</v>
      </c>
      <c r="M26" s="175" t="s">
        <v>59</v>
      </c>
      <c r="N26" s="158" t="s">
        <v>82</v>
      </c>
      <c r="O26" s="269">
        <v>9409</v>
      </c>
      <c r="P26" s="270"/>
      <c r="Q26" s="271" t="s">
        <v>245</v>
      </c>
      <c r="R26" s="272"/>
      <c r="S26" s="146">
        <v>20000</v>
      </c>
      <c r="T26" s="267" t="s">
        <v>18</v>
      </c>
      <c r="U26" s="268"/>
      <c r="V26" s="47">
        <f>22986+S35</f>
        <v>42986</v>
      </c>
      <c r="Y26" s="180" t="s">
        <v>67</v>
      </c>
      <c r="Z26" s="148" t="s">
        <v>248</v>
      </c>
      <c r="AA26" s="259">
        <v>32257</v>
      </c>
      <c r="AB26" s="273"/>
      <c r="AC26" s="297"/>
      <c r="AD26" s="298"/>
      <c r="AE26" s="147"/>
      <c r="AF26" s="267" t="s">
        <v>18</v>
      </c>
      <c r="AG26" s="268"/>
      <c r="AH26" s="47"/>
      <c r="AK26" s="208"/>
      <c r="AL26" s="78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181"/>
      <c r="B27" s="182"/>
      <c r="C27" s="324"/>
      <c r="D27" s="325"/>
      <c r="E27" s="265" t="s">
        <v>144</v>
      </c>
      <c r="F27" s="266"/>
      <c r="G27" s="146">
        <v>23</v>
      </c>
      <c r="H27" s="285" t="s">
        <v>54</v>
      </c>
      <c r="I27" s="286"/>
      <c r="J27" s="47"/>
      <c r="L27" s="205"/>
      <c r="M27" s="175" t="s">
        <v>59</v>
      </c>
      <c r="N27" s="158" t="s">
        <v>244</v>
      </c>
      <c r="O27" s="269">
        <v>9409</v>
      </c>
      <c r="P27" s="270"/>
      <c r="Q27" s="271"/>
      <c r="R27" s="272"/>
      <c r="S27" s="146"/>
      <c r="T27" s="282" t="s">
        <v>53</v>
      </c>
      <c r="U27" s="267"/>
      <c r="V27" s="47"/>
      <c r="W27" s="145"/>
      <c r="Y27" s="180" t="s">
        <v>67</v>
      </c>
      <c r="Z27" s="148" t="s">
        <v>249</v>
      </c>
      <c r="AA27" s="283">
        <v>39611</v>
      </c>
      <c r="AB27" s="284"/>
      <c r="AC27" s="297"/>
      <c r="AD27" s="298"/>
      <c r="AE27" s="147"/>
      <c r="AF27" s="267" t="s">
        <v>53</v>
      </c>
      <c r="AG27" s="268"/>
      <c r="AH27" s="47"/>
      <c r="AK27" s="208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/>
      <c r="B28" s="203"/>
      <c r="C28" s="326"/>
      <c r="D28" s="327"/>
      <c r="E28" s="265" t="s">
        <v>247</v>
      </c>
      <c r="F28" s="266"/>
      <c r="G28" s="146">
        <v>1550</v>
      </c>
      <c r="H28" s="267"/>
      <c r="I28" s="268"/>
      <c r="J28" s="47"/>
      <c r="M28" s="202"/>
      <c r="N28" s="209"/>
      <c r="O28" s="328"/>
      <c r="P28" s="329"/>
      <c r="Q28" s="271"/>
      <c r="R28" s="272"/>
      <c r="S28" s="146"/>
      <c r="T28" s="267"/>
      <c r="U28" s="268"/>
      <c r="V28" s="47"/>
      <c r="W28" s="145"/>
      <c r="Y28" s="180" t="s">
        <v>67</v>
      </c>
      <c r="Z28" s="210" t="s">
        <v>250</v>
      </c>
      <c r="AA28" s="283">
        <v>16430</v>
      </c>
      <c r="AB28" s="284"/>
      <c r="AC28" s="297"/>
      <c r="AD28" s="298"/>
      <c r="AE28" s="147"/>
      <c r="AF28" s="267"/>
      <c r="AG28" s="268"/>
      <c r="AH28" s="47"/>
      <c r="AK28" s="180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80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80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80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16204</v>
      </c>
      <c r="D35" s="315"/>
      <c r="E35" s="316" t="s">
        <v>21</v>
      </c>
      <c r="F35" s="317"/>
      <c r="G35" s="87">
        <f>SUM(G26:G34)</f>
        <v>1673</v>
      </c>
      <c r="H35" s="318" t="s">
        <v>17</v>
      </c>
      <c r="I35" s="319"/>
      <c r="J35" s="77">
        <f>SUM(J26:J34)</f>
        <v>58673</v>
      </c>
      <c r="M35" s="177"/>
      <c r="N35" s="76" t="s">
        <v>16</v>
      </c>
      <c r="O35" s="314">
        <f>SUM(O26:O34)</f>
        <v>18818</v>
      </c>
      <c r="P35" s="315"/>
      <c r="Q35" s="316" t="s">
        <v>21</v>
      </c>
      <c r="R35" s="317"/>
      <c r="S35" s="87">
        <f>SUM(S26:S34)</f>
        <v>20000</v>
      </c>
      <c r="T35" s="318" t="s">
        <v>17</v>
      </c>
      <c r="U35" s="319"/>
      <c r="V35" s="77">
        <f>SUM(V26:V34)</f>
        <v>42986</v>
      </c>
      <c r="Y35" s="75"/>
      <c r="Z35" s="76" t="s">
        <v>16</v>
      </c>
      <c r="AA35" s="314">
        <f>SUM(AA26:AB34)</f>
        <v>88298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88EF-DEAF-45F4-A295-26BC21A8C26E}">
  <sheetPr>
    <pageSetUpPr fitToPage="1"/>
  </sheetPr>
  <dimension ref="A1:BU37"/>
  <sheetViews>
    <sheetView topLeftCell="E25" zoomScale="87" zoomScaleNormal="87" zoomScaleSheetLayoutView="100" workbookViewId="0">
      <selection sqref="A1:K1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31.41406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251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24.10.2026</v>
      </c>
      <c r="Y2" s="2"/>
      <c r="Z2" s="93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24.10.2026</v>
      </c>
      <c r="AK2" s="94"/>
      <c r="AL2" s="93" t="s">
        <v>69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24.10.2026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24.10.2026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24.10.2026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211</v>
      </c>
      <c r="E4" s="129">
        <v>36</v>
      </c>
      <c r="F4" s="130"/>
      <c r="G4" s="130"/>
      <c r="H4" s="131">
        <f t="shared" ref="H4:H12" si="0">+D4-E4-F4-G4</f>
        <v>175</v>
      </c>
      <c r="I4" s="132">
        <v>52.462499999999999</v>
      </c>
      <c r="J4" s="121">
        <f t="shared" ref="J4:J12" si="1">+H4*I4</f>
        <v>9180.9375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173</v>
      </c>
      <c r="Q4" s="129">
        <v>12</v>
      </c>
      <c r="R4" s="130"/>
      <c r="S4" s="130"/>
      <c r="T4" s="131">
        <f t="shared" ref="T4:T12" si="3">+P4-Q4-R4-S4</f>
        <v>161</v>
      </c>
      <c r="U4" s="132">
        <v>52.462499999999999</v>
      </c>
      <c r="V4" s="150">
        <f t="shared" ref="V4:V12" si="4">+T4*U4</f>
        <v>8446.4624999999996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40</v>
      </c>
      <c r="AC4" s="185"/>
      <c r="AD4" s="186"/>
      <c r="AE4" s="186"/>
      <c r="AF4" s="187">
        <f t="shared" ref="AF4:AF12" si="6">+AB4-AC4-AD4-AE4</f>
        <v>40</v>
      </c>
      <c r="AG4" s="67">
        <v>52.462499999999999</v>
      </c>
      <c r="AH4" s="56">
        <f t="shared" ref="AH4:AH12" si="7">+AF4*AG4</f>
        <v>2098.5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424</v>
      </c>
      <c r="BM4" s="36">
        <f t="shared" si="15"/>
        <v>48</v>
      </c>
      <c r="BN4" s="38"/>
      <c r="BO4" s="36">
        <f t="shared" ref="BO4:BO12" si="16">+G4+S4+AE4+AQ4+BC4</f>
        <v>0</v>
      </c>
      <c r="BP4" s="194">
        <f t="shared" ref="BP4:BP12" si="17">+BL4-BM4-BN4-BO4</f>
        <v>376</v>
      </c>
      <c r="BQ4" s="67">
        <v>52.462499999999999</v>
      </c>
      <c r="BR4" s="56">
        <f t="shared" ref="BR4:BR12" si="18">+BP4*BQ4</f>
        <v>19725.899999999998</v>
      </c>
      <c r="BS4" s="34">
        <f t="shared" ref="BS4:BS12" si="19">+BO4*BQ4</f>
        <v>0</v>
      </c>
      <c r="BT4" s="1">
        <f t="shared" ref="BT4:BT11" si="20">+BP4/40</f>
        <v>9.4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145</v>
      </c>
      <c r="E5" s="134">
        <v>20</v>
      </c>
      <c r="F5" s="135"/>
      <c r="G5" s="135"/>
      <c r="H5" s="131">
        <f t="shared" si="0"/>
        <v>125</v>
      </c>
      <c r="I5" s="132">
        <v>52.462499999999999</v>
      </c>
      <c r="J5" s="123">
        <f t="shared" si="1"/>
        <v>6557.8125</v>
      </c>
      <c r="K5" s="34">
        <f t="shared" si="2"/>
        <v>0</v>
      </c>
      <c r="M5" s="221"/>
      <c r="N5" s="45" t="s">
        <v>26</v>
      </c>
      <c r="O5" s="71">
        <v>70</v>
      </c>
      <c r="P5" s="128">
        <v>315</v>
      </c>
      <c r="Q5" s="134">
        <v>12</v>
      </c>
      <c r="R5" s="135"/>
      <c r="S5" s="135"/>
      <c r="T5" s="131">
        <f t="shared" si="3"/>
        <v>303</v>
      </c>
      <c r="U5" s="132">
        <v>52.462499999999999</v>
      </c>
      <c r="V5" s="151">
        <f t="shared" si="4"/>
        <v>15896.137499999999</v>
      </c>
      <c r="W5" s="34">
        <f t="shared" si="5"/>
        <v>0</v>
      </c>
      <c r="Y5" s="221"/>
      <c r="Z5" s="45" t="s">
        <v>26</v>
      </c>
      <c r="AA5" s="71">
        <v>70</v>
      </c>
      <c r="AB5" s="188">
        <v>400</v>
      </c>
      <c r="AC5" s="185">
        <v>5</v>
      </c>
      <c r="AD5" s="189"/>
      <c r="AE5" s="189"/>
      <c r="AF5" s="187">
        <f t="shared" si="6"/>
        <v>395</v>
      </c>
      <c r="AG5" s="67">
        <v>52.462499999999999</v>
      </c>
      <c r="AH5" s="56">
        <f t="shared" si="7"/>
        <v>20722.6875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860</v>
      </c>
      <c r="BM5" s="36">
        <f t="shared" si="15"/>
        <v>37</v>
      </c>
      <c r="BN5" s="31"/>
      <c r="BO5" s="36">
        <f t="shared" si="16"/>
        <v>0</v>
      </c>
      <c r="BP5" s="194">
        <f t="shared" si="17"/>
        <v>823</v>
      </c>
      <c r="BQ5" s="67">
        <v>52.462499999999999</v>
      </c>
      <c r="BR5" s="57">
        <f t="shared" si="18"/>
        <v>43176.637499999997</v>
      </c>
      <c r="BS5" s="34">
        <f t="shared" si="19"/>
        <v>0</v>
      </c>
      <c r="BT5" s="1">
        <f t="shared" si="20"/>
        <v>20.574999999999999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280</v>
      </c>
      <c r="E6" s="134">
        <v>50</v>
      </c>
      <c r="F6" s="135"/>
      <c r="G6" s="135"/>
      <c r="H6" s="131">
        <f t="shared" si="0"/>
        <v>230</v>
      </c>
      <c r="I6" s="132">
        <v>52.462499999999999</v>
      </c>
      <c r="J6" s="123">
        <f t="shared" si="1"/>
        <v>12066.375</v>
      </c>
      <c r="K6" s="34">
        <f t="shared" si="2"/>
        <v>0</v>
      </c>
      <c r="M6" s="221"/>
      <c r="N6" s="45" t="s">
        <v>27</v>
      </c>
      <c r="O6" s="71">
        <v>70</v>
      </c>
      <c r="P6" s="133">
        <v>329</v>
      </c>
      <c r="Q6" s="134">
        <v>24</v>
      </c>
      <c r="R6" s="135"/>
      <c r="S6" s="135"/>
      <c r="T6" s="131">
        <f t="shared" si="3"/>
        <v>305</v>
      </c>
      <c r="U6" s="132">
        <v>52.462499999999999</v>
      </c>
      <c r="V6" s="152">
        <f t="shared" si="4"/>
        <v>16001.0625</v>
      </c>
      <c r="W6" s="34">
        <f t="shared" si="5"/>
        <v>0</v>
      </c>
      <c r="Y6" s="221"/>
      <c r="Z6" s="45" t="s">
        <v>27</v>
      </c>
      <c r="AA6" s="71">
        <v>70</v>
      </c>
      <c r="AB6" s="188">
        <v>160</v>
      </c>
      <c r="AC6" s="185"/>
      <c r="AD6" s="189"/>
      <c r="AE6" s="189"/>
      <c r="AF6" s="187">
        <f t="shared" si="6"/>
        <v>160</v>
      </c>
      <c r="AG6" s="67">
        <v>52.462499999999999</v>
      </c>
      <c r="AH6" s="56">
        <f t="shared" si="7"/>
        <v>8394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769</v>
      </c>
      <c r="BM6" s="36">
        <f t="shared" si="15"/>
        <v>74</v>
      </c>
      <c r="BN6" s="31"/>
      <c r="BO6" s="36">
        <f t="shared" si="16"/>
        <v>0</v>
      </c>
      <c r="BP6" s="194">
        <f t="shared" si="17"/>
        <v>695</v>
      </c>
      <c r="BQ6" s="67">
        <v>52.462499999999999</v>
      </c>
      <c r="BR6" s="57">
        <f t="shared" si="18"/>
        <v>36461.4375</v>
      </c>
      <c r="BS6" s="34">
        <f t="shared" si="19"/>
        <v>0</v>
      </c>
      <c r="BT6" s="1">
        <f t="shared" si="20"/>
        <v>17.375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142</v>
      </c>
      <c r="E7" s="137">
        <v>50</v>
      </c>
      <c r="F7" s="138"/>
      <c r="G7" s="159"/>
      <c r="H7" s="131">
        <f t="shared" si="0"/>
        <v>92</v>
      </c>
      <c r="I7" s="132">
        <v>72.64</v>
      </c>
      <c r="J7" s="125">
        <f t="shared" si="1"/>
        <v>6682.88</v>
      </c>
      <c r="K7" s="34">
        <f t="shared" si="2"/>
        <v>0</v>
      </c>
      <c r="M7" s="221"/>
      <c r="N7" s="46" t="s">
        <v>28</v>
      </c>
      <c r="O7" s="72">
        <v>120</v>
      </c>
      <c r="P7" s="136">
        <v>540</v>
      </c>
      <c r="Q7" s="137">
        <v>16</v>
      </c>
      <c r="R7" s="138"/>
      <c r="S7" s="138"/>
      <c r="T7" s="131">
        <f t="shared" si="3"/>
        <v>524</v>
      </c>
      <c r="U7" s="132">
        <v>72.64</v>
      </c>
      <c r="V7" s="152">
        <f t="shared" si="4"/>
        <v>38063.360000000001</v>
      </c>
      <c r="W7" s="34">
        <f t="shared" si="5"/>
        <v>0</v>
      </c>
      <c r="Y7" s="221"/>
      <c r="Z7" s="46" t="s">
        <v>28</v>
      </c>
      <c r="AA7" s="72">
        <v>120</v>
      </c>
      <c r="AB7" s="190">
        <v>480</v>
      </c>
      <c r="AC7" s="185">
        <v>1</v>
      </c>
      <c r="AD7" s="191"/>
      <c r="AE7" s="191"/>
      <c r="AF7" s="187">
        <f t="shared" si="6"/>
        <v>479</v>
      </c>
      <c r="AG7" s="67">
        <v>72.64</v>
      </c>
      <c r="AH7" s="56">
        <f t="shared" si="7"/>
        <v>34794.559999999998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1162</v>
      </c>
      <c r="BM7" s="36">
        <f t="shared" si="15"/>
        <v>67</v>
      </c>
      <c r="BN7" s="43"/>
      <c r="BO7" s="36">
        <f t="shared" si="16"/>
        <v>0</v>
      </c>
      <c r="BP7" s="194">
        <f t="shared" si="17"/>
        <v>1095</v>
      </c>
      <c r="BQ7" s="67">
        <v>72.64</v>
      </c>
      <c r="BR7" s="58">
        <f t="shared" si="18"/>
        <v>79540.800000000003</v>
      </c>
      <c r="BS7" s="34">
        <f t="shared" si="19"/>
        <v>0</v>
      </c>
      <c r="BT7" s="1">
        <f t="shared" si="20"/>
        <v>27.375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106</v>
      </c>
      <c r="E8" s="140">
        <v>30</v>
      </c>
      <c r="F8" s="141"/>
      <c r="G8" s="141"/>
      <c r="H8" s="131">
        <f t="shared" si="0"/>
        <v>76</v>
      </c>
      <c r="I8" s="132">
        <v>72.64</v>
      </c>
      <c r="J8" s="125">
        <f t="shared" si="1"/>
        <v>5520.64</v>
      </c>
      <c r="K8" s="34">
        <f t="shared" si="2"/>
        <v>0</v>
      </c>
      <c r="M8" s="221"/>
      <c r="N8" s="63" t="s">
        <v>29</v>
      </c>
      <c r="O8" s="73">
        <v>120</v>
      </c>
      <c r="P8" s="139">
        <v>386</v>
      </c>
      <c r="Q8" s="140">
        <v>16</v>
      </c>
      <c r="R8" s="141"/>
      <c r="S8" s="141"/>
      <c r="T8" s="131">
        <f t="shared" si="3"/>
        <v>370</v>
      </c>
      <c r="U8" s="132">
        <v>72.64</v>
      </c>
      <c r="V8" s="152">
        <f t="shared" si="4"/>
        <v>26876.799999999999</v>
      </c>
      <c r="W8" s="34">
        <f t="shared" si="5"/>
        <v>0</v>
      </c>
      <c r="Y8" s="221"/>
      <c r="Z8" s="63" t="s">
        <v>29</v>
      </c>
      <c r="AA8" s="73">
        <v>120</v>
      </c>
      <c r="AB8" s="188">
        <v>480</v>
      </c>
      <c r="AC8" s="185"/>
      <c r="AD8" s="189"/>
      <c r="AE8" s="189"/>
      <c r="AF8" s="187">
        <f t="shared" si="6"/>
        <v>480</v>
      </c>
      <c r="AG8" s="67">
        <v>72.64</v>
      </c>
      <c r="AH8" s="56">
        <f t="shared" si="7"/>
        <v>34867.199999999997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972</v>
      </c>
      <c r="BM8" s="36">
        <f t="shared" si="15"/>
        <v>46</v>
      </c>
      <c r="BN8" s="66"/>
      <c r="BO8" s="36">
        <f t="shared" si="16"/>
        <v>0</v>
      </c>
      <c r="BP8" s="194">
        <f t="shared" si="17"/>
        <v>926</v>
      </c>
      <c r="BQ8" s="67">
        <v>72.64</v>
      </c>
      <c r="BR8" s="58">
        <f t="shared" si="18"/>
        <v>67264.639999999999</v>
      </c>
      <c r="BS8" s="34">
        <f t="shared" si="19"/>
        <v>0</v>
      </c>
      <c r="BT8" s="1">
        <f t="shared" si="20"/>
        <v>23.15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170</v>
      </c>
      <c r="E9" s="129">
        <v>60</v>
      </c>
      <c r="F9" s="130"/>
      <c r="G9" s="130"/>
      <c r="H9" s="131">
        <f t="shared" si="0"/>
        <v>110</v>
      </c>
      <c r="I9" s="132">
        <v>72.64</v>
      </c>
      <c r="J9" s="121">
        <f t="shared" si="1"/>
        <v>7990.4</v>
      </c>
      <c r="K9" s="34">
        <f t="shared" si="2"/>
        <v>0</v>
      </c>
      <c r="M9" s="221"/>
      <c r="N9" s="44" t="s">
        <v>30</v>
      </c>
      <c r="O9" s="70">
        <v>120</v>
      </c>
      <c r="P9" s="128">
        <v>557</v>
      </c>
      <c r="Q9" s="129">
        <v>28</v>
      </c>
      <c r="R9" s="130"/>
      <c r="S9" s="130"/>
      <c r="T9" s="131">
        <f t="shared" si="3"/>
        <v>529</v>
      </c>
      <c r="U9" s="132">
        <v>72.64</v>
      </c>
      <c r="V9" s="150">
        <f t="shared" si="4"/>
        <v>38426.559999999998</v>
      </c>
      <c r="W9" s="34">
        <f t="shared" si="5"/>
        <v>0</v>
      </c>
      <c r="Y9" s="221"/>
      <c r="Z9" s="44" t="s">
        <v>30</v>
      </c>
      <c r="AA9" s="70">
        <v>120</v>
      </c>
      <c r="AB9" s="192">
        <v>520</v>
      </c>
      <c r="AC9" s="185">
        <v>2</v>
      </c>
      <c r="AD9" s="193"/>
      <c r="AE9" s="193"/>
      <c r="AF9" s="187">
        <f t="shared" si="6"/>
        <v>518</v>
      </c>
      <c r="AG9" s="67">
        <v>72.64</v>
      </c>
      <c r="AH9" s="56">
        <f t="shared" si="7"/>
        <v>37627.519999999997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1247</v>
      </c>
      <c r="BM9" s="36">
        <f t="shared" si="15"/>
        <v>90</v>
      </c>
      <c r="BN9" s="38"/>
      <c r="BO9" s="36">
        <f t="shared" si="16"/>
        <v>0</v>
      </c>
      <c r="BP9" s="194">
        <f t="shared" si="17"/>
        <v>1157</v>
      </c>
      <c r="BQ9" s="67">
        <v>72.64</v>
      </c>
      <c r="BR9" s="56">
        <f t="shared" si="18"/>
        <v>84044.479999999996</v>
      </c>
      <c r="BS9" s="34">
        <f t="shared" si="19"/>
        <v>0</v>
      </c>
      <c r="BT9" s="1">
        <f t="shared" si="20"/>
        <v>28.925000000000001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56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126.8</v>
      </c>
    </row>
    <row r="13" spans="1:73" ht="39.75" customHeight="1" thickBot="1" x14ac:dyDescent="0.45">
      <c r="A13" s="12"/>
      <c r="B13" s="11"/>
      <c r="C13" s="142"/>
      <c r="D13" s="143">
        <f>SUM(D4:D12)</f>
        <v>1054</v>
      </c>
      <c r="E13" s="143">
        <f>SUM(E4:E12)</f>
        <v>246</v>
      </c>
      <c r="F13" s="143">
        <f>SUM(F4:F12)</f>
        <v>0</v>
      </c>
      <c r="G13" s="143">
        <f>SUM(G4:G12)</f>
        <v>0</v>
      </c>
      <c r="H13" s="143">
        <f>SUM(H4:H12)</f>
        <v>808</v>
      </c>
      <c r="I13" s="142"/>
      <c r="J13" s="127">
        <f>SUM(J4:J12)</f>
        <v>47999.044999999998</v>
      </c>
      <c r="K13" s="35">
        <f>SUM(K4:K12)</f>
        <v>0</v>
      </c>
      <c r="M13" s="98"/>
      <c r="N13" s="99"/>
      <c r="O13" s="99"/>
      <c r="P13" s="100">
        <f>SUM(P4:P12)</f>
        <v>2300</v>
      </c>
      <c r="Q13" s="100">
        <f>SUM(Q4:Q12)</f>
        <v>108</v>
      </c>
      <c r="R13" s="13">
        <f>SUM(R4:R12)</f>
        <v>0</v>
      </c>
      <c r="S13" s="13">
        <f>SUM(S4:S12)</f>
        <v>0</v>
      </c>
      <c r="T13" s="13">
        <f>SUM(T4:T12)</f>
        <v>2192</v>
      </c>
      <c r="U13" s="11"/>
      <c r="V13" s="59">
        <f>SUM(V4:V12)</f>
        <v>143710.38250000001</v>
      </c>
      <c r="W13" s="35">
        <f>SUM(W4:W12)</f>
        <v>0</v>
      </c>
      <c r="Y13" s="12"/>
      <c r="Z13" s="11"/>
      <c r="AA13" s="11"/>
      <c r="AB13" s="13">
        <f>SUM(AB4:AB12)</f>
        <v>2080</v>
      </c>
      <c r="AC13" s="13">
        <f>SUM(AC4:AC12)</f>
        <v>8</v>
      </c>
      <c r="AD13" s="13">
        <f>SUM(AD4:AD12)</f>
        <v>0</v>
      </c>
      <c r="AE13" s="13">
        <f>SUM(AE4:AE12)</f>
        <v>0</v>
      </c>
      <c r="AF13" s="13">
        <f>SUM(AF4:AF12)</f>
        <v>2072</v>
      </c>
      <c r="AG13" s="11"/>
      <c r="AH13" s="59">
        <f>SUM(AH4:AH12)</f>
        <v>138504.4675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5434</v>
      </c>
      <c r="BM13" s="13">
        <f>SUM(BM4:BM12)</f>
        <v>362</v>
      </c>
      <c r="BN13" s="13">
        <f>SUM(BN4:BN12)</f>
        <v>0</v>
      </c>
      <c r="BO13" s="13">
        <f>SUM(BO4:BO12)</f>
        <v>0</v>
      </c>
      <c r="BP13" s="13">
        <f>SUM(BP4:BP12)</f>
        <v>5072</v>
      </c>
      <c r="BQ13" s="11"/>
      <c r="BR13" s="59">
        <f>SUM(BR4:BR12)</f>
        <v>330213.89499999996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3175+5895-8</f>
        <v>9062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4206+22944-201</f>
        <v>26949</v>
      </c>
      <c r="W14" s="29">
        <f>+V22</f>
        <v>0.38250000000698492</v>
      </c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8797+2745+5512+9122-98</f>
        <v>26078</v>
      </c>
      <c r="AI14" s="29">
        <f>+AH22</f>
        <v>0.46749999999883585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62089</v>
      </c>
      <c r="BS14" s="29">
        <f>+BR22</f>
        <v>0.89499999996041879</v>
      </c>
      <c r="BU14" s="1">
        <f>BP13/40</f>
        <v>126.8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588+1091</f>
        <v>1679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778+6677</f>
        <v>7455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1020</f>
        <v>1020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U15" s="29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10154</v>
      </c>
    </row>
    <row r="16" spans="1:73" ht="33" customHeight="1" x14ac:dyDescent="0.45">
      <c r="A16" s="103" t="s">
        <v>43</v>
      </c>
      <c r="B16" s="104" t="s">
        <v>256</v>
      </c>
      <c r="C16" s="104">
        <v>70805</v>
      </c>
      <c r="D16" s="104">
        <v>70859</v>
      </c>
      <c r="E16" s="105">
        <f t="shared" ref="E16:E22" si="22">D16-C16</f>
        <v>54</v>
      </c>
      <c r="F16" s="224" t="s">
        <v>44</v>
      </c>
      <c r="G16" s="225"/>
      <c r="H16" s="225"/>
      <c r="I16" s="51">
        <f>+J16/J13</f>
        <v>7.9980757950496723E-2</v>
      </c>
      <c r="J16" s="49">
        <f>1344+2495</f>
        <v>3839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8.0773565542489587E-2</v>
      </c>
      <c r="V16" s="49">
        <f>1896+9712</f>
        <v>11608</v>
      </c>
      <c r="W16" s="165"/>
      <c r="Y16" s="103" t="s">
        <v>69</v>
      </c>
      <c r="Z16" s="108" t="s">
        <v>253</v>
      </c>
      <c r="AA16" s="109">
        <v>12306</v>
      </c>
      <c r="AB16" s="109">
        <v>12403</v>
      </c>
      <c r="AC16" s="105">
        <f t="shared" ref="AC16:AC22" si="24">AB16-AA16</f>
        <v>97</v>
      </c>
      <c r="AD16" s="224" t="s">
        <v>44</v>
      </c>
      <c r="AE16" s="225"/>
      <c r="AF16" s="225"/>
      <c r="AG16" s="51">
        <f>+AH16/AH13</f>
        <v>0.13188744254765644</v>
      </c>
      <c r="AH16" s="49">
        <f>6516+2179+2333+7239</f>
        <v>18267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0.10209746019318783</v>
      </c>
      <c r="BR16" s="53">
        <f t="shared" si="21"/>
        <v>33714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90+167</f>
        <v>257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118+639</f>
        <v>757</v>
      </c>
      <c r="W17" s="178"/>
      <c r="Y17" s="103"/>
      <c r="Z17" s="108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244+75+156+250</f>
        <v>725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1739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51800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23700</v>
      </c>
      <c r="W18" s="178"/>
      <c r="Y18" s="103"/>
      <c r="Z18" s="108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50270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125770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0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128653</v>
      </c>
      <c r="Y19" s="103"/>
      <c r="Z19" s="108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95750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224403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103"/>
      <c r="Z20" s="108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103"/>
      <c r="Z21" s="108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4.499999999825377E-2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0.38250000000698492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0.46749999999883585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0.89499999996041879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950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211" t="s">
        <v>15</v>
      </c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65"/>
      <c r="F25" s="266"/>
      <c r="G25" s="89"/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/>
      <c r="B26" s="182"/>
      <c r="C26" s="324"/>
      <c r="D26" s="325"/>
      <c r="E26" s="265" t="s">
        <v>81</v>
      </c>
      <c r="F26" s="266"/>
      <c r="G26" s="212">
        <f>120+130+130</f>
        <v>380</v>
      </c>
      <c r="H26" s="267" t="s">
        <v>18</v>
      </c>
      <c r="I26" s="268"/>
      <c r="J26" s="47">
        <f>35540+G35</f>
        <v>36420</v>
      </c>
      <c r="M26" s="214" t="s">
        <v>155</v>
      </c>
      <c r="N26" s="158" t="s">
        <v>254</v>
      </c>
      <c r="O26" s="269">
        <v>128597</v>
      </c>
      <c r="P26" s="270"/>
      <c r="Q26" s="271"/>
      <c r="R26" s="272"/>
      <c r="S26" s="146"/>
      <c r="T26" s="267" t="s">
        <v>18</v>
      </c>
      <c r="U26" s="268"/>
      <c r="V26" s="47">
        <f>23700</f>
        <v>23700</v>
      </c>
      <c r="Y26" s="180" t="s">
        <v>67</v>
      </c>
      <c r="Z26" s="213" t="s">
        <v>252</v>
      </c>
      <c r="AA26" s="259">
        <v>49076</v>
      </c>
      <c r="AB26" s="273"/>
      <c r="AC26" s="297" t="s">
        <v>81</v>
      </c>
      <c r="AD26" s="298"/>
      <c r="AE26" s="147">
        <v>70</v>
      </c>
      <c r="AF26" s="267" t="s">
        <v>18</v>
      </c>
      <c r="AG26" s="268"/>
      <c r="AH26" s="47">
        <f>50200+AE35</f>
        <v>50270</v>
      </c>
      <c r="AK26" s="208"/>
      <c r="AL26" s="78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181"/>
      <c r="B27" s="182"/>
      <c r="C27" s="324"/>
      <c r="D27" s="325"/>
      <c r="E27" s="330" t="s">
        <v>257</v>
      </c>
      <c r="F27" s="331"/>
      <c r="G27" s="146">
        <v>500</v>
      </c>
      <c r="H27" s="285" t="s">
        <v>54</v>
      </c>
      <c r="I27" s="286"/>
      <c r="J27" s="47">
        <v>15380</v>
      </c>
      <c r="L27" s="205"/>
      <c r="M27" s="175" t="s">
        <v>74</v>
      </c>
      <c r="N27" s="215" t="s">
        <v>255</v>
      </c>
      <c r="O27" s="269">
        <v>56</v>
      </c>
      <c r="P27" s="270"/>
      <c r="Q27" s="271"/>
      <c r="R27" s="272"/>
      <c r="S27" s="146"/>
      <c r="T27" s="282" t="s">
        <v>53</v>
      </c>
      <c r="U27" s="267"/>
      <c r="V27" s="47"/>
      <c r="W27" s="145"/>
      <c r="Y27" s="180" t="s">
        <v>67</v>
      </c>
      <c r="Z27" s="148" t="s">
        <v>105</v>
      </c>
      <c r="AA27" s="283">
        <v>15170</v>
      </c>
      <c r="AB27" s="284"/>
      <c r="AC27" s="297"/>
      <c r="AD27" s="298"/>
      <c r="AE27" s="147"/>
      <c r="AF27" s="267" t="s">
        <v>53</v>
      </c>
      <c r="AG27" s="268"/>
      <c r="AH27" s="47"/>
      <c r="AK27" s="208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/>
      <c r="B28" s="203"/>
      <c r="C28" s="326"/>
      <c r="D28" s="327"/>
      <c r="E28" s="265"/>
      <c r="F28" s="266"/>
      <c r="G28" s="146"/>
      <c r="H28" s="267"/>
      <c r="I28" s="268"/>
      <c r="J28" s="47"/>
      <c r="M28" s="202"/>
      <c r="N28" s="209"/>
      <c r="O28" s="328"/>
      <c r="P28" s="329"/>
      <c r="Q28" s="271"/>
      <c r="R28" s="272"/>
      <c r="S28" s="146"/>
      <c r="T28" s="267"/>
      <c r="U28" s="268"/>
      <c r="V28" s="47"/>
      <c r="W28" s="145"/>
      <c r="Y28" s="180" t="s">
        <v>67</v>
      </c>
      <c r="Z28" s="148" t="s">
        <v>97</v>
      </c>
      <c r="AA28" s="283">
        <v>31504</v>
      </c>
      <c r="AB28" s="284"/>
      <c r="AC28" s="297"/>
      <c r="AD28" s="298"/>
      <c r="AE28" s="147"/>
      <c r="AF28" s="267"/>
      <c r="AG28" s="268"/>
      <c r="AH28" s="47"/>
      <c r="AK28" s="180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80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80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80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0</v>
      </c>
      <c r="D35" s="315"/>
      <c r="E35" s="316" t="s">
        <v>21</v>
      </c>
      <c r="F35" s="317"/>
      <c r="G35" s="87">
        <f>SUM(G26:G34)</f>
        <v>880</v>
      </c>
      <c r="H35" s="318" t="s">
        <v>17</v>
      </c>
      <c r="I35" s="319"/>
      <c r="J35" s="77">
        <f>SUM(J26:J34)</f>
        <v>51800</v>
      </c>
      <c r="M35" s="177"/>
      <c r="N35" s="76" t="s">
        <v>16</v>
      </c>
      <c r="O35" s="314">
        <f>SUM(O26:O34)</f>
        <v>128653</v>
      </c>
      <c r="P35" s="315"/>
      <c r="Q35" s="316" t="s">
        <v>21</v>
      </c>
      <c r="R35" s="317"/>
      <c r="S35" s="87">
        <f>SUM(S26:S34)</f>
        <v>0</v>
      </c>
      <c r="T35" s="318" t="s">
        <v>17</v>
      </c>
      <c r="U35" s="319"/>
      <c r="V35" s="77">
        <f>SUM(V26:V34)</f>
        <v>23700</v>
      </c>
      <c r="Y35" s="75"/>
      <c r="Z35" s="76" t="s">
        <v>16</v>
      </c>
      <c r="AA35" s="314">
        <f>SUM(AA26:AB34)</f>
        <v>95750</v>
      </c>
      <c r="AB35" s="315"/>
      <c r="AC35" s="316" t="s">
        <v>21</v>
      </c>
      <c r="AD35" s="317"/>
      <c r="AE35" s="87">
        <f>SUM(AE26:AE34)</f>
        <v>70</v>
      </c>
      <c r="AF35" s="318" t="s">
        <v>17</v>
      </c>
      <c r="AG35" s="319"/>
      <c r="AH35" s="77">
        <f>SUM(AH26:AH34)</f>
        <v>50270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0BF6-1DAF-495C-AD77-0CC31C91A2AB}">
  <sheetPr>
    <pageSetUpPr fitToPage="1"/>
  </sheetPr>
  <dimension ref="A1:BU37"/>
  <sheetViews>
    <sheetView topLeftCell="H3" zoomScale="87" zoomScaleNormal="87" zoomScaleSheetLayoutView="100" workbookViewId="0">
      <selection activeCell="T4" sqref="T4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31.41406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69</v>
      </c>
      <c r="C2" s="3"/>
      <c r="D2" s="223"/>
      <c r="E2" s="223"/>
      <c r="F2" s="60"/>
      <c r="G2" s="60"/>
      <c r="I2" s="5" t="s">
        <v>0</v>
      </c>
      <c r="J2" s="52" t="s">
        <v>258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26.10.2026</v>
      </c>
      <c r="Y2" s="2"/>
      <c r="Z2" s="94" t="s">
        <v>265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26.10.2026</v>
      </c>
      <c r="AK2" s="94"/>
      <c r="AL2" s="93" t="s">
        <v>47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26.10.2026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26.10.2026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26.10.2026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210</v>
      </c>
      <c r="E4" s="129">
        <v>50</v>
      </c>
      <c r="F4" s="130"/>
      <c r="G4" s="130"/>
      <c r="H4" s="131">
        <f t="shared" ref="H4:H12" si="0">+D4-E4-F4-G4</f>
        <v>160</v>
      </c>
      <c r="I4" s="132">
        <v>52.462499999999999</v>
      </c>
      <c r="J4" s="121">
        <f t="shared" ref="J4:J12" si="1">+H4*I4</f>
        <v>8394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221</v>
      </c>
      <c r="Q4" s="129">
        <v>104</v>
      </c>
      <c r="R4" s="130"/>
      <c r="S4" s="130"/>
      <c r="T4" s="131">
        <f t="shared" ref="T4:T12" si="3">+P4-Q4-R4-S4</f>
        <v>117</v>
      </c>
      <c r="U4" s="132">
        <v>52.462499999999999</v>
      </c>
      <c r="V4" s="150">
        <f t="shared" ref="V4:V12" si="4">+T4*U4</f>
        <v>6138.1125000000002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/>
      <c r="AC4" s="185">
        <v>31</v>
      </c>
      <c r="AD4" s="186"/>
      <c r="AE4" s="186"/>
      <c r="AF4" s="187">
        <f t="shared" ref="AF4:AF12" si="6">+AB4-AC4-AD4-AE4</f>
        <v>-31</v>
      </c>
      <c r="AG4" s="67">
        <v>52.462499999999999</v>
      </c>
      <c r="AH4" s="56">
        <f t="shared" ref="AH4:AH12" si="7">+AF4*AG4</f>
        <v>-1626.3374999999999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431</v>
      </c>
      <c r="BM4" s="36">
        <f t="shared" si="15"/>
        <v>185</v>
      </c>
      <c r="BN4" s="38"/>
      <c r="BO4" s="36">
        <f t="shared" ref="BO4:BO12" si="16">+G4+S4+AE4+AQ4+BC4</f>
        <v>0</v>
      </c>
      <c r="BP4" s="194">
        <f t="shared" ref="BP4:BP12" si="17">+BL4-BM4-BN4-BO4</f>
        <v>246</v>
      </c>
      <c r="BQ4" s="67">
        <v>52.462499999999999</v>
      </c>
      <c r="BR4" s="56">
        <f t="shared" ref="BR4:BR12" si="18">+BP4*BQ4</f>
        <v>12905.775</v>
      </c>
      <c r="BS4" s="34">
        <f t="shared" ref="BS4:BS12" si="19">+BO4*BQ4</f>
        <v>0</v>
      </c>
      <c r="BT4" s="1">
        <f t="shared" ref="BT4:BT11" si="20">+BP4/40</f>
        <v>6.15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200</v>
      </c>
      <c r="E5" s="134">
        <v>40</v>
      </c>
      <c r="F5" s="135"/>
      <c r="G5" s="135"/>
      <c r="H5" s="131">
        <f t="shared" si="0"/>
        <v>160</v>
      </c>
      <c r="I5" s="132">
        <v>52.462499999999999</v>
      </c>
      <c r="J5" s="123">
        <f t="shared" si="1"/>
        <v>8394</v>
      </c>
      <c r="K5" s="34">
        <f t="shared" si="2"/>
        <v>0</v>
      </c>
      <c r="M5" s="221"/>
      <c r="N5" s="45" t="s">
        <v>26</v>
      </c>
      <c r="O5" s="71">
        <v>70</v>
      </c>
      <c r="P5" s="128">
        <v>178</v>
      </c>
      <c r="Q5" s="134">
        <v>62</v>
      </c>
      <c r="R5" s="135"/>
      <c r="S5" s="135"/>
      <c r="T5" s="131">
        <f t="shared" si="3"/>
        <v>116</v>
      </c>
      <c r="U5" s="132">
        <v>52.462499999999999</v>
      </c>
      <c r="V5" s="151">
        <f t="shared" si="4"/>
        <v>6085.65</v>
      </c>
      <c r="W5" s="34">
        <f t="shared" si="5"/>
        <v>0</v>
      </c>
      <c r="Y5" s="221"/>
      <c r="Z5" s="45" t="s">
        <v>26</v>
      </c>
      <c r="AA5" s="71">
        <v>70</v>
      </c>
      <c r="AB5" s="188"/>
      <c r="AC5" s="185">
        <v>37</v>
      </c>
      <c r="AD5" s="189"/>
      <c r="AE5" s="189"/>
      <c r="AF5" s="187">
        <f t="shared" si="6"/>
        <v>-37</v>
      </c>
      <c r="AG5" s="67">
        <v>52.462499999999999</v>
      </c>
      <c r="AH5" s="56">
        <f t="shared" si="7"/>
        <v>-1941.1125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378</v>
      </c>
      <c r="BM5" s="36">
        <f t="shared" si="15"/>
        <v>139</v>
      </c>
      <c r="BN5" s="31"/>
      <c r="BO5" s="36">
        <f t="shared" si="16"/>
        <v>0</v>
      </c>
      <c r="BP5" s="194">
        <f t="shared" si="17"/>
        <v>239</v>
      </c>
      <c r="BQ5" s="67">
        <v>52.462499999999999</v>
      </c>
      <c r="BR5" s="57">
        <f t="shared" si="18"/>
        <v>12538.5375</v>
      </c>
      <c r="BS5" s="34">
        <f t="shared" si="19"/>
        <v>0</v>
      </c>
      <c r="BT5" s="1">
        <f t="shared" si="20"/>
        <v>5.9749999999999996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>
        <v>200</v>
      </c>
      <c r="E6" s="134">
        <v>120</v>
      </c>
      <c r="F6" s="135"/>
      <c r="G6" s="135"/>
      <c r="H6" s="131">
        <f t="shared" si="0"/>
        <v>80</v>
      </c>
      <c r="I6" s="132">
        <v>52.462499999999999</v>
      </c>
      <c r="J6" s="123">
        <f t="shared" si="1"/>
        <v>4197</v>
      </c>
      <c r="K6" s="34">
        <f t="shared" si="2"/>
        <v>0</v>
      </c>
      <c r="M6" s="221"/>
      <c r="N6" s="45" t="s">
        <v>27</v>
      </c>
      <c r="O6" s="71">
        <v>70</v>
      </c>
      <c r="P6" s="133">
        <v>55</v>
      </c>
      <c r="Q6" s="134"/>
      <c r="R6" s="135"/>
      <c r="S6" s="135"/>
      <c r="T6" s="131">
        <f t="shared" si="3"/>
        <v>55</v>
      </c>
      <c r="U6" s="132">
        <v>52.462499999999999</v>
      </c>
      <c r="V6" s="152">
        <f t="shared" si="4"/>
        <v>2885.4375</v>
      </c>
      <c r="W6" s="34">
        <f t="shared" si="5"/>
        <v>0</v>
      </c>
      <c r="Y6" s="221"/>
      <c r="Z6" s="45" t="s">
        <v>27</v>
      </c>
      <c r="AA6" s="71">
        <v>70</v>
      </c>
      <c r="AB6" s="188"/>
      <c r="AC6" s="185">
        <v>23</v>
      </c>
      <c r="AD6" s="189"/>
      <c r="AE6" s="189"/>
      <c r="AF6" s="187">
        <f t="shared" si="6"/>
        <v>-23</v>
      </c>
      <c r="AG6" s="67">
        <v>52.462499999999999</v>
      </c>
      <c r="AH6" s="56">
        <f t="shared" si="7"/>
        <v>-1206.6375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255</v>
      </c>
      <c r="BM6" s="36">
        <f t="shared" si="15"/>
        <v>143</v>
      </c>
      <c r="BN6" s="31"/>
      <c r="BO6" s="36">
        <f t="shared" si="16"/>
        <v>0</v>
      </c>
      <c r="BP6" s="194">
        <f t="shared" si="17"/>
        <v>112</v>
      </c>
      <c r="BQ6" s="67">
        <v>52.462499999999999</v>
      </c>
      <c r="BR6" s="57">
        <f t="shared" si="18"/>
        <v>5875.8</v>
      </c>
      <c r="BS6" s="34">
        <f t="shared" si="19"/>
        <v>0</v>
      </c>
      <c r="BT6" s="1">
        <f t="shared" si="20"/>
        <v>2.8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>
        <v>280</v>
      </c>
      <c r="E7" s="137">
        <v>40</v>
      </c>
      <c r="F7" s="138"/>
      <c r="G7" s="159"/>
      <c r="H7" s="131">
        <f t="shared" si="0"/>
        <v>240</v>
      </c>
      <c r="I7" s="132">
        <v>72.64</v>
      </c>
      <c r="J7" s="125">
        <f t="shared" si="1"/>
        <v>17433.599999999999</v>
      </c>
      <c r="K7" s="34">
        <f t="shared" si="2"/>
        <v>0</v>
      </c>
      <c r="M7" s="221"/>
      <c r="N7" s="46" t="s">
        <v>28</v>
      </c>
      <c r="O7" s="72">
        <v>120</v>
      </c>
      <c r="P7" s="136">
        <v>185</v>
      </c>
      <c r="Q7" s="137">
        <v>59</v>
      </c>
      <c r="R7" s="138"/>
      <c r="S7" s="138"/>
      <c r="T7" s="131">
        <f t="shared" si="3"/>
        <v>126</v>
      </c>
      <c r="U7" s="132">
        <v>72.64</v>
      </c>
      <c r="V7" s="152">
        <f t="shared" si="4"/>
        <v>9152.64</v>
      </c>
      <c r="W7" s="34">
        <f t="shared" si="5"/>
        <v>0</v>
      </c>
      <c r="Y7" s="221"/>
      <c r="Z7" s="46" t="s">
        <v>28</v>
      </c>
      <c r="AA7" s="72">
        <v>120</v>
      </c>
      <c r="AB7" s="190"/>
      <c r="AC7" s="185">
        <v>25</v>
      </c>
      <c r="AD7" s="191"/>
      <c r="AE7" s="191"/>
      <c r="AF7" s="187">
        <f t="shared" si="6"/>
        <v>-25</v>
      </c>
      <c r="AG7" s="67">
        <v>72.64</v>
      </c>
      <c r="AH7" s="56">
        <f t="shared" si="7"/>
        <v>-1816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465</v>
      </c>
      <c r="BM7" s="36">
        <f t="shared" si="15"/>
        <v>124</v>
      </c>
      <c r="BN7" s="43"/>
      <c r="BO7" s="36">
        <f t="shared" si="16"/>
        <v>0</v>
      </c>
      <c r="BP7" s="194">
        <f t="shared" si="17"/>
        <v>341</v>
      </c>
      <c r="BQ7" s="67">
        <v>72.64</v>
      </c>
      <c r="BR7" s="58">
        <f t="shared" si="18"/>
        <v>24770.240000000002</v>
      </c>
      <c r="BS7" s="34">
        <f t="shared" si="19"/>
        <v>0</v>
      </c>
      <c r="BT7" s="1">
        <f t="shared" si="20"/>
        <v>8.5250000000000004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240</v>
      </c>
      <c r="E8" s="140">
        <v>40</v>
      </c>
      <c r="F8" s="141"/>
      <c r="G8" s="141"/>
      <c r="H8" s="131">
        <f t="shared" si="0"/>
        <v>200</v>
      </c>
      <c r="I8" s="132">
        <v>72.64</v>
      </c>
      <c r="J8" s="125">
        <f t="shared" si="1"/>
        <v>14528</v>
      </c>
      <c r="K8" s="34">
        <f t="shared" si="2"/>
        <v>0</v>
      </c>
      <c r="M8" s="221"/>
      <c r="N8" s="63" t="s">
        <v>29</v>
      </c>
      <c r="O8" s="73">
        <v>120</v>
      </c>
      <c r="P8" s="139">
        <v>187</v>
      </c>
      <c r="Q8" s="140">
        <v>21</v>
      </c>
      <c r="R8" s="141"/>
      <c r="S8" s="141"/>
      <c r="T8" s="131">
        <f t="shared" si="3"/>
        <v>166</v>
      </c>
      <c r="U8" s="132">
        <v>72.64</v>
      </c>
      <c r="V8" s="152">
        <f t="shared" si="4"/>
        <v>12058.24</v>
      </c>
      <c r="W8" s="34">
        <f t="shared" si="5"/>
        <v>0</v>
      </c>
      <c r="Y8" s="221"/>
      <c r="Z8" s="63" t="s">
        <v>29</v>
      </c>
      <c r="AA8" s="73">
        <v>120</v>
      </c>
      <c r="AB8" s="188"/>
      <c r="AC8" s="185">
        <v>24</v>
      </c>
      <c r="AD8" s="189"/>
      <c r="AE8" s="189"/>
      <c r="AF8" s="187">
        <f t="shared" si="6"/>
        <v>-24</v>
      </c>
      <c r="AG8" s="67">
        <v>72.64</v>
      </c>
      <c r="AH8" s="56">
        <f t="shared" si="7"/>
        <v>-1743.3600000000001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427</v>
      </c>
      <c r="BM8" s="36">
        <f t="shared" si="15"/>
        <v>85</v>
      </c>
      <c r="BN8" s="66"/>
      <c r="BO8" s="36">
        <f t="shared" si="16"/>
        <v>0</v>
      </c>
      <c r="BP8" s="194">
        <f t="shared" si="17"/>
        <v>342</v>
      </c>
      <c r="BQ8" s="67">
        <v>72.64</v>
      </c>
      <c r="BR8" s="58">
        <f t="shared" si="18"/>
        <v>24842.880000000001</v>
      </c>
      <c r="BS8" s="34">
        <f t="shared" si="19"/>
        <v>0</v>
      </c>
      <c r="BT8" s="1">
        <f t="shared" si="20"/>
        <v>8.5500000000000007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280</v>
      </c>
      <c r="E9" s="129">
        <v>40</v>
      </c>
      <c r="F9" s="130"/>
      <c r="G9" s="130"/>
      <c r="H9" s="131">
        <f t="shared" si="0"/>
        <v>240</v>
      </c>
      <c r="I9" s="132">
        <v>72.64</v>
      </c>
      <c r="J9" s="121">
        <f t="shared" si="1"/>
        <v>17433.599999999999</v>
      </c>
      <c r="K9" s="34">
        <f t="shared" si="2"/>
        <v>0</v>
      </c>
      <c r="M9" s="221"/>
      <c r="N9" s="44" t="s">
        <v>30</v>
      </c>
      <c r="O9" s="70">
        <v>120</v>
      </c>
      <c r="P9" s="128">
        <f>131+145</f>
        <v>276</v>
      </c>
      <c r="Q9" s="129">
        <v>55</v>
      </c>
      <c r="R9" s="130"/>
      <c r="S9" s="130"/>
      <c r="T9" s="131">
        <f t="shared" si="3"/>
        <v>221</v>
      </c>
      <c r="U9" s="132">
        <v>72.64</v>
      </c>
      <c r="V9" s="150">
        <f t="shared" si="4"/>
        <v>16053.44</v>
      </c>
      <c r="W9" s="34">
        <f t="shared" si="5"/>
        <v>0</v>
      </c>
      <c r="Y9" s="221"/>
      <c r="Z9" s="44" t="s">
        <v>30</v>
      </c>
      <c r="AA9" s="70">
        <v>120</v>
      </c>
      <c r="AB9" s="192"/>
      <c r="AC9" s="185">
        <v>27</v>
      </c>
      <c r="AD9" s="193"/>
      <c r="AE9" s="193"/>
      <c r="AF9" s="187">
        <f t="shared" si="6"/>
        <v>-27</v>
      </c>
      <c r="AG9" s="67">
        <v>72.64</v>
      </c>
      <c r="AH9" s="56">
        <f t="shared" si="7"/>
        <v>-1961.28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556</v>
      </c>
      <c r="BM9" s="36">
        <f t="shared" si="15"/>
        <v>122</v>
      </c>
      <c r="BN9" s="38"/>
      <c r="BO9" s="36">
        <f t="shared" si="16"/>
        <v>0</v>
      </c>
      <c r="BP9" s="194">
        <f t="shared" si="17"/>
        <v>434</v>
      </c>
      <c r="BQ9" s="67">
        <v>72.64</v>
      </c>
      <c r="BR9" s="56">
        <f t="shared" si="18"/>
        <v>31525.760000000002</v>
      </c>
      <c r="BS9" s="34">
        <f t="shared" si="19"/>
        <v>0</v>
      </c>
      <c r="BT9" s="1">
        <f t="shared" si="20"/>
        <v>10.85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>
        <v>16</v>
      </c>
      <c r="AD10" s="189"/>
      <c r="AE10" s="189"/>
      <c r="AF10" s="187">
        <f t="shared" si="6"/>
        <v>-16</v>
      </c>
      <c r="AG10" s="67">
        <v>39.230000000000004</v>
      </c>
      <c r="AH10" s="56">
        <f t="shared" si="7"/>
        <v>-627.68000000000006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16</v>
      </c>
      <c r="BN10" s="31"/>
      <c r="BO10" s="36">
        <f t="shared" si="16"/>
        <v>0</v>
      </c>
      <c r="BP10" s="194">
        <f t="shared" si="17"/>
        <v>-16</v>
      </c>
      <c r="BQ10" s="67">
        <v>39.230000000000004</v>
      </c>
      <c r="BR10" s="57">
        <f t="shared" si="18"/>
        <v>-627.68000000000006</v>
      </c>
      <c r="BS10" s="34">
        <f t="shared" si="19"/>
        <v>0</v>
      </c>
      <c r="BT10" s="1">
        <f t="shared" si="20"/>
        <v>-0.4</v>
      </c>
    </row>
    <row r="11" spans="1:73" ht="39.75" customHeight="1" thickBot="1" x14ac:dyDescent="0.55000000000000004">
      <c r="A11" s="221"/>
      <c r="B11" s="45" t="s">
        <v>32</v>
      </c>
      <c r="C11" s="122">
        <v>60</v>
      </c>
      <c r="D11" s="133"/>
      <c r="E11" s="134"/>
      <c r="F11" s="135"/>
      <c r="G11" s="135"/>
      <c r="H11" s="131">
        <f t="shared" si="0"/>
        <v>0</v>
      </c>
      <c r="I11" s="132">
        <v>39.230000000000004</v>
      </c>
      <c r="J11" s="123">
        <f t="shared" si="1"/>
        <v>0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56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0</v>
      </c>
      <c r="BQ11" s="67">
        <v>39.230000000000004</v>
      </c>
      <c r="BR11" s="57">
        <f t="shared" si="18"/>
        <v>0</v>
      </c>
      <c r="BS11" s="34">
        <f t="shared" si="19"/>
        <v>0</v>
      </c>
      <c r="BT11" s="1">
        <f t="shared" si="20"/>
        <v>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56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42.45</v>
      </c>
    </row>
    <row r="13" spans="1:73" ht="39.75" customHeight="1" thickBot="1" x14ac:dyDescent="0.45">
      <c r="A13" s="12"/>
      <c r="B13" s="11"/>
      <c r="C13" s="142"/>
      <c r="D13" s="143">
        <f>SUM(D4:D12)</f>
        <v>1410</v>
      </c>
      <c r="E13" s="143">
        <f>SUM(E4:E12)</f>
        <v>330</v>
      </c>
      <c r="F13" s="143">
        <f>SUM(F4:F12)</f>
        <v>0</v>
      </c>
      <c r="G13" s="143">
        <f>SUM(G4:G12)</f>
        <v>0</v>
      </c>
      <c r="H13" s="143">
        <f>SUM(H4:H12)</f>
        <v>1080</v>
      </c>
      <c r="I13" s="142"/>
      <c r="J13" s="127">
        <f>SUM(J4:J12)</f>
        <v>70380.2</v>
      </c>
      <c r="K13" s="35">
        <f>SUM(K4:K12)</f>
        <v>0</v>
      </c>
      <c r="M13" s="98"/>
      <c r="N13" s="99"/>
      <c r="O13" s="99"/>
      <c r="P13" s="100">
        <f>SUM(P4:P12)</f>
        <v>1102</v>
      </c>
      <c r="Q13" s="100">
        <f>SUM(Q4:Q12)</f>
        <v>301</v>
      </c>
      <c r="R13" s="13">
        <f>SUM(R4:R12)</f>
        <v>0</v>
      </c>
      <c r="S13" s="13">
        <f>SUM(S4:S12)</f>
        <v>0</v>
      </c>
      <c r="T13" s="13">
        <f>SUM(T4:T12)</f>
        <v>801</v>
      </c>
      <c r="U13" s="11"/>
      <c r="V13" s="59">
        <f>SUM(V4:V12)</f>
        <v>52373.520000000004</v>
      </c>
      <c r="W13" s="35">
        <f>SUM(W4:W12)</f>
        <v>0</v>
      </c>
      <c r="Y13" s="12"/>
      <c r="Z13" s="11"/>
      <c r="AA13" s="11"/>
      <c r="AB13" s="13">
        <f>SUM(AB4:AB12)</f>
        <v>0</v>
      </c>
      <c r="AC13" s="13">
        <f>SUM(AC4:AC12)</f>
        <v>183</v>
      </c>
      <c r="AD13" s="13">
        <f>SUM(AD4:AD12)</f>
        <v>0</v>
      </c>
      <c r="AE13" s="13">
        <f>SUM(AE4:AE12)</f>
        <v>0</v>
      </c>
      <c r="AF13" s="13">
        <f>SUM(AF4:AF12)</f>
        <v>-183</v>
      </c>
      <c r="AG13" s="11"/>
      <c r="AH13" s="59">
        <f>SUM(AH4:AH12)</f>
        <v>-10922.407500000001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2512</v>
      </c>
      <c r="BM13" s="13">
        <f>SUM(BM4:BM12)</f>
        <v>814</v>
      </c>
      <c r="BN13" s="13">
        <f>SUM(BN4:BN12)</f>
        <v>0</v>
      </c>
      <c r="BO13" s="13">
        <f>SUM(BO4:BO12)</f>
        <v>0</v>
      </c>
      <c r="BP13" s="13">
        <f>SUM(BP4:BP12)</f>
        <v>1698</v>
      </c>
      <c r="BQ13" s="11"/>
      <c r="BR13" s="59">
        <f>SUM(BR4:BR12)</f>
        <v>111831.3125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f>6772+2440+4088</f>
        <v>13300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4178+5459+8</f>
        <v>9645</v>
      </c>
      <c r="W14" s="29"/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v>-2067</v>
      </c>
      <c r="AI14" s="29">
        <f>+AH22</f>
        <v>-0.40750000000116415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20878</v>
      </c>
      <c r="BS14" s="29">
        <f>+BR22</f>
        <v>-0.6875</v>
      </c>
      <c r="BU14" s="1">
        <f>BP13/40</f>
        <v>42.45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f>1254+757</f>
        <v>2011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773+1011</f>
        <v>1784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v>-414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U15" s="29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3381</v>
      </c>
    </row>
    <row r="16" spans="1:73" ht="33" customHeight="1" x14ac:dyDescent="0.45">
      <c r="A16" s="103"/>
      <c r="B16" s="104"/>
      <c r="C16" s="104"/>
      <c r="D16" s="104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0.12090048053287715</v>
      </c>
      <c r="J16" s="49">
        <f>3544+1937+3028</f>
        <v>8509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7.7863775434608928E-2</v>
      </c>
      <c r="V16" s="49">
        <f>1768+2310</f>
        <v>4078</v>
      </c>
      <c r="W16" s="165"/>
      <c r="Y16" s="103"/>
      <c r="Z16" s="108"/>
      <c r="AA16" s="109"/>
      <c r="AB16" s="10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7.8187890352928141E-2</v>
      </c>
      <c r="AH16" s="49">
        <v>-854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0.10491694801489521</v>
      </c>
      <c r="BR16" s="53">
        <f t="shared" si="21"/>
        <v>11733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f>189+67+109</f>
        <v>365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118+155</f>
        <v>273</v>
      </c>
      <c r="W17" s="178"/>
      <c r="Y17" s="103"/>
      <c r="Z17" s="108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v>-51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587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9408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56430</v>
      </c>
      <c r="W18" s="178"/>
      <c r="Y18" s="103"/>
      <c r="Z18" s="108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0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65838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64117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103"/>
      <c r="Z19" s="108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-11772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52345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103"/>
      <c r="Z20" s="108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103"/>
      <c r="Z21" s="108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0.19999999999708962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-0.47999999999592546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-0.40750000000116415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-0.6875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13280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211" t="s">
        <v>15</v>
      </c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65"/>
      <c r="F25" s="266"/>
      <c r="G25" s="89"/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67</v>
      </c>
      <c r="B26" s="182" t="s">
        <v>261</v>
      </c>
      <c r="C26" s="324">
        <v>13484</v>
      </c>
      <c r="D26" s="325"/>
      <c r="E26" s="265" t="s">
        <v>81</v>
      </c>
      <c r="F26" s="266"/>
      <c r="G26" s="212">
        <f>70+130+130</f>
        <v>330</v>
      </c>
      <c r="H26" s="267" t="s">
        <v>18</v>
      </c>
      <c r="I26" s="268"/>
      <c r="J26" s="47">
        <f>9408</f>
        <v>9408</v>
      </c>
      <c r="M26" s="214"/>
      <c r="N26" s="158"/>
      <c r="O26" s="269"/>
      <c r="P26" s="270"/>
      <c r="Q26" s="271" t="s">
        <v>81</v>
      </c>
      <c r="R26" s="272"/>
      <c r="S26" s="146">
        <v>20</v>
      </c>
      <c r="T26" s="267" t="s">
        <v>18</v>
      </c>
      <c r="U26" s="268"/>
      <c r="V26" s="47">
        <f>54910+S35</f>
        <v>56430</v>
      </c>
      <c r="Y26" s="180" t="s">
        <v>59</v>
      </c>
      <c r="Z26" s="213" t="s">
        <v>264</v>
      </c>
      <c r="AA26" s="259">
        <v>-11772</v>
      </c>
      <c r="AB26" s="273"/>
      <c r="AC26" s="297"/>
      <c r="AD26" s="298"/>
      <c r="AE26" s="147"/>
      <c r="AF26" s="267" t="s">
        <v>18</v>
      </c>
      <c r="AG26" s="268"/>
      <c r="AH26" s="47"/>
      <c r="AK26" s="208"/>
      <c r="AL26" s="78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181" t="s">
        <v>67</v>
      </c>
      <c r="B27" s="182" t="s">
        <v>262</v>
      </c>
      <c r="C27" s="324">
        <v>22043</v>
      </c>
      <c r="D27" s="325"/>
      <c r="E27" s="330" t="s">
        <v>259</v>
      </c>
      <c r="F27" s="331"/>
      <c r="G27" s="146">
        <v>11400</v>
      </c>
      <c r="H27" s="285" t="s">
        <v>54</v>
      </c>
      <c r="I27" s="286"/>
      <c r="J27" s="47"/>
      <c r="L27" s="205"/>
      <c r="M27" s="175"/>
      <c r="N27" s="215"/>
      <c r="O27" s="269"/>
      <c r="P27" s="270"/>
      <c r="Q27" s="271" t="s">
        <v>159</v>
      </c>
      <c r="R27" s="272"/>
      <c r="S27" s="146">
        <v>1500</v>
      </c>
      <c r="T27" s="282" t="s">
        <v>53</v>
      </c>
      <c r="U27" s="267"/>
      <c r="V27" s="47"/>
      <c r="W27" s="145"/>
      <c r="Y27" s="180"/>
      <c r="Z27" s="148"/>
      <c r="AA27" s="283"/>
      <c r="AB27" s="284"/>
      <c r="AC27" s="297"/>
      <c r="AD27" s="298"/>
      <c r="AE27" s="147"/>
      <c r="AF27" s="267" t="s">
        <v>53</v>
      </c>
      <c r="AG27" s="268"/>
      <c r="AH27" s="47"/>
      <c r="AK27" s="208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 t="s">
        <v>57</v>
      </c>
      <c r="B28" s="216" t="s">
        <v>263</v>
      </c>
      <c r="C28" s="324">
        <v>28590</v>
      </c>
      <c r="D28" s="325"/>
      <c r="E28" s="265" t="s">
        <v>260</v>
      </c>
      <c r="F28" s="266"/>
      <c r="G28" s="146">
        <v>30</v>
      </c>
      <c r="H28" s="267"/>
      <c r="I28" s="268"/>
      <c r="J28" s="47"/>
      <c r="M28" s="202"/>
      <c r="N28" s="209"/>
      <c r="O28" s="328"/>
      <c r="P28" s="329"/>
      <c r="Q28" s="271"/>
      <c r="R28" s="272"/>
      <c r="S28" s="146"/>
      <c r="T28" s="267"/>
      <c r="U28" s="268"/>
      <c r="V28" s="47"/>
      <c r="W28" s="145"/>
      <c r="Y28" s="180"/>
      <c r="Z28" s="148"/>
      <c r="AA28" s="283"/>
      <c r="AB28" s="284"/>
      <c r="AC28" s="297"/>
      <c r="AD28" s="298"/>
      <c r="AE28" s="147"/>
      <c r="AF28" s="267"/>
      <c r="AG28" s="268"/>
      <c r="AH28" s="47"/>
      <c r="AK28" s="180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3"/>
      <c r="AB29" s="284"/>
      <c r="AC29" s="297"/>
      <c r="AD29" s="298"/>
      <c r="AE29" s="147"/>
      <c r="AF29" s="267"/>
      <c r="AG29" s="268"/>
      <c r="AH29" s="47"/>
      <c r="AK29" s="180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80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80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64117</v>
      </c>
      <c r="D35" s="315"/>
      <c r="E35" s="316" t="s">
        <v>21</v>
      </c>
      <c r="F35" s="317"/>
      <c r="G35" s="87">
        <f>SUM(G26:G34)</f>
        <v>11760</v>
      </c>
      <c r="H35" s="318" t="s">
        <v>17</v>
      </c>
      <c r="I35" s="319"/>
      <c r="J35" s="77">
        <f>SUM(J26:J34)</f>
        <v>9408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1520</v>
      </c>
      <c r="T35" s="318" t="s">
        <v>17</v>
      </c>
      <c r="U35" s="319"/>
      <c r="V35" s="77">
        <f>SUM(V26:V34)</f>
        <v>56430</v>
      </c>
      <c r="Y35" s="75"/>
      <c r="Z35" s="76" t="s">
        <v>16</v>
      </c>
      <c r="AA35" s="314">
        <f>SUM(AA26:AB34)</f>
        <v>-11772</v>
      </c>
      <c r="AB35" s="315"/>
      <c r="AC35" s="316" t="s">
        <v>21</v>
      </c>
      <c r="AD35" s="317"/>
      <c r="AE35" s="87">
        <f>SUM(AE26:AE34)</f>
        <v>0</v>
      </c>
      <c r="AF35" s="318" t="s">
        <v>17</v>
      </c>
      <c r="AG35" s="319"/>
      <c r="AH35" s="77">
        <f>SUM(AH26:AH34)</f>
        <v>0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</mergeCells>
  <printOptions horizontalCentered="1"/>
  <pageMargins left="0" right="0" top="0" bottom="0" header="0.75" footer="1"/>
  <pageSetup paperSize="9" scale="1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B8D8-6B73-4890-8E88-7A7E1E76BBAF}">
  <sheetPr>
    <pageSetUpPr fitToPage="1"/>
  </sheetPr>
  <dimension ref="A1:BU37"/>
  <sheetViews>
    <sheetView tabSelected="1" topLeftCell="A18" zoomScale="87" zoomScaleNormal="87" zoomScaleSheetLayoutView="100" workbookViewId="0">
      <selection activeCell="E20" sqref="E20"/>
    </sheetView>
  </sheetViews>
  <sheetFormatPr defaultColWidth="7.58203125" defaultRowHeight="15.5" x14ac:dyDescent="0.35"/>
  <cols>
    <col min="1" max="1" width="11.33203125" style="1" customWidth="1"/>
    <col min="2" max="2" width="33.33203125" style="1" bestFit="1" customWidth="1"/>
    <col min="3" max="4" width="10.08203125" style="1" customWidth="1"/>
    <col min="5" max="5" width="11.5" style="1" customWidth="1"/>
    <col min="6" max="6" width="10.58203125" style="1" customWidth="1"/>
    <col min="7" max="7" width="9.5" style="1" customWidth="1"/>
    <col min="8" max="8" width="10.58203125" style="4" customWidth="1"/>
    <col min="9" max="9" width="13.33203125" style="1" customWidth="1"/>
    <col min="10" max="10" width="17.58203125" style="1" customWidth="1"/>
    <col min="11" max="11" width="10" style="1" customWidth="1"/>
    <col min="12" max="12" width="7.58203125" style="1" customWidth="1"/>
    <col min="13" max="13" width="12.58203125" style="1" bestFit="1" customWidth="1"/>
    <col min="14" max="14" width="35.58203125" style="1" bestFit="1" customWidth="1"/>
    <col min="15" max="15" width="8.33203125" style="1" bestFit="1" customWidth="1"/>
    <col min="16" max="16" width="9.08203125" style="1" bestFit="1" customWidth="1"/>
    <col min="17" max="17" width="15.58203125" style="1" customWidth="1"/>
    <col min="18" max="18" width="7.58203125" style="1"/>
    <col min="19" max="19" width="8.5" style="1" bestFit="1" customWidth="1"/>
    <col min="20" max="20" width="9.83203125" style="1" bestFit="1" customWidth="1"/>
    <col min="21" max="21" width="10.83203125" style="1" customWidth="1"/>
    <col min="22" max="22" width="17.08203125" style="1" bestFit="1" customWidth="1"/>
    <col min="23" max="23" width="10.83203125" style="1" bestFit="1" customWidth="1"/>
    <col min="24" max="24" width="7.58203125" style="1"/>
    <col min="25" max="25" width="11.08203125" style="1" bestFit="1" customWidth="1"/>
    <col min="26" max="26" width="31.4140625" style="1" bestFit="1" customWidth="1"/>
    <col min="27" max="27" width="8.58203125" style="1" customWidth="1"/>
    <col min="28" max="28" width="9.83203125" style="1" customWidth="1"/>
    <col min="29" max="29" width="12.58203125" style="1" customWidth="1"/>
    <col min="30" max="30" width="7.58203125" style="1"/>
    <col min="31" max="31" width="8.5" style="1" bestFit="1" customWidth="1"/>
    <col min="32" max="32" width="7.58203125" style="1"/>
    <col min="33" max="33" width="10.08203125" style="1" customWidth="1"/>
    <col min="34" max="34" width="13.58203125" style="1" bestFit="1" customWidth="1"/>
    <col min="35" max="35" width="10.08203125" style="1" bestFit="1" customWidth="1"/>
    <col min="36" max="36" width="7.58203125" style="1"/>
    <col min="37" max="37" width="10.58203125" style="1" customWidth="1"/>
    <col min="38" max="38" width="28" style="1" bestFit="1" customWidth="1"/>
    <col min="39" max="39" width="8.83203125" style="1" bestFit="1" customWidth="1"/>
    <col min="40" max="40" width="8.58203125" style="1" bestFit="1" customWidth="1"/>
    <col min="41" max="41" width="14.33203125" style="1" bestFit="1" customWidth="1"/>
    <col min="42" max="42" width="7.58203125" style="1"/>
    <col min="43" max="43" width="9.33203125" style="1" customWidth="1"/>
    <col min="44" max="44" width="7.58203125" style="1"/>
    <col min="45" max="45" width="10" style="1" customWidth="1"/>
    <col min="46" max="46" width="17.08203125" style="1" bestFit="1" customWidth="1"/>
    <col min="47" max="47" width="10.08203125" style="1" bestFit="1" customWidth="1"/>
    <col min="48" max="48" width="7.58203125" style="1"/>
    <col min="49" max="49" width="11.08203125" style="1" bestFit="1" customWidth="1"/>
    <col min="50" max="50" width="28" style="1" bestFit="1" customWidth="1"/>
    <col min="51" max="51" width="8.83203125" style="1" bestFit="1" customWidth="1"/>
    <col min="52" max="52" width="8.58203125" style="1" bestFit="1" customWidth="1"/>
    <col min="53" max="53" width="14.33203125" style="1" customWidth="1"/>
    <col min="54" max="54" width="7.58203125" style="1"/>
    <col min="55" max="55" width="8.33203125" style="1" bestFit="1" customWidth="1"/>
    <col min="56" max="56" width="7.58203125" style="1"/>
    <col min="57" max="57" width="11.08203125" style="1" customWidth="1"/>
    <col min="58" max="58" width="17.08203125" style="1" bestFit="1" customWidth="1"/>
    <col min="59" max="61" width="7.58203125" style="1"/>
    <col min="62" max="62" width="28" style="1" bestFit="1" customWidth="1"/>
    <col min="63" max="63" width="7.58203125" style="1"/>
    <col min="64" max="64" width="9.08203125" style="1" customWidth="1"/>
    <col min="65" max="65" width="9.58203125" style="1" customWidth="1"/>
    <col min="66" max="66" width="7.58203125" style="1"/>
    <col min="67" max="67" width="9.08203125" style="1" bestFit="1" customWidth="1"/>
    <col min="68" max="68" width="7.58203125" style="1"/>
    <col min="69" max="69" width="9.33203125" style="1" customWidth="1"/>
    <col min="70" max="70" width="16.4140625" style="1" bestFit="1" customWidth="1"/>
    <col min="71" max="71" width="10.08203125" style="1" bestFit="1" customWidth="1"/>
    <col min="72" max="16384" width="7.58203125" style="1"/>
  </cols>
  <sheetData>
    <row r="1" spans="1:73" ht="29.25" customHeight="1" x14ac:dyDescent="0.7">
      <c r="A1" s="218" t="s">
        <v>45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M1" s="218" t="s">
        <v>45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Y1" s="218" t="s">
        <v>45</v>
      </c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K1" s="218" t="s">
        <v>45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W1" s="218" t="s">
        <v>45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I1" s="219" t="s">
        <v>17</v>
      </c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3" ht="26.25" customHeight="1" thickBot="1" x14ac:dyDescent="0.75">
      <c r="A2" s="52"/>
      <c r="B2" s="92" t="s">
        <v>43</v>
      </c>
      <c r="C2" s="3"/>
      <c r="D2" s="223"/>
      <c r="E2" s="223"/>
      <c r="F2" s="60"/>
      <c r="G2" s="60"/>
      <c r="I2" s="5" t="s">
        <v>0</v>
      </c>
      <c r="J2" s="52" t="s">
        <v>266</v>
      </c>
      <c r="M2" s="2"/>
      <c r="N2" s="93" t="s">
        <v>66</v>
      </c>
      <c r="O2" s="3"/>
      <c r="P2" s="223"/>
      <c r="Q2" s="223"/>
      <c r="R2" s="60"/>
      <c r="S2" s="60"/>
      <c r="T2" s="4"/>
      <c r="U2" s="5" t="s">
        <v>0</v>
      </c>
      <c r="V2" s="52" t="str">
        <f>+J2</f>
        <v>27.10.2026</v>
      </c>
      <c r="Y2" s="2"/>
      <c r="Z2" s="94" t="s">
        <v>69</v>
      </c>
      <c r="AA2" s="3"/>
      <c r="AB2" s="223"/>
      <c r="AC2" s="223"/>
      <c r="AD2" s="60"/>
      <c r="AE2" s="60"/>
      <c r="AF2" s="4"/>
      <c r="AG2" s="5" t="s">
        <v>0</v>
      </c>
      <c r="AH2" s="52" t="str">
        <f>+J2</f>
        <v>27.10.2026</v>
      </c>
      <c r="AK2" s="94"/>
      <c r="AL2" s="93" t="s">
        <v>47</v>
      </c>
      <c r="AM2" s="3"/>
      <c r="AN2" s="195"/>
      <c r="AO2" s="195"/>
      <c r="AP2" s="60"/>
      <c r="AQ2" s="60"/>
      <c r="AR2" s="4"/>
      <c r="AS2" s="5" t="s">
        <v>0</v>
      </c>
      <c r="AT2" s="52" t="str">
        <f>+J2</f>
        <v>27.10.2026</v>
      </c>
      <c r="AW2" s="2"/>
      <c r="AX2" s="93" t="s">
        <v>47</v>
      </c>
      <c r="AY2" s="3"/>
      <c r="AZ2" s="223"/>
      <c r="BA2" s="223"/>
      <c r="BB2" s="60"/>
      <c r="BC2" s="60"/>
      <c r="BD2" s="4"/>
      <c r="BE2" s="5" t="s">
        <v>0</v>
      </c>
      <c r="BF2" s="52" t="str">
        <f>+J2</f>
        <v>27.10.2026</v>
      </c>
      <c r="BI2" s="2"/>
      <c r="BJ2" s="3"/>
      <c r="BK2" s="3"/>
      <c r="BL2" s="223"/>
      <c r="BM2" s="223"/>
      <c r="BN2" s="60"/>
      <c r="BO2" s="60"/>
      <c r="BP2" s="4"/>
      <c r="BQ2" s="5" t="str">
        <f>I2</f>
        <v>DATE</v>
      </c>
      <c r="BR2" s="52" t="str">
        <f>+J2</f>
        <v>27.10.2026</v>
      </c>
    </row>
    <row r="3" spans="1:73" ht="33.75" customHeight="1" thickBot="1" x14ac:dyDescent="0.4">
      <c r="A3" s="6" t="s">
        <v>1</v>
      </c>
      <c r="B3" s="7" t="s">
        <v>2</v>
      </c>
      <c r="C3" s="8" t="s">
        <v>34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19</v>
      </c>
      <c r="J3" s="8" t="s">
        <v>8</v>
      </c>
      <c r="K3" s="9" t="s">
        <v>9</v>
      </c>
      <c r="M3" s="6" t="s">
        <v>1</v>
      </c>
      <c r="N3" s="7" t="s">
        <v>2</v>
      </c>
      <c r="O3" s="8" t="s">
        <v>34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19</v>
      </c>
      <c r="V3" s="8" t="s">
        <v>8</v>
      </c>
      <c r="W3" s="9" t="s">
        <v>9</v>
      </c>
      <c r="Y3" s="6" t="s">
        <v>1</v>
      </c>
      <c r="Z3" s="7" t="s">
        <v>2</v>
      </c>
      <c r="AA3" s="8" t="s">
        <v>34</v>
      </c>
      <c r="AB3" s="8" t="s">
        <v>3</v>
      </c>
      <c r="AC3" s="8" t="s">
        <v>4</v>
      </c>
      <c r="AD3" s="8" t="s">
        <v>5</v>
      </c>
      <c r="AE3" s="8" t="s">
        <v>6</v>
      </c>
      <c r="AF3" s="8" t="s">
        <v>7</v>
      </c>
      <c r="AG3" s="8" t="s">
        <v>19</v>
      </c>
      <c r="AH3" s="8" t="s">
        <v>8</v>
      </c>
      <c r="AI3" s="9" t="s">
        <v>9</v>
      </c>
      <c r="AK3" s="6" t="s">
        <v>1</v>
      </c>
      <c r="AL3" s="7" t="s">
        <v>2</v>
      </c>
      <c r="AM3" s="8" t="s">
        <v>34</v>
      </c>
      <c r="AN3" s="8" t="s">
        <v>3</v>
      </c>
      <c r="AO3" s="8" t="s">
        <v>4</v>
      </c>
      <c r="AP3" s="8" t="s">
        <v>5</v>
      </c>
      <c r="AQ3" s="8" t="s">
        <v>6</v>
      </c>
      <c r="AR3" s="8" t="s">
        <v>7</v>
      </c>
      <c r="AS3" s="8" t="s">
        <v>19</v>
      </c>
      <c r="AT3" s="8" t="s">
        <v>8</v>
      </c>
      <c r="AU3" s="9" t="s">
        <v>9</v>
      </c>
      <c r="AW3" s="6" t="s">
        <v>1</v>
      </c>
      <c r="AX3" s="7" t="s">
        <v>2</v>
      </c>
      <c r="AY3" s="8" t="s">
        <v>34</v>
      </c>
      <c r="AZ3" s="8" t="s">
        <v>3</v>
      </c>
      <c r="BA3" s="8" t="s">
        <v>4</v>
      </c>
      <c r="BB3" s="8" t="s">
        <v>5</v>
      </c>
      <c r="BC3" s="8" t="s">
        <v>6</v>
      </c>
      <c r="BD3" s="8" t="s">
        <v>7</v>
      </c>
      <c r="BE3" s="8" t="s">
        <v>19</v>
      </c>
      <c r="BF3" s="8" t="s">
        <v>8</v>
      </c>
      <c r="BG3" s="9" t="s">
        <v>9</v>
      </c>
      <c r="BI3" s="6" t="s">
        <v>1</v>
      </c>
      <c r="BJ3" s="7" t="s">
        <v>2</v>
      </c>
      <c r="BK3" s="8" t="s">
        <v>34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19</v>
      </c>
      <c r="BR3" s="8" t="s">
        <v>8</v>
      </c>
      <c r="BS3" s="9" t="s">
        <v>9</v>
      </c>
    </row>
    <row r="4" spans="1:73" ht="39.75" customHeight="1" thickBot="1" x14ac:dyDescent="0.55000000000000004">
      <c r="A4" s="220" t="s">
        <v>39</v>
      </c>
      <c r="B4" s="44" t="s">
        <v>25</v>
      </c>
      <c r="C4" s="120">
        <v>70</v>
      </c>
      <c r="D4" s="128">
        <v>1000</v>
      </c>
      <c r="E4" s="129"/>
      <c r="F4" s="130"/>
      <c r="G4" s="130"/>
      <c r="H4" s="131">
        <f t="shared" ref="H4:H12" si="0">+D4-E4-F4-G4</f>
        <v>1000</v>
      </c>
      <c r="I4" s="132">
        <v>52.462499999999999</v>
      </c>
      <c r="J4" s="121">
        <f t="shared" ref="J4:J12" si="1">+H4*I4</f>
        <v>52462.5</v>
      </c>
      <c r="K4" s="34">
        <f t="shared" ref="K4:K12" si="2">+G4*I4</f>
        <v>0</v>
      </c>
      <c r="M4" s="220" t="s">
        <v>39</v>
      </c>
      <c r="N4" s="44" t="s">
        <v>25</v>
      </c>
      <c r="O4" s="70">
        <v>70</v>
      </c>
      <c r="P4" s="128">
        <v>80</v>
      </c>
      <c r="Q4" s="129">
        <v>40</v>
      </c>
      <c r="R4" s="130"/>
      <c r="S4" s="130"/>
      <c r="T4" s="131">
        <f t="shared" ref="T4:T12" si="3">+P4-Q4-R4-S4</f>
        <v>40</v>
      </c>
      <c r="U4" s="132">
        <v>52.462499999999999</v>
      </c>
      <c r="V4" s="150">
        <f t="shared" ref="V4:V12" si="4">+T4*U4</f>
        <v>2098.5</v>
      </c>
      <c r="W4" s="34">
        <f t="shared" ref="W4:W12" si="5">+S4*U4</f>
        <v>0</v>
      </c>
      <c r="Y4" s="220" t="s">
        <v>39</v>
      </c>
      <c r="Z4" s="44" t="s">
        <v>25</v>
      </c>
      <c r="AA4" s="70">
        <v>70</v>
      </c>
      <c r="AB4" s="184">
        <v>240</v>
      </c>
      <c r="AC4" s="185">
        <v>41</v>
      </c>
      <c r="AD4" s="186"/>
      <c r="AE4" s="186"/>
      <c r="AF4" s="187">
        <f t="shared" ref="AF4:AF12" si="6">+AB4-AC4-AD4-AE4</f>
        <v>199</v>
      </c>
      <c r="AG4" s="67">
        <v>52.462499999999999</v>
      </c>
      <c r="AH4" s="217">
        <f t="shared" ref="AH4:AH12" si="7">+AF4*AG4</f>
        <v>10440.0375</v>
      </c>
      <c r="AI4" s="34">
        <f t="shared" ref="AI4:AI12" si="8">+AE4*AG4</f>
        <v>0</v>
      </c>
      <c r="AK4" s="220" t="s">
        <v>39</v>
      </c>
      <c r="AL4" s="44" t="s">
        <v>25</v>
      </c>
      <c r="AM4" s="70">
        <v>70</v>
      </c>
      <c r="AN4" s="36"/>
      <c r="AO4" s="37"/>
      <c r="AP4" s="38"/>
      <c r="AQ4" s="38"/>
      <c r="AR4" s="196">
        <f t="shared" ref="AR4:AR12" si="9">+AN4-AO4-AP4-AQ4</f>
        <v>0</v>
      </c>
      <c r="AS4" s="67">
        <v>52.462499999999999</v>
      </c>
      <c r="AT4" s="56">
        <f t="shared" ref="AT4:AT12" si="10">+AR4*AS4</f>
        <v>0</v>
      </c>
      <c r="AU4" s="34">
        <f t="shared" ref="AU4:AU12" si="11">+AQ4*AS4</f>
        <v>0</v>
      </c>
      <c r="AW4" s="220" t="s">
        <v>39</v>
      </c>
      <c r="AX4" s="44" t="s">
        <v>25</v>
      </c>
      <c r="AY4" s="70">
        <v>70</v>
      </c>
      <c r="AZ4" s="36"/>
      <c r="BA4" s="37"/>
      <c r="BB4" s="38"/>
      <c r="BC4" s="38"/>
      <c r="BD4" s="196">
        <f t="shared" ref="BD4:BD12" si="12">+AZ4-BA4-BB4-BC4</f>
        <v>0</v>
      </c>
      <c r="BE4" s="67">
        <v>52.462499999999999</v>
      </c>
      <c r="BF4" s="56">
        <f t="shared" ref="BF4:BF12" si="13">+BD4*BE4</f>
        <v>0</v>
      </c>
      <c r="BG4" s="34">
        <f t="shared" ref="BG4:BG12" si="14">+BC4*BE4</f>
        <v>0</v>
      </c>
      <c r="BI4" s="220" t="s">
        <v>39</v>
      </c>
      <c r="BJ4" s="44" t="s">
        <v>25</v>
      </c>
      <c r="BK4" s="70">
        <v>70</v>
      </c>
      <c r="BL4" s="36">
        <f t="shared" ref="BL4:BM12" si="15">+D4+P4+AB4+AN4+AZ4</f>
        <v>1320</v>
      </c>
      <c r="BM4" s="36">
        <f t="shared" si="15"/>
        <v>81</v>
      </c>
      <c r="BN4" s="38"/>
      <c r="BO4" s="36">
        <f t="shared" ref="BO4:BO12" si="16">+G4+S4+AE4+AQ4+BC4</f>
        <v>0</v>
      </c>
      <c r="BP4" s="194">
        <f t="shared" ref="BP4:BP12" si="17">+BL4-BM4-BN4-BO4</f>
        <v>1239</v>
      </c>
      <c r="BQ4" s="67">
        <v>52.462499999999999</v>
      </c>
      <c r="BR4" s="56">
        <f t="shared" ref="BR4:BR12" si="18">+BP4*BQ4</f>
        <v>65001.037499999999</v>
      </c>
      <c r="BS4" s="34">
        <f t="shared" ref="BS4:BS12" si="19">+BO4*BQ4</f>
        <v>0</v>
      </c>
      <c r="BT4" s="1">
        <f t="shared" ref="BT4:BT11" si="20">+BP4/40</f>
        <v>30.975000000000001</v>
      </c>
    </row>
    <row r="5" spans="1:73" ht="39.75" customHeight="1" thickBot="1" x14ac:dyDescent="0.55000000000000004">
      <c r="A5" s="221"/>
      <c r="B5" s="45" t="s">
        <v>26</v>
      </c>
      <c r="C5" s="122">
        <v>70</v>
      </c>
      <c r="D5" s="149">
        <v>1000</v>
      </c>
      <c r="E5" s="134"/>
      <c r="F5" s="135"/>
      <c r="G5" s="135"/>
      <c r="H5" s="131">
        <f t="shared" si="0"/>
        <v>1000</v>
      </c>
      <c r="I5" s="132">
        <v>52.462499999999999</v>
      </c>
      <c r="J5" s="123">
        <f t="shared" si="1"/>
        <v>52462.5</v>
      </c>
      <c r="K5" s="34">
        <f t="shared" si="2"/>
        <v>0</v>
      </c>
      <c r="M5" s="221"/>
      <c r="N5" s="45" t="s">
        <v>26</v>
      </c>
      <c r="O5" s="71">
        <v>70</v>
      </c>
      <c r="P5" s="128">
        <v>80</v>
      </c>
      <c r="Q5" s="134">
        <v>40</v>
      </c>
      <c r="R5" s="135"/>
      <c r="S5" s="135"/>
      <c r="T5" s="131">
        <f t="shared" si="3"/>
        <v>40</v>
      </c>
      <c r="U5" s="132">
        <v>52.462499999999999</v>
      </c>
      <c r="V5" s="151">
        <f t="shared" si="4"/>
        <v>2098.5</v>
      </c>
      <c r="W5" s="34">
        <f t="shared" si="5"/>
        <v>0</v>
      </c>
      <c r="Y5" s="221"/>
      <c r="Z5" s="45" t="s">
        <v>26</v>
      </c>
      <c r="AA5" s="71">
        <v>70</v>
      </c>
      <c r="AB5" s="188">
        <v>280</v>
      </c>
      <c r="AC5" s="185">
        <v>40</v>
      </c>
      <c r="AD5" s="189"/>
      <c r="AE5" s="189"/>
      <c r="AF5" s="187">
        <f t="shared" si="6"/>
        <v>240</v>
      </c>
      <c r="AG5" s="67">
        <v>52.462499999999999</v>
      </c>
      <c r="AH5" s="217">
        <f t="shared" si="7"/>
        <v>12591</v>
      </c>
      <c r="AI5" s="34">
        <f t="shared" si="8"/>
        <v>0</v>
      </c>
      <c r="AK5" s="221"/>
      <c r="AL5" s="45" t="s">
        <v>26</v>
      </c>
      <c r="AM5" s="71">
        <v>70</v>
      </c>
      <c r="AN5" s="39"/>
      <c r="AO5" s="40"/>
      <c r="AP5" s="31"/>
      <c r="AQ5" s="31"/>
      <c r="AR5" s="196">
        <f t="shared" si="9"/>
        <v>0</v>
      </c>
      <c r="AS5" s="67">
        <v>52.462499999999999</v>
      </c>
      <c r="AT5" s="57">
        <f t="shared" si="10"/>
        <v>0</v>
      </c>
      <c r="AU5" s="34">
        <f t="shared" si="11"/>
        <v>0</v>
      </c>
      <c r="AW5" s="221"/>
      <c r="AX5" s="45" t="s">
        <v>26</v>
      </c>
      <c r="AY5" s="71">
        <v>70</v>
      </c>
      <c r="AZ5" s="36"/>
      <c r="BA5" s="40"/>
      <c r="BB5" s="31"/>
      <c r="BC5" s="31"/>
      <c r="BD5" s="196">
        <f t="shared" si="12"/>
        <v>0</v>
      </c>
      <c r="BE5" s="67">
        <v>52.462499999999999</v>
      </c>
      <c r="BF5" s="57">
        <f t="shared" si="13"/>
        <v>0</v>
      </c>
      <c r="BG5" s="34">
        <f t="shared" si="14"/>
        <v>0</v>
      </c>
      <c r="BI5" s="221"/>
      <c r="BJ5" s="45" t="s">
        <v>26</v>
      </c>
      <c r="BK5" s="71">
        <v>70</v>
      </c>
      <c r="BL5" s="36">
        <f t="shared" si="15"/>
        <v>1360</v>
      </c>
      <c r="BM5" s="36">
        <f t="shared" si="15"/>
        <v>80</v>
      </c>
      <c r="BN5" s="31"/>
      <c r="BO5" s="36">
        <f t="shared" si="16"/>
        <v>0</v>
      </c>
      <c r="BP5" s="194">
        <f t="shared" si="17"/>
        <v>1280</v>
      </c>
      <c r="BQ5" s="67">
        <v>52.462499999999999</v>
      </c>
      <c r="BR5" s="57">
        <f t="shared" si="18"/>
        <v>67152</v>
      </c>
      <c r="BS5" s="34">
        <f t="shared" si="19"/>
        <v>0</v>
      </c>
      <c r="BT5" s="1">
        <f t="shared" si="20"/>
        <v>32</v>
      </c>
    </row>
    <row r="6" spans="1:73" ht="39.75" customHeight="1" thickBot="1" x14ac:dyDescent="0.55000000000000004">
      <c r="A6" s="221"/>
      <c r="B6" s="45" t="s">
        <v>27</v>
      </c>
      <c r="C6" s="122">
        <v>70</v>
      </c>
      <c r="D6" s="133"/>
      <c r="E6" s="134"/>
      <c r="F6" s="135"/>
      <c r="G6" s="135"/>
      <c r="H6" s="131">
        <f t="shared" si="0"/>
        <v>0</v>
      </c>
      <c r="I6" s="132">
        <v>52.462499999999999</v>
      </c>
      <c r="J6" s="123">
        <f t="shared" si="1"/>
        <v>0</v>
      </c>
      <c r="K6" s="34">
        <f t="shared" si="2"/>
        <v>0</v>
      </c>
      <c r="M6" s="221"/>
      <c r="N6" s="45" t="s">
        <v>27</v>
      </c>
      <c r="O6" s="71">
        <v>70</v>
      </c>
      <c r="P6" s="133"/>
      <c r="Q6" s="134"/>
      <c r="R6" s="135"/>
      <c r="S6" s="135"/>
      <c r="T6" s="131">
        <f t="shared" si="3"/>
        <v>0</v>
      </c>
      <c r="U6" s="132">
        <v>52.462499999999999</v>
      </c>
      <c r="V6" s="152">
        <f t="shared" si="4"/>
        <v>0</v>
      </c>
      <c r="W6" s="34">
        <f t="shared" si="5"/>
        <v>0</v>
      </c>
      <c r="Y6" s="221"/>
      <c r="Z6" s="45" t="s">
        <v>27</v>
      </c>
      <c r="AA6" s="71">
        <v>70</v>
      </c>
      <c r="AB6" s="188"/>
      <c r="AC6" s="185"/>
      <c r="AD6" s="189"/>
      <c r="AE6" s="189"/>
      <c r="AF6" s="187">
        <f t="shared" si="6"/>
        <v>0</v>
      </c>
      <c r="AG6" s="67">
        <v>52.462499999999999</v>
      </c>
      <c r="AH6" s="217">
        <f t="shared" si="7"/>
        <v>0</v>
      </c>
      <c r="AI6" s="34">
        <f t="shared" si="8"/>
        <v>0</v>
      </c>
      <c r="AK6" s="221"/>
      <c r="AL6" s="45" t="s">
        <v>27</v>
      </c>
      <c r="AM6" s="71">
        <v>70</v>
      </c>
      <c r="AN6" s="39"/>
      <c r="AO6" s="40"/>
      <c r="AP6" s="31"/>
      <c r="AQ6" s="31"/>
      <c r="AR6" s="196">
        <f t="shared" si="9"/>
        <v>0</v>
      </c>
      <c r="AS6" s="67">
        <v>52.462499999999999</v>
      </c>
      <c r="AT6" s="57">
        <f t="shared" si="10"/>
        <v>0</v>
      </c>
      <c r="AU6" s="34">
        <f t="shared" si="11"/>
        <v>0</v>
      </c>
      <c r="AW6" s="221"/>
      <c r="AX6" s="45" t="s">
        <v>27</v>
      </c>
      <c r="AY6" s="71">
        <v>70</v>
      </c>
      <c r="AZ6" s="36"/>
      <c r="BA6" s="40"/>
      <c r="BB6" s="31"/>
      <c r="BC6" s="31"/>
      <c r="BD6" s="196">
        <f t="shared" si="12"/>
        <v>0</v>
      </c>
      <c r="BE6" s="67">
        <v>52.462499999999999</v>
      </c>
      <c r="BF6" s="57">
        <f t="shared" si="13"/>
        <v>0</v>
      </c>
      <c r="BG6" s="34">
        <f t="shared" si="14"/>
        <v>0</v>
      </c>
      <c r="BI6" s="221"/>
      <c r="BJ6" s="45" t="s">
        <v>27</v>
      </c>
      <c r="BK6" s="71">
        <v>70</v>
      </c>
      <c r="BL6" s="36">
        <f t="shared" si="15"/>
        <v>0</v>
      </c>
      <c r="BM6" s="36">
        <f t="shared" si="15"/>
        <v>0</v>
      </c>
      <c r="BN6" s="31"/>
      <c r="BO6" s="36">
        <f t="shared" si="16"/>
        <v>0</v>
      </c>
      <c r="BP6" s="194">
        <f t="shared" si="17"/>
        <v>0</v>
      </c>
      <c r="BQ6" s="67">
        <v>52.462499999999999</v>
      </c>
      <c r="BR6" s="57">
        <f t="shared" si="18"/>
        <v>0</v>
      </c>
      <c r="BS6" s="34">
        <f t="shared" si="19"/>
        <v>0</v>
      </c>
      <c r="BT6" s="1">
        <f t="shared" si="20"/>
        <v>0</v>
      </c>
    </row>
    <row r="7" spans="1:73" ht="39.75" customHeight="1" thickBot="1" x14ac:dyDescent="0.55000000000000004">
      <c r="A7" s="221"/>
      <c r="B7" s="46" t="s">
        <v>28</v>
      </c>
      <c r="C7" s="124">
        <v>120</v>
      </c>
      <c r="D7" s="136"/>
      <c r="E7" s="137"/>
      <c r="F7" s="138"/>
      <c r="G7" s="159"/>
      <c r="H7" s="131">
        <f t="shared" si="0"/>
        <v>0</v>
      </c>
      <c r="I7" s="132">
        <v>72.64</v>
      </c>
      <c r="J7" s="125">
        <f t="shared" si="1"/>
        <v>0</v>
      </c>
      <c r="K7" s="34">
        <f t="shared" si="2"/>
        <v>0</v>
      </c>
      <c r="M7" s="221"/>
      <c r="N7" s="46" t="s">
        <v>28</v>
      </c>
      <c r="O7" s="72">
        <v>120</v>
      </c>
      <c r="P7" s="136">
        <v>225</v>
      </c>
      <c r="Q7" s="137">
        <v>41</v>
      </c>
      <c r="R7" s="138"/>
      <c r="S7" s="138"/>
      <c r="T7" s="131">
        <f t="shared" si="3"/>
        <v>184</v>
      </c>
      <c r="U7" s="132">
        <v>72.64</v>
      </c>
      <c r="V7" s="152">
        <f t="shared" si="4"/>
        <v>13365.76</v>
      </c>
      <c r="W7" s="34">
        <f t="shared" si="5"/>
        <v>0</v>
      </c>
      <c r="Y7" s="221"/>
      <c r="Z7" s="46" t="s">
        <v>28</v>
      </c>
      <c r="AA7" s="72">
        <v>120</v>
      </c>
      <c r="AB7" s="190">
        <v>360</v>
      </c>
      <c r="AC7" s="185"/>
      <c r="AD7" s="191"/>
      <c r="AE7" s="191"/>
      <c r="AF7" s="187">
        <f t="shared" si="6"/>
        <v>360</v>
      </c>
      <c r="AG7" s="67">
        <v>72.64</v>
      </c>
      <c r="AH7" s="217">
        <f t="shared" si="7"/>
        <v>26150.400000000001</v>
      </c>
      <c r="AI7" s="34">
        <f t="shared" si="8"/>
        <v>0</v>
      </c>
      <c r="AK7" s="221"/>
      <c r="AL7" s="46" t="s">
        <v>28</v>
      </c>
      <c r="AM7" s="72">
        <v>120</v>
      </c>
      <c r="AN7" s="41"/>
      <c r="AO7" s="42"/>
      <c r="AP7" s="43"/>
      <c r="AQ7" s="43"/>
      <c r="AR7" s="196">
        <f t="shared" si="9"/>
        <v>0</v>
      </c>
      <c r="AS7" s="67">
        <v>72.64</v>
      </c>
      <c r="AT7" s="58">
        <f t="shared" si="10"/>
        <v>0</v>
      </c>
      <c r="AU7" s="34">
        <f t="shared" si="11"/>
        <v>0</v>
      </c>
      <c r="AW7" s="221"/>
      <c r="AX7" s="46" t="s">
        <v>28</v>
      </c>
      <c r="AY7" s="72">
        <v>120</v>
      </c>
      <c r="AZ7" s="36"/>
      <c r="BA7" s="42"/>
      <c r="BB7" s="43"/>
      <c r="BC7" s="43"/>
      <c r="BD7" s="196">
        <f t="shared" si="12"/>
        <v>0</v>
      </c>
      <c r="BE7" s="67">
        <v>72.64</v>
      </c>
      <c r="BF7" s="58">
        <f t="shared" si="13"/>
        <v>0</v>
      </c>
      <c r="BG7" s="34">
        <f t="shared" si="14"/>
        <v>0</v>
      </c>
      <c r="BI7" s="221"/>
      <c r="BJ7" s="46" t="s">
        <v>28</v>
      </c>
      <c r="BK7" s="72">
        <v>120</v>
      </c>
      <c r="BL7" s="36">
        <f t="shared" si="15"/>
        <v>585</v>
      </c>
      <c r="BM7" s="36">
        <f t="shared" si="15"/>
        <v>41</v>
      </c>
      <c r="BN7" s="43"/>
      <c r="BO7" s="36">
        <f t="shared" si="16"/>
        <v>0</v>
      </c>
      <c r="BP7" s="194">
        <f t="shared" si="17"/>
        <v>544</v>
      </c>
      <c r="BQ7" s="67">
        <v>72.64</v>
      </c>
      <c r="BR7" s="58">
        <f t="shared" si="18"/>
        <v>39516.160000000003</v>
      </c>
      <c r="BS7" s="34">
        <f t="shared" si="19"/>
        <v>0</v>
      </c>
      <c r="BT7" s="1">
        <f t="shared" si="20"/>
        <v>13.6</v>
      </c>
    </row>
    <row r="8" spans="1:73" ht="39.75" customHeight="1" thickBot="1" x14ac:dyDescent="0.55000000000000004">
      <c r="A8" s="221"/>
      <c r="B8" s="63" t="s">
        <v>29</v>
      </c>
      <c r="C8" s="126">
        <v>120</v>
      </c>
      <c r="D8" s="139">
        <v>3200</v>
      </c>
      <c r="E8" s="140"/>
      <c r="F8" s="141"/>
      <c r="G8" s="141"/>
      <c r="H8" s="131">
        <f t="shared" si="0"/>
        <v>3200</v>
      </c>
      <c r="I8" s="132">
        <v>72.64</v>
      </c>
      <c r="J8" s="125">
        <f t="shared" si="1"/>
        <v>232448</v>
      </c>
      <c r="K8" s="34">
        <f t="shared" si="2"/>
        <v>0</v>
      </c>
      <c r="M8" s="221"/>
      <c r="N8" s="63" t="s">
        <v>29</v>
      </c>
      <c r="O8" s="73">
        <v>120</v>
      </c>
      <c r="P8" s="139">
        <v>238</v>
      </c>
      <c r="Q8" s="140">
        <v>40</v>
      </c>
      <c r="R8" s="141"/>
      <c r="S8" s="141"/>
      <c r="T8" s="131">
        <f t="shared" si="3"/>
        <v>198</v>
      </c>
      <c r="U8" s="132">
        <v>72.64</v>
      </c>
      <c r="V8" s="152">
        <f t="shared" si="4"/>
        <v>14382.72</v>
      </c>
      <c r="W8" s="34">
        <f t="shared" si="5"/>
        <v>0</v>
      </c>
      <c r="Y8" s="221"/>
      <c r="Z8" s="63" t="s">
        <v>29</v>
      </c>
      <c r="AA8" s="73">
        <v>120</v>
      </c>
      <c r="AB8" s="188">
        <v>520</v>
      </c>
      <c r="AC8" s="185"/>
      <c r="AD8" s="189"/>
      <c r="AE8" s="189"/>
      <c r="AF8" s="187">
        <f t="shared" si="6"/>
        <v>520</v>
      </c>
      <c r="AG8" s="67">
        <v>72.64</v>
      </c>
      <c r="AH8" s="217">
        <f t="shared" si="7"/>
        <v>37772.800000000003</v>
      </c>
      <c r="AI8" s="34">
        <f t="shared" si="8"/>
        <v>0</v>
      </c>
      <c r="AK8" s="221"/>
      <c r="AL8" s="63" t="s">
        <v>29</v>
      </c>
      <c r="AM8" s="73">
        <v>120</v>
      </c>
      <c r="AN8" s="64"/>
      <c r="AO8" s="65"/>
      <c r="AP8" s="66"/>
      <c r="AQ8" s="66"/>
      <c r="AR8" s="196">
        <f t="shared" si="9"/>
        <v>0</v>
      </c>
      <c r="AS8" s="67">
        <v>72.64</v>
      </c>
      <c r="AT8" s="58">
        <f t="shared" si="10"/>
        <v>0</v>
      </c>
      <c r="AU8" s="34">
        <f t="shared" si="11"/>
        <v>0</v>
      </c>
      <c r="AW8" s="221"/>
      <c r="AX8" s="63" t="s">
        <v>29</v>
      </c>
      <c r="AY8" s="73">
        <v>120</v>
      </c>
      <c r="AZ8" s="36"/>
      <c r="BA8" s="65"/>
      <c r="BB8" s="66"/>
      <c r="BC8" s="66"/>
      <c r="BD8" s="196">
        <f t="shared" si="12"/>
        <v>0</v>
      </c>
      <c r="BE8" s="67">
        <v>72.64</v>
      </c>
      <c r="BF8" s="58">
        <f t="shared" si="13"/>
        <v>0</v>
      </c>
      <c r="BG8" s="34">
        <f t="shared" si="14"/>
        <v>0</v>
      </c>
      <c r="BI8" s="221"/>
      <c r="BJ8" s="63" t="s">
        <v>29</v>
      </c>
      <c r="BK8" s="73">
        <v>120</v>
      </c>
      <c r="BL8" s="36">
        <f t="shared" si="15"/>
        <v>3958</v>
      </c>
      <c r="BM8" s="36">
        <f t="shared" si="15"/>
        <v>40</v>
      </c>
      <c r="BN8" s="66"/>
      <c r="BO8" s="36">
        <f t="shared" si="16"/>
        <v>0</v>
      </c>
      <c r="BP8" s="194">
        <f t="shared" si="17"/>
        <v>3918</v>
      </c>
      <c r="BQ8" s="67">
        <v>72.64</v>
      </c>
      <c r="BR8" s="58">
        <f t="shared" si="18"/>
        <v>284603.52000000002</v>
      </c>
      <c r="BS8" s="34">
        <f t="shared" si="19"/>
        <v>0</v>
      </c>
      <c r="BT8" s="1">
        <f t="shared" si="20"/>
        <v>97.95</v>
      </c>
    </row>
    <row r="9" spans="1:73" ht="39.75" customHeight="1" thickBot="1" x14ac:dyDescent="0.55000000000000004">
      <c r="A9" s="221"/>
      <c r="B9" s="44" t="s">
        <v>30</v>
      </c>
      <c r="C9" s="120">
        <v>120</v>
      </c>
      <c r="D9" s="128">
        <v>4800</v>
      </c>
      <c r="E9" s="129"/>
      <c r="F9" s="130"/>
      <c r="G9" s="130"/>
      <c r="H9" s="131">
        <f t="shared" si="0"/>
        <v>4800</v>
      </c>
      <c r="I9" s="132">
        <v>72.64</v>
      </c>
      <c r="J9" s="121">
        <f t="shared" si="1"/>
        <v>348672</v>
      </c>
      <c r="K9" s="34">
        <f t="shared" si="2"/>
        <v>0</v>
      </c>
      <c r="M9" s="221"/>
      <c r="N9" s="44" t="s">
        <v>30</v>
      </c>
      <c r="O9" s="70">
        <v>120</v>
      </c>
      <c r="P9" s="128">
        <v>432</v>
      </c>
      <c r="Q9" s="129">
        <v>81</v>
      </c>
      <c r="R9" s="130"/>
      <c r="S9" s="130"/>
      <c r="T9" s="131">
        <f t="shared" si="3"/>
        <v>351</v>
      </c>
      <c r="U9" s="132">
        <v>72.64</v>
      </c>
      <c r="V9" s="150">
        <f t="shared" si="4"/>
        <v>25496.639999999999</v>
      </c>
      <c r="W9" s="34">
        <f t="shared" si="5"/>
        <v>0</v>
      </c>
      <c r="Y9" s="221"/>
      <c r="Z9" s="44" t="s">
        <v>30</v>
      </c>
      <c r="AA9" s="70">
        <v>120</v>
      </c>
      <c r="AB9" s="192">
        <v>1440</v>
      </c>
      <c r="AC9" s="185"/>
      <c r="AD9" s="193"/>
      <c r="AE9" s="193"/>
      <c r="AF9" s="187">
        <f t="shared" si="6"/>
        <v>1440</v>
      </c>
      <c r="AG9" s="67">
        <v>72.64</v>
      </c>
      <c r="AH9" s="217">
        <f t="shared" si="7"/>
        <v>104601.60000000001</v>
      </c>
      <c r="AI9" s="34">
        <f t="shared" si="8"/>
        <v>0</v>
      </c>
      <c r="AK9" s="221"/>
      <c r="AL9" s="44" t="s">
        <v>30</v>
      </c>
      <c r="AM9" s="70">
        <v>120</v>
      </c>
      <c r="AN9" s="36"/>
      <c r="AO9" s="37"/>
      <c r="AP9" s="38"/>
      <c r="AQ9" s="38"/>
      <c r="AR9" s="196">
        <f t="shared" si="9"/>
        <v>0</v>
      </c>
      <c r="AS9" s="67">
        <v>72.64</v>
      </c>
      <c r="AT9" s="56">
        <f t="shared" si="10"/>
        <v>0</v>
      </c>
      <c r="AU9" s="34">
        <f t="shared" si="11"/>
        <v>0</v>
      </c>
      <c r="AW9" s="221"/>
      <c r="AX9" s="44" t="s">
        <v>30</v>
      </c>
      <c r="AY9" s="70">
        <v>120</v>
      </c>
      <c r="AZ9" s="36"/>
      <c r="BA9" s="37"/>
      <c r="BB9" s="38"/>
      <c r="BC9" s="38"/>
      <c r="BD9" s="196">
        <f t="shared" si="12"/>
        <v>0</v>
      </c>
      <c r="BE9" s="67">
        <v>72.64</v>
      </c>
      <c r="BF9" s="56">
        <f t="shared" si="13"/>
        <v>0</v>
      </c>
      <c r="BG9" s="34">
        <f t="shared" si="14"/>
        <v>0</v>
      </c>
      <c r="BI9" s="221"/>
      <c r="BJ9" s="44" t="s">
        <v>30</v>
      </c>
      <c r="BK9" s="70">
        <v>120</v>
      </c>
      <c r="BL9" s="36">
        <f t="shared" si="15"/>
        <v>6672</v>
      </c>
      <c r="BM9" s="36">
        <f t="shared" si="15"/>
        <v>81</v>
      </c>
      <c r="BN9" s="38"/>
      <c r="BO9" s="36">
        <f t="shared" si="16"/>
        <v>0</v>
      </c>
      <c r="BP9" s="194">
        <f t="shared" si="17"/>
        <v>6591</v>
      </c>
      <c r="BQ9" s="67">
        <v>72.64</v>
      </c>
      <c r="BR9" s="56">
        <f t="shared" si="18"/>
        <v>478770.24</v>
      </c>
      <c r="BS9" s="34">
        <f t="shared" si="19"/>
        <v>0</v>
      </c>
      <c r="BT9" s="1">
        <f t="shared" si="20"/>
        <v>164.77500000000001</v>
      </c>
    </row>
    <row r="10" spans="1:73" ht="39.75" customHeight="1" thickBot="1" x14ac:dyDescent="0.55000000000000004">
      <c r="A10" s="221"/>
      <c r="B10" s="45" t="s">
        <v>31</v>
      </c>
      <c r="C10" s="122">
        <v>60</v>
      </c>
      <c r="D10" s="133"/>
      <c r="E10" s="134"/>
      <c r="F10" s="135"/>
      <c r="G10" s="135"/>
      <c r="H10" s="131">
        <f t="shared" si="0"/>
        <v>0</v>
      </c>
      <c r="I10" s="132">
        <v>39.230000000000004</v>
      </c>
      <c r="J10" s="123">
        <f t="shared" si="1"/>
        <v>0</v>
      </c>
      <c r="K10" s="34">
        <f t="shared" si="2"/>
        <v>0</v>
      </c>
      <c r="M10" s="221"/>
      <c r="N10" s="45" t="s">
        <v>31</v>
      </c>
      <c r="O10" s="71">
        <v>60</v>
      </c>
      <c r="P10" s="133"/>
      <c r="Q10" s="134"/>
      <c r="R10" s="135"/>
      <c r="S10" s="135"/>
      <c r="T10" s="131">
        <f t="shared" si="3"/>
        <v>0</v>
      </c>
      <c r="U10" s="132">
        <v>39.229999999999997</v>
      </c>
      <c r="V10" s="151">
        <f t="shared" si="4"/>
        <v>0</v>
      </c>
      <c r="W10" s="34">
        <f t="shared" si="5"/>
        <v>0</v>
      </c>
      <c r="Y10" s="221"/>
      <c r="Z10" s="45" t="s">
        <v>31</v>
      </c>
      <c r="AA10" s="71">
        <v>60</v>
      </c>
      <c r="AB10" s="188"/>
      <c r="AC10" s="185"/>
      <c r="AD10" s="189"/>
      <c r="AE10" s="189"/>
      <c r="AF10" s="187">
        <f t="shared" si="6"/>
        <v>0</v>
      </c>
      <c r="AG10" s="67">
        <v>39.230000000000004</v>
      </c>
      <c r="AH10" s="217">
        <f t="shared" si="7"/>
        <v>0</v>
      </c>
      <c r="AI10" s="34">
        <f t="shared" si="8"/>
        <v>0</v>
      </c>
      <c r="AK10" s="221"/>
      <c r="AL10" s="45" t="s">
        <v>31</v>
      </c>
      <c r="AM10" s="71">
        <v>60</v>
      </c>
      <c r="AN10" s="39"/>
      <c r="AO10" s="40"/>
      <c r="AP10" s="31"/>
      <c r="AQ10" s="31"/>
      <c r="AR10" s="196">
        <f t="shared" si="9"/>
        <v>0</v>
      </c>
      <c r="AS10" s="67">
        <v>39.230000000000004</v>
      </c>
      <c r="AT10" s="57">
        <f t="shared" si="10"/>
        <v>0</v>
      </c>
      <c r="AU10" s="34">
        <f t="shared" si="11"/>
        <v>0</v>
      </c>
      <c r="AW10" s="221"/>
      <c r="AX10" s="45" t="s">
        <v>31</v>
      </c>
      <c r="AY10" s="71">
        <v>60</v>
      </c>
      <c r="AZ10" s="36"/>
      <c r="BA10" s="40"/>
      <c r="BB10" s="31"/>
      <c r="BC10" s="31"/>
      <c r="BD10" s="196">
        <f t="shared" si="12"/>
        <v>0</v>
      </c>
      <c r="BE10" s="67">
        <v>39.230000000000004</v>
      </c>
      <c r="BF10" s="57">
        <f t="shared" si="13"/>
        <v>0</v>
      </c>
      <c r="BG10" s="34">
        <f t="shared" si="14"/>
        <v>0</v>
      </c>
      <c r="BI10" s="221"/>
      <c r="BJ10" s="45" t="s">
        <v>31</v>
      </c>
      <c r="BK10" s="71">
        <v>60</v>
      </c>
      <c r="BL10" s="36">
        <f t="shared" si="15"/>
        <v>0</v>
      </c>
      <c r="BM10" s="36">
        <f t="shared" si="15"/>
        <v>0</v>
      </c>
      <c r="BN10" s="31"/>
      <c r="BO10" s="36">
        <f t="shared" si="16"/>
        <v>0</v>
      </c>
      <c r="BP10" s="194">
        <f t="shared" si="17"/>
        <v>0</v>
      </c>
      <c r="BQ10" s="67">
        <v>39.230000000000004</v>
      </c>
      <c r="BR10" s="57">
        <f t="shared" si="18"/>
        <v>0</v>
      </c>
      <c r="BS10" s="34">
        <f t="shared" si="19"/>
        <v>0</v>
      </c>
      <c r="BT10" s="1">
        <f t="shared" si="20"/>
        <v>0</v>
      </c>
    </row>
    <row r="11" spans="1:73" ht="39.75" customHeight="1" thickBot="1" x14ac:dyDescent="0.55000000000000004">
      <c r="A11" s="221"/>
      <c r="B11" s="45" t="s">
        <v>272</v>
      </c>
      <c r="C11" s="122">
        <v>70</v>
      </c>
      <c r="D11" s="133">
        <v>1200</v>
      </c>
      <c r="E11" s="134"/>
      <c r="F11" s="135"/>
      <c r="G11" s="135"/>
      <c r="H11" s="131">
        <f t="shared" si="0"/>
        <v>1200</v>
      </c>
      <c r="I11" s="132">
        <v>166.93</v>
      </c>
      <c r="J11" s="123">
        <f t="shared" si="1"/>
        <v>200316</v>
      </c>
      <c r="K11" s="34">
        <f t="shared" si="2"/>
        <v>0</v>
      </c>
      <c r="M11" s="221"/>
      <c r="N11" s="45" t="s">
        <v>32</v>
      </c>
      <c r="O11" s="71">
        <v>60</v>
      </c>
      <c r="P11" s="39"/>
      <c r="Q11" s="40"/>
      <c r="R11" s="31"/>
      <c r="S11" s="31"/>
      <c r="T11" s="131">
        <f t="shared" si="3"/>
        <v>0</v>
      </c>
      <c r="U11" s="132">
        <v>39.230000000000004</v>
      </c>
      <c r="V11" s="151">
        <f t="shared" si="4"/>
        <v>0</v>
      </c>
      <c r="W11" s="34">
        <f t="shared" si="5"/>
        <v>0</v>
      </c>
      <c r="Y11" s="221"/>
      <c r="Z11" s="45" t="s">
        <v>32</v>
      </c>
      <c r="AA11" s="71">
        <v>60</v>
      </c>
      <c r="AB11" s="39"/>
      <c r="AC11" s="40"/>
      <c r="AD11" s="31"/>
      <c r="AE11" s="31"/>
      <c r="AF11" s="10">
        <f t="shared" si="6"/>
        <v>0</v>
      </c>
      <c r="AG11" s="67">
        <v>39.230000000000004</v>
      </c>
      <c r="AH11" s="217">
        <f t="shared" si="7"/>
        <v>0</v>
      </c>
      <c r="AI11" s="34">
        <f t="shared" si="8"/>
        <v>0</v>
      </c>
      <c r="AK11" s="221"/>
      <c r="AL11" s="45" t="s">
        <v>32</v>
      </c>
      <c r="AM11" s="71">
        <v>60</v>
      </c>
      <c r="AN11" s="39"/>
      <c r="AO11" s="40"/>
      <c r="AP11" s="31"/>
      <c r="AQ11" s="31"/>
      <c r="AR11" s="196">
        <f t="shared" si="9"/>
        <v>0</v>
      </c>
      <c r="AS11" s="67">
        <v>39.230000000000004</v>
      </c>
      <c r="AT11" s="57">
        <f t="shared" si="10"/>
        <v>0</v>
      </c>
      <c r="AU11" s="34">
        <f t="shared" si="11"/>
        <v>0</v>
      </c>
      <c r="AW11" s="221"/>
      <c r="AX11" s="45" t="s">
        <v>32</v>
      </c>
      <c r="AY11" s="71">
        <v>60</v>
      </c>
      <c r="AZ11" s="39"/>
      <c r="BA11" s="40"/>
      <c r="BB11" s="31"/>
      <c r="BC11" s="31"/>
      <c r="BD11" s="196">
        <f t="shared" si="12"/>
        <v>0</v>
      </c>
      <c r="BE11" s="67">
        <v>39.230000000000004</v>
      </c>
      <c r="BF11" s="57">
        <f t="shared" si="13"/>
        <v>0</v>
      </c>
      <c r="BG11" s="34">
        <f t="shared" si="14"/>
        <v>0</v>
      </c>
      <c r="BI11" s="221"/>
      <c r="BJ11" s="45" t="s">
        <v>32</v>
      </c>
      <c r="BK11" s="71">
        <v>60</v>
      </c>
      <c r="BL11" s="36">
        <f t="shared" si="15"/>
        <v>1200</v>
      </c>
      <c r="BM11" s="36">
        <f t="shared" si="15"/>
        <v>0</v>
      </c>
      <c r="BN11" s="31"/>
      <c r="BO11" s="36">
        <f t="shared" si="16"/>
        <v>0</v>
      </c>
      <c r="BP11" s="194">
        <f t="shared" si="17"/>
        <v>1200</v>
      </c>
      <c r="BQ11" s="67">
        <v>39.230000000000004</v>
      </c>
      <c r="BR11" s="57">
        <f t="shared" si="18"/>
        <v>47076.000000000007</v>
      </c>
      <c r="BS11" s="34">
        <f t="shared" si="19"/>
        <v>0</v>
      </c>
      <c r="BT11" s="1">
        <f t="shared" si="20"/>
        <v>30</v>
      </c>
    </row>
    <row r="12" spans="1:73" ht="39.75" customHeight="1" x14ac:dyDescent="0.5">
      <c r="A12" s="222"/>
      <c r="B12" s="45" t="s">
        <v>33</v>
      </c>
      <c r="C12" s="122">
        <v>60</v>
      </c>
      <c r="D12" s="133"/>
      <c r="E12" s="134"/>
      <c r="F12" s="135"/>
      <c r="G12" s="135"/>
      <c r="H12" s="131">
        <f t="shared" si="0"/>
        <v>0</v>
      </c>
      <c r="I12" s="132">
        <v>39.230000000000004</v>
      </c>
      <c r="J12" s="123">
        <f t="shared" si="1"/>
        <v>0</v>
      </c>
      <c r="K12" s="34">
        <f t="shared" si="2"/>
        <v>0</v>
      </c>
      <c r="M12" s="222"/>
      <c r="N12" s="45" t="s">
        <v>33</v>
      </c>
      <c r="O12" s="71">
        <v>60</v>
      </c>
      <c r="P12" s="39"/>
      <c r="Q12" s="40"/>
      <c r="R12" s="31"/>
      <c r="S12" s="31"/>
      <c r="T12" s="131">
        <f t="shared" si="3"/>
        <v>0</v>
      </c>
      <c r="U12" s="132">
        <v>39.230000000000004</v>
      </c>
      <c r="V12" s="151">
        <f t="shared" si="4"/>
        <v>0</v>
      </c>
      <c r="W12" s="34">
        <f t="shared" si="5"/>
        <v>0</v>
      </c>
      <c r="Y12" s="222"/>
      <c r="Z12" s="45" t="s">
        <v>33</v>
      </c>
      <c r="AA12" s="71">
        <v>60</v>
      </c>
      <c r="AB12" s="39"/>
      <c r="AC12" s="40"/>
      <c r="AD12" s="31"/>
      <c r="AE12" s="31"/>
      <c r="AF12" s="10">
        <f t="shared" si="6"/>
        <v>0</v>
      </c>
      <c r="AG12" s="67">
        <v>39.230000000000004</v>
      </c>
      <c r="AH12" s="217">
        <f t="shared" si="7"/>
        <v>0</v>
      </c>
      <c r="AI12" s="34">
        <f t="shared" si="8"/>
        <v>0</v>
      </c>
      <c r="AK12" s="222"/>
      <c r="AL12" s="45" t="s">
        <v>33</v>
      </c>
      <c r="AM12" s="71">
        <v>60</v>
      </c>
      <c r="AN12" s="39"/>
      <c r="AO12" s="40"/>
      <c r="AP12" s="31"/>
      <c r="AQ12" s="31"/>
      <c r="AR12" s="196">
        <f t="shared" si="9"/>
        <v>0</v>
      </c>
      <c r="AS12" s="67">
        <v>39.230000000000004</v>
      </c>
      <c r="AT12" s="57">
        <f t="shared" si="10"/>
        <v>0</v>
      </c>
      <c r="AU12" s="34">
        <f t="shared" si="11"/>
        <v>0</v>
      </c>
      <c r="AW12" s="222"/>
      <c r="AX12" s="45" t="s">
        <v>33</v>
      </c>
      <c r="AY12" s="71">
        <v>60</v>
      </c>
      <c r="AZ12" s="39"/>
      <c r="BA12" s="40"/>
      <c r="BB12" s="31"/>
      <c r="BC12" s="31"/>
      <c r="BD12" s="194">
        <f t="shared" si="12"/>
        <v>0</v>
      </c>
      <c r="BE12" s="67">
        <v>39.230000000000004</v>
      </c>
      <c r="BF12" s="57">
        <f t="shared" si="13"/>
        <v>0</v>
      </c>
      <c r="BG12" s="34">
        <f t="shared" si="14"/>
        <v>0</v>
      </c>
      <c r="BI12" s="222"/>
      <c r="BJ12" s="45" t="s">
        <v>33</v>
      </c>
      <c r="BK12" s="71">
        <v>60</v>
      </c>
      <c r="BL12" s="36">
        <f t="shared" si="15"/>
        <v>0</v>
      </c>
      <c r="BM12" s="36">
        <f t="shared" si="15"/>
        <v>0</v>
      </c>
      <c r="BN12" s="31"/>
      <c r="BO12" s="36">
        <f t="shared" si="16"/>
        <v>0</v>
      </c>
      <c r="BP12" s="194">
        <f t="shared" si="17"/>
        <v>0</v>
      </c>
      <c r="BQ12" s="67">
        <v>39.230000000000004</v>
      </c>
      <c r="BR12" s="57">
        <f t="shared" si="18"/>
        <v>0</v>
      </c>
      <c r="BS12" s="34">
        <f t="shared" si="19"/>
        <v>0</v>
      </c>
      <c r="BT12" s="1">
        <f>SUM(BT4:BT11)</f>
        <v>369.3</v>
      </c>
    </row>
    <row r="13" spans="1:73" ht="39.75" customHeight="1" thickBot="1" x14ac:dyDescent="0.45">
      <c r="A13" s="12"/>
      <c r="B13" s="11"/>
      <c r="C13" s="142"/>
      <c r="D13" s="143">
        <f>SUM(D4:D12)</f>
        <v>11200</v>
      </c>
      <c r="E13" s="143">
        <f>SUM(E4:E12)</f>
        <v>0</v>
      </c>
      <c r="F13" s="143">
        <f>SUM(F4:F12)</f>
        <v>0</v>
      </c>
      <c r="G13" s="143">
        <f>SUM(G4:G12)</f>
        <v>0</v>
      </c>
      <c r="H13" s="143">
        <f>SUM(H4:H12)</f>
        <v>11200</v>
      </c>
      <c r="I13" s="142"/>
      <c r="J13" s="127">
        <f>SUM(J4:J12)</f>
        <v>886361</v>
      </c>
      <c r="K13" s="35">
        <f>SUM(K4:K12)</f>
        <v>0</v>
      </c>
      <c r="M13" s="98"/>
      <c r="N13" s="99"/>
      <c r="O13" s="99"/>
      <c r="P13" s="100">
        <f>SUM(P4:P12)</f>
        <v>1055</v>
      </c>
      <c r="Q13" s="100">
        <f>SUM(Q4:Q12)</f>
        <v>242</v>
      </c>
      <c r="R13" s="13">
        <f>SUM(R4:R12)</f>
        <v>0</v>
      </c>
      <c r="S13" s="13">
        <f>SUM(S4:S12)</f>
        <v>0</v>
      </c>
      <c r="T13" s="13">
        <f>SUM(T4:T12)</f>
        <v>813</v>
      </c>
      <c r="U13" s="11"/>
      <c r="V13" s="59">
        <f>SUM(V4:V12)</f>
        <v>57442.12</v>
      </c>
      <c r="W13" s="35">
        <f>SUM(W4:W12)</f>
        <v>0</v>
      </c>
      <c r="Y13" s="12"/>
      <c r="Z13" s="11"/>
      <c r="AA13" s="11"/>
      <c r="AB13" s="13">
        <f>SUM(AB4:AB12)</f>
        <v>2840</v>
      </c>
      <c r="AC13" s="13">
        <f>SUM(AC4:AC12)</f>
        <v>81</v>
      </c>
      <c r="AD13" s="13">
        <f>SUM(AD4:AD12)</f>
        <v>0</v>
      </c>
      <c r="AE13" s="13">
        <f>SUM(AE4:AE12)</f>
        <v>0</v>
      </c>
      <c r="AF13" s="13">
        <f>SUM(AF4:AF12)</f>
        <v>2759</v>
      </c>
      <c r="AG13" s="11"/>
      <c r="AH13" s="59">
        <f>SUM(AH4:AH12)</f>
        <v>191555.83750000002</v>
      </c>
      <c r="AI13" s="35">
        <f>SUM(AI4:AI12)</f>
        <v>0</v>
      </c>
      <c r="AK13" s="12"/>
      <c r="AL13" s="11"/>
      <c r="AM13" s="11"/>
      <c r="AN13" s="13">
        <f>SUM(AN4:AN12)</f>
        <v>0</v>
      </c>
      <c r="AO13" s="13">
        <f>SUM(AO4:AO12)</f>
        <v>0</v>
      </c>
      <c r="AP13" s="13">
        <f>SUM(AP4:AP12)</f>
        <v>0</v>
      </c>
      <c r="AQ13" s="13">
        <f>SUM(AQ4:AQ12)</f>
        <v>0</v>
      </c>
      <c r="AR13" s="13">
        <f>SUM(AR4:AR12)</f>
        <v>0</v>
      </c>
      <c r="AS13" s="11"/>
      <c r="AT13" s="59">
        <f>SUM(AT4:AT12)</f>
        <v>0</v>
      </c>
      <c r="AU13" s="35">
        <f>SUM(AU4:AU12)</f>
        <v>0</v>
      </c>
      <c r="AW13" s="12"/>
      <c r="AX13" s="11"/>
      <c r="AY13" s="11"/>
      <c r="AZ13" s="13">
        <f>SUM(AZ4:AZ12)</f>
        <v>0</v>
      </c>
      <c r="BA13" s="13">
        <f>SUM(BA4:BA12)</f>
        <v>0</v>
      </c>
      <c r="BB13" s="13">
        <f>SUM(BB4:BB12)</f>
        <v>0</v>
      </c>
      <c r="BC13" s="13">
        <f>SUM(BC4:BC12)</f>
        <v>0</v>
      </c>
      <c r="BD13" s="13">
        <f>SUM(BD4:BD12)</f>
        <v>0</v>
      </c>
      <c r="BE13" s="11"/>
      <c r="BF13" s="59">
        <f>SUM(BF4:BF12)</f>
        <v>0</v>
      </c>
      <c r="BG13" s="35">
        <f>SUM(BG4:BG12)</f>
        <v>0</v>
      </c>
      <c r="BI13" s="12"/>
      <c r="BJ13" s="11"/>
      <c r="BK13" s="11"/>
      <c r="BL13" s="13">
        <f>SUM(BL4:BL12)</f>
        <v>15095</v>
      </c>
      <c r="BM13" s="13">
        <f>SUM(BM4:BM12)</f>
        <v>323</v>
      </c>
      <c r="BN13" s="13">
        <f>SUM(BN4:BN12)</f>
        <v>0</v>
      </c>
      <c r="BO13" s="13">
        <f>SUM(BO4:BO12)</f>
        <v>0</v>
      </c>
      <c r="BP13" s="13">
        <f>SUM(BP4:BP12)</f>
        <v>14772</v>
      </c>
      <c r="BQ13" s="11"/>
      <c r="BR13" s="59">
        <f>SUM(BR4:BR12)</f>
        <v>982118.95750000002</v>
      </c>
      <c r="BS13" s="35">
        <f>SUM(BS4:BS12)</f>
        <v>0</v>
      </c>
    </row>
    <row r="14" spans="1:73" ht="33" customHeight="1" x14ac:dyDescent="0.45">
      <c r="A14" s="14"/>
      <c r="B14" s="15"/>
      <c r="C14" s="15"/>
      <c r="D14" s="16"/>
      <c r="E14" s="17"/>
      <c r="F14" s="226" t="s">
        <v>38</v>
      </c>
      <c r="G14" s="227"/>
      <c r="H14" s="227"/>
      <c r="I14" s="228"/>
      <c r="J14" s="48">
        <v>166271</v>
      </c>
      <c r="K14" s="29"/>
      <c r="M14" s="230"/>
      <c r="N14" s="231"/>
      <c r="O14" s="231"/>
      <c r="P14" s="231"/>
      <c r="Q14" s="232"/>
      <c r="R14" s="226" t="s">
        <v>38</v>
      </c>
      <c r="S14" s="227"/>
      <c r="T14" s="227"/>
      <c r="U14" s="228"/>
      <c r="V14" s="48">
        <f>3897+6958-55</f>
        <v>10800</v>
      </c>
      <c r="W14" s="29"/>
      <c r="Y14" s="14"/>
      <c r="Z14" s="15"/>
      <c r="AA14" s="15"/>
      <c r="AB14" s="16"/>
      <c r="AC14" s="17"/>
      <c r="AD14" s="226" t="s">
        <v>38</v>
      </c>
      <c r="AE14" s="227"/>
      <c r="AF14" s="227"/>
      <c r="AG14" s="228"/>
      <c r="AH14" s="48">
        <f>3294+17694+2593+1647</f>
        <v>25228</v>
      </c>
      <c r="AI14" s="29">
        <f>+AH22</f>
        <v>-0.16249999997671694</v>
      </c>
      <c r="AK14" s="14"/>
      <c r="AL14" s="15"/>
      <c r="AM14" s="15"/>
      <c r="AN14" s="16"/>
      <c r="AO14" s="17"/>
      <c r="AP14" s="226" t="s">
        <v>38</v>
      </c>
      <c r="AQ14" s="227"/>
      <c r="AR14" s="227"/>
      <c r="AS14" s="228"/>
      <c r="AT14" s="179"/>
      <c r="AU14" s="29">
        <f>+AT22</f>
        <v>0</v>
      </c>
      <c r="AW14" s="14"/>
      <c r="AX14" s="15"/>
      <c r="AY14" s="15"/>
      <c r="AZ14" s="16"/>
      <c r="BA14" s="17"/>
      <c r="BB14" s="226" t="s">
        <v>38</v>
      </c>
      <c r="BC14" s="227"/>
      <c r="BD14" s="227"/>
      <c r="BE14" s="228"/>
      <c r="BF14" s="53"/>
      <c r="BG14" s="29"/>
      <c r="BI14" s="14"/>
      <c r="BJ14" s="15"/>
      <c r="BK14" s="15"/>
      <c r="BL14" s="16"/>
      <c r="BM14" s="17"/>
      <c r="BN14" s="226" t="s">
        <v>38</v>
      </c>
      <c r="BO14" s="227"/>
      <c r="BP14" s="227"/>
      <c r="BQ14" s="228"/>
      <c r="BR14" s="53">
        <f t="shared" ref="BR14:BR21" si="21">+J14+V14+AH14+AT14+BF14</f>
        <v>202299</v>
      </c>
      <c r="BS14" s="29">
        <f>+BR22</f>
        <v>-146627.04249999998</v>
      </c>
      <c r="BU14" s="1">
        <f>BP13/40</f>
        <v>369.3</v>
      </c>
    </row>
    <row r="15" spans="1:73" ht="33" customHeight="1" x14ac:dyDescent="0.45">
      <c r="A15" s="106" t="s">
        <v>47</v>
      </c>
      <c r="B15" s="107" t="s">
        <v>48</v>
      </c>
      <c r="C15" s="107" t="s">
        <v>49</v>
      </c>
      <c r="D15" s="105" t="s">
        <v>50</v>
      </c>
      <c r="E15" s="105" t="s">
        <v>51</v>
      </c>
      <c r="F15" s="224" t="s">
        <v>10</v>
      </c>
      <c r="G15" s="225"/>
      <c r="H15" s="225"/>
      <c r="I15" s="229"/>
      <c r="J15" s="48">
        <v>24011</v>
      </c>
      <c r="K15" s="29"/>
      <c r="M15" s="106" t="s">
        <v>47</v>
      </c>
      <c r="N15" s="107" t="s">
        <v>48</v>
      </c>
      <c r="O15" s="107" t="s">
        <v>49</v>
      </c>
      <c r="P15" s="105" t="s">
        <v>50</v>
      </c>
      <c r="Q15" s="105" t="s">
        <v>51</v>
      </c>
      <c r="R15" s="224" t="s">
        <v>10</v>
      </c>
      <c r="S15" s="225"/>
      <c r="T15" s="225"/>
      <c r="U15" s="229"/>
      <c r="V15" s="48">
        <f>721+1288</f>
        <v>2009</v>
      </c>
      <c r="W15" s="28"/>
      <c r="Y15" s="106" t="s">
        <v>47</v>
      </c>
      <c r="Z15" s="107" t="s">
        <v>48</v>
      </c>
      <c r="AA15" s="107" t="s">
        <v>49</v>
      </c>
      <c r="AB15" s="105" t="s">
        <v>50</v>
      </c>
      <c r="AC15" s="105" t="s">
        <v>51</v>
      </c>
      <c r="AD15" s="224" t="s">
        <v>10</v>
      </c>
      <c r="AE15" s="225"/>
      <c r="AF15" s="225"/>
      <c r="AG15" s="229"/>
      <c r="AH15" s="48">
        <f>480</f>
        <v>480</v>
      </c>
      <c r="AK15" s="106" t="s">
        <v>47</v>
      </c>
      <c r="AL15" s="107" t="s">
        <v>48</v>
      </c>
      <c r="AM15" s="107" t="s">
        <v>49</v>
      </c>
      <c r="AN15" s="105" t="s">
        <v>50</v>
      </c>
      <c r="AO15" s="105" t="s">
        <v>51</v>
      </c>
      <c r="AP15" s="224" t="s">
        <v>10</v>
      </c>
      <c r="AQ15" s="225"/>
      <c r="AR15" s="225"/>
      <c r="AS15" s="229"/>
      <c r="AT15" s="48"/>
      <c r="AU15" s="29"/>
      <c r="AW15" s="106" t="s">
        <v>47</v>
      </c>
      <c r="AX15" s="107" t="s">
        <v>48</v>
      </c>
      <c r="AY15" s="107" t="s">
        <v>49</v>
      </c>
      <c r="AZ15" s="105" t="s">
        <v>50</v>
      </c>
      <c r="BA15" s="105" t="s">
        <v>51</v>
      </c>
      <c r="BB15" s="224" t="s">
        <v>10</v>
      </c>
      <c r="BC15" s="225"/>
      <c r="BD15" s="225"/>
      <c r="BE15" s="229"/>
      <c r="BF15" s="48"/>
      <c r="BI15" s="18"/>
      <c r="BJ15" s="55"/>
      <c r="BK15" s="55"/>
      <c r="BL15" s="61"/>
      <c r="BM15" s="20"/>
      <c r="BN15" s="224" t="s">
        <v>10</v>
      </c>
      <c r="BO15" s="225"/>
      <c r="BP15" s="225"/>
      <c r="BQ15" s="229"/>
      <c r="BR15" s="53">
        <f t="shared" si="21"/>
        <v>26500</v>
      </c>
    </row>
    <row r="16" spans="1:73" ht="33" customHeight="1" x14ac:dyDescent="0.45">
      <c r="A16" s="103"/>
      <c r="B16" s="104"/>
      <c r="C16" s="104"/>
      <c r="D16" s="104"/>
      <c r="E16" s="105">
        <f t="shared" ref="E16:E22" si="22">D16-C16</f>
        <v>0</v>
      </c>
      <c r="F16" s="224" t="s">
        <v>44</v>
      </c>
      <c r="G16" s="225"/>
      <c r="H16" s="225"/>
      <c r="I16" s="51">
        <f>+J16/J13</f>
        <v>0.15880549798558374</v>
      </c>
      <c r="J16" s="49">
        <v>140759</v>
      </c>
      <c r="K16" s="168"/>
      <c r="M16" s="103"/>
      <c r="N16" s="108"/>
      <c r="O16" s="109"/>
      <c r="P16" s="109"/>
      <c r="Q16" s="105">
        <f t="shared" ref="Q16:Q22" si="23">P16-O16</f>
        <v>0</v>
      </c>
      <c r="R16" s="224" t="s">
        <v>44</v>
      </c>
      <c r="S16" s="225"/>
      <c r="T16" s="225"/>
      <c r="U16" s="51">
        <f>+V16/V13</f>
        <v>8.1995580943043184E-2</v>
      </c>
      <c r="V16" s="49">
        <f>1765+2945</f>
        <v>4710</v>
      </c>
      <c r="W16" s="165"/>
      <c r="Y16" s="103"/>
      <c r="Z16" s="108"/>
      <c r="AA16" s="109"/>
      <c r="AB16" s="109"/>
      <c r="AC16" s="105">
        <f t="shared" ref="AC16:AC22" si="24">AB16-AA16</f>
        <v>0</v>
      </c>
      <c r="AD16" s="224" t="s">
        <v>44</v>
      </c>
      <c r="AE16" s="225"/>
      <c r="AF16" s="225"/>
      <c r="AG16" s="51">
        <f>+AH16/AH13</f>
        <v>9.6191273732391461E-2</v>
      </c>
      <c r="AH16" s="49">
        <f>2092+13107+1920+1307</f>
        <v>18426</v>
      </c>
      <c r="AI16" s="30"/>
      <c r="AK16" s="95"/>
      <c r="AL16" s="90"/>
      <c r="AM16" s="109"/>
      <c r="AN16" s="114"/>
      <c r="AO16" s="105">
        <f t="shared" ref="AO16:AO22" si="25">AN16-AM16</f>
        <v>0</v>
      </c>
      <c r="AP16" s="224" t="s">
        <v>44</v>
      </c>
      <c r="AQ16" s="225"/>
      <c r="AR16" s="225"/>
      <c r="AS16" s="51" t="e">
        <f>+AT16/AT13</f>
        <v>#DIV/0!</v>
      </c>
      <c r="AT16" s="49"/>
      <c r="AU16" s="30"/>
      <c r="AW16" s="95"/>
      <c r="AX16" s="90"/>
      <c r="AY16" s="109"/>
      <c r="AZ16" s="114"/>
      <c r="BA16" s="105">
        <f t="shared" ref="BA16:BA22" si="26">AZ16-AY16</f>
        <v>0</v>
      </c>
      <c r="BB16" s="224" t="s">
        <v>44</v>
      </c>
      <c r="BC16" s="225"/>
      <c r="BD16" s="225"/>
      <c r="BE16" s="51" t="e">
        <f>+BF16/BF13</f>
        <v>#DIV/0!</v>
      </c>
      <c r="BF16" s="49"/>
      <c r="BG16" s="30"/>
      <c r="BI16" s="18"/>
      <c r="BJ16" s="33"/>
      <c r="BK16" s="33"/>
      <c r="BL16" s="68"/>
      <c r="BM16" s="62"/>
      <c r="BN16" s="224" t="s">
        <v>44</v>
      </c>
      <c r="BO16" s="225"/>
      <c r="BP16" s="225"/>
      <c r="BQ16" s="51">
        <f>+BR16/BR13</f>
        <v>0.16687896995410559</v>
      </c>
      <c r="BR16" s="53">
        <f t="shared" si="21"/>
        <v>163895</v>
      </c>
      <c r="BS16" s="30"/>
    </row>
    <row r="17" spans="1:71" ht="33" customHeight="1" x14ac:dyDescent="0.45">
      <c r="A17" s="103"/>
      <c r="B17" s="144"/>
      <c r="C17" s="110"/>
      <c r="D17" s="110"/>
      <c r="E17" s="105">
        <f t="shared" si="22"/>
        <v>0</v>
      </c>
      <c r="F17" s="224" t="s">
        <v>20</v>
      </c>
      <c r="G17" s="225"/>
      <c r="H17" s="225"/>
      <c r="I17" s="229"/>
      <c r="J17" s="48">
        <v>4406</v>
      </c>
      <c r="M17" s="95"/>
      <c r="N17" s="90"/>
      <c r="O17" s="90"/>
      <c r="P17" s="91"/>
      <c r="Q17" s="105">
        <f t="shared" si="23"/>
        <v>0</v>
      </c>
      <c r="R17" s="224" t="s">
        <v>20</v>
      </c>
      <c r="S17" s="225"/>
      <c r="T17" s="225"/>
      <c r="U17" s="229"/>
      <c r="V17" s="48">
        <f>110+197</f>
        <v>307</v>
      </c>
      <c r="W17" s="178"/>
      <c r="Y17" s="103"/>
      <c r="Z17" s="108"/>
      <c r="AA17" s="108"/>
      <c r="AB17" s="115"/>
      <c r="AC17" s="105">
        <f t="shared" si="24"/>
        <v>0</v>
      </c>
      <c r="AD17" s="224" t="s">
        <v>20</v>
      </c>
      <c r="AE17" s="225"/>
      <c r="AF17" s="225"/>
      <c r="AG17" s="229"/>
      <c r="AH17" s="48">
        <f>93+491+69+45</f>
        <v>698</v>
      </c>
      <c r="AI17" s="29"/>
      <c r="AK17" s="95"/>
      <c r="AL17" s="90"/>
      <c r="AM17" s="90"/>
      <c r="AN17" s="97"/>
      <c r="AO17" s="105">
        <f t="shared" si="25"/>
        <v>0</v>
      </c>
      <c r="AP17" s="224" t="s">
        <v>20</v>
      </c>
      <c r="AQ17" s="225"/>
      <c r="AR17" s="225"/>
      <c r="AS17" s="229"/>
      <c r="AT17" s="48"/>
      <c r="AW17" s="95"/>
      <c r="AX17" s="90"/>
      <c r="AY17" s="108"/>
      <c r="AZ17" s="115"/>
      <c r="BA17" s="105">
        <f t="shared" si="26"/>
        <v>0</v>
      </c>
      <c r="BB17" s="224" t="s">
        <v>20</v>
      </c>
      <c r="BC17" s="225"/>
      <c r="BD17" s="225"/>
      <c r="BE17" s="229"/>
      <c r="BF17" s="48"/>
      <c r="BI17" s="18"/>
      <c r="BJ17" s="33"/>
      <c r="BK17" s="33"/>
      <c r="BL17" s="32"/>
      <c r="BM17" s="54"/>
      <c r="BN17" s="224" t="s">
        <v>20</v>
      </c>
      <c r="BO17" s="225"/>
      <c r="BP17" s="225"/>
      <c r="BQ17" s="229"/>
      <c r="BR17" s="53">
        <f t="shared" si="21"/>
        <v>5411</v>
      </c>
    </row>
    <row r="18" spans="1:71" ht="33" customHeight="1" x14ac:dyDescent="0.45">
      <c r="A18" s="103"/>
      <c r="B18" s="144"/>
      <c r="C18" s="110"/>
      <c r="D18" s="110"/>
      <c r="E18" s="105">
        <f t="shared" si="22"/>
        <v>0</v>
      </c>
      <c r="F18" s="224" t="s">
        <v>23</v>
      </c>
      <c r="G18" s="225"/>
      <c r="H18" s="225"/>
      <c r="I18" s="229"/>
      <c r="J18" s="48">
        <f>+J35</f>
        <v>0</v>
      </c>
      <c r="M18" s="95"/>
      <c r="N18" s="90"/>
      <c r="O18" s="90"/>
      <c r="P18" s="91"/>
      <c r="Q18" s="105">
        <f t="shared" si="23"/>
        <v>0</v>
      </c>
      <c r="R18" s="224" t="s">
        <v>23</v>
      </c>
      <c r="S18" s="225"/>
      <c r="T18" s="225"/>
      <c r="U18" s="229"/>
      <c r="V18" s="48">
        <f>+V35</f>
        <v>61830</v>
      </c>
      <c r="W18" s="178"/>
      <c r="Y18" s="103"/>
      <c r="Z18" s="108"/>
      <c r="AA18" s="108"/>
      <c r="AB18" s="115"/>
      <c r="AC18" s="105">
        <f t="shared" si="24"/>
        <v>0</v>
      </c>
      <c r="AD18" s="224" t="s">
        <v>23</v>
      </c>
      <c r="AE18" s="225"/>
      <c r="AF18" s="225"/>
      <c r="AG18" s="229"/>
      <c r="AH18" s="48">
        <f>+AH35</f>
        <v>113111</v>
      </c>
      <c r="AK18" s="95"/>
      <c r="AL18" s="90"/>
      <c r="AM18" s="90"/>
      <c r="AN18" s="97"/>
      <c r="AO18" s="105">
        <f t="shared" si="25"/>
        <v>0</v>
      </c>
      <c r="AP18" s="224" t="s">
        <v>23</v>
      </c>
      <c r="AQ18" s="225"/>
      <c r="AR18" s="225"/>
      <c r="AS18" s="229"/>
      <c r="AT18" s="48">
        <f>+AT35</f>
        <v>0</v>
      </c>
      <c r="AW18" s="95"/>
      <c r="AX18" s="90"/>
      <c r="AY18" s="108"/>
      <c r="AZ18" s="115"/>
      <c r="BA18" s="105">
        <f t="shared" si="26"/>
        <v>0</v>
      </c>
      <c r="BB18" s="224" t="s">
        <v>23</v>
      </c>
      <c r="BC18" s="225"/>
      <c r="BD18" s="225"/>
      <c r="BE18" s="229"/>
      <c r="BF18" s="48">
        <f>+BF35</f>
        <v>0</v>
      </c>
      <c r="BI18" s="18"/>
      <c r="BJ18" s="33"/>
      <c r="BK18" s="33"/>
      <c r="BL18" s="32"/>
      <c r="BM18" s="20"/>
      <c r="BN18" s="224" t="s">
        <v>23</v>
      </c>
      <c r="BO18" s="225"/>
      <c r="BP18" s="225"/>
      <c r="BQ18" s="229"/>
      <c r="BR18" s="53">
        <f t="shared" si="21"/>
        <v>174941</v>
      </c>
    </row>
    <row r="19" spans="1:71" ht="33" customHeight="1" x14ac:dyDescent="0.45">
      <c r="A19" s="103"/>
      <c r="B19" s="104"/>
      <c r="C19" s="108"/>
      <c r="D19" s="110"/>
      <c r="E19" s="105">
        <f t="shared" si="22"/>
        <v>0</v>
      </c>
      <c r="F19" s="224" t="s">
        <v>11</v>
      </c>
      <c r="G19" s="225"/>
      <c r="H19" s="225"/>
      <c r="I19" s="229"/>
      <c r="J19" s="48">
        <f>+C35</f>
        <v>885655</v>
      </c>
      <c r="M19" s="95"/>
      <c r="N19" s="90"/>
      <c r="O19" s="90"/>
      <c r="P19" s="91"/>
      <c r="Q19" s="105">
        <f t="shared" si="23"/>
        <v>0</v>
      </c>
      <c r="R19" s="224" t="s">
        <v>11</v>
      </c>
      <c r="S19" s="225"/>
      <c r="T19" s="225"/>
      <c r="U19" s="229"/>
      <c r="V19" s="48">
        <f>+O35</f>
        <v>0</v>
      </c>
      <c r="Y19" s="103"/>
      <c r="Z19" s="108"/>
      <c r="AA19" s="108"/>
      <c r="AB19" s="115"/>
      <c r="AC19" s="105">
        <f t="shared" si="24"/>
        <v>0</v>
      </c>
      <c r="AD19" s="224" t="s">
        <v>11</v>
      </c>
      <c r="AE19" s="225"/>
      <c r="AF19" s="225"/>
      <c r="AG19" s="229"/>
      <c r="AH19" s="48">
        <f>+AA35</f>
        <v>85465</v>
      </c>
      <c r="AK19" s="95"/>
      <c r="AL19" s="90"/>
      <c r="AM19" s="90"/>
      <c r="AN19" s="97"/>
      <c r="AO19" s="105">
        <f t="shared" si="25"/>
        <v>0</v>
      </c>
      <c r="AP19" s="224" t="s">
        <v>11</v>
      </c>
      <c r="AQ19" s="225"/>
      <c r="AR19" s="225"/>
      <c r="AS19" s="229"/>
      <c r="AT19" s="48">
        <f>+AM35</f>
        <v>0</v>
      </c>
      <c r="AW19" s="95"/>
      <c r="AX19" s="90"/>
      <c r="AY19" s="108"/>
      <c r="AZ19" s="115"/>
      <c r="BA19" s="105">
        <f t="shared" si="26"/>
        <v>0</v>
      </c>
      <c r="BB19" s="224" t="s">
        <v>11</v>
      </c>
      <c r="BC19" s="225"/>
      <c r="BD19" s="225"/>
      <c r="BE19" s="229"/>
      <c r="BF19" s="48">
        <f>+AY35</f>
        <v>0</v>
      </c>
      <c r="BI19" s="18"/>
      <c r="BJ19" s="33" t="s">
        <v>52</v>
      </c>
      <c r="BK19" s="33"/>
      <c r="BL19" s="32"/>
      <c r="BM19" s="20"/>
      <c r="BN19" s="224" t="s">
        <v>11</v>
      </c>
      <c r="BO19" s="225"/>
      <c r="BP19" s="225"/>
      <c r="BQ19" s="229"/>
      <c r="BR19" s="53">
        <f t="shared" si="21"/>
        <v>971120</v>
      </c>
      <c r="BS19" s="207"/>
    </row>
    <row r="20" spans="1:71" ht="33" customHeight="1" x14ac:dyDescent="0.5">
      <c r="A20" s="103"/>
      <c r="B20" s="104"/>
      <c r="C20" s="108"/>
      <c r="D20" s="112"/>
      <c r="E20" s="105">
        <f t="shared" si="22"/>
        <v>0</v>
      </c>
      <c r="F20" s="224" t="s">
        <v>35</v>
      </c>
      <c r="G20" s="225"/>
      <c r="H20" s="225"/>
      <c r="I20" s="229"/>
      <c r="J20" s="50"/>
      <c r="M20" s="95"/>
      <c r="N20" s="90"/>
      <c r="O20" s="90"/>
      <c r="P20" s="91"/>
      <c r="Q20" s="105">
        <f t="shared" si="23"/>
        <v>0</v>
      </c>
      <c r="R20" s="224" t="s">
        <v>35</v>
      </c>
      <c r="S20" s="225"/>
      <c r="T20" s="225"/>
      <c r="U20" s="229"/>
      <c r="V20" s="50"/>
      <c r="Y20" s="103"/>
      <c r="Z20" s="108"/>
      <c r="AA20" s="108"/>
      <c r="AB20" s="115"/>
      <c r="AC20" s="105">
        <f t="shared" si="24"/>
        <v>0</v>
      </c>
      <c r="AD20" s="224" t="s">
        <v>35</v>
      </c>
      <c r="AE20" s="225"/>
      <c r="AF20" s="225"/>
      <c r="AG20" s="229"/>
      <c r="AH20" s="50">
        <v>0</v>
      </c>
      <c r="AK20" s="95"/>
      <c r="AL20" s="90"/>
      <c r="AM20" s="90"/>
      <c r="AN20" s="97"/>
      <c r="AO20" s="105">
        <f t="shared" si="25"/>
        <v>0</v>
      </c>
      <c r="AP20" s="224" t="s">
        <v>35</v>
      </c>
      <c r="AQ20" s="225"/>
      <c r="AR20" s="225"/>
      <c r="AS20" s="229"/>
      <c r="AT20" s="50"/>
      <c r="AW20" s="95"/>
      <c r="AX20" s="90"/>
      <c r="AY20" s="108"/>
      <c r="AZ20" s="115"/>
      <c r="BA20" s="105">
        <f t="shared" si="26"/>
        <v>0</v>
      </c>
      <c r="BB20" s="224" t="s">
        <v>35</v>
      </c>
      <c r="BC20" s="225"/>
      <c r="BD20" s="225"/>
      <c r="BE20" s="229"/>
      <c r="BF20" s="50"/>
      <c r="BI20" s="18"/>
      <c r="BJ20" s="33"/>
      <c r="BK20" s="33"/>
      <c r="BL20" s="32"/>
      <c r="BM20" s="20"/>
      <c r="BN20" s="224" t="s">
        <v>35</v>
      </c>
      <c r="BO20" s="225"/>
      <c r="BP20" s="225"/>
      <c r="BQ20" s="229"/>
      <c r="BR20" s="53">
        <f t="shared" si="21"/>
        <v>0</v>
      </c>
    </row>
    <row r="21" spans="1:71" ht="33" customHeight="1" x14ac:dyDescent="0.5">
      <c r="A21" s="103"/>
      <c r="B21" s="104"/>
      <c r="C21" s="108"/>
      <c r="D21" s="113"/>
      <c r="E21" s="105">
        <f t="shared" si="22"/>
        <v>0</v>
      </c>
      <c r="F21" s="224" t="s">
        <v>41</v>
      </c>
      <c r="G21" s="225"/>
      <c r="H21" s="225"/>
      <c r="I21" s="229"/>
      <c r="J21" s="50"/>
      <c r="M21" s="95"/>
      <c r="N21" s="90"/>
      <c r="O21" s="90"/>
      <c r="P21" s="91"/>
      <c r="Q21" s="105">
        <f t="shared" si="23"/>
        <v>0</v>
      </c>
      <c r="R21" s="224" t="s">
        <v>42</v>
      </c>
      <c r="S21" s="225"/>
      <c r="T21" s="225"/>
      <c r="U21" s="229"/>
      <c r="V21" s="50"/>
      <c r="Y21" s="103"/>
      <c r="Z21" s="108"/>
      <c r="AA21" s="108"/>
      <c r="AB21" s="111"/>
      <c r="AC21" s="105">
        <f t="shared" si="24"/>
        <v>0</v>
      </c>
      <c r="AD21" s="224" t="s">
        <v>41</v>
      </c>
      <c r="AE21" s="225"/>
      <c r="AF21" s="225"/>
      <c r="AG21" s="229"/>
      <c r="AH21" s="50"/>
      <c r="AK21" s="95"/>
      <c r="AL21" s="90"/>
      <c r="AM21" s="90"/>
      <c r="AN21" s="96"/>
      <c r="AO21" s="105">
        <f t="shared" si="25"/>
        <v>0</v>
      </c>
      <c r="AP21" s="224" t="s">
        <v>41</v>
      </c>
      <c r="AQ21" s="225"/>
      <c r="AR21" s="225"/>
      <c r="AS21" s="229"/>
      <c r="AT21" s="50"/>
      <c r="AW21" s="95"/>
      <c r="AX21" s="90"/>
      <c r="AY21" s="108"/>
      <c r="AZ21" s="111"/>
      <c r="BA21" s="105">
        <f t="shared" si="26"/>
        <v>0</v>
      </c>
      <c r="BB21" s="224"/>
      <c r="BC21" s="225"/>
      <c r="BD21" s="225"/>
      <c r="BE21" s="229"/>
      <c r="BF21" s="50"/>
      <c r="BI21" s="18"/>
      <c r="BJ21" s="33"/>
      <c r="BK21" s="33"/>
      <c r="BL21" s="19"/>
      <c r="BM21" s="20"/>
      <c r="BN21" s="224"/>
      <c r="BO21" s="225"/>
      <c r="BP21" s="225"/>
      <c r="BQ21" s="229"/>
      <c r="BR21" s="53">
        <f t="shared" si="21"/>
        <v>0</v>
      </c>
    </row>
    <row r="22" spans="1:71" ht="33" customHeight="1" thickBot="1" x14ac:dyDescent="0.5">
      <c r="A22" s="103"/>
      <c r="B22" s="104"/>
      <c r="C22" s="103"/>
      <c r="D22" s="113"/>
      <c r="E22" s="105">
        <f t="shared" si="22"/>
        <v>0</v>
      </c>
      <c r="F22" s="233" t="s">
        <v>24</v>
      </c>
      <c r="G22" s="234"/>
      <c r="H22" s="234"/>
      <c r="I22" s="235"/>
      <c r="J22" s="69">
        <f>+J13-J15-J16-J19+J17+J14-J18-J20-J21</f>
        <v>6613</v>
      </c>
      <c r="K22" s="145"/>
      <c r="M22" s="95"/>
      <c r="N22" s="90"/>
      <c r="O22" s="90"/>
      <c r="P22" s="91"/>
      <c r="Q22" s="105">
        <f t="shared" si="23"/>
        <v>0</v>
      </c>
      <c r="R22" s="233" t="s">
        <v>24</v>
      </c>
      <c r="S22" s="234"/>
      <c r="T22" s="234"/>
      <c r="U22" s="235"/>
      <c r="V22" s="69">
        <f>+V13-V15-V16-V19+V17+V14-V18-V20-V21</f>
        <v>0.12000000000261934</v>
      </c>
      <c r="W22" s="145"/>
      <c r="X22" s="145"/>
      <c r="Y22" s="95"/>
      <c r="Z22" s="95"/>
      <c r="AA22" s="103"/>
      <c r="AB22" s="111"/>
      <c r="AC22" s="105">
        <f t="shared" si="24"/>
        <v>0</v>
      </c>
      <c r="AD22" s="233" t="s">
        <v>24</v>
      </c>
      <c r="AE22" s="234"/>
      <c r="AF22" s="234"/>
      <c r="AG22" s="235"/>
      <c r="AH22" s="69">
        <f>+AH13-AH15-AH16-AH19+AH17+AH14-AH18-AH20-AH21</f>
        <v>-0.16249999997671694</v>
      </c>
      <c r="AK22" s="95"/>
      <c r="AL22" s="95"/>
      <c r="AM22" s="95"/>
      <c r="AN22" s="96"/>
      <c r="AO22" s="105">
        <f t="shared" si="25"/>
        <v>0</v>
      </c>
      <c r="AP22" s="233" t="s">
        <v>24</v>
      </c>
      <c r="AQ22" s="234"/>
      <c r="AR22" s="234"/>
      <c r="AS22" s="235"/>
      <c r="AT22" s="69">
        <f>+AT13-AT15-AT16-AT19+AT17+AT14-AT18-AT20-AT21</f>
        <v>0</v>
      </c>
      <c r="AW22" s="95"/>
      <c r="AX22" s="95"/>
      <c r="AY22" s="103"/>
      <c r="AZ22" s="111"/>
      <c r="BA22" s="105">
        <f t="shared" si="26"/>
        <v>0</v>
      </c>
      <c r="BB22" s="233" t="s">
        <v>24</v>
      </c>
      <c r="BC22" s="234"/>
      <c r="BD22" s="234"/>
      <c r="BE22" s="235"/>
      <c r="BF22" s="69">
        <f>+BF13-BF15-BF16-BF19+BF17+BF14-BF18-BF20</f>
        <v>0</v>
      </c>
      <c r="BI22" s="22"/>
      <c r="BJ22" s="23"/>
      <c r="BK22" s="23"/>
      <c r="BL22" s="24"/>
      <c r="BM22" s="25"/>
      <c r="BN22" s="233" t="s">
        <v>24</v>
      </c>
      <c r="BO22" s="234"/>
      <c r="BP22" s="234"/>
      <c r="BQ22" s="235"/>
      <c r="BR22" s="69">
        <f>+BR13-BR15-BR16-BR19+BR17+BR14-BR18-BR20-BR21</f>
        <v>-146627.04249999998</v>
      </c>
    </row>
    <row r="23" spans="1:71" ht="33" customHeight="1" thickBot="1" x14ac:dyDescent="0.4">
      <c r="D23" s="26"/>
      <c r="E23" s="26"/>
      <c r="F23" s="27"/>
      <c r="G23" s="27"/>
      <c r="H23" s="26"/>
      <c r="J23" s="27"/>
      <c r="P23" s="26"/>
      <c r="Q23" s="26"/>
      <c r="R23" s="27"/>
      <c r="S23" s="27"/>
      <c r="T23" s="26"/>
      <c r="V23" s="27"/>
      <c r="W23" s="145"/>
      <c r="AB23" s="26"/>
      <c r="AC23" s="26"/>
      <c r="AD23" s="27"/>
      <c r="AE23" s="27"/>
      <c r="AF23" s="26"/>
      <c r="AH23" s="27"/>
      <c r="AN23" s="26"/>
      <c r="AO23" s="26"/>
      <c r="AP23" s="27"/>
      <c r="AQ23" s="27"/>
      <c r="AR23" s="26"/>
      <c r="AT23" s="27"/>
      <c r="AY23" s="116"/>
      <c r="AZ23" s="117"/>
      <c r="BA23" s="117"/>
      <c r="BB23" s="27"/>
      <c r="BC23" s="27"/>
      <c r="BD23" s="26"/>
      <c r="BF23" s="27"/>
      <c r="BL23" s="26"/>
      <c r="BM23" s="26"/>
      <c r="BN23" s="320" t="s">
        <v>55</v>
      </c>
      <c r="BO23" s="320"/>
      <c r="BP23" s="320"/>
      <c r="BQ23" s="321"/>
      <c r="BR23" s="201">
        <f>G35+S35+BV23+AE35+AQ35+BC35</f>
        <v>393</v>
      </c>
    </row>
    <row r="24" spans="1:71" ht="33" customHeight="1" x14ac:dyDescent="0.55000000000000004">
      <c r="A24" s="244" t="s">
        <v>12</v>
      </c>
      <c r="B24" s="245"/>
      <c r="C24" s="245"/>
      <c r="D24" s="246"/>
      <c r="E24" s="247" t="s">
        <v>40</v>
      </c>
      <c r="F24" s="248"/>
      <c r="G24" s="211" t="s">
        <v>15</v>
      </c>
      <c r="H24" s="249" t="s">
        <v>18</v>
      </c>
      <c r="I24" s="250"/>
      <c r="J24" s="251"/>
      <c r="M24" s="244" t="s">
        <v>12</v>
      </c>
      <c r="N24" s="245"/>
      <c r="O24" s="245"/>
      <c r="P24" s="246"/>
      <c r="Q24" s="247" t="s">
        <v>40</v>
      </c>
      <c r="R24" s="248"/>
      <c r="S24" s="153"/>
      <c r="T24" s="249" t="s">
        <v>18</v>
      </c>
      <c r="U24" s="250"/>
      <c r="V24" s="251"/>
      <c r="Y24" s="252" t="s">
        <v>12</v>
      </c>
      <c r="Z24" s="253"/>
      <c r="AA24" s="253"/>
      <c r="AB24" s="254"/>
      <c r="AC24" s="255" t="s">
        <v>40</v>
      </c>
      <c r="AD24" s="256"/>
      <c r="AE24" s="257"/>
      <c r="AF24" s="258" t="s">
        <v>18</v>
      </c>
      <c r="AG24" s="259"/>
      <c r="AH24" s="260"/>
      <c r="AK24" s="244" t="s">
        <v>12</v>
      </c>
      <c r="AL24" s="245"/>
      <c r="AM24" s="245"/>
      <c r="AN24" s="246"/>
      <c r="AO24" s="247" t="s">
        <v>40</v>
      </c>
      <c r="AP24" s="248"/>
      <c r="AQ24" s="85"/>
      <c r="AR24" s="258" t="s">
        <v>18</v>
      </c>
      <c r="AS24" s="259"/>
      <c r="AT24" s="260"/>
      <c r="AW24" s="252" t="s">
        <v>12</v>
      </c>
      <c r="AX24" s="253"/>
      <c r="AY24" s="253"/>
      <c r="AZ24" s="254"/>
      <c r="BA24" s="255" t="s">
        <v>40</v>
      </c>
      <c r="BB24" s="256"/>
      <c r="BC24" s="257"/>
      <c r="BD24" s="258" t="s">
        <v>18</v>
      </c>
      <c r="BE24" s="259"/>
      <c r="BF24" s="260"/>
      <c r="BI24" s="252" t="s">
        <v>12</v>
      </c>
      <c r="BJ24" s="253"/>
      <c r="BK24" s="253"/>
      <c r="BL24" s="254"/>
      <c r="BM24" s="83" t="s">
        <v>22</v>
      </c>
      <c r="BN24" s="84"/>
      <c r="BO24" s="85"/>
      <c r="BP24" s="258" t="s">
        <v>18</v>
      </c>
      <c r="BQ24" s="259"/>
      <c r="BR24" s="260"/>
    </row>
    <row r="25" spans="1:71" ht="33" customHeight="1" thickBot="1" x14ac:dyDescent="0.55000000000000004">
      <c r="A25" s="79" t="s">
        <v>46</v>
      </c>
      <c r="B25" s="80" t="s">
        <v>13</v>
      </c>
      <c r="C25" s="238" t="s">
        <v>8</v>
      </c>
      <c r="D25" s="239"/>
      <c r="E25" s="265"/>
      <c r="F25" s="266"/>
      <c r="G25" s="89"/>
      <c r="H25" s="236" t="s">
        <v>14</v>
      </c>
      <c r="I25" s="237"/>
      <c r="J25" s="74" t="s">
        <v>15</v>
      </c>
      <c r="M25" s="154" t="s">
        <v>46</v>
      </c>
      <c r="N25" s="155" t="s">
        <v>13</v>
      </c>
      <c r="O25" s="274" t="s">
        <v>8</v>
      </c>
      <c r="P25" s="275"/>
      <c r="Q25" s="276"/>
      <c r="R25" s="277"/>
      <c r="S25" s="156" t="s">
        <v>15</v>
      </c>
      <c r="T25" s="278" t="s">
        <v>14</v>
      </c>
      <c r="U25" s="279"/>
      <c r="V25" s="157" t="s">
        <v>15</v>
      </c>
      <c r="X25" s="1" t="s">
        <v>52</v>
      </c>
      <c r="Y25" s="167" t="s">
        <v>46</v>
      </c>
      <c r="Z25" s="166" t="s">
        <v>13</v>
      </c>
      <c r="AA25" s="238" t="s">
        <v>8</v>
      </c>
      <c r="AB25" s="239"/>
      <c r="AC25" s="242"/>
      <c r="AD25" s="243"/>
      <c r="AE25" s="89" t="s">
        <v>15</v>
      </c>
      <c r="AF25" s="236" t="s">
        <v>14</v>
      </c>
      <c r="AG25" s="237"/>
      <c r="AH25" s="74" t="s">
        <v>15</v>
      </c>
      <c r="AK25" s="161" t="s">
        <v>46</v>
      </c>
      <c r="AL25" s="80" t="s">
        <v>13</v>
      </c>
      <c r="AM25" s="238" t="s">
        <v>8</v>
      </c>
      <c r="AN25" s="239"/>
      <c r="AO25" s="240"/>
      <c r="AP25" s="241"/>
      <c r="AQ25" s="89" t="s">
        <v>15</v>
      </c>
      <c r="AR25" s="236" t="s">
        <v>14</v>
      </c>
      <c r="AS25" s="237"/>
      <c r="AT25" s="74" t="s">
        <v>15</v>
      </c>
      <c r="AW25" s="79" t="s">
        <v>46</v>
      </c>
      <c r="AX25" s="80" t="s">
        <v>13</v>
      </c>
      <c r="AY25" s="238" t="s">
        <v>8</v>
      </c>
      <c r="AZ25" s="239"/>
      <c r="BA25" s="242"/>
      <c r="BB25" s="243"/>
      <c r="BC25" s="89" t="s">
        <v>15</v>
      </c>
      <c r="BD25" s="236" t="s">
        <v>14</v>
      </c>
      <c r="BE25" s="237"/>
      <c r="BF25" s="74" t="s">
        <v>15</v>
      </c>
      <c r="BI25" s="79"/>
      <c r="BJ25" s="80" t="s">
        <v>13</v>
      </c>
      <c r="BK25" s="238" t="s">
        <v>8</v>
      </c>
      <c r="BL25" s="239"/>
      <c r="BM25" s="88" t="s">
        <v>36</v>
      </c>
      <c r="BN25" s="82"/>
      <c r="BO25" s="89" t="s">
        <v>37</v>
      </c>
      <c r="BP25" s="236" t="s">
        <v>14</v>
      </c>
      <c r="BQ25" s="237"/>
      <c r="BR25" s="74" t="s">
        <v>15</v>
      </c>
    </row>
    <row r="26" spans="1:71" ht="33" customHeight="1" thickBot="1" x14ac:dyDescent="0.55000000000000004">
      <c r="A26" s="181" t="s">
        <v>67</v>
      </c>
      <c r="B26" s="182"/>
      <c r="C26" s="324">
        <v>885655</v>
      </c>
      <c r="D26" s="325"/>
      <c r="E26" s="265"/>
      <c r="F26" s="266"/>
      <c r="G26" s="212"/>
      <c r="H26" s="267" t="s">
        <v>18</v>
      </c>
      <c r="I26" s="268"/>
      <c r="J26" s="47"/>
      <c r="M26" s="214"/>
      <c r="N26" s="158"/>
      <c r="O26" s="269"/>
      <c r="P26" s="270"/>
      <c r="Q26" s="271" t="s">
        <v>81</v>
      </c>
      <c r="R26" s="272"/>
      <c r="S26" s="146">
        <f>50+50</f>
        <v>100</v>
      </c>
      <c r="T26" s="267" t="s">
        <v>18</v>
      </c>
      <c r="U26" s="268"/>
      <c r="V26" s="47">
        <f>61730+S35</f>
        <v>61830</v>
      </c>
      <c r="Y26" s="180" t="s">
        <v>67</v>
      </c>
      <c r="Z26" s="148" t="s">
        <v>270</v>
      </c>
      <c r="AA26" s="259">
        <v>9102</v>
      </c>
      <c r="AB26" s="273"/>
      <c r="AC26" s="297" t="s">
        <v>268</v>
      </c>
      <c r="AD26" s="298"/>
      <c r="AE26" s="147">
        <v>46</v>
      </c>
      <c r="AF26" s="267" t="s">
        <v>18</v>
      </c>
      <c r="AG26" s="268"/>
      <c r="AH26" s="47">
        <f>112818+AE35</f>
        <v>113111</v>
      </c>
      <c r="AK26" s="208"/>
      <c r="AL26" s="78"/>
      <c r="AM26" s="259"/>
      <c r="AN26" s="273"/>
      <c r="AO26" s="289"/>
      <c r="AP26" s="290"/>
      <c r="AQ26" s="163"/>
      <c r="AR26" s="280" t="s">
        <v>18</v>
      </c>
      <c r="AS26" s="281"/>
      <c r="AT26" s="164"/>
      <c r="AW26" s="102"/>
      <c r="AX26" s="78"/>
      <c r="AY26" s="283"/>
      <c r="AZ26" s="284"/>
      <c r="BA26" s="240"/>
      <c r="BB26" s="241"/>
      <c r="BC26" s="21"/>
      <c r="BD26" s="280" t="s">
        <v>18</v>
      </c>
      <c r="BE26" s="281"/>
      <c r="BF26" s="47"/>
      <c r="BI26" s="101"/>
      <c r="BJ26" s="102"/>
      <c r="BK26" s="259"/>
      <c r="BL26" s="273"/>
      <c r="BM26" s="240"/>
      <c r="BN26" s="241"/>
      <c r="BO26" s="21"/>
      <c r="BP26" s="282"/>
      <c r="BQ26" s="267"/>
      <c r="BR26" s="47"/>
    </row>
    <row r="27" spans="1:71" ht="35.15" customHeight="1" thickBot="1" x14ac:dyDescent="0.55000000000000004">
      <c r="A27" s="202"/>
      <c r="B27" s="203"/>
      <c r="C27" s="326"/>
      <c r="D27" s="327"/>
      <c r="E27" s="330"/>
      <c r="F27" s="331"/>
      <c r="G27" s="146"/>
      <c r="H27" s="285" t="s">
        <v>54</v>
      </c>
      <c r="I27" s="286"/>
      <c r="J27" s="47"/>
      <c r="L27" s="205"/>
      <c r="M27" s="175"/>
      <c r="N27" s="215"/>
      <c r="O27" s="269"/>
      <c r="P27" s="270"/>
      <c r="Q27" s="271"/>
      <c r="R27" s="272"/>
      <c r="S27" s="146"/>
      <c r="T27" s="282" t="s">
        <v>53</v>
      </c>
      <c r="U27" s="267"/>
      <c r="V27" s="47"/>
      <c r="W27" s="145"/>
      <c r="Y27" s="180" t="s">
        <v>67</v>
      </c>
      <c r="Z27" s="148" t="s">
        <v>267</v>
      </c>
      <c r="AA27" s="284">
        <v>13931</v>
      </c>
      <c r="AB27" s="291"/>
      <c r="AC27" s="297" t="s">
        <v>269</v>
      </c>
      <c r="AD27" s="298"/>
      <c r="AE27" s="147">
        <v>247</v>
      </c>
      <c r="AF27" s="267" t="s">
        <v>53</v>
      </c>
      <c r="AG27" s="268"/>
      <c r="AH27" s="47"/>
      <c r="AK27" s="208"/>
      <c r="AL27" s="162"/>
      <c r="AM27" s="283"/>
      <c r="AN27" s="284"/>
      <c r="AO27" s="299"/>
      <c r="AP27" s="290"/>
      <c r="AQ27" s="163"/>
      <c r="AR27" s="282" t="s">
        <v>53</v>
      </c>
      <c r="AS27" s="267"/>
      <c r="AT27" s="47"/>
      <c r="AW27" s="102"/>
      <c r="AX27" s="78"/>
      <c r="AY27" s="284"/>
      <c r="AZ27" s="291"/>
      <c r="BA27" s="292"/>
      <c r="BB27" s="293"/>
      <c r="BC27" s="86"/>
      <c r="BD27" s="280" t="s">
        <v>18</v>
      </c>
      <c r="BE27" s="281"/>
      <c r="BF27" s="47"/>
      <c r="BI27" s="81"/>
      <c r="BJ27" s="78"/>
      <c r="BK27" s="283"/>
      <c r="BL27" s="284"/>
      <c r="BM27" s="292"/>
      <c r="BN27" s="293"/>
      <c r="BO27" s="86"/>
      <c r="BP27" s="282"/>
      <c r="BQ27" s="267"/>
      <c r="BR27" s="47"/>
    </row>
    <row r="28" spans="1:71" ht="33" customHeight="1" thickBot="1" x14ac:dyDescent="0.55000000000000004">
      <c r="A28" s="181"/>
      <c r="B28" s="216"/>
      <c r="C28" s="324"/>
      <c r="D28" s="325"/>
      <c r="E28" s="330"/>
      <c r="F28" s="331"/>
      <c r="G28" s="146"/>
      <c r="H28" s="267"/>
      <c r="I28" s="268"/>
      <c r="J28" s="47"/>
      <c r="M28" s="202"/>
      <c r="N28" s="209"/>
      <c r="O28" s="328"/>
      <c r="P28" s="329"/>
      <c r="Q28" s="271"/>
      <c r="R28" s="272"/>
      <c r="S28" s="146"/>
      <c r="T28" s="267"/>
      <c r="U28" s="268"/>
      <c r="V28" s="47"/>
      <c r="W28" s="145"/>
      <c r="Y28" s="180" t="s">
        <v>67</v>
      </c>
      <c r="Z28" s="210" t="s">
        <v>271</v>
      </c>
      <c r="AA28" s="283">
        <v>62432</v>
      </c>
      <c r="AB28" s="284"/>
      <c r="AC28" s="297"/>
      <c r="AD28" s="298"/>
      <c r="AE28" s="147"/>
      <c r="AF28" s="267"/>
      <c r="AG28" s="268"/>
      <c r="AH28" s="47"/>
      <c r="AK28" s="180"/>
      <c r="AL28" s="162"/>
      <c r="AM28" s="283"/>
      <c r="AN28" s="284"/>
      <c r="AO28" s="292"/>
      <c r="AP28" s="293"/>
      <c r="AQ28" s="86"/>
      <c r="AR28" s="267"/>
      <c r="AS28" s="268"/>
      <c r="AT28" s="47"/>
      <c r="AW28" s="102"/>
      <c r="AX28" s="78"/>
      <c r="AY28" s="284"/>
      <c r="AZ28" s="291"/>
      <c r="BA28" s="292"/>
      <c r="BB28" s="293"/>
      <c r="BC28" s="86"/>
      <c r="BD28" s="267"/>
      <c r="BE28" s="268"/>
      <c r="BF28" s="47"/>
      <c r="BI28" s="81"/>
      <c r="BJ28" s="78"/>
      <c r="BK28" s="300"/>
      <c r="BL28" s="301"/>
      <c r="BM28" s="292"/>
      <c r="BN28" s="293"/>
      <c r="BO28" s="86"/>
      <c r="BP28" s="267"/>
      <c r="BQ28" s="268"/>
      <c r="BR28" s="47"/>
    </row>
    <row r="29" spans="1:71" ht="33" customHeight="1" thickBot="1" x14ac:dyDescent="0.55000000000000004">
      <c r="A29" s="181"/>
      <c r="B29" s="182"/>
      <c r="C29" s="263"/>
      <c r="D29" s="264"/>
      <c r="E29" s="265"/>
      <c r="F29" s="266"/>
      <c r="G29" s="146"/>
      <c r="H29" s="267"/>
      <c r="I29" s="268"/>
      <c r="J29" s="47"/>
      <c r="M29" s="175"/>
      <c r="N29" s="158"/>
      <c r="O29" s="306"/>
      <c r="P29" s="307"/>
      <c r="Q29" s="308"/>
      <c r="R29" s="272"/>
      <c r="S29" s="146"/>
      <c r="T29" s="267"/>
      <c r="U29" s="268"/>
      <c r="V29" s="47"/>
      <c r="Y29" s="180"/>
      <c r="Z29" s="148"/>
      <c r="AA29" s="284"/>
      <c r="AB29" s="291"/>
      <c r="AC29" s="297"/>
      <c r="AD29" s="298"/>
      <c r="AE29" s="147"/>
      <c r="AF29" s="267"/>
      <c r="AG29" s="268"/>
      <c r="AH29" s="47"/>
      <c r="AK29" s="180"/>
      <c r="AL29" s="162"/>
      <c r="AM29" s="283"/>
      <c r="AN29" s="284"/>
      <c r="AO29" s="292"/>
      <c r="AP29" s="293"/>
      <c r="AQ29" s="86"/>
      <c r="AR29" s="267"/>
      <c r="AS29" s="268"/>
      <c r="AT29" s="47"/>
      <c r="AW29" s="102"/>
      <c r="AX29" s="78"/>
      <c r="AY29" s="284"/>
      <c r="AZ29" s="291"/>
      <c r="BA29" s="292"/>
      <c r="BB29" s="293"/>
      <c r="BC29" s="86"/>
      <c r="BD29" s="267"/>
      <c r="BE29" s="268"/>
      <c r="BF29" s="47"/>
      <c r="BI29" s="81"/>
      <c r="BJ29" s="78"/>
      <c r="BK29" s="300"/>
      <c r="BL29" s="301"/>
      <c r="BM29" s="292"/>
      <c r="BN29" s="293"/>
      <c r="BO29" s="86"/>
      <c r="BP29" s="267"/>
      <c r="BQ29" s="268"/>
      <c r="BR29" s="47"/>
    </row>
    <row r="30" spans="1:71" ht="33" customHeight="1" thickBot="1" x14ac:dyDescent="0.55000000000000004">
      <c r="A30" s="175"/>
      <c r="B30" s="182"/>
      <c r="C30" s="302"/>
      <c r="D30" s="303"/>
      <c r="E30" s="304"/>
      <c r="F30" s="305"/>
      <c r="G30" s="146"/>
      <c r="H30" s="267"/>
      <c r="I30" s="268"/>
      <c r="J30" s="47"/>
      <c r="M30" s="175"/>
      <c r="N30" s="158"/>
      <c r="O30" s="306"/>
      <c r="P30" s="307"/>
      <c r="Q30" s="308"/>
      <c r="R30" s="272"/>
      <c r="S30" s="146"/>
      <c r="T30" s="267"/>
      <c r="U30" s="268"/>
      <c r="V30" s="47"/>
      <c r="Y30" s="180"/>
      <c r="Z30" s="148"/>
      <c r="AA30" s="284"/>
      <c r="AB30" s="291"/>
      <c r="AC30" s="309"/>
      <c r="AD30" s="298"/>
      <c r="AE30" s="147"/>
      <c r="AF30" s="267"/>
      <c r="AG30" s="268"/>
      <c r="AH30" s="47"/>
      <c r="AK30" s="180"/>
      <c r="AL30" s="199"/>
      <c r="AM30" s="283"/>
      <c r="AN30" s="284"/>
      <c r="AO30" s="292"/>
      <c r="AP30" s="293"/>
      <c r="AQ30" s="86"/>
      <c r="AR30" s="267"/>
      <c r="AS30" s="268"/>
      <c r="AT30" s="47"/>
      <c r="AW30" s="102"/>
      <c r="AX30" s="78"/>
      <c r="AY30" s="284"/>
      <c r="AZ30" s="291"/>
      <c r="BA30" s="292"/>
      <c r="BB30" s="293"/>
      <c r="BC30" s="86"/>
      <c r="BD30" s="267"/>
      <c r="BE30" s="268"/>
      <c r="BF30" s="47"/>
      <c r="BI30" s="81"/>
      <c r="BJ30" s="78"/>
      <c r="BK30" s="300"/>
      <c r="BL30" s="301"/>
      <c r="BM30" s="292"/>
      <c r="BN30" s="293"/>
      <c r="BO30" s="86"/>
      <c r="BP30" s="267"/>
      <c r="BQ30" s="268"/>
      <c r="BR30" s="47"/>
    </row>
    <row r="31" spans="1:71" ht="33" customHeight="1" thickBot="1" x14ac:dyDescent="0.55000000000000004">
      <c r="A31" s="175"/>
      <c r="B31" s="182"/>
      <c r="C31" s="302"/>
      <c r="D31" s="303"/>
      <c r="E31" s="304"/>
      <c r="F31" s="305"/>
      <c r="G31" s="146"/>
      <c r="H31" s="267"/>
      <c r="I31" s="268"/>
      <c r="J31" s="47"/>
      <c r="M31" s="175"/>
      <c r="N31" s="158"/>
      <c r="O31" s="306"/>
      <c r="P31" s="307"/>
      <c r="Q31" s="308"/>
      <c r="R31" s="272"/>
      <c r="S31" s="146"/>
      <c r="T31" s="267"/>
      <c r="U31" s="268"/>
      <c r="V31" s="47"/>
      <c r="Y31" s="180"/>
      <c r="Z31" s="148"/>
      <c r="AA31" s="284"/>
      <c r="AB31" s="291"/>
      <c r="AC31" s="309"/>
      <c r="AD31" s="298"/>
      <c r="AE31" s="147"/>
      <c r="AF31" s="267"/>
      <c r="AG31" s="268"/>
      <c r="AH31" s="47"/>
      <c r="AK31" s="180"/>
      <c r="AL31" s="162"/>
      <c r="AM31" s="283"/>
      <c r="AN31" s="284"/>
      <c r="AO31" s="292"/>
      <c r="AP31" s="293"/>
      <c r="AQ31" s="86"/>
      <c r="AR31" s="267"/>
      <c r="AS31" s="268"/>
      <c r="AT31" s="47"/>
      <c r="AW31" s="102"/>
      <c r="AX31" s="78"/>
      <c r="AY31" s="284"/>
      <c r="AZ31" s="291"/>
      <c r="BA31" s="292"/>
      <c r="BB31" s="293"/>
      <c r="BC31" s="86"/>
      <c r="BD31" s="267"/>
      <c r="BE31" s="268"/>
      <c r="BF31" s="47"/>
      <c r="BI31" s="81"/>
      <c r="BJ31" s="78"/>
      <c r="BK31" s="300"/>
      <c r="BL31" s="301"/>
      <c r="BM31" s="292"/>
      <c r="BN31" s="293"/>
      <c r="BO31" s="86"/>
      <c r="BP31" s="267"/>
      <c r="BQ31" s="268"/>
      <c r="BR31" s="47"/>
    </row>
    <row r="32" spans="1:71" ht="33" customHeight="1" thickBot="1" x14ac:dyDescent="0.55000000000000004">
      <c r="A32" s="175"/>
      <c r="B32" s="160"/>
      <c r="C32" s="302"/>
      <c r="D32" s="303"/>
      <c r="E32" s="304"/>
      <c r="F32" s="305"/>
      <c r="G32" s="146"/>
      <c r="H32" s="282"/>
      <c r="I32" s="267"/>
      <c r="J32" s="47"/>
      <c r="M32" s="175"/>
      <c r="N32" s="158"/>
      <c r="O32" s="306"/>
      <c r="P32" s="307"/>
      <c r="Q32" s="308"/>
      <c r="R32" s="272"/>
      <c r="S32" s="146"/>
      <c r="T32" s="282"/>
      <c r="U32" s="267"/>
      <c r="V32" s="47"/>
      <c r="Y32" s="180"/>
      <c r="Z32" s="148"/>
      <c r="AA32" s="284"/>
      <c r="AB32" s="291"/>
      <c r="AC32" s="310"/>
      <c r="AD32" s="272"/>
      <c r="AE32" s="147"/>
      <c r="AF32" s="306"/>
      <c r="AG32" s="267"/>
      <c r="AH32" s="47"/>
      <c r="AK32" s="176"/>
      <c r="AL32" s="162"/>
      <c r="AM32" s="283"/>
      <c r="AN32" s="284"/>
      <c r="AO32" s="311"/>
      <c r="AP32" s="312"/>
      <c r="AQ32" s="86"/>
      <c r="AR32" s="282"/>
      <c r="AS32" s="267"/>
      <c r="AT32" s="47"/>
      <c r="AW32" s="102"/>
      <c r="AX32" s="78"/>
      <c r="AY32" s="283"/>
      <c r="AZ32" s="284"/>
      <c r="BA32" s="311"/>
      <c r="BB32" s="312"/>
      <c r="BC32" s="86"/>
      <c r="BD32" s="282"/>
      <c r="BE32" s="267"/>
      <c r="BF32" s="47"/>
      <c r="BI32" s="81"/>
      <c r="BJ32" s="78"/>
      <c r="BK32" s="301"/>
      <c r="BL32" s="313"/>
      <c r="BM32" s="311"/>
      <c r="BN32" s="312"/>
      <c r="BO32" s="86"/>
      <c r="BP32" s="282"/>
      <c r="BQ32" s="267"/>
      <c r="BR32" s="47"/>
    </row>
    <row r="33" spans="1:70" ht="33" customHeight="1" thickBot="1" x14ac:dyDescent="0.55000000000000004">
      <c r="A33" s="175"/>
      <c r="B33" s="160"/>
      <c r="C33" s="302"/>
      <c r="D33" s="303"/>
      <c r="E33" s="304"/>
      <c r="F33" s="305"/>
      <c r="G33" s="146"/>
      <c r="H33" s="173"/>
      <c r="I33" s="169"/>
      <c r="J33" s="47"/>
      <c r="M33" s="175"/>
      <c r="N33" s="158"/>
      <c r="O33" s="306"/>
      <c r="P33" s="307"/>
      <c r="Q33" s="308"/>
      <c r="R33" s="272"/>
      <c r="S33" s="146"/>
      <c r="T33" s="173"/>
      <c r="U33" s="169"/>
      <c r="V33" s="47"/>
      <c r="Y33" s="180"/>
      <c r="Z33" s="78"/>
      <c r="AA33" s="284"/>
      <c r="AB33" s="291"/>
      <c r="AC33" s="310"/>
      <c r="AD33" s="272"/>
      <c r="AE33" s="147"/>
      <c r="AF33" s="173"/>
      <c r="AG33" s="169"/>
      <c r="AH33" s="47"/>
      <c r="AK33" s="176"/>
      <c r="AL33" s="162"/>
      <c r="AM33" s="283"/>
      <c r="AN33" s="284"/>
      <c r="AO33" s="171"/>
      <c r="AP33" s="172"/>
      <c r="AQ33" s="86"/>
      <c r="AR33" s="173"/>
      <c r="AS33" s="169"/>
      <c r="AT33" s="47"/>
      <c r="AW33" s="102"/>
      <c r="AX33" s="78"/>
      <c r="AY33" s="283"/>
      <c r="AZ33" s="284"/>
      <c r="BA33" s="171"/>
      <c r="BB33" s="172"/>
      <c r="BC33" s="86"/>
      <c r="BD33" s="173"/>
      <c r="BE33" s="169"/>
      <c r="BF33" s="47"/>
      <c r="BI33" s="81"/>
      <c r="BJ33" s="78"/>
      <c r="BK33" s="170"/>
      <c r="BL33" s="174"/>
      <c r="BM33" s="171"/>
      <c r="BN33" s="172"/>
      <c r="BO33" s="86"/>
      <c r="BP33" s="173"/>
      <c r="BQ33" s="169"/>
      <c r="BR33" s="47"/>
    </row>
    <row r="34" spans="1:70" ht="33" customHeight="1" x14ac:dyDescent="0.5">
      <c r="A34" s="175"/>
      <c r="B34" s="160"/>
      <c r="C34" s="302"/>
      <c r="D34" s="303"/>
      <c r="E34" s="304"/>
      <c r="F34" s="305"/>
      <c r="G34" s="146"/>
      <c r="H34" s="173"/>
      <c r="I34" s="169"/>
      <c r="J34" s="47"/>
      <c r="M34" s="175"/>
      <c r="N34" s="158"/>
      <c r="O34" s="306"/>
      <c r="P34" s="307"/>
      <c r="Q34" s="308"/>
      <c r="R34" s="272"/>
      <c r="S34" s="146"/>
      <c r="T34" s="173"/>
      <c r="U34" s="169"/>
      <c r="V34" s="47"/>
      <c r="Y34" s="180"/>
      <c r="Z34" s="183"/>
      <c r="AA34" s="283"/>
      <c r="AB34" s="284"/>
      <c r="AC34" s="310"/>
      <c r="AD34" s="272"/>
      <c r="AE34" s="147"/>
      <c r="AF34" s="173"/>
      <c r="AG34" s="169"/>
      <c r="AH34" s="47"/>
      <c r="AK34" s="176"/>
      <c r="AL34" s="162"/>
      <c r="AM34" s="283"/>
      <c r="AN34" s="284"/>
      <c r="AO34" s="171"/>
      <c r="AP34" s="172"/>
      <c r="AQ34" s="86"/>
      <c r="AR34" s="173"/>
      <c r="AS34" s="169"/>
      <c r="AT34" s="47"/>
      <c r="AW34" s="102"/>
      <c r="AX34" s="78"/>
      <c r="AY34" s="283"/>
      <c r="AZ34" s="284"/>
      <c r="BA34" s="171"/>
      <c r="BB34" s="172"/>
      <c r="BC34" s="86"/>
      <c r="BD34" s="173"/>
      <c r="BE34" s="169"/>
      <c r="BF34" s="47"/>
      <c r="BI34" s="81"/>
      <c r="BJ34" s="78"/>
      <c r="BK34" s="170"/>
      <c r="BL34" s="174"/>
      <c r="BM34" s="171"/>
      <c r="BN34" s="172"/>
      <c r="BO34" s="86"/>
      <c r="BP34" s="173"/>
      <c r="BQ34" s="169"/>
      <c r="BR34" s="47"/>
    </row>
    <row r="35" spans="1:70" ht="33" customHeight="1" thickBot="1" x14ac:dyDescent="0.55000000000000004">
      <c r="A35" s="177"/>
      <c r="B35" s="76" t="s">
        <v>16</v>
      </c>
      <c r="C35" s="314">
        <f>SUM(C26:C34)</f>
        <v>885655</v>
      </c>
      <c r="D35" s="315"/>
      <c r="E35" s="316" t="s">
        <v>21</v>
      </c>
      <c r="F35" s="317"/>
      <c r="G35" s="87">
        <f>SUM(G26:G34)</f>
        <v>0</v>
      </c>
      <c r="H35" s="318" t="s">
        <v>17</v>
      </c>
      <c r="I35" s="319"/>
      <c r="J35" s="77">
        <f>SUM(J26:J34)</f>
        <v>0</v>
      </c>
      <c r="M35" s="177"/>
      <c r="N35" s="76" t="s">
        <v>16</v>
      </c>
      <c r="O35" s="314">
        <f>SUM(O26:O34)</f>
        <v>0</v>
      </c>
      <c r="P35" s="315"/>
      <c r="Q35" s="316" t="s">
        <v>21</v>
      </c>
      <c r="R35" s="317"/>
      <c r="S35" s="87">
        <f>SUM(S26:S34)</f>
        <v>100</v>
      </c>
      <c r="T35" s="318" t="s">
        <v>17</v>
      </c>
      <c r="U35" s="319"/>
      <c r="V35" s="77">
        <f>SUM(V26:V34)</f>
        <v>61830</v>
      </c>
      <c r="Y35" s="75"/>
      <c r="Z35" s="76" t="s">
        <v>16</v>
      </c>
      <c r="AA35" s="314">
        <f>SUM(AA26:AB34)</f>
        <v>85465</v>
      </c>
      <c r="AB35" s="315"/>
      <c r="AC35" s="316" t="s">
        <v>21</v>
      </c>
      <c r="AD35" s="317"/>
      <c r="AE35" s="87">
        <f>SUM(AE26:AE34)</f>
        <v>293</v>
      </c>
      <c r="AF35" s="318" t="s">
        <v>17</v>
      </c>
      <c r="AG35" s="319"/>
      <c r="AH35" s="77">
        <f>SUM(AH26:AH34)</f>
        <v>113111</v>
      </c>
      <c r="AK35" s="75"/>
      <c r="AL35" s="76" t="s">
        <v>16</v>
      </c>
      <c r="AM35" s="314">
        <f>SUM(AM26:AM34)</f>
        <v>0</v>
      </c>
      <c r="AN35" s="315"/>
      <c r="AO35" s="316" t="s">
        <v>21</v>
      </c>
      <c r="AP35" s="317"/>
      <c r="AQ35" s="87">
        <f>SUM(AQ26:AQ34)</f>
        <v>0</v>
      </c>
      <c r="AR35" s="318" t="s">
        <v>17</v>
      </c>
      <c r="AS35" s="319"/>
      <c r="AT35" s="77">
        <f>SUM(AT26:AT34)</f>
        <v>0</v>
      </c>
      <c r="AW35" s="75"/>
      <c r="AX35" s="76" t="s">
        <v>16</v>
      </c>
      <c r="AY35" s="314">
        <f>SUM(AY26:AY34)</f>
        <v>0</v>
      </c>
      <c r="AZ35" s="315"/>
      <c r="BA35" s="316" t="s">
        <v>21</v>
      </c>
      <c r="BB35" s="317"/>
      <c r="BC35" s="87">
        <f>SUM(BC26:BC34)</f>
        <v>0</v>
      </c>
      <c r="BD35" s="318" t="s">
        <v>17</v>
      </c>
      <c r="BE35" s="319"/>
      <c r="BF35" s="77">
        <f>SUM(BF26:BF34)</f>
        <v>0</v>
      </c>
      <c r="BI35" s="75"/>
      <c r="BJ35" s="76" t="s">
        <v>16</v>
      </c>
      <c r="BK35" s="314">
        <f>SUM(BK26:BK34)</f>
        <v>0</v>
      </c>
      <c r="BL35" s="315"/>
      <c r="BM35" s="316" t="s">
        <v>21</v>
      </c>
      <c r="BN35" s="317"/>
      <c r="BO35" s="87">
        <f>SUM(BO26:BO34)</f>
        <v>0</v>
      </c>
      <c r="BP35" s="318" t="s">
        <v>17</v>
      </c>
      <c r="BQ35" s="319"/>
      <c r="BR35" s="77">
        <f>SUM(BR26:BR34)</f>
        <v>0</v>
      </c>
    </row>
    <row r="36" spans="1:70" x14ac:dyDescent="0.35">
      <c r="G36" s="28"/>
    </row>
    <row r="37" spans="1:70" x14ac:dyDescent="0.35">
      <c r="G37" s="28"/>
    </row>
  </sheetData>
  <mergeCells count="267">
    <mergeCell ref="BK35:BL35"/>
    <mergeCell ref="BM35:BN35"/>
    <mergeCell ref="BP35:BQ35"/>
    <mergeCell ref="AM35:AN35"/>
    <mergeCell ref="AO35:AP35"/>
    <mergeCell ref="AR35:AS35"/>
    <mergeCell ref="AY35:AZ35"/>
    <mergeCell ref="BA35:BB35"/>
    <mergeCell ref="BD35:BE35"/>
    <mergeCell ref="C35:D35"/>
    <mergeCell ref="E35:F35"/>
    <mergeCell ref="H35:I35"/>
    <mergeCell ref="O35:P35"/>
    <mergeCell ref="Q35:R35"/>
    <mergeCell ref="T35:U35"/>
    <mergeCell ref="AA35:AB35"/>
    <mergeCell ref="AC35:AD35"/>
    <mergeCell ref="AF35:AG35"/>
    <mergeCell ref="AY33:AZ33"/>
    <mergeCell ref="C34:D34"/>
    <mergeCell ref="E34:F34"/>
    <mergeCell ref="O34:P34"/>
    <mergeCell ref="Q34:R34"/>
    <mergeCell ref="AA34:AB34"/>
    <mergeCell ref="AC34:AD34"/>
    <mergeCell ref="AM34:AN34"/>
    <mergeCell ref="AY34:AZ34"/>
    <mergeCell ref="C33:D33"/>
    <mergeCell ref="E33:F33"/>
    <mergeCell ref="O33:P33"/>
    <mergeCell ref="Q33:R33"/>
    <mergeCell ref="AA33:AB33"/>
    <mergeCell ref="AC32:AD32"/>
    <mergeCell ref="AF32:AG32"/>
    <mergeCell ref="AM32:AN32"/>
    <mergeCell ref="AO32:AP32"/>
    <mergeCell ref="AC33:AD33"/>
    <mergeCell ref="AM33:AN33"/>
    <mergeCell ref="BP31:BQ31"/>
    <mergeCell ref="C32:D32"/>
    <mergeCell ref="E32:F32"/>
    <mergeCell ref="H32:I32"/>
    <mergeCell ref="O32:P32"/>
    <mergeCell ref="Q32:R32"/>
    <mergeCell ref="T32:U32"/>
    <mergeCell ref="AA32:AB32"/>
    <mergeCell ref="AM31:AN31"/>
    <mergeCell ref="AO31:AP31"/>
    <mergeCell ref="AR31:AS31"/>
    <mergeCell ref="AY31:AZ31"/>
    <mergeCell ref="BA31:BB31"/>
    <mergeCell ref="BD31:BE31"/>
    <mergeCell ref="BA32:BB32"/>
    <mergeCell ref="BD32:BE32"/>
    <mergeCell ref="BK32:BL32"/>
    <mergeCell ref="BM32:BN32"/>
    <mergeCell ref="BP32:BQ32"/>
    <mergeCell ref="AR32:AS32"/>
    <mergeCell ref="AY32:AZ32"/>
    <mergeCell ref="BP30:BQ30"/>
    <mergeCell ref="C31:D31"/>
    <mergeCell ref="E31:F31"/>
    <mergeCell ref="H31:I31"/>
    <mergeCell ref="O31:P31"/>
    <mergeCell ref="Q31:R31"/>
    <mergeCell ref="T31:U31"/>
    <mergeCell ref="AA31:AB31"/>
    <mergeCell ref="AC31:AD31"/>
    <mergeCell ref="AF31:AG31"/>
    <mergeCell ref="AR30:AS30"/>
    <mergeCell ref="AY30:AZ30"/>
    <mergeCell ref="BA30:BB30"/>
    <mergeCell ref="BD30:BE30"/>
    <mergeCell ref="BK30:BL30"/>
    <mergeCell ref="BM30:BN30"/>
    <mergeCell ref="T30:U30"/>
    <mergeCell ref="AA30:AB30"/>
    <mergeCell ref="AC30:AD30"/>
    <mergeCell ref="AF30:AG30"/>
    <mergeCell ref="AM30:AN30"/>
    <mergeCell ref="BM29:BN29"/>
    <mergeCell ref="BP29:BQ29"/>
    <mergeCell ref="AR29:AS29"/>
    <mergeCell ref="AY29:AZ29"/>
    <mergeCell ref="AO30:AP30"/>
    <mergeCell ref="BK31:BL31"/>
    <mergeCell ref="BM31:BN31"/>
    <mergeCell ref="C30:D30"/>
    <mergeCell ref="E30:F30"/>
    <mergeCell ref="H30:I30"/>
    <mergeCell ref="O30:P30"/>
    <mergeCell ref="Q30:R30"/>
    <mergeCell ref="AC29:AD29"/>
    <mergeCell ref="AF29:AG29"/>
    <mergeCell ref="AM29:AN29"/>
    <mergeCell ref="AO29:AP29"/>
    <mergeCell ref="C29:D29"/>
    <mergeCell ref="E29:F29"/>
    <mergeCell ref="H29:I29"/>
    <mergeCell ref="O29:P29"/>
    <mergeCell ref="Q29:R29"/>
    <mergeCell ref="T29:U29"/>
    <mergeCell ref="AA29:AB29"/>
    <mergeCell ref="T27:U27"/>
    <mergeCell ref="AA27:AB27"/>
    <mergeCell ref="AC27:AD27"/>
    <mergeCell ref="AF27:AG27"/>
    <mergeCell ref="AM27:AN27"/>
    <mergeCell ref="AO27:AP27"/>
    <mergeCell ref="BK28:BL28"/>
    <mergeCell ref="BA29:BB29"/>
    <mergeCell ref="BD29:BE29"/>
    <mergeCell ref="BK29:BL29"/>
    <mergeCell ref="BM28:BN28"/>
    <mergeCell ref="BP28:BQ28"/>
    <mergeCell ref="AR28:AS28"/>
    <mergeCell ref="AY28:AZ28"/>
    <mergeCell ref="BA28:BB28"/>
    <mergeCell ref="BD28:BE28"/>
    <mergeCell ref="C28:D28"/>
    <mergeCell ref="E28:F28"/>
    <mergeCell ref="H28:I28"/>
    <mergeCell ref="O28:P28"/>
    <mergeCell ref="Q28:R28"/>
    <mergeCell ref="T28:U28"/>
    <mergeCell ref="AA28:AB28"/>
    <mergeCell ref="AC28:AD28"/>
    <mergeCell ref="AF28:AG28"/>
    <mergeCell ref="AM28:AN28"/>
    <mergeCell ref="AO28:AP28"/>
    <mergeCell ref="BA26:BB26"/>
    <mergeCell ref="BD26:BE26"/>
    <mergeCell ref="BK26:BL26"/>
    <mergeCell ref="BM26:BN26"/>
    <mergeCell ref="BP26:BQ26"/>
    <mergeCell ref="AR26:AS26"/>
    <mergeCell ref="AY26:AZ26"/>
    <mergeCell ref="C25:D25"/>
    <mergeCell ref="C27:D27"/>
    <mergeCell ref="E27:F27"/>
    <mergeCell ref="H27:I27"/>
    <mergeCell ref="O27:P27"/>
    <mergeCell ref="Q27:R27"/>
    <mergeCell ref="AC26:AD26"/>
    <mergeCell ref="AF26:AG26"/>
    <mergeCell ref="AM26:AN26"/>
    <mergeCell ref="AO26:AP26"/>
    <mergeCell ref="BP27:BQ27"/>
    <mergeCell ref="AR27:AS27"/>
    <mergeCell ref="AY27:AZ27"/>
    <mergeCell ref="BA27:BB27"/>
    <mergeCell ref="BD27:BE27"/>
    <mergeCell ref="BK27:BL27"/>
    <mergeCell ref="BM27:BN27"/>
    <mergeCell ref="BN23:BQ23"/>
    <mergeCell ref="BI24:BL24"/>
    <mergeCell ref="BP24:BR24"/>
    <mergeCell ref="AO24:AP24"/>
    <mergeCell ref="AR24:AT24"/>
    <mergeCell ref="AW24:AZ24"/>
    <mergeCell ref="BA24:BC24"/>
    <mergeCell ref="BD24:BF24"/>
    <mergeCell ref="C26:D26"/>
    <mergeCell ref="E26:F26"/>
    <mergeCell ref="H26:I26"/>
    <mergeCell ref="O26:P26"/>
    <mergeCell ref="Q26:R26"/>
    <mergeCell ref="T26:U26"/>
    <mergeCell ref="AA26:AB26"/>
    <mergeCell ref="AF25:AG25"/>
    <mergeCell ref="AM25:AN25"/>
    <mergeCell ref="E25:F25"/>
    <mergeCell ref="H25:I25"/>
    <mergeCell ref="O25:P25"/>
    <mergeCell ref="Q25:R25"/>
    <mergeCell ref="T25:U25"/>
    <mergeCell ref="AA25:AB25"/>
    <mergeCell ref="AC25:AD25"/>
    <mergeCell ref="BD25:BE25"/>
    <mergeCell ref="BK25:BL25"/>
    <mergeCell ref="BP25:BQ25"/>
    <mergeCell ref="AO25:AP25"/>
    <mergeCell ref="AR25:AS25"/>
    <mergeCell ref="AY25:AZ25"/>
    <mergeCell ref="BA25:BB25"/>
    <mergeCell ref="A24:D24"/>
    <mergeCell ref="E24:F24"/>
    <mergeCell ref="H24:J24"/>
    <mergeCell ref="M24:P24"/>
    <mergeCell ref="Q24:R24"/>
    <mergeCell ref="T24:V24"/>
    <mergeCell ref="Y24:AB24"/>
    <mergeCell ref="AC24:AE24"/>
    <mergeCell ref="AF24:AH24"/>
    <mergeCell ref="AK24:AN24"/>
    <mergeCell ref="F22:I22"/>
    <mergeCell ref="R22:U22"/>
    <mergeCell ref="AD22:AG22"/>
    <mergeCell ref="AP22:AS22"/>
    <mergeCell ref="BB22:BE22"/>
    <mergeCell ref="BN22:BQ22"/>
    <mergeCell ref="F21:I21"/>
    <mergeCell ref="R21:U21"/>
    <mergeCell ref="AD21:AG21"/>
    <mergeCell ref="AP21:AS21"/>
    <mergeCell ref="BB21:BE21"/>
    <mergeCell ref="BN21:BQ21"/>
    <mergeCell ref="F20:I20"/>
    <mergeCell ref="R20:U20"/>
    <mergeCell ref="AD20:AG20"/>
    <mergeCell ref="AP20:AS20"/>
    <mergeCell ref="BB20:BE20"/>
    <mergeCell ref="BN20:BQ20"/>
    <mergeCell ref="F19:I19"/>
    <mergeCell ref="R19:U19"/>
    <mergeCell ref="AD19:AG19"/>
    <mergeCell ref="AP19:AS19"/>
    <mergeCell ref="BB19:BE19"/>
    <mergeCell ref="BN19:BQ19"/>
    <mergeCell ref="F18:I18"/>
    <mergeCell ref="R18:U18"/>
    <mergeCell ref="AD18:AG18"/>
    <mergeCell ref="AP18:AS18"/>
    <mergeCell ref="BB18:BE18"/>
    <mergeCell ref="BN18:BQ18"/>
    <mergeCell ref="F17:I17"/>
    <mergeCell ref="R17:U17"/>
    <mergeCell ref="AD17:AG17"/>
    <mergeCell ref="AP17:AS17"/>
    <mergeCell ref="BB17:BE17"/>
    <mergeCell ref="BN17:BQ17"/>
    <mergeCell ref="F16:H16"/>
    <mergeCell ref="R16:T16"/>
    <mergeCell ref="AD16:AF16"/>
    <mergeCell ref="AP16:AR16"/>
    <mergeCell ref="BB16:BD16"/>
    <mergeCell ref="BN16:BP16"/>
    <mergeCell ref="BN14:BQ14"/>
    <mergeCell ref="F15:I15"/>
    <mergeCell ref="R15:U15"/>
    <mergeCell ref="AD15:AG15"/>
    <mergeCell ref="AP15:AS15"/>
    <mergeCell ref="BB15:BE15"/>
    <mergeCell ref="BN15:BQ15"/>
    <mergeCell ref="F14:I14"/>
    <mergeCell ref="M14:Q14"/>
    <mergeCell ref="R14:U14"/>
    <mergeCell ref="AD14:AG14"/>
    <mergeCell ref="AP14:AS14"/>
    <mergeCell ref="BB14:BE14"/>
    <mergeCell ref="A1:K1"/>
    <mergeCell ref="M1:W1"/>
    <mergeCell ref="Y1:AI1"/>
    <mergeCell ref="AK1:AU1"/>
    <mergeCell ref="AW1:BG1"/>
    <mergeCell ref="BI1:BS1"/>
    <mergeCell ref="BI4:BI12"/>
    <mergeCell ref="D2:E2"/>
    <mergeCell ref="P2:Q2"/>
    <mergeCell ref="AB2:AC2"/>
    <mergeCell ref="AZ2:BA2"/>
    <mergeCell ref="BL2:BM2"/>
    <mergeCell ref="A4:A12"/>
    <mergeCell ref="M4:M12"/>
    <mergeCell ref="Y4:Y12"/>
    <mergeCell ref="AK4:AK12"/>
    <mergeCell ref="AW4:AW12"/>
  </mergeCells>
  <printOptions horizontalCentered="1"/>
  <pageMargins left="0" right="0" top="0" bottom="0" header="0.75" footer="1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 Oct 26</vt:lpstr>
      <vt:lpstr>02 Oct 26</vt:lpstr>
      <vt:lpstr>03 Oct 26</vt:lpstr>
      <vt:lpstr>05 Oct 26</vt:lpstr>
      <vt:lpstr>06 Oct 26</vt:lpstr>
      <vt:lpstr>07 Oct 26</vt:lpstr>
      <vt:lpstr>08 Oct 26</vt:lpstr>
      <vt:lpstr>09 Oct 26</vt:lpstr>
      <vt:lpstr>10 Oct 26</vt:lpstr>
      <vt:lpstr>12 Oct 26</vt:lpstr>
      <vt:lpstr>13 Oct 26</vt:lpstr>
      <vt:lpstr>16 Oct 26</vt:lpstr>
      <vt:lpstr>17 Oct 26</vt:lpstr>
      <vt:lpstr>19 Oct 26</vt:lpstr>
      <vt:lpstr>20 Oct 26</vt:lpstr>
      <vt:lpstr>21 Oct 26</vt:lpstr>
      <vt:lpstr>22 Oct 26</vt:lpstr>
      <vt:lpstr>23 Oct 26</vt:lpstr>
      <vt:lpstr>24 Oct 26</vt:lpstr>
      <vt:lpstr>26 Oct 26</vt:lpstr>
      <vt:lpstr>27 Oct 26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786</cp:lastModifiedBy>
  <cp:lastPrinted>2026-10-23T06:42:19Z</cp:lastPrinted>
  <dcterms:created xsi:type="dcterms:W3CDTF">2019-04-02T07:44:54Z</dcterms:created>
  <dcterms:modified xsi:type="dcterms:W3CDTF">2026-10-30T09:22:35Z</dcterms:modified>
</cp:coreProperties>
</file>