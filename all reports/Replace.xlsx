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6D1B6B66-3E08-4ACD-9B38-757D7405201E}" xr6:coauthVersionLast="47" xr6:coauthVersionMax="47" xr10:uidLastSave="{00000000-0000-0000-0000-000000000000}"/>
  <bookViews>
    <workbookView xWindow="-110" yWindow="-110" windowWidth="19420" windowHeight="10420" xr2:uid="{D5F84030-BC74-4C27-9185-29CA12AE454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" i="1" l="1"/>
  <c r="O15" i="1"/>
  <c r="O16" i="1"/>
  <c r="O17" i="1"/>
  <c r="O18" i="1"/>
  <c r="O19" i="1"/>
  <c r="O20" i="1"/>
  <c r="O13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K29" i="1"/>
  <c r="J29" i="1"/>
  <c r="I54" i="1"/>
  <c r="F54" i="1"/>
  <c r="E54" i="1"/>
  <c r="D52" i="1"/>
  <c r="E52" i="1"/>
  <c r="F52" i="1"/>
  <c r="G52" i="1"/>
  <c r="H52" i="1"/>
  <c r="I52" i="1"/>
  <c r="C52" i="1"/>
  <c r="I50" i="1"/>
  <c r="H50" i="1"/>
  <c r="G50" i="1"/>
  <c r="E50" i="1"/>
  <c r="D50" i="1"/>
  <c r="I51" i="1"/>
  <c r="H51" i="1"/>
  <c r="G51" i="1"/>
  <c r="E51" i="1"/>
  <c r="D51" i="1"/>
  <c r="C50" i="1"/>
  <c r="I49" i="1"/>
  <c r="H49" i="1"/>
  <c r="G49" i="1"/>
  <c r="E49" i="1"/>
  <c r="D49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5" i="1"/>
  <c r="D24" i="1"/>
  <c r="E24" i="1"/>
  <c r="F24" i="1"/>
  <c r="G24" i="1"/>
  <c r="H24" i="1"/>
  <c r="I24" i="1"/>
  <c r="C24" i="1"/>
  <c r="J24" i="1" s="1"/>
</calcChain>
</file>

<file path=xl/sharedStrings.xml><?xml version="1.0" encoding="utf-8"?>
<sst xmlns="http://schemas.openxmlformats.org/spreadsheetml/2006/main" count="78" uniqueCount="52">
  <si>
    <t>60G</t>
  </si>
  <si>
    <t>70G</t>
  </si>
  <si>
    <t>120G</t>
  </si>
  <si>
    <t>CHK</t>
  </si>
  <si>
    <t>LEM</t>
  </si>
  <si>
    <t>MEAT</t>
  </si>
  <si>
    <t>Replace Form</t>
  </si>
  <si>
    <t>salamt pura</t>
  </si>
  <si>
    <t>bata pur</t>
  </si>
  <si>
    <t>ghari shahu</t>
  </si>
  <si>
    <t xml:space="preserve">shalimar </t>
  </si>
  <si>
    <t xml:space="preserve">Punjab housing </t>
  </si>
  <si>
    <t>cavalery ground</t>
  </si>
  <si>
    <t xml:space="preserve">Nelam Cinema </t>
  </si>
  <si>
    <t>Lal pull</t>
  </si>
  <si>
    <t>Shadman LHR</t>
  </si>
  <si>
    <t xml:space="preserve">Lakshman </t>
  </si>
  <si>
    <t xml:space="preserve">Kareem Park </t>
  </si>
  <si>
    <t>Bhati Chowk</t>
  </si>
  <si>
    <t>DHA xx-3 Block</t>
  </si>
  <si>
    <t>DHA H Block</t>
  </si>
  <si>
    <t xml:space="preserve">Muslim town </t>
  </si>
  <si>
    <t>Liaqat Chowk</t>
  </si>
  <si>
    <t>Gulshan Ravi</t>
  </si>
  <si>
    <t xml:space="preserve">Iqbal Town </t>
  </si>
  <si>
    <t xml:space="preserve">Total </t>
  </si>
  <si>
    <t>Total Sum</t>
  </si>
  <si>
    <t>Shop name</t>
  </si>
  <si>
    <t>Shop wise</t>
  </si>
  <si>
    <t>DATE</t>
  </si>
  <si>
    <t>LEMON</t>
  </si>
  <si>
    <t>JUNE</t>
  </si>
  <si>
    <t>LMN</t>
  </si>
  <si>
    <t>PCS</t>
  </si>
  <si>
    <t>CTNS</t>
  </si>
  <si>
    <t>Pcs</t>
  </si>
  <si>
    <t>Ctns</t>
  </si>
  <si>
    <t xml:space="preserve"> </t>
  </si>
  <si>
    <t>Filer</t>
  </si>
  <si>
    <t>Non-Filer</t>
  </si>
  <si>
    <t>Gram's</t>
  </si>
  <si>
    <t>Ctn Rate</t>
  </si>
  <si>
    <t>24/7</t>
  </si>
  <si>
    <t>Fafiz Store</t>
  </si>
  <si>
    <t>Urban Mart</t>
  </si>
  <si>
    <t>MA Mart</t>
  </si>
  <si>
    <t>Captain Mart</t>
  </si>
  <si>
    <t>Ajwa Bakery</t>
  </si>
  <si>
    <t xml:space="preserve">Al Jalil Mart </t>
  </si>
  <si>
    <t>Fresh Hill</t>
  </si>
  <si>
    <t>Smart Mart</t>
  </si>
  <si>
    <t xml:space="preserve">Ctns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</si>
</sst>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/>
    <xf numFmtId="0" fontId="0" fillId="0" borderId="1" xfId="0" applyBorder="1"/>
    <xf numFmtId="0" fontId="0" fillId="0" borderId="5" xfId="0" applyBorder="1"/>
    <xf numFmtId="0" fontId="1" fillId="2" borderId="1" xfId="0" applyFont="1" applyFill="1" applyBorder="1"/>
    <xf numFmtId="0" fontId="0" fillId="0" borderId="6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786\Desktop\Return.xlsx" TargetMode="External"/><Relationship Id="rId1" Type="http://schemas.openxmlformats.org/officeDocument/2006/relationships/externalLinkPath" Target="Retu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D4" t="str">
            <v>24/7</v>
          </cell>
          <cell r="E4">
            <v>45</v>
          </cell>
        </row>
        <row r="5">
          <cell r="D5" t="str">
            <v>Fafiz Store</v>
          </cell>
          <cell r="E5">
            <v>15</v>
          </cell>
        </row>
        <row r="6">
          <cell r="D6" t="str">
            <v>Urban Mart</v>
          </cell>
          <cell r="E6">
            <v>15</v>
          </cell>
        </row>
        <row r="7">
          <cell r="D7" t="str">
            <v>MA Mart</v>
          </cell>
          <cell r="E7">
            <v>15</v>
          </cell>
        </row>
        <row r="8">
          <cell r="D8" t="str">
            <v>Captain Mart</v>
          </cell>
          <cell r="E8">
            <v>1587453</v>
          </cell>
        </row>
        <row r="9">
          <cell r="D9" t="str">
            <v>Ajwa Bakery</v>
          </cell>
          <cell r="E9">
            <v>464</v>
          </cell>
        </row>
        <row r="10">
          <cell r="D10" t="str">
            <v xml:space="preserve">Al Jalil Mart </v>
          </cell>
          <cell r="E10">
            <v>41869</v>
          </cell>
        </row>
        <row r="11">
          <cell r="D11" t="str">
            <v>Fresh Hill</v>
          </cell>
          <cell r="E11">
            <v>8</v>
          </cell>
        </row>
        <row r="12">
          <cell r="D12" t="str">
            <v>Smart Mart</v>
          </cell>
          <cell r="E12">
            <v>684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B9C1-536E-4FE1-8658-08E03B674BE9}">
  <sheetPr>
    <pageSetUpPr fitToPage="1"/>
  </sheetPr>
  <dimension ref="B2:O56"/>
  <sheetViews>
    <sheetView tabSelected="1" topLeftCell="A7" workbookViewId="0">
      <selection activeCell="K20" sqref="K20"/>
    </sheetView>
  </sheetViews>
  <sheetFormatPr defaultRowHeight="14.5" x14ac:dyDescent="0.35"/>
  <cols>
    <col min="1" max="1" width="4.26953125" customWidth="1"/>
    <col min="2" max="2" width="20.90625" customWidth="1"/>
    <col min="10" max="10" width="10.81640625" customWidth="1"/>
    <col min="14" max="14" width="11.7265625" bestFit="1" customWidth="1"/>
  </cols>
  <sheetData>
    <row r="2" spans="2:15" ht="28.5" customHeight="1" x14ac:dyDescent="0.35">
      <c r="B2" s="20" t="s">
        <v>6</v>
      </c>
      <c r="C2" s="21"/>
      <c r="D2" s="21"/>
      <c r="E2" s="21"/>
      <c r="F2" s="21"/>
      <c r="G2" s="21"/>
      <c r="H2" s="21"/>
      <c r="I2" s="21"/>
      <c r="J2" s="22"/>
    </row>
    <row r="3" spans="2:15" x14ac:dyDescent="0.35">
      <c r="B3" s="7"/>
      <c r="C3" s="1" t="s">
        <v>3</v>
      </c>
      <c r="D3" s="1" t="s">
        <v>5</v>
      </c>
      <c r="E3" s="1" t="s">
        <v>4</v>
      </c>
      <c r="F3" s="1" t="s">
        <v>3</v>
      </c>
      <c r="G3" s="1" t="s">
        <v>5</v>
      </c>
      <c r="H3" s="1" t="s">
        <v>4</v>
      </c>
      <c r="I3" s="1" t="s">
        <v>3</v>
      </c>
      <c r="J3" s="6" t="s">
        <v>28</v>
      </c>
    </row>
    <row r="4" spans="2:15" ht="15" thickBot="1" x14ac:dyDescent="0.4">
      <c r="B4" s="8" t="s">
        <v>27</v>
      </c>
      <c r="C4" s="1" t="s">
        <v>0</v>
      </c>
      <c r="D4" s="1" t="s">
        <v>1</v>
      </c>
      <c r="E4" s="1" t="s">
        <v>1</v>
      </c>
      <c r="F4" s="1" t="s">
        <v>1</v>
      </c>
      <c r="G4" s="1" t="s">
        <v>2</v>
      </c>
      <c r="H4" s="1" t="s">
        <v>2</v>
      </c>
      <c r="I4" s="1" t="s">
        <v>2</v>
      </c>
      <c r="J4" s="5" t="s">
        <v>26</v>
      </c>
    </row>
    <row r="5" spans="2:15" ht="15" thickBot="1" x14ac:dyDescent="0.4">
      <c r="B5" s="7" t="s">
        <v>7</v>
      </c>
      <c r="C5" s="2"/>
      <c r="D5" s="2"/>
      <c r="E5" s="2">
        <v>2</v>
      </c>
      <c r="F5" s="2">
        <v>15</v>
      </c>
      <c r="G5" s="2"/>
      <c r="H5" s="2">
        <v>48</v>
      </c>
      <c r="I5" s="2">
        <v>22</v>
      </c>
      <c r="J5" s="3">
        <f>SUM(C5:I5)</f>
        <v>87</v>
      </c>
      <c r="M5" s="12"/>
      <c r="N5" s="13" t="s">
        <v>38</v>
      </c>
      <c r="O5" s="14" t="s">
        <v>39</v>
      </c>
    </row>
    <row r="6" spans="2:15" x14ac:dyDescent="0.35">
      <c r="B6" s="7" t="s">
        <v>8</v>
      </c>
      <c r="C6" s="2"/>
      <c r="D6" s="2">
        <v>10</v>
      </c>
      <c r="E6" s="2">
        <v>6</v>
      </c>
      <c r="F6" s="2">
        <v>46</v>
      </c>
      <c r="G6" s="2">
        <v>7</v>
      </c>
      <c r="H6" s="2"/>
      <c r="I6" s="2">
        <v>18</v>
      </c>
      <c r="J6" s="3">
        <f t="shared" ref="J6:J24" si="0">SUM(C6:I6)</f>
        <v>87</v>
      </c>
      <c r="M6" s="15" t="s">
        <v>40</v>
      </c>
      <c r="N6" s="15" t="s">
        <v>41</v>
      </c>
      <c r="O6" s="15" t="s">
        <v>41</v>
      </c>
    </row>
    <row r="7" spans="2:15" x14ac:dyDescent="0.35">
      <c r="B7" s="7" t="s">
        <v>9</v>
      </c>
      <c r="C7" s="2"/>
      <c r="D7" s="2"/>
      <c r="E7" s="2">
        <v>6</v>
      </c>
      <c r="F7" s="2"/>
      <c r="G7" s="2"/>
      <c r="H7" s="2">
        <v>1</v>
      </c>
      <c r="I7" s="2"/>
      <c r="J7" s="3">
        <f t="shared" si="0"/>
        <v>7</v>
      </c>
      <c r="M7" s="2" t="s">
        <v>0</v>
      </c>
      <c r="N7" s="16">
        <v>1608</v>
      </c>
      <c r="O7" s="6">
        <v>1640</v>
      </c>
    </row>
    <row r="8" spans="2:15" x14ac:dyDescent="0.35">
      <c r="B8" s="7" t="s">
        <v>10</v>
      </c>
      <c r="C8" s="2"/>
      <c r="D8" s="2">
        <v>13</v>
      </c>
      <c r="E8" s="2">
        <v>50</v>
      </c>
      <c r="F8" s="2">
        <v>45</v>
      </c>
      <c r="G8" s="2">
        <v>55</v>
      </c>
      <c r="H8" s="2">
        <v>75</v>
      </c>
      <c r="I8" s="2">
        <v>22</v>
      </c>
      <c r="J8" s="3">
        <f t="shared" si="0"/>
        <v>260</v>
      </c>
      <c r="M8" s="2" t="s">
        <v>1</v>
      </c>
      <c r="N8" s="16">
        <v>2202</v>
      </c>
      <c r="O8" s="6">
        <v>2246</v>
      </c>
    </row>
    <row r="9" spans="2:15" ht="15" thickBot="1" x14ac:dyDescent="0.4">
      <c r="B9" s="7" t="s">
        <v>11</v>
      </c>
      <c r="C9" s="2"/>
      <c r="D9" s="2"/>
      <c r="E9" s="2">
        <v>45</v>
      </c>
      <c r="F9" s="2"/>
      <c r="G9" s="2"/>
      <c r="H9" s="2"/>
      <c r="I9" s="2"/>
      <c r="J9" s="3">
        <f t="shared" si="0"/>
        <v>45</v>
      </c>
      <c r="M9" s="17" t="s">
        <v>2</v>
      </c>
      <c r="N9" s="18">
        <v>3050</v>
      </c>
      <c r="O9" s="19">
        <v>3110</v>
      </c>
    </row>
    <row r="10" spans="2:15" ht="15" thickTop="1" x14ac:dyDescent="0.35">
      <c r="B10" s="7" t="s">
        <v>12</v>
      </c>
      <c r="C10" s="2"/>
      <c r="D10" s="2"/>
      <c r="E10" s="2">
        <v>42</v>
      </c>
      <c r="F10" s="2">
        <v>35</v>
      </c>
      <c r="G10" s="2">
        <v>44</v>
      </c>
      <c r="H10" s="2">
        <v>69</v>
      </c>
      <c r="I10" s="2">
        <v>51</v>
      </c>
      <c r="J10" s="3">
        <f t="shared" si="0"/>
        <v>241</v>
      </c>
    </row>
    <row r="11" spans="2:15" x14ac:dyDescent="0.35">
      <c r="B11" s="7" t="s">
        <v>13</v>
      </c>
      <c r="C11" s="2"/>
      <c r="D11" s="2"/>
      <c r="E11" s="2">
        <v>13</v>
      </c>
      <c r="F11" s="2"/>
      <c r="G11" s="2"/>
      <c r="H11" s="2"/>
      <c r="I11" s="2"/>
      <c r="J11" s="3">
        <f t="shared" si="0"/>
        <v>13</v>
      </c>
    </row>
    <row r="12" spans="2:15" x14ac:dyDescent="0.35">
      <c r="B12" s="7" t="s">
        <v>14</v>
      </c>
      <c r="C12" s="2"/>
      <c r="D12" s="2"/>
      <c r="E12" s="2"/>
      <c r="F12" s="2"/>
      <c r="G12" s="2"/>
      <c r="H12" s="2">
        <v>1</v>
      </c>
      <c r="I12" s="2"/>
      <c r="J12" s="3">
        <f t="shared" si="0"/>
        <v>1</v>
      </c>
      <c r="N12" s="9" t="s">
        <v>42</v>
      </c>
      <c r="O12" s="9" t="s">
        <v>51</v>
      </c>
    </row>
    <row r="13" spans="2:15" x14ac:dyDescent="0.35">
      <c r="B13" s="7" t="s">
        <v>15</v>
      </c>
      <c r="C13" s="2"/>
      <c r="D13" s="2">
        <v>2</v>
      </c>
      <c r="E13" s="2">
        <v>4</v>
      </c>
      <c r="F13" s="2">
        <v>1</v>
      </c>
      <c r="G13" s="2"/>
      <c r="H13" s="2">
        <v>3</v>
      </c>
      <c r="I13" s="2"/>
      <c r="J13" s="3">
        <f t="shared" si="0"/>
        <v>10</v>
      </c>
      <c r="N13" s="9" t="s">
        <v>43</v>
      </c>
      <c r="O13" s="9">
        <f>IFERROR(VLOOKUP(N13,[1]Sheet1!$D$4:$E$12,2,FALSE),0)</f>
        <v>15</v>
      </c>
    </row>
    <row r="14" spans="2:15" x14ac:dyDescent="0.35">
      <c r="B14" s="7" t="s">
        <v>16</v>
      </c>
      <c r="C14" s="2"/>
      <c r="D14" s="2"/>
      <c r="E14" s="2">
        <v>3</v>
      </c>
      <c r="F14" s="2"/>
      <c r="G14" s="2"/>
      <c r="H14" s="2"/>
      <c r="I14" s="2"/>
      <c r="J14" s="3">
        <f t="shared" si="0"/>
        <v>3</v>
      </c>
      <c r="N14" s="9" t="s">
        <v>44</v>
      </c>
      <c r="O14" s="9">
        <f>IFERROR(VLOOKUP(N14,[1]Sheet1!$D$4:$E$12,2,FALSE),0)</f>
        <v>15</v>
      </c>
    </row>
    <row r="15" spans="2:15" x14ac:dyDescent="0.35">
      <c r="B15" s="7" t="s">
        <v>17</v>
      </c>
      <c r="C15" s="2"/>
      <c r="D15" s="2">
        <v>11</v>
      </c>
      <c r="E15" s="2">
        <v>5</v>
      </c>
      <c r="F15" s="2"/>
      <c r="G15" s="2"/>
      <c r="H15" s="2"/>
      <c r="I15" s="2"/>
      <c r="J15" s="3">
        <f t="shared" si="0"/>
        <v>16</v>
      </c>
      <c r="N15" s="9" t="s">
        <v>45</v>
      </c>
      <c r="O15" s="9">
        <f>IFERROR(VLOOKUP(N15,[1]Sheet1!$D$4:$E$12,2,FALSE),0)</f>
        <v>15</v>
      </c>
    </row>
    <row r="16" spans="2:15" x14ac:dyDescent="0.35">
      <c r="B16" s="7" t="s">
        <v>18</v>
      </c>
      <c r="C16" s="2"/>
      <c r="D16" s="2"/>
      <c r="E16" s="2">
        <v>18</v>
      </c>
      <c r="F16" s="2"/>
      <c r="G16" s="2"/>
      <c r="H16" s="2"/>
      <c r="I16" s="2"/>
      <c r="J16" s="3">
        <f t="shared" si="0"/>
        <v>18</v>
      </c>
      <c r="N16" s="9" t="s">
        <v>46</v>
      </c>
      <c r="O16" s="9">
        <f>IFERROR(VLOOKUP(N16,[1]Sheet1!$D$4:$E$12,2,FALSE),0)</f>
        <v>1587453</v>
      </c>
    </row>
    <row r="17" spans="2:15" x14ac:dyDescent="0.35">
      <c r="B17" s="7" t="s">
        <v>19</v>
      </c>
      <c r="C17" s="2"/>
      <c r="D17" s="2">
        <v>2</v>
      </c>
      <c r="E17" s="2">
        <v>32</v>
      </c>
      <c r="F17" s="2">
        <v>2</v>
      </c>
      <c r="G17" s="2"/>
      <c r="H17" s="2"/>
      <c r="I17" s="2"/>
      <c r="J17" s="3">
        <f t="shared" si="0"/>
        <v>36</v>
      </c>
      <c r="N17" s="9" t="s">
        <v>47</v>
      </c>
      <c r="O17" s="9">
        <f>IFERROR(VLOOKUP(N17,[1]Sheet1!$D$4:$E$12,2,FALSE),0)</f>
        <v>464</v>
      </c>
    </row>
    <row r="18" spans="2:15" x14ac:dyDescent="0.35">
      <c r="B18" s="7" t="s">
        <v>20</v>
      </c>
      <c r="C18" s="2"/>
      <c r="D18" s="2"/>
      <c r="E18" s="2">
        <v>39</v>
      </c>
      <c r="F18" s="2">
        <v>6</v>
      </c>
      <c r="G18" s="2"/>
      <c r="H18" s="2"/>
      <c r="I18" s="2"/>
      <c r="J18" s="3">
        <f t="shared" si="0"/>
        <v>45</v>
      </c>
      <c r="N18" s="9" t="s">
        <v>48</v>
      </c>
      <c r="O18" s="9">
        <f>IFERROR(VLOOKUP(N18,[1]Sheet1!$D$4:$E$12,2,FALSE),0)</f>
        <v>41869</v>
      </c>
    </row>
    <row r="19" spans="2:15" x14ac:dyDescent="0.35">
      <c r="B19" s="7" t="s">
        <v>21</v>
      </c>
      <c r="C19" s="2"/>
      <c r="D19" s="2">
        <v>18</v>
      </c>
      <c r="E19" s="2">
        <v>57</v>
      </c>
      <c r="F19" s="2">
        <v>40</v>
      </c>
      <c r="G19" s="2">
        <v>14</v>
      </c>
      <c r="H19" s="2">
        <v>46</v>
      </c>
      <c r="I19" s="2">
        <v>40</v>
      </c>
      <c r="J19" s="3">
        <f t="shared" si="0"/>
        <v>215</v>
      </c>
      <c r="N19" s="9" t="s">
        <v>49</v>
      </c>
      <c r="O19" s="9">
        <f>IFERROR(VLOOKUP(N19,[1]Sheet1!$D$4:$E$12,2,FALSE),0)</f>
        <v>8</v>
      </c>
    </row>
    <row r="20" spans="2:15" x14ac:dyDescent="0.35">
      <c r="B20" s="7" t="s">
        <v>21</v>
      </c>
      <c r="C20" s="2"/>
      <c r="D20" s="2"/>
      <c r="E20" s="2">
        <v>31</v>
      </c>
      <c r="F20" s="2">
        <v>2</v>
      </c>
      <c r="G20" s="2"/>
      <c r="H20" s="2">
        <v>6</v>
      </c>
      <c r="I20" s="2"/>
      <c r="J20" s="3">
        <f t="shared" si="0"/>
        <v>39</v>
      </c>
      <c r="N20" s="9" t="s">
        <v>50</v>
      </c>
      <c r="O20" s="9">
        <f>IFERROR(VLOOKUP(N20,[1]Sheet1!$D$4:$E$12,2,FALSE),0)</f>
        <v>684</v>
      </c>
    </row>
    <row r="21" spans="2:15" x14ac:dyDescent="0.35">
      <c r="B21" s="7" t="s">
        <v>22</v>
      </c>
      <c r="C21" s="2"/>
      <c r="D21" s="2"/>
      <c r="E21" s="2">
        <v>75</v>
      </c>
      <c r="F21" s="2"/>
      <c r="G21" s="2"/>
      <c r="H21" s="2">
        <v>16</v>
      </c>
      <c r="I21" s="2">
        <v>13</v>
      </c>
      <c r="J21" s="3">
        <f t="shared" si="0"/>
        <v>104</v>
      </c>
    </row>
    <row r="22" spans="2:15" x14ac:dyDescent="0.35">
      <c r="B22" s="7" t="s">
        <v>23</v>
      </c>
      <c r="C22" s="2"/>
      <c r="D22" s="2">
        <v>11</v>
      </c>
      <c r="E22" s="2">
        <v>36</v>
      </c>
      <c r="F22" s="2"/>
      <c r="G22" s="2"/>
      <c r="H22" s="2"/>
      <c r="I22" s="2"/>
      <c r="J22" s="3">
        <f t="shared" si="0"/>
        <v>47</v>
      </c>
    </row>
    <row r="23" spans="2:15" x14ac:dyDescent="0.35">
      <c r="B23" s="7" t="s">
        <v>24</v>
      </c>
      <c r="C23" s="2"/>
      <c r="D23" s="2">
        <v>68</v>
      </c>
      <c r="E23" s="2">
        <v>114</v>
      </c>
      <c r="F23" s="2">
        <v>111</v>
      </c>
      <c r="G23" s="2">
        <v>79</v>
      </c>
      <c r="H23" s="2">
        <v>120</v>
      </c>
      <c r="I23" s="2">
        <v>108</v>
      </c>
      <c r="J23" s="3">
        <f t="shared" si="0"/>
        <v>600</v>
      </c>
    </row>
    <row r="24" spans="2:15" ht="23.5" customHeight="1" x14ac:dyDescent="0.35">
      <c r="B24" s="4" t="s">
        <v>25</v>
      </c>
      <c r="C24" s="4">
        <f>SUM(C5:C23)</f>
        <v>0</v>
      </c>
      <c r="D24" s="4">
        <f t="shared" ref="D24:I24" si="1">SUM(D5:D23)</f>
        <v>135</v>
      </c>
      <c r="E24" s="4">
        <f t="shared" si="1"/>
        <v>578</v>
      </c>
      <c r="F24" s="4">
        <f t="shared" si="1"/>
        <v>303</v>
      </c>
      <c r="G24" s="4">
        <f t="shared" si="1"/>
        <v>199</v>
      </c>
      <c r="H24" s="4">
        <f t="shared" si="1"/>
        <v>385</v>
      </c>
      <c r="I24" s="4">
        <f t="shared" si="1"/>
        <v>274</v>
      </c>
      <c r="J24" s="4">
        <f t="shared" si="0"/>
        <v>1874</v>
      </c>
    </row>
    <row r="26" spans="2:15" x14ac:dyDescent="0.35">
      <c r="E26" t="s">
        <v>31</v>
      </c>
    </row>
    <row r="27" spans="2:15" x14ac:dyDescent="0.35">
      <c r="B27" t="s">
        <v>29</v>
      </c>
      <c r="C27" s="9" t="s">
        <v>0</v>
      </c>
      <c r="D27" s="9" t="s">
        <v>1</v>
      </c>
      <c r="E27" s="9" t="s">
        <v>1</v>
      </c>
      <c r="F27" s="9" t="s">
        <v>1</v>
      </c>
      <c r="G27" s="9" t="s">
        <v>2</v>
      </c>
      <c r="H27" s="9" t="s">
        <v>2</v>
      </c>
      <c r="I27" s="9" t="s">
        <v>2</v>
      </c>
    </row>
    <row r="28" spans="2:15" x14ac:dyDescent="0.35">
      <c r="C28" s="9" t="s">
        <v>3</v>
      </c>
      <c r="D28" s="9" t="s">
        <v>5</v>
      </c>
      <c r="E28" s="9" t="s">
        <v>30</v>
      </c>
      <c r="F28" s="9" t="s">
        <v>3</v>
      </c>
      <c r="G28" s="9" t="s">
        <v>5</v>
      </c>
      <c r="H28" s="9" t="s">
        <v>32</v>
      </c>
      <c r="I28" s="9" t="s">
        <v>3</v>
      </c>
      <c r="J28" s="10" t="s">
        <v>35</v>
      </c>
      <c r="K28" s="10" t="s">
        <v>36</v>
      </c>
    </row>
    <row r="29" spans="2:15" x14ac:dyDescent="0.35">
      <c r="B29">
        <v>2</v>
      </c>
      <c r="C29" s="9">
        <v>1590</v>
      </c>
      <c r="D29" s="9">
        <v>452</v>
      </c>
      <c r="E29" s="9">
        <v>440</v>
      </c>
      <c r="F29" s="9">
        <v>20</v>
      </c>
      <c r="G29" s="9">
        <v>470</v>
      </c>
      <c r="H29" s="9">
        <v>454</v>
      </c>
      <c r="I29" s="9">
        <v>671</v>
      </c>
      <c r="J29">
        <f>SUM(C29:I29)</f>
        <v>4097</v>
      </c>
      <c r="K29">
        <f>J29/40</f>
        <v>102.425</v>
      </c>
    </row>
    <row r="30" spans="2:15" x14ac:dyDescent="0.35">
      <c r="B30">
        <v>3</v>
      </c>
      <c r="C30" s="9">
        <v>40</v>
      </c>
      <c r="D30" s="9">
        <v>84</v>
      </c>
      <c r="E30" s="9">
        <v>84</v>
      </c>
      <c r="F30" s="9">
        <v>42</v>
      </c>
      <c r="G30" s="9">
        <v>57</v>
      </c>
      <c r="H30" s="9">
        <v>52</v>
      </c>
      <c r="I30" s="9">
        <v>71</v>
      </c>
      <c r="J30">
        <f t="shared" ref="J30:J52" si="2">SUM(C30:I30)</f>
        <v>430</v>
      </c>
      <c r="K30">
        <f t="shared" ref="K30:K52" si="3">J30/40</f>
        <v>10.75</v>
      </c>
    </row>
    <row r="31" spans="2:15" x14ac:dyDescent="0.35">
      <c r="B31">
        <v>4</v>
      </c>
      <c r="C31" s="9">
        <v>599</v>
      </c>
      <c r="D31" s="9">
        <v>586</v>
      </c>
      <c r="E31" s="9">
        <v>561</v>
      </c>
      <c r="F31" s="9">
        <v>588</v>
      </c>
      <c r="G31" s="9">
        <v>805</v>
      </c>
      <c r="H31" s="9">
        <v>861</v>
      </c>
      <c r="I31" s="9">
        <v>1329</v>
      </c>
      <c r="J31">
        <f t="shared" si="2"/>
        <v>5329</v>
      </c>
      <c r="K31">
        <f t="shared" si="3"/>
        <v>133.22499999999999</v>
      </c>
    </row>
    <row r="32" spans="2:15" x14ac:dyDescent="0.35">
      <c r="B32">
        <v>5</v>
      </c>
      <c r="C32" s="9">
        <v>1690</v>
      </c>
      <c r="D32" s="9">
        <v>450</v>
      </c>
      <c r="E32" s="9">
        <v>514</v>
      </c>
      <c r="F32" s="9">
        <v>89</v>
      </c>
      <c r="G32" s="9">
        <v>704</v>
      </c>
      <c r="H32" s="9">
        <v>656</v>
      </c>
      <c r="I32" s="9">
        <v>927</v>
      </c>
      <c r="J32">
        <f t="shared" si="2"/>
        <v>5030</v>
      </c>
      <c r="K32">
        <f t="shared" si="3"/>
        <v>125.75</v>
      </c>
    </row>
    <row r="33" spans="2:11" x14ac:dyDescent="0.35">
      <c r="B33">
        <v>6</v>
      </c>
      <c r="C33" s="9">
        <v>1092</v>
      </c>
      <c r="D33" s="9">
        <v>1509</v>
      </c>
      <c r="E33" s="9">
        <v>1387</v>
      </c>
      <c r="F33" s="9">
        <v>1347</v>
      </c>
      <c r="G33" s="9">
        <v>1398</v>
      </c>
      <c r="H33" s="9">
        <v>1327</v>
      </c>
      <c r="I33" s="9">
        <v>1489</v>
      </c>
      <c r="J33">
        <f t="shared" si="2"/>
        <v>9549</v>
      </c>
      <c r="K33">
        <f t="shared" si="3"/>
        <v>238.72499999999999</v>
      </c>
    </row>
    <row r="34" spans="2:11" x14ac:dyDescent="0.35">
      <c r="B34">
        <v>8</v>
      </c>
      <c r="C34" s="9">
        <v>228</v>
      </c>
      <c r="D34" s="9">
        <v>52</v>
      </c>
      <c r="E34" s="9">
        <v>95</v>
      </c>
      <c r="F34" s="9">
        <v>87</v>
      </c>
      <c r="G34" s="9">
        <v>701</v>
      </c>
      <c r="H34" s="9">
        <v>735</v>
      </c>
      <c r="I34" s="9">
        <v>1091</v>
      </c>
      <c r="J34">
        <f t="shared" si="2"/>
        <v>2989</v>
      </c>
      <c r="K34">
        <f t="shared" si="3"/>
        <v>74.724999999999994</v>
      </c>
    </row>
    <row r="35" spans="2:11" x14ac:dyDescent="0.35">
      <c r="B35">
        <v>9</v>
      </c>
      <c r="C35" s="9">
        <v>154</v>
      </c>
      <c r="D35" s="9">
        <v>838</v>
      </c>
      <c r="E35" s="9">
        <v>409</v>
      </c>
      <c r="F35" s="9">
        <v>989</v>
      </c>
      <c r="G35" s="9">
        <v>1222</v>
      </c>
      <c r="H35" s="9">
        <v>1009</v>
      </c>
      <c r="I35" s="9">
        <v>2913</v>
      </c>
      <c r="J35">
        <f t="shared" si="2"/>
        <v>7534</v>
      </c>
      <c r="K35">
        <f t="shared" si="3"/>
        <v>188.35</v>
      </c>
    </row>
    <row r="36" spans="2:11" x14ac:dyDescent="0.35">
      <c r="B36">
        <v>10</v>
      </c>
      <c r="C36" s="9">
        <v>80</v>
      </c>
      <c r="D36" s="9">
        <v>120</v>
      </c>
      <c r="E36" s="9">
        <v>131</v>
      </c>
      <c r="F36" s="9">
        <v>99</v>
      </c>
      <c r="G36" s="9">
        <v>167</v>
      </c>
      <c r="H36" s="9">
        <v>220</v>
      </c>
      <c r="I36" s="9">
        <v>32</v>
      </c>
      <c r="J36">
        <f t="shared" si="2"/>
        <v>849</v>
      </c>
      <c r="K36">
        <f t="shared" si="3"/>
        <v>21.225000000000001</v>
      </c>
    </row>
    <row r="37" spans="2:11" x14ac:dyDescent="0.35">
      <c r="B37">
        <v>11</v>
      </c>
      <c r="C37" s="9">
        <v>200</v>
      </c>
      <c r="D37" s="9">
        <v>119</v>
      </c>
      <c r="E37" s="9">
        <v>138</v>
      </c>
      <c r="F37" s="9">
        <v>127</v>
      </c>
      <c r="G37" s="9">
        <v>430</v>
      </c>
      <c r="H37" s="9">
        <v>371</v>
      </c>
      <c r="I37" s="9">
        <v>474</v>
      </c>
      <c r="J37">
        <f t="shared" si="2"/>
        <v>1859</v>
      </c>
      <c r="K37">
        <f t="shared" si="3"/>
        <v>46.475000000000001</v>
      </c>
    </row>
    <row r="38" spans="2:11" x14ac:dyDescent="0.35">
      <c r="B38">
        <v>12</v>
      </c>
      <c r="C38" s="9">
        <v>102</v>
      </c>
      <c r="D38" s="9">
        <v>987</v>
      </c>
      <c r="E38" s="9">
        <v>973</v>
      </c>
      <c r="F38" s="9">
        <v>1266</v>
      </c>
      <c r="G38" s="9">
        <v>2208</v>
      </c>
      <c r="H38" s="9">
        <v>1745</v>
      </c>
      <c r="I38" s="9">
        <v>3560</v>
      </c>
      <c r="J38">
        <f t="shared" si="2"/>
        <v>10841</v>
      </c>
      <c r="K38">
        <f t="shared" si="3"/>
        <v>271.02499999999998</v>
      </c>
    </row>
    <row r="39" spans="2:11" x14ac:dyDescent="0.35">
      <c r="B39">
        <v>13</v>
      </c>
      <c r="C39" s="9">
        <v>40</v>
      </c>
      <c r="D39" s="9">
        <v>390</v>
      </c>
      <c r="E39" s="9">
        <v>440</v>
      </c>
      <c r="F39" s="9">
        <v>411</v>
      </c>
      <c r="G39" s="9">
        <v>463</v>
      </c>
      <c r="H39" s="9">
        <v>473</v>
      </c>
      <c r="I39" s="9">
        <v>463</v>
      </c>
      <c r="J39">
        <f t="shared" si="2"/>
        <v>2680</v>
      </c>
      <c r="K39">
        <f t="shared" si="3"/>
        <v>67</v>
      </c>
    </row>
    <row r="40" spans="2:11" x14ac:dyDescent="0.35">
      <c r="B40">
        <v>15</v>
      </c>
      <c r="C40" s="9">
        <v>36</v>
      </c>
      <c r="D40" s="9">
        <v>1707</v>
      </c>
      <c r="E40" s="9">
        <v>642</v>
      </c>
      <c r="F40" s="9">
        <v>1905</v>
      </c>
      <c r="G40" s="9">
        <v>3080</v>
      </c>
      <c r="H40" s="9">
        <v>2599</v>
      </c>
      <c r="I40" s="9">
        <v>3142</v>
      </c>
      <c r="J40">
        <f t="shared" si="2"/>
        <v>13111</v>
      </c>
      <c r="K40">
        <f t="shared" si="3"/>
        <v>327.77499999999998</v>
      </c>
    </row>
    <row r="41" spans="2:11" x14ac:dyDescent="0.35">
      <c r="B41">
        <v>16</v>
      </c>
      <c r="C41" s="9">
        <v>370</v>
      </c>
      <c r="D41" s="9">
        <v>1450</v>
      </c>
      <c r="E41" s="9">
        <v>2897</v>
      </c>
      <c r="F41" s="9">
        <v>1537</v>
      </c>
      <c r="G41" s="9">
        <v>1409</v>
      </c>
      <c r="H41" s="9">
        <v>1368</v>
      </c>
      <c r="I41" s="9">
        <v>1625</v>
      </c>
      <c r="J41">
        <f t="shared" si="2"/>
        <v>10656</v>
      </c>
      <c r="K41">
        <f t="shared" si="3"/>
        <v>266.39999999999998</v>
      </c>
    </row>
    <row r="42" spans="2:11" x14ac:dyDescent="0.35">
      <c r="B42">
        <v>17</v>
      </c>
      <c r="C42" s="9">
        <v>248</v>
      </c>
      <c r="D42" s="9">
        <v>370</v>
      </c>
      <c r="E42" s="9">
        <v>450</v>
      </c>
      <c r="F42" s="9">
        <v>492</v>
      </c>
      <c r="G42" s="9">
        <v>641</v>
      </c>
      <c r="H42" s="9">
        <v>635</v>
      </c>
      <c r="I42" s="9">
        <v>1022</v>
      </c>
      <c r="J42">
        <f t="shared" si="2"/>
        <v>3858</v>
      </c>
      <c r="K42">
        <f t="shared" si="3"/>
        <v>96.45</v>
      </c>
    </row>
    <row r="43" spans="2:11" x14ac:dyDescent="0.35">
      <c r="B43">
        <v>18</v>
      </c>
      <c r="C43" s="9">
        <v>258</v>
      </c>
      <c r="D43" s="9">
        <v>1277</v>
      </c>
      <c r="E43" s="9">
        <v>1351</v>
      </c>
      <c r="F43" s="9">
        <v>1581</v>
      </c>
      <c r="G43" s="9">
        <v>1597</v>
      </c>
      <c r="H43" s="9">
        <v>1500</v>
      </c>
      <c r="I43" s="9">
        <v>1848</v>
      </c>
      <c r="J43">
        <f t="shared" si="2"/>
        <v>9412</v>
      </c>
      <c r="K43">
        <f t="shared" si="3"/>
        <v>235.3</v>
      </c>
    </row>
    <row r="44" spans="2:11" x14ac:dyDescent="0.35">
      <c r="B44">
        <v>19</v>
      </c>
      <c r="C44" s="9">
        <v>12</v>
      </c>
      <c r="D44" s="9">
        <v>1471</v>
      </c>
      <c r="E44" s="9">
        <v>1901</v>
      </c>
      <c r="F44" s="9">
        <v>3437</v>
      </c>
      <c r="G44" s="9">
        <v>3320</v>
      </c>
      <c r="H44" s="9">
        <v>2371</v>
      </c>
      <c r="I44" s="9">
        <v>5077</v>
      </c>
      <c r="J44">
        <f t="shared" si="2"/>
        <v>17589</v>
      </c>
      <c r="K44">
        <f t="shared" si="3"/>
        <v>439.72500000000002</v>
      </c>
    </row>
    <row r="45" spans="2:11" x14ac:dyDescent="0.35">
      <c r="B45">
        <v>20</v>
      </c>
      <c r="C45" s="9">
        <v>2184</v>
      </c>
      <c r="D45" s="9">
        <v>540</v>
      </c>
      <c r="E45" s="9">
        <v>535</v>
      </c>
      <c r="F45" s="9">
        <v>662</v>
      </c>
      <c r="G45" s="9">
        <v>1466</v>
      </c>
      <c r="H45" s="9">
        <v>1612</v>
      </c>
      <c r="I45" s="9">
        <v>2076</v>
      </c>
      <c r="J45">
        <f t="shared" si="2"/>
        <v>9075</v>
      </c>
      <c r="K45">
        <f t="shared" si="3"/>
        <v>226.875</v>
      </c>
    </row>
    <row r="46" spans="2:11" x14ac:dyDescent="0.35">
      <c r="B46">
        <v>22</v>
      </c>
      <c r="C46" s="9">
        <v>230</v>
      </c>
      <c r="D46" s="9">
        <v>385</v>
      </c>
      <c r="E46" s="9">
        <v>382</v>
      </c>
      <c r="F46" s="9">
        <v>411</v>
      </c>
      <c r="G46" s="9">
        <v>441</v>
      </c>
      <c r="H46" s="9">
        <v>383</v>
      </c>
      <c r="I46" s="9">
        <v>364</v>
      </c>
      <c r="J46">
        <f t="shared" si="2"/>
        <v>2596</v>
      </c>
      <c r="K46">
        <f t="shared" si="3"/>
        <v>64.900000000000006</v>
      </c>
    </row>
    <row r="47" spans="2:11" x14ac:dyDescent="0.35">
      <c r="B47">
        <v>23</v>
      </c>
      <c r="C47" s="9">
        <v>180</v>
      </c>
      <c r="D47" s="9">
        <v>908</v>
      </c>
      <c r="E47" s="9">
        <v>827</v>
      </c>
      <c r="F47" s="9">
        <v>199</v>
      </c>
      <c r="G47" s="9">
        <v>996</v>
      </c>
      <c r="H47" s="9">
        <v>959</v>
      </c>
      <c r="I47" s="9">
        <v>1133</v>
      </c>
      <c r="J47">
        <f t="shared" si="2"/>
        <v>5202</v>
      </c>
      <c r="K47">
        <f t="shared" si="3"/>
        <v>130.05000000000001</v>
      </c>
    </row>
    <row r="48" spans="2:11" x14ac:dyDescent="0.35">
      <c r="B48">
        <v>24</v>
      </c>
      <c r="C48" s="9">
        <v>271</v>
      </c>
      <c r="D48" s="9">
        <v>485</v>
      </c>
      <c r="E48" s="9">
        <v>507</v>
      </c>
      <c r="F48" s="9">
        <v>0</v>
      </c>
      <c r="G48" s="9">
        <v>677</v>
      </c>
      <c r="H48" s="9">
        <v>635</v>
      </c>
      <c r="I48" s="9">
        <v>708</v>
      </c>
      <c r="J48">
        <f t="shared" si="2"/>
        <v>3283</v>
      </c>
      <c r="K48">
        <f t="shared" si="3"/>
        <v>82.075000000000003</v>
      </c>
    </row>
    <row r="49" spans="2:11" x14ac:dyDescent="0.35">
      <c r="B49">
        <v>25</v>
      </c>
      <c r="C49" s="9"/>
      <c r="D49" s="9">
        <f>412+73</f>
        <v>485</v>
      </c>
      <c r="E49" s="9">
        <f>412+95</f>
        <v>507</v>
      </c>
      <c r="F49" s="9"/>
      <c r="G49" s="9">
        <f>452+225</f>
        <v>677</v>
      </c>
      <c r="H49" s="9">
        <f>494+141</f>
        <v>635</v>
      </c>
      <c r="I49" s="9">
        <f>452+256</f>
        <v>708</v>
      </c>
      <c r="J49">
        <f t="shared" si="2"/>
        <v>3012</v>
      </c>
      <c r="K49">
        <f t="shared" si="3"/>
        <v>75.3</v>
      </c>
    </row>
    <row r="50" spans="2:11" x14ac:dyDescent="0.35">
      <c r="B50">
        <v>29</v>
      </c>
      <c r="C50" s="9">
        <f>41+100</f>
        <v>141</v>
      </c>
      <c r="D50" s="9">
        <f>41+240+63+560</f>
        <v>904</v>
      </c>
      <c r="E50" s="9">
        <f>41+320+105+560</f>
        <v>1026</v>
      </c>
      <c r="F50" s="9">
        <v>41</v>
      </c>
      <c r="G50" s="9">
        <f>41+400+338+560</f>
        <v>1339</v>
      </c>
      <c r="H50" s="9">
        <f>41+360+314+560</f>
        <v>1275</v>
      </c>
      <c r="I50" s="9">
        <f>41+720+355+560</f>
        <v>1676</v>
      </c>
      <c r="J50">
        <f t="shared" si="2"/>
        <v>6402</v>
      </c>
      <c r="K50">
        <f t="shared" si="3"/>
        <v>160.05000000000001</v>
      </c>
    </row>
    <row r="51" spans="2:11" x14ac:dyDescent="0.35">
      <c r="B51">
        <v>30</v>
      </c>
      <c r="C51" s="9">
        <v>410</v>
      </c>
      <c r="D51" s="9">
        <f>170+16+520</f>
        <v>706</v>
      </c>
      <c r="E51" s="9">
        <f>168+15+520</f>
        <v>703</v>
      </c>
      <c r="F51" s="9">
        <v>9</v>
      </c>
      <c r="G51" s="9">
        <f>260+520</f>
        <v>780</v>
      </c>
      <c r="H51" s="9">
        <f>146+520</f>
        <v>666</v>
      </c>
      <c r="I51" s="9">
        <f>256+520</f>
        <v>776</v>
      </c>
      <c r="J51">
        <f t="shared" si="2"/>
        <v>4050</v>
      </c>
      <c r="K51">
        <f t="shared" si="3"/>
        <v>101.25</v>
      </c>
    </row>
    <row r="52" spans="2:11" x14ac:dyDescent="0.35">
      <c r="B52" t="s">
        <v>25</v>
      </c>
      <c r="C52" s="11">
        <f>SUM(C29:C51)</f>
        <v>10155</v>
      </c>
      <c r="D52" s="11">
        <f t="shared" ref="D52:I52" si="4">SUM(D29:D51)</f>
        <v>16275</v>
      </c>
      <c r="E52" s="11">
        <f t="shared" si="4"/>
        <v>16900</v>
      </c>
      <c r="F52" s="11">
        <f t="shared" si="4"/>
        <v>15339</v>
      </c>
      <c r="G52" s="11">
        <f t="shared" si="4"/>
        <v>25048</v>
      </c>
      <c r="H52" s="11">
        <f t="shared" si="4"/>
        <v>22541</v>
      </c>
      <c r="I52" s="11">
        <f t="shared" si="4"/>
        <v>33175</v>
      </c>
      <c r="J52">
        <f t="shared" si="2"/>
        <v>139433</v>
      </c>
      <c r="K52">
        <f t="shared" si="3"/>
        <v>3485.8249999999998</v>
      </c>
    </row>
    <row r="53" spans="2:11" x14ac:dyDescent="0.35">
      <c r="C53" s="9"/>
      <c r="D53" s="9"/>
      <c r="E53" s="9" t="s">
        <v>33</v>
      </c>
      <c r="F53" s="9" t="s">
        <v>34</v>
      </c>
      <c r="G53" s="9"/>
      <c r="H53" s="9"/>
      <c r="I53" s="9"/>
    </row>
    <row r="54" spans="2:11" x14ac:dyDescent="0.35">
      <c r="C54" s="9"/>
      <c r="D54" s="9"/>
      <c r="E54" s="9">
        <f>SUM(C52:I52)</f>
        <v>139433</v>
      </c>
      <c r="F54" s="9">
        <f>E54/40</f>
        <v>3485.8249999999998</v>
      </c>
      <c r="G54" s="9"/>
      <c r="H54" s="9">
        <v>3434</v>
      </c>
      <c r="I54" s="9">
        <f>F54-H54</f>
        <v>51.824999999999818</v>
      </c>
    </row>
    <row r="56" spans="2:11" x14ac:dyDescent="0.35">
      <c r="F56" t="s">
        <v>37</v>
      </c>
    </row>
  </sheetData>
  <mergeCells count="1">
    <mergeCell ref="B2:J2"/>
  </mergeCells>
  <pageMargins left="0.7" right="0.7" top="0.75" bottom="0.75" header="0.3" footer="0.3"/>
  <pageSetup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2026-07-10T06:50:25Z</cp:lastPrinted>
  <dcterms:created xsi:type="dcterms:W3CDTF">2026-07-02T06:42:24Z</dcterms:created>
  <dcterms:modified xsi:type="dcterms:W3CDTF">2026-07-17T09:45:45Z</dcterms:modified>
</cp:coreProperties>
</file>