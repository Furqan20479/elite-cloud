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94F774-38DE-4078-996F-1F6E205689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Sheet1!$A$3:$T$30</definedName>
  </definedNames>
  <calcPr calcId="191029"/>
</workbook>
</file>

<file path=xl/calcChain.xml><?xml version="1.0" encoding="utf-8"?>
<calcChain xmlns="http://schemas.openxmlformats.org/spreadsheetml/2006/main">
  <c r="M26" i="1" l="1"/>
  <c r="L26" i="1" s="1"/>
  <c r="N26" i="1" s="1"/>
  <c r="M25" i="1"/>
  <c r="L25" i="1" s="1"/>
  <c r="N25" i="1" s="1"/>
  <c r="P25" i="1" s="1"/>
  <c r="M24" i="1"/>
  <c r="L24" i="1" s="1"/>
  <c r="N24" i="1" s="1"/>
  <c r="M23" i="1"/>
  <c r="L23" i="1" s="1"/>
  <c r="N23" i="1" s="1"/>
  <c r="M22" i="1"/>
  <c r="L22" i="1" s="1"/>
  <c r="N22" i="1" s="1"/>
  <c r="M21" i="1"/>
  <c r="L21" i="1" s="1"/>
  <c r="N21" i="1" s="1"/>
  <c r="P21" i="1" s="1"/>
  <c r="M20" i="1"/>
  <c r="L20" i="1" s="1"/>
  <c r="N20" i="1" s="1"/>
  <c r="G26" i="1"/>
  <c r="G25" i="1"/>
  <c r="G24" i="1"/>
  <c r="G23" i="1"/>
  <c r="G22" i="1"/>
  <c r="G21" i="1"/>
  <c r="G20" i="1"/>
  <c r="J26" i="1"/>
  <c r="O20" i="1" l="1"/>
  <c r="P20" i="1"/>
  <c r="O23" i="1"/>
  <c r="P23" i="1"/>
  <c r="R23" i="1" s="1"/>
  <c r="O22" i="1"/>
  <c r="P22" i="1"/>
  <c r="O24" i="1"/>
  <c r="P24" i="1"/>
  <c r="R24" i="1" s="1"/>
  <c r="O26" i="1"/>
  <c r="P26" i="1"/>
  <c r="R26" i="1" s="1"/>
  <c r="O21" i="1"/>
  <c r="R21" i="1"/>
  <c r="O25" i="1"/>
  <c r="R25" i="1"/>
  <c r="R20" i="1"/>
  <c r="R22" i="1"/>
  <c r="J25" i="1"/>
  <c r="J24" i="1"/>
  <c r="J23" i="1"/>
  <c r="J22" i="1"/>
  <c r="J21" i="1"/>
  <c r="J20" i="1"/>
  <c r="Q24" i="1" l="1"/>
  <c r="S24" i="1" s="1"/>
  <c r="Q25" i="1"/>
  <c r="S25" i="1" s="1"/>
  <c r="Q22" i="1"/>
  <c r="S22" i="1"/>
  <c r="Q21" i="1"/>
  <c r="S21" i="1" s="1"/>
  <c r="S23" i="1"/>
  <c r="Q23" i="1"/>
  <c r="Q26" i="1"/>
  <c r="S26" i="1"/>
  <c r="Q20" i="1"/>
  <c r="S20" i="1" s="1"/>
</calcChain>
</file>

<file path=xl/sharedStrings.xml><?xml version="1.0" encoding="utf-8"?>
<sst xmlns="http://schemas.openxmlformats.org/spreadsheetml/2006/main" count="45" uniqueCount="31">
  <si>
    <t>DESCRIPTION</t>
  </si>
  <si>
    <t>NET AMOUNT</t>
  </si>
  <si>
    <t>SR#</t>
  </si>
  <si>
    <t xml:space="preserve">Meat Masala </t>
  </si>
  <si>
    <t>70gm</t>
  </si>
  <si>
    <t>Lemon Tarka</t>
  </si>
  <si>
    <t>Chicken Chatkhara</t>
  </si>
  <si>
    <t>120gm</t>
  </si>
  <si>
    <t>60gm</t>
  </si>
  <si>
    <t>GST 18%</t>
  </si>
  <si>
    <t>Chicken Chatkhara  (ECO)</t>
  </si>
  <si>
    <t>Meat Masala (Jumbo)</t>
  </si>
  <si>
    <t>Lemon Tarka (Jumbo)</t>
  </si>
  <si>
    <t>Chicken Chatkhara (Jumbo)</t>
  </si>
  <si>
    <t>Party Name: Elite Marketing Lahore</t>
  </si>
  <si>
    <t>Address : 44-A1 Gulberg</t>
  </si>
  <si>
    <t>Purchase Value</t>
  </si>
  <si>
    <t>CTN</t>
  </si>
  <si>
    <t>MRP</t>
  </si>
  <si>
    <t>CTN
SIZE</t>
  </si>
  <si>
    <t>GM</t>
  </si>
  <si>
    <t>Bar Code</t>
  </si>
  <si>
    <t>Elite Marketing Lahore</t>
  </si>
  <si>
    <t>AMOUNT GST 18%</t>
  </si>
  <si>
    <t>ADV. TAX 236H</t>
  </si>
  <si>
    <t>TRADE PRICE OF EXCL. GST</t>
  </si>
  <si>
    <t>AMOUNT AFTER ADD. GST</t>
  </si>
  <si>
    <t>PINEHILL PVT LTD Adress: FEDMIC FSD</t>
  </si>
  <si>
    <t>PACK</t>
  </si>
  <si>
    <t>Effective From 1-July-2026</t>
  </si>
  <si>
    <t>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</si>
</sst>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-* #,##0_-;\-* #,##0_-;_-* &quot;-&quot;??_-;_-@_-"/>
    <numFmt numFmtId="167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20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20"/>
      <color theme="1"/>
      <name val="Arial Narrow"/>
      <family val="2"/>
    </font>
    <font>
      <b/>
      <sz val="20"/>
      <color theme="1"/>
      <name val="Arial Narrow"/>
      <family val="2"/>
    </font>
    <font>
      <b/>
      <sz val="20"/>
      <color rgb="FFFF0000"/>
      <name val="Arial Narrow"/>
      <family val="2"/>
    </font>
    <font>
      <sz val="26"/>
      <color theme="1"/>
      <name val="Arial Narrow"/>
      <family val="2"/>
    </font>
    <font>
      <sz val="28"/>
      <color theme="1"/>
      <name val="Arial Narrow"/>
      <family val="2"/>
    </font>
    <font>
      <b/>
      <sz val="28"/>
      <name val="Arial Narrow"/>
      <family val="2"/>
    </font>
    <font>
      <b/>
      <sz val="28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28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2" fontId="2" fillId="0" borderId="0" xfId="0" applyNumberFormat="1" applyFont="1"/>
    <xf numFmtId="164" fontId="2" fillId="0" borderId="0" xfId="1" applyFont="1" applyFill="1" applyAlignment="1">
      <alignment vertical="center"/>
    </xf>
    <xf numFmtId="164" fontId="2" fillId="0" borderId="0" xfId="1" applyFont="1" applyFill="1" applyAlignment="1">
      <alignment horizontal="center" vertical="center"/>
    </xf>
    <xf numFmtId="43" fontId="7" fillId="0" borderId="0" xfId="0" applyNumberFormat="1" applyFont="1" applyAlignment="1">
      <alignment horizontal="center" vertical="center" wrapText="1"/>
    </xf>
    <xf numFmtId="43" fontId="2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166" fontId="5" fillId="0" borderId="0" xfId="1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vertical="center"/>
    </xf>
    <xf numFmtId="43" fontId="8" fillId="0" borderId="0" xfId="0" applyNumberFormat="1" applyFont="1" applyAlignment="1">
      <alignment vertical="center"/>
    </xf>
    <xf numFmtId="43" fontId="2" fillId="0" borderId="0" xfId="0" applyNumberFormat="1" applyFont="1"/>
    <xf numFmtId="43" fontId="8" fillId="0" borderId="0" xfId="0" applyNumberFormat="1" applyFont="1" applyAlignment="1">
      <alignment horizontal="center"/>
    </xf>
    <xf numFmtId="10" fontId="6" fillId="0" borderId="0" xfId="2" applyNumberFormat="1" applyFont="1"/>
    <xf numFmtId="167" fontId="8" fillId="0" borderId="0" xfId="2" applyNumberFormat="1" applyFont="1" applyAlignment="1">
      <alignment vertical="center"/>
    </xf>
    <xf numFmtId="0" fontId="2" fillId="0" borderId="0" xfId="0" applyFont="1" applyAlignment="1">
      <alignment horizontal="center"/>
    </xf>
    <xf numFmtId="10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2" fontId="9" fillId="0" borderId="0" xfId="0" applyNumberFormat="1" applyFont="1"/>
    <xf numFmtId="164" fontId="9" fillId="0" borderId="0" xfId="0" applyNumberFormat="1" applyFont="1"/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43" fontId="9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2" fontId="12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2" fontId="13" fillId="0" borderId="0" xfId="0" applyNumberFormat="1" applyFont="1"/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3" fontId="14" fillId="0" borderId="0" xfId="1" applyNumberFormat="1" applyFont="1" applyFill="1" applyAlignment="1">
      <alignment horizontal="center" vertical="center"/>
    </xf>
    <xf numFmtId="43" fontId="14" fillId="0" borderId="0" xfId="1" applyNumberFormat="1" applyFont="1" applyFill="1" applyAlignment="1">
      <alignment vertical="center"/>
    </xf>
    <xf numFmtId="164" fontId="14" fillId="0" borderId="0" xfId="1" applyFont="1" applyFill="1" applyAlignment="1">
      <alignment horizontal="center" vertical="center"/>
    </xf>
    <xf numFmtId="2" fontId="14" fillId="0" borderId="0" xfId="1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0" fontId="15" fillId="0" borderId="0" xfId="0" applyFont="1"/>
    <xf numFmtId="2" fontId="14" fillId="0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43" fontId="14" fillId="0" borderId="0" xfId="1" applyNumberFormat="1" applyFont="1" applyFill="1" applyAlignment="1">
      <alignment horizontal="left" vertical="center"/>
    </xf>
    <xf numFmtId="164" fontId="13" fillId="0" borderId="0" xfId="0" applyNumberFormat="1" applyFont="1"/>
    <xf numFmtId="164" fontId="13" fillId="0" borderId="0" xfId="1" applyFont="1" applyFill="1" applyAlignment="1">
      <alignment vertic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/>
    </xf>
    <xf numFmtId="164" fontId="13" fillId="0" borderId="0" xfId="0" applyNumberFormat="1" applyFont="1" applyBorder="1"/>
    <xf numFmtId="2" fontId="13" fillId="0" borderId="0" xfId="0" applyNumberFormat="1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43" fontId="16" fillId="0" borderId="8" xfId="1" applyNumberFormat="1" applyFont="1" applyFill="1" applyBorder="1" applyAlignment="1">
      <alignment horizontal="center" vertical="center" wrapText="1"/>
    </xf>
    <xf numFmtId="164" fontId="16" fillId="0" borderId="8" xfId="1" applyFont="1" applyFill="1" applyBorder="1" applyAlignment="1">
      <alignment horizontal="center" vertical="center" wrapText="1"/>
    </xf>
    <xf numFmtId="2" fontId="16" fillId="0" borderId="8" xfId="1" applyNumberFormat="1" applyFont="1" applyFill="1" applyBorder="1" applyAlignment="1">
      <alignment horizontal="center" vertical="center" wrapText="1"/>
    </xf>
    <xf numFmtId="2" fontId="16" fillId="0" borderId="6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43" fontId="16" fillId="0" borderId="7" xfId="1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center" vertical="center" wrapText="1"/>
    </xf>
    <xf numFmtId="165" fontId="13" fillId="0" borderId="7" xfId="1" applyNumberFormat="1" applyFont="1" applyFill="1" applyBorder="1" applyAlignment="1">
      <alignment horizontal="center" vertical="center" wrapText="1"/>
    </xf>
    <xf numFmtId="2" fontId="13" fillId="0" borderId="7" xfId="1" applyNumberFormat="1" applyFont="1" applyFill="1" applyBorder="1" applyAlignment="1">
      <alignment horizontal="center" vertical="center" wrapText="1"/>
    </xf>
    <xf numFmtId="2" fontId="13" fillId="0" borderId="1" xfId="1" applyNumberFormat="1" applyFont="1" applyFill="1" applyBorder="1" applyAlignment="1">
      <alignment horizontal="center" vertical="center" wrapText="1"/>
    </xf>
    <xf numFmtId="43" fontId="15" fillId="0" borderId="0" xfId="0" applyNumberFormat="1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165" fontId="13" fillId="0" borderId="9" xfId="1" applyNumberFormat="1" applyFont="1" applyFill="1" applyBorder="1" applyAlignment="1">
      <alignment horizontal="center" vertical="center" wrapText="1"/>
    </xf>
    <xf numFmtId="2" fontId="13" fillId="0" borderId="9" xfId="1" applyNumberFormat="1" applyFont="1" applyFill="1" applyBorder="1" applyAlignment="1">
      <alignment horizontal="center" vertical="center" wrapText="1"/>
    </xf>
    <xf numFmtId="2" fontId="13" fillId="0" borderId="2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7" fillId="2" borderId="0" xfId="0" applyFont="1" applyFill="1" applyAlignment="1">
      <alignment vertical="center"/>
    </xf>
    <xf numFmtId="164" fontId="15" fillId="0" borderId="0" xfId="1" applyFont="1" applyFill="1" applyBorder="1" applyAlignment="1">
      <alignment horizontal="center" vertical="center" wrapText="1"/>
    </xf>
    <xf numFmtId="10" fontId="15" fillId="0" borderId="0" xfId="1" applyNumberFormat="1" applyFont="1" applyFill="1" applyBorder="1" applyAlignment="1">
      <alignment horizontal="center" vertical="center" wrapText="1"/>
    </xf>
    <xf numFmtId="10" fontId="15" fillId="0" borderId="0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1090762</xdr:colOff>
      <xdr:row>4</xdr:row>
      <xdr:rowOff>94466</xdr:rowOff>
    </xdr:from>
    <xdr:to>
      <xdr:col>3</xdr:col>
      <xdr:colOff>521608</xdr:colOff>
      <xdr:row>16</xdr:row>
      <xdr:rowOff>110672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36EE47F-A960-4624-8F19-25DFE8678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762" y="820180"/>
          <a:ext cx="2242989" cy="1376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2"/>
  <sheetViews>
    <sheetView tabSelected="1" zoomScale="40" zoomScaleNormal="40" workbookViewId="0">
      <selection activeCell="A3" sqref="A3:T30"/>
    </sheetView>
  </sheetViews>
  <sheetFormatPr defaultColWidth="16.453125" defaultRowHeight="14" x14ac:dyDescent="0.3"/>
  <cols>
    <col min="1" max="1" width="16.453125" style="1"/>
    <col min="2" max="2" width="9.453125" style="1" bestFit="1" customWidth="1"/>
    <col min="3" max="3" width="32.7265625" style="20" bestFit="1" customWidth="1"/>
    <col min="4" max="4" width="54.90625" style="1" bestFit="1" customWidth="1"/>
    <col min="5" max="5" width="14.54296875" style="20" bestFit="1" customWidth="1"/>
    <col min="6" max="6" width="8.453125" style="1" customWidth="1"/>
    <col min="7" max="7" width="11.08984375" style="1" bestFit="1" customWidth="1"/>
    <col min="8" max="8" width="13.08984375" style="1" bestFit="1" customWidth="1"/>
    <col min="9" max="9" width="14.6328125" style="1" bestFit="1" customWidth="1"/>
    <col min="10" max="10" width="13.08984375" style="1" bestFit="1" customWidth="1"/>
    <col min="11" max="11" width="21.26953125" style="1" bestFit="1" customWidth="1"/>
    <col min="12" max="12" width="14.6328125" style="1" customWidth="1"/>
    <col min="13" max="13" width="12.453125" style="1" bestFit="1" customWidth="1"/>
    <col min="14" max="14" width="17" style="1" customWidth="1"/>
    <col min="15" max="15" width="13.08984375" style="1" bestFit="1" customWidth="1"/>
    <col min="16" max="16" width="12.1796875" style="1" bestFit="1" customWidth="1"/>
    <col min="17" max="17" width="13.08984375" style="1" bestFit="1" customWidth="1"/>
    <col min="18" max="18" width="17" style="1" customWidth="1"/>
    <col min="19" max="19" width="13.08984375" style="6" bestFit="1" customWidth="1"/>
    <col min="20" max="20" width="16.453125" style="1"/>
    <col min="21" max="21" width="0" style="1" hidden="1" customWidth="1"/>
    <col min="22" max="22" width="13.1796875" style="1" bestFit="1" customWidth="1"/>
    <col min="23" max="23" width="8.1796875" style="1" bestFit="1" customWidth="1"/>
    <col min="24" max="16384" width="16.453125" style="1"/>
  </cols>
  <sheetData>
    <row r="1" spans="1:24" ht="32.5" x14ac:dyDescent="0.65">
      <c r="A1" s="29"/>
      <c r="B1" s="29"/>
      <c r="C1" s="30"/>
      <c r="D1" s="29"/>
      <c r="E1" s="30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1"/>
      <c r="T1" s="29"/>
    </row>
    <row r="2" spans="1:24" ht="32.5" x14ac:dyDescent="0.65">
      <c r="A2" s="29"/>
      <c r="B2" s="29"/>
      <c r="C2" s="30"/>
      <c r="D2" s="29"/>
      <c r="E2" s="3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1"/>
      <c r="T2" s="29"/>
    </row>
    <row r="3" spans="1:24" ht="35" x14ac:dyDescent="0.7">
      <c r="A3" s="32"/>
      <c r="B3" s="32"/>
      <c r="C3" s="33"/>
      <c r="D3" s="32"/>
      <c r="E3" s="33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4"/>
      <c r="T3" s="32"/>
    </row>
    <row r="4" spans="1:24" ht="35" x14ac:dyDescent="0.7">
      <c r="A4" s="32"/>
      <c r="B4" s="32"/>
      <c r="C4" s="33"/>
      <c r="D4" s="32"/>
      <c r="E4" s="33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4"/>
      <c r="T4" s="32"/>
    </row>
    <row r="5" spans="1:24" ht="35" x14ac:dyDescent="0.7">
      <c r="A5" s="32"/>
      <c r="B5" s="32"/>
      <c r="C5" s="33"/>
      <c r="D5" s="32"/>
      <c r="E5" s="33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4"/>
      <c r="T5" s="32"/>
    </row>
    <row r="6" spans="1:24" ht="35" x14ac:dyDescent="0.7">
      <c r="A6" s="32"/>
      <c r="B6" s="35" t="s">
        <v>22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2"/>
      <c r="V6" s="2"/>
      <c r="W6" s="2"/>
      <c r="X6" s="2"/>
    </row>
    <row r="7" spans="1:24" ht="35" x14ac:dyDescent="0.7">
      <c r="A7" s="32"/>
      <c r="B7" s="37" t="s">
        <v>27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6"/>
      <c r="U7" s="3"/>
      <c r="V7" s="3"/>
      <c r="W7" s="3"/>
      <c r="X7" s="3"/>
    </row>
    <row r="8" spans="1:24" ht="35" hidden="1" x14ac:dyDescent="0.7">
      <c r="A8" s="32"/>
      <c r="B8" s="32"/>
      <c r="C8" s="33"/>
      <c r="D8" s="38"/>
      <c r="E8" s="33"/>
      <c r="F8" s="39"/>
      <c r="G8" s="39"/>
      <c r="H8" s="39"/>
      <c r="I8" s="39"/>
      <c r="J8" s="39"/>
      <c r="K8" s="40"/>
      <c r="L8" s="40"/>
      <c r="M8" s="40"/>
      <c r="N8" s="40"/>
      <c r="O8" s="41"/>
      <c r="P8" s="42"/>
      <c r="Q8" s="42"/>
      <c r="R8" s="42"/>
      <c r="S8" s="43"/>
      <c r="T8" s="42"/>
      <c r="U8" s="4"/>
      <c r="V8" s="4"/>
      <c r="W8" s="4"/>
      <c r="X8" s="4"/>
    </row>
    <row r="9" spans="1:24" ht="35" hidden="1" x14ac:dyDescent="0.7">
      <c r="A9" s="32"/>
      <c r="B9" s="44" t="s">
        <v>16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36"/>
      <c r="U9" s="5"/>
      <c r="V9" s="5"/>
      <c r="W9" s="5"/>
      <c r="X9" s="5"/>
    </row>
    <row r="10" spans="1:24" ht="35" hidden="1" x14ac:dyDescent="0.7">
      <c r="A10" s="32"/>
      <c r="B10" s="32"/>
      <c r="C10" s="33"/>
      <c r="D10" s="38"/>
      <c r="E10" s="33"/>
      <c r="F10" s="39"/>
      <c r="G10" s="39"/>
      <c r="H10" s="39"/>
      <c r="I10" s="39"/>
      <c r="J10" s="39"/>
      <c r="K10" s="40"/>
      <c r="L10" s="40"/>
      <c r="M10" s="40"/>
      <c r="N10" s="40"/>
      <c r="O10" s="41"/>
      <c r="P10" s="36"/>
      <c r="Q10" s="36"/>
      <c r="R10" s="36"/>
      <c r="S10" s="43"/>
      <c r="T10" s="42"/>
      <c r="U10" s="4"/>
      <c r="V10" s="13"/>
      <c r="W10" s="4"/>
      <c r="X10" s="4"/>
    </row>
    <row r="11" spans="1:24" ht="35" hidden="1" x14ac:dyDescent="0.7">
      <c r="A11" s="32"/>
      <c r="B11" s="45" t="s">
        <v>14</v>
      </c>
      <c r="C11" s="45"/>
      <c r="D11" s="45"/>
      <c r="E11" s="33"/>
      <c r="F11" s="46"/>
      <c r="G11" s="46"/>
      <c r="H11" s="46"/>
      <c r="I11" s="39"/>
      <c r="J11" s="39"/>
      <c r="K11" s="40"/>
      <c r="L11" s="40"/>
      <c r="M11" s="40"/>
      <c r="N11" s="40"/>
      <c r="O11" s="41"/>
      <c r="P11" s="47"/>
      <c r="Q11" s="47"/>
      <c r="R11" s="47"/>
      <c r="S11" s="48"/>
      <c r="T11" s="42"/>
    </row>
    <row r="12" spans="1:24" ht="35" hidden="1" x14ac:dyDescent="0.7">
      <c r="A12" s="32"/>
      <c r="B12" s="49" t="s">
        <v>15</v>
      </c>
      <c r="C12" s="49"/>
      <c r="D12" s="49"/>
      <c r="E12" s="33"/>
      <c r="F12" s="36"/>
      <c r="G12" s="36"/>
      <c r="H12" s="36"/>
      <c r="I12" s="39"/>
      <c r="J12" s="39"/>
      <c r="K12" s="50"/>
      <c r="L12" s="50"/>
      <c r="M12" s="50"/>
      <c r="N12" s="50"/>
      <c r="O12" s="41"/>
      <c r="P12" s="32"/>
      <c r="Q12" s="32"/>
      <c r="R12" s="32"/>
      <c r="S12" s="48"/>
      <c r="T12" s="42"/>
    </row>
    <row r="13" spans="1:24" ht="35" hidden="1" x14ac:dyDescent="0.7">
      <c r="A13" s="32"/>
      <c r="B13" s="32"/>
      <c r="C13" s="33"/>
      <c r="D13" s="38"/>
      <c r="E13" s="33"/>
      <c r="F13" s="38"/>
      <c r="G13" s="38"/>
      <c r="H13" s="38"/>
      <c r="I13" s="38"/>
      <c r="J13" s="38"/>
      <c r="K13" s="32"/>
      <c r="L13" s="51"/>
      <c r="M13" s="51"/>
      <c r="N13" s="51"/>
      <c r="O13" s="32"/>
      <c r="P13" s="32"/>
      <c r="Q13" s="32"/>
      <c r="R13" s="32"/>
      <c r="S13" s="34"/>
      <c r="T13" s="52"/>
      <c r="U13" s="7"/>
      <c r="V13" s="14"/>
      <c r="W13" s="8"/>
      <c r="X13" s="7"/>
    </row>
    <row r="14" spans="1:24" ht="35" x14ac:dyDescent="0.7">
      <c r="A14" s="32"/>
      <c r="B14" s="53"/>
      <c r="C14" s="54"/>
      <c r="D14" s="55"/>
      <c r="E14" s="56" t="s">
        <v>29</v>
      </c>
      <c r="F14" s="56"/>
      <c r="G14" s="56"/>
      <c r="H14" s="56"/>
      <c r="I14" s="56"/>
      <c r="J14" s="56"/>
      <c r="K14" s="56"/>
      <c r="L14" s="57"/>
      <c r="M14" s="57"/>
      <c r="N14" s="57"/>
      <c r="O14" s="53"/>
      <c r="P14" s="53"/>
      <c r="Q14" s="53"/>
      <c r="R14" s="53"/>
      <c r="S14" s="58"/>
      <c r="T14" s="52"/>
      <c r="U14" s="7"/>
      <c r="V14" s="14"/>
      <c r="W14" s="8"/>
      <c r="X14" s="7"/>
    </row>
    <row r="15" spans="1:24" ht="35" x14ac:dyDescent="0.7">
      <c r="A15" s="32"/>
      <c r="B15" s="53"/>
      <c r="C15" s="54"/>
      <c r="D15" s="55"/>
      <c r="E15" s="54"/>
      <c r="F15" s="55"/>
      <c r="G15" s="55"/>
      <c r="H15" s="55"/>
      <c r="I15" s="55"/>
      <c r="J15" s="55"/>
      <c r="K15" s="53"/>
      <c r="L15" s="57"/>
      <c r="M15" s="57"/>
      <c r="N15" s="57"/>
      <c r="O15" s="53"/>
      <c r="P15" s="53"/>
      <c r="Q15" s="53"/>
      <c r="R15" s="53"/>
      <c r="S15" s="58"/>
      <c r="T15" s="52"/>
      <c r="U15" s="7"/>
      <c r="V15" s="14"/>
      <c r="W15" s="8"/>
      <c r="X15" s="7"/>
    </row>
    <row r="16" spans="1:24" ht="35" x14ac:dyDescent="0.7">
      <c r="A16" s="32"/>
      <c r="B16" s="53"/>
      <c r="C16" s="54"/>
      <c r="D16" s="55"/>
      <c r="E16" s="56" t="s">
        <v>30</v>
      </c>
      <c r="F16" s="56"/>
      <c r="G16" s="56"/>
      <c r="H16" s="56"/>
      <c r="I16" s="56"/>
      <c r="J16" s="56"/>
      <c r="K16" s="56"/>
      <c r="L16" s="57"/>
      <c r="M16" s="57"/>
      <c r="N16" s="57"/>
      <c r="O16" s="53"/>
      <c r="P16" s="53"/>
      <c r="Q16" s="53"/>
      <c r="R16" s="53"/>
      <c r="S16" s="58"/>
      <c r="T16" s="52"/>
      <c r="U16" s="7"/>
      <c r="V16" s="14"/>
      <c r="W16" s="8"/>
      <c r="X16" s="7"/>
    </row>
    <row r="17" spans="1:25" ht="35.5" thickBot="1" x14ac:dyDescent="0.75">
      <c r="A17" s="32"/>
      <c r="B17" s="53"/>
      <c r="C17" s="54"/>
      <c r="D17" s="55"/>
      <c r="E17" s="54"/>
      <c r="F17" s="55"/>
      <c r="G17" s="55"/>
      <c r="H17" s="55"/>
      <c r="I17" s="55"/>
      <c r="J17" s="55"/>
      <c r="K17" s="53"/>
      <c r="L17" s="57"/>
      <c r="M17" s="57"/>
      <c r="N17" s="57"/>
      <c r="O17" s="53"/>
      <c r="P17" s="53"/>
      <c r="Q17" s="53"/>
      <c r="R17" s="53"/>
      <c r="S17" s="58"/>
      <c r="T17" s="52"/>
      <c r="U17" s="7"/>
      <c r="V17" s="14"/>
      <c r="W17" s="8"/>
      <c r="X17" s="7"/>
    </row>
    <row r="18" spans="1:25" s="12" customFormat="1" ht="36" x14ac:dyDescent="0.7">
      <c r="A18" s="47"/>
      <c r="B18" s="59" t="s">
        <v>2</v>
      </c>
      <c r="C18" s="60" t="s">
        <v>21</v>
      </c>
      <c r="D18" s="60" t="s">
        <v>0</v>
      </c>
      <c r="E18" s="60" t="s">
        <v>20</v>
      </c>
      <c r="F18" s="61" t="s">
        <v>19</v>
      </c>
      <c r="G18" s="61" t="s">
        <v>18</v>
      </c>
      <c r="H18" s="61"/>
      <c r="I18" s="61" t="s">
        <v>25</v>
      </c>
      <c r="J18" s="61"/>
      <c r="K18" s="62" t="s">
        <v>9</v>
      </c>
      <c r="L18" s="62" t="s">
        <v>23</v>
      </c>
      <c r="M18" s="62"/>
      <c r="N18" s="62" t="s">
        <v>26</v>
      </c>
      <c r="O18" s="62"/>
      <c r="P18" s="63" t="s">
        <v>24</v>
      </c>
      <c r="Q18" s="63"/>
      <c r="R18" s="64" t="s">
        <v>1</v>
      </c>
      <c r="S18" s="65"/>
      <c r="T18" s="47"/>
      <c r="V18" s="18"/>
    </row>
    <row r="19" spans="1:25" s="12" customFormat="1" ht="36" x14ac:dyDescent="0.7">
      <c r="A19" s="47"/>
      <c r="B19" s="66"/>
      <c r="C19" s="67"/>
      <c r="D19" s="67"/>
      <c r="E19" s="67"/>
      <c r="F19" s="68"/>
      <c r="G19" s="69" t="s">
        <v>17</v>
      </c>
      <c r="H19" s="69" t="s">
        <v>28</v>
      </c>
      <c r="I19" s="69" t="s">
        <v>17</v>
      </c>
      <c r="J19" s="69" t="s">
        <v>28</v>
      </c>
      <c r="K19" s="70"/>
      <c r="L19" s="69" t="s">
        <v>17</v>
      </c>
      <c r="M19" s="69" t="s">
        <v>28</v>
      </c>
      <c r="N19" s="69" t="s">
        <v>17</v>
      </c>
      <c r="O19" s="69" t="s">
        <v>28</v>
      </c>
      <c r="P19" s="69" t="s">
        <v>17</v>
      </c>
      <c r="Q19" s="69" t="s">
        <v>28</v>
      </c>
      <c r="R19" s="69" t="s">
        <v>17</v>
      </c>
      <c r="S19" s="71" t="s">
        <v>28</v>
      </c>
      <c r="T19" s="47"/>
      <c r="V19" s="18"/>
      <c r="W19" s="21"/>
    </row>
    <row r="20" spans="1:25" ht="59" customHeight="1" x14ac:dyDescent="0.7">
      <c r="A20" s="32"/>
      <c r="B20" s="72">
        <v>1</v>
      </c>
      <c r="C20" s="73">
        <v>5285000396437</v>
      </c>
      <c r="D20" s="74" t="s">
        <v>3</v>
      </c>
      <c r="E20" s="75" t="s">
        <v>4</v>
      </c>
      <c r="F20" s="75">
        <v>40</v>
      </c>
      <c r="G20" s="75">
        <f>+H20*F20</f>
        <v>2600</v>
      </c>
      <c r="H20" s="75">
        <v>65</v>
      </c>
      <c r="I20" s="76">
        <v>2098.5</v>
      </c>
      <c r="J20" s="77">
        <f>I20/F20</f>
        <v>52.462499999999999</v>
      </c>
      <c r="K20" s="78">
        <v>0.18</v>
      </c>
      <c r="L20" s="79">
        <f>+M20*F20</f>
        <v>396.61016949152526</v>
      </c>
      <c r="M20" s="79">
        <f>+(H20-H20/1.18)</f>
        <v>9.9152542372881314</v>
      </c>
      <c r="N20" s="79">
        <f>+L20+I20</f>
        <v>2495.1101694915251</v>
      </c>
      <c r="O20" s="79">
        <f>+N20/F20</f>
        <v>62.37775423728813</v>
      </c>
      <c r="P20" s="79">
        <f>+N20*0.5%</f>
        <v>12.475550847457626</v>
      </c>
      <c r="Q20" s="79">
        <f>+O20*0.5%</f>
        <v>0.31188877118644065</v>
      </c>
      <c r="R20" s="79">
        <f>+N20+P20</f>
        <v>2507.5857203389828</v>
      </c>
      <c r="S20" s="80">
        <f>+O20+Q20</f>
        <v>62.689643008474569</v>
      </c>
      <c r="T20" s="81"/>
      <c r="U20" s="9"/>
      <c r="V20" s="9"/>
      <c r="W20" s="19"/>
      <c r="X20" s="16"/>
      <c r="Y20" s="17"/>
    </row>
    <row r="21" spans="1:25" ht="59" customHeight="1" x14ac:dyDescent="0.7">
      <c r="A21" s="32"/>
      <c r="B21" s="72">
        <v>2</v>
      </c>
      <c r="C21" s="73">
        <v>89686120226</v>
      </c>
      <c r="D21" s="74" t="s">
        <v>5</v>
      </c>
      <c r="E21" s="75" t="s">
        <v>4</v>
      </c>
      <c r="F21" s="75">
        <v>40</v>
      </c>
      <c r="G21" s="75">
        <f t="shared" ref="G21:G26" si="0">+H21*F21</f>
        <v>2600</v>
      </c>
      <c r="H21" s="75">
        <v>65</v>
      </c>
      <c r="I21" s="75">
        <v>2098.5</v>
      </c>
      <c r="J21" s="77">
        <f t="shared" ref="J21:J25" si="1">I21/F21</f>
        <v>52.462499999999999</v>
      </c>
      <c r="K21" s="78">
        <v>0.18</v>
      </c>
      <c r="L21" s="79">
        <f t="shared" ref="L21:L26" si="2">+M21*F21</f>
        <v>396.61016949152526</v>
      </c>
      <c r="M21" s="79">
        <f t="shared" ref="M21:M26" si="3">+(H21-H21/1.18)</f>
        <v>9.9152542372881314</v>
      </c>
      <c r="N21" s="79">
        <f t="shared" ref="N21:N26" si="4">+L21+I21</f>
        <v>2495.1101694915251</v>
      </c>
      <c r="O21" s="79">
        <f t="shared" ref="O21:O26" si="5">+N21/F21</f>
        <v>62.37775423728813</v>
      </c>
      <c r="P21" s="79">
        <f t="shared" ref="P21:P26" si="6">+N21*0.5%</f>
        <v>12.475550847457626</v>
      </c>
      <c r="Q21" s="79">
        <f t="shared" ref="Q21:Q26" si="7">+O21*0.5%</f>
        <v>0.31188877118644065</v>
      </c>
      <c r="R21" s="79">
        <f t="shared" ref="R21:R26" si="8">+N21+P21</f>
        <v>2507.5857203389828</v>
      </c>
      <c r="S21" s="80">
        <f t="shared" ref="S21:S26" si="9">+O21+Q21</f>
        <v>62.689643008474569</v>
      </c>
      <c r="T21" s="81"/>
      <c r="U21" s="9"/>
      <c r="V21" s="9"/>
      <c r="W21" s="15"/>
      <c r="X21" s="16"/>
      <c r="Y21" s="17"/>
    </row>
    <row r="22" spans="1:25" ht="59" customHeight="1" x14ac:dyDescent="0.7">
      <c r="A22" s="32"/>
      <c r="B22" s="72">
        <v>3</v>
      </c>
      <c r="C22" s="73">
        <v>89686120073</v>
      </c>
      <c r="D22" s="74" t="s">
        <v>6</v>
      </c>
      <c r="E22" s="75" t="s">
        <v>4</v>
      </c>
      <c r="F22" s="75">
        <v>40</v>
      </c>
      <c r="G22" s="75">
        <f t="shared" si="0"/>
        <v>2600</v>
      </c>
      <c r="H22" s="75">
        <v>65</v>
      </c>
      <c r="I22" s="75">
        <v>2098.5</v>
      </c>
      <c r="J22" s="77">
        <f t="shared" si="1"/>
        <v>52.462499999999999</v>
      </c>
      <c r="K22" s="78">
        <v>0.18</v>
      </c>
      <c r="L22" s="79">
        <f t="shared" si="2"/>
        <v>396.61016949152526</v>
      </c>
      <c r="M22" s="79">
        <f t="shared" si="3"/>
        <v>9.9152542372881314</v>
      </c>
      <c r="N22" s="79">
        <f t="shared" si="4"/>
        <v>2495.1101694915251</v>
      </c>
      <c r="O22" s="79">
        <f t="shared" si="5"/>
        <v>62.37775423728813</v>
      </c>
      <c r="P22" s="79">
        <f t="shared" si="6"/>
        <v>12.475550847457626</v>
      </c>
      <c r="Q22" s="79">
        <f t="shared" si="7"/>
        <v>0.31188877118644065</v>
      </c>
      <c r="R22" s="79">
        <f t="shared" si="8"/>
        <v>2507.5857203389828</v>
      </c>
      <c r="S22" s="80">
        <f t="shared" si="9"/>
        <v>62.689643008474569</v>
      </c>
      <c r="T22" s="81"/>
      <c r="U22" s="9"/>
      <c r="V22" s="9"/>
      <c r="W22" s="10"/>
      <c r="Y22" s="17"/>
    </row>
    <row r="23" spans="1:25" ht="59" customHeight="1" x14ac:dyDescent="0.7">
      <c r="A23" s="32"/>
      <c r="B23" s="72">
        <v>4</v>
      </c>
      <c r="C23" s="73">
        <v>5285000396857</v>
      </c>
      <c r="D23" s="74" t="s">
        <v>11</v>
      </c>
      <c r="E23" s="75" t="s">
        <v>7</v>
      </c>
      <c r="F23" s="75">
        <v>40</v>
      </c>
      <c r="G23" s="75">
        <f t="shared" si="0"/>
        <v>3600</v>
      </c>
      <c r="H23" s="75">
        <v>90</v>
      </c>
      <c r="I23" s="75">
        <v>2905.6</v>
      </c>
      <c r="J23" s="77">
        <f t="shared" si="1"/>
        <v>72.64</v>
      </c>
      <c r="K23" s="78">
        <v>0.18</v>
      </c>
      <c r="L23" s="79">
        <f t="shared" si="2"/>
        <v>549.15254237288138</v>
      </c>
      <c r="M23" s="79">
        <f t="shared" si="3"/>
        <v>13.728813559322035</v>
      </c>
      <c r="N23" s="79">
        <f t="shared" si="4"/>
        <v>3454.7525423728812</v>
      </c>
      <c r="O23" s="79">
        <f t="shared" si="5"/>
        <v>86.368813559322035</v>
      </c>
      <c r="P23" s="79">
        <f t="shared" si="6"/>
        <v>17.273762711864407</v>
      </c>
      <c r="Q23" s="79">
        <f t="shared" si="7"/>
        <v>0.43184406779661016</v>
      </c>
      <c r="R23" s="79">
        <f t="shared" si="8"/>
        <v>3472.0263050847457</v>
      </c>
      <c r="S23" s="80">
        <f t="shared" si="9"/>
        <v>86.800657627118639</v>
      </c>
      <c r="T23" s="81"/>
      <c r="U23" s="9"/>
      <c r="V23" s="9"/>
      <c r="W23" s="10"/>
      <c r="Y23" s="17"/>
    </row>
    <row r="24" spans="1:25" ht="59" customHeight="1" x14ac:dyDescent="0.7">
      <c r="A24" s="32"/>
      <c r="B24" s="72">
        <v>5</v>
      </c>
      <c r="C24" s="73">
        <v>5285000395140</v>
      </c>
      <c r="D24" s="74" t="s">
        <v>12</v>
      </c>
      <c r="E24" s="75" t="s">
        <v>7</v>
      </c>
      <c r="F24" s="75">
        <v>40</v>
      </c>
      <c r="G24" s="75">
        <f t="shared" si="0"/>
        <v>3600</v>
      </c>
      <c r="H24" s="75">
        <v>90</v>
      </c>
      <c r="I24" s="75">
        <v>2905.6</v>
      </c>
      <c r="J24" s="77">
        <f t="shared" si="1"/>
        <v>72.64</v>
      </c>
      <c r="K24" s="78">
        <v>0.18</v>
      </c>
      <c r="L24" s="79">
        <f t="shared" si="2"/>
        <v>549.15254237288138</v>
      </c>
      <c r="M24" s="79">
        <f t="shared" si="3"/>
        <v>13.728813559322035</v>
      </c>
      <c r="N24" s="79">
        <f t="shared" si="4"/>
        <v>3454.7525423728812</v>
      </c>
      <c r="O24" s="79">
        <f t="shared" si="5"/>
        <v>86.368813559322035</v>
      </c>
      <c r="P24" s="79">
        <f t="shared" si="6"/>
        <v>17.273762711864407</v>
      </c>
      <c r="Q24" s="79">
        <f t="shared" si="7"/>
        <v>0.43184406779661016</v>
      </c>
      <c r="R24" s="79">
        <f t="shared" si="8"/>
        <v>3472.0263050847457</v>
      </c>
      <c r="S24" s="80">
        <f t="shared" si="9"/>
        <v>86.800657627118639</v>
      </c>
      <c r="T24" s="81"/>
      <c r="U24" s="9"/>
      <c r="V24" s="9"/>
      <c r="W24" s="10"/>
    </row>
    <row r="25" spans="1:25" ht="59" customHeight="1" x14ac:dyDescent="0.7">
      <c r="A25" s="32"/>
      <c r="B25" s="72">
        <v>6</v>
      </c>
      <c r="C25" s="73">
        <v>89686120660</v>
      </c>
      <c r="D25" s="74" t="s">
        <v>13</v>
      </c>
      <c r="E25" s="75" t="s">
        <v>7</v>
      </c>
      <c r="F25" s="75">
        <v>40</v>
      </c>
      <c r="G25" s="75">
        <f t="shared" si="0"/>
        <v>3600</v>
      </c>
      <c r="H25" s="75">
        <v>90</v>
      </c>
      <c r="I25" s="75">
        <v>2905.6</v>
      </c>
      <c r="J25" s="77">
        <f t="shared" si="1"/>
        <v>72.64</v>
      </c>
      <c r="K25" s="78">
        <v>0.18</v>
      </c>
      <c r="L25" s="79">
        <f t="shared" si="2"/>
        <v>549.15254237288138</v>
      </c>
      <c r="M25" s="79">
        <f t="shared" si="3"/>
        <v>13.728813559322035</v>
      </c>
      <c r="N25" s="79">
        <f t="shared" si="4"/>
        <v>3454.7525423728812</v>
      </c>
      <c r="O25" s="79">
        <f t="shared" si="5"/>
        <v>86.368813559322035</v>
      </c>
      <c r="P25" s="79">
        <f t="shared" si="6"/>
        <v>17.273762711864407</v>
      </c>
      <c r="Q25" s="79">
        <f t="shared" si="7"/>
        <v>0.43184406779661016</v>
      </c>
      <c r="R25" s="79">
        <f t="shared" si="8"/>
        <v>3472.0263050847457</v>
      </c>
      <c r="S25" s="80">
        <f t="shared" si="9"/>
        <v>86.800657627118639</v>
      </c>
      <c r="T25" s="81"/>
      <c r="U25" s="9"/>
      <c r="V25" s="9"/>
      <c r="W25" s="10"/>
    </row>
    <row r="26" spans="1:25" ht="59" customHeight="1" thickBot="1" x14ac:dyDescent="0.75">
      <c r="A26" s="32"/>
      <c r="B26" s="82">
        <v>7</v>
      </c>
      <c r="C26" s="83">
        <v>8968612008154</v>
      </c>
      <c r="D26" s="84" t="s">
        <v>10</v>
      </c>
      <c r="E26" s="85" t="s">
        <v>8</v>
      </c>
      <c r="F26" s="85">
        <v>40</v>
      </c>
      <c r="G26" s="85">
        <f t="shared" si="0"/>
        <v>2000</v>
      </c>
      <c r="H26" s="85">
        <v>50</v>
      </c>
      <c r="I26" s="85">
        <v>1569.2</v>
      </c>
      <c r="J26" s="86">
        <f>I26/F26</f>
        <v>39.230000000000004</v>
      </c>
      <c r="K26" s="87">
        <v>0.18</v>
      </c>
      <c r="L26" s="88">
        <f t="shared" si="2"/>
        <v>305.08474576271169</v>
      </c>
      <c r="M26" s="88">
        <f t="shared" si="3"/>
        <v>7.6271186440677923</v>
      </c>
      <c r="N26" s="88">
        <f t="shared" si="4"/>
        <v>1874.2847457627117</v>
      </c>
      <c r="O26" s="88">
        <f t="shared" si="5"/>
        <v>46.857118644067796</v>
      </c>
      <c r="P26" s="88">
        <f t="shared" si="6"/>
        <v>9.3714237288135589</v>
      </c>
      <c r="Q26" s="88">
        <f t="shared" si="7"/>
        <v>0.23428559322033898</v>
      </c>
      <c r="R26" s="88">
        <f t="shared" si="8"/>
        <v>1883.6561694915254</v>
      </c>
      <c r="S26" s="89">
        <f t="shared" si="9"/>
        <v>47.091404237288138</v>
      </c>
      <c r="T26" s="81"/>
      <c r="U26" s="9"/>
      <c r="V26" s="9"/>
      <c r="W26" s="10"/>
    </row>
    <row r="27" spans="1:25" ht="35" x14ac:dyDescent="0.7">
      <c r="A27" s="32"/>
      <c r="B27" s="32"/>
      <c r="C27" s="33"/>
      <c r="D27" s="90"/>
      <c r="E27" s="33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4"/>
      <c r="T27" s="81"/>
    </row>
    <row r="28" spans="1:25" ht="35" x14ac:dyDescent="0.7">
      <c r="A28" s="32"/>
      <c r="B28" s="91"/>
      <c r="C28" s="91"/>
      <c r="D28" s="91"/>
      <c r="E28" s="91"/>
      <c r="F28" s="91"/>
      <c r="G28" s="91"/>
      <c r="H28" s="91"/>
      <c r="I28" s="91"/>
      <c r="J28" s="91"/>
      <c r="K28" s="92"/>
      <c r="L28" s="92"/>
      <c r="M28" s="92"/>
      <c r="N28" s="92"/>
      <c r="O28" s="32"/>
      <c r="P28" s="92"/>
      <c r="Q28" s="92"/>
      <c r="R28" s="93"/>
      <c r="S28" s="94"/>
      <c r="T28" s="32"/>
    </row>
    <row r="29" spans="1:25" ht="25" x14ac:dyDescent="0.5">
      <c r="A29" s="22"/>
      <c r="B29" s="27"/>
      <c r="C29" s="27"/>
      <c r="D29" s="27"/>
      <c r="E29" s="27"/>
      <c r="F29" s="27"/>
      <c r="G29" s="27"/>
      <c r="H29" s="27"/>
      <c r="I29" s="27"/>
      <c r="J29" s="22"/>
      <c r="K29" s="22"/>
      <c r="L29" s="25"/>
      <c r="M29" s="25"/>
      <c r="N29" s="25"/>
      <c r="O29" s="22"/>
      <c r="P29" s="22"/>
      <c r="Q29" s="22"/>
      <c r="R29" s="25"/>
      <c r="S29" s="24"/>
      <c r="T29" s="22"/>
    </row>
    <row r="30" spans="1:25" ht="25" x14ac:dyDescent="0.5">
      <c r="A30" s="22"/>
      <c r="B30" s="22"/>
      <c r="C30" s="23"/>
      <c r="D30" s="26"/>
      <c r="E30" s="23"/>
      <c r="F30" s="22"/>
      <c r="G30" s="22"/>
      <c r="H30" s="22"/>
      <c r="I30" s="22"/>
      <c r="J30" s="22"/>
      <c r="K30" s="28"/>
      <c r="L30" s="25"/>
      <c r="M30" s="25"/>
      <c r="N30" s="25"/>
      <c r="O30" s="22"/>
      <c r="P30" s="22"/>
      <c r="Q30" s="22"/>
      <c r="R30" s="25"/>
      <c r="S30" s="24"/>
      <c r="T30" s="22"/>
    </row>
    <row r="31" spans="1:25" ht="25" x14ac:dyDescent="0.5">
      <c r="A31" s="22"/>
      <c r="B31" s="22"/>
      <c r="C31" s="23"/>
      <c r="D31" s="26"/>
      <c r="E31" s="23"/>
      <c r="F31" s="22"/>
      <c r="G31" s="22"/>
      <c r="H31" s="22"/>
      <c r="I31" s="22"/>
      <c r="J31" s="22"/>
      <c r="K31" s="22"/>
      <c r="L31" s="25"/>
      <c r="M31" s="25"/>
      <c r="N31" s="25"/>
      <c r="O31" s="22"/>
      <c r="P31" s="22"/>
      <c r="Q31" s="22"/>
      <c r="R31" s="22"/>
      <c r="S31" s="24"/>
      <c r="T31" s="22"/>
    </row>
    <row r="32" spans="1:25" ht="25" x14ac:dyDescent="0.5">
      <c r="A32" s="22"/>
      <c r="B32" s="22"/>
      <c r="C32" s="23"/>
      <c r="D32" s="26"/>
      <c r="E32" s="23"/>
      <c r="F32" s="22"/>
      <c r="G32" s="22"/>
      <c r="H32" s="22"/>
      <c r="I32" s="22"/>
      <c r="J32" s="22"/>
      <c r="K32" s="22"/>
      <c r="L32" s="25"/>
      <c r="M32" s="25"/>
      <c r="N32" s="25"/>
      <c r="O32" s="22"/>
      <c r="P32" s="22"/>
      <c r="Q32" s="22"/>
      <c r="R32" s="25"/>
      <c r="S32" s="24"/>
      <c r="T32" s="22"/>
    </row>
    <row r="33" spans="1:20" ht="25" x14ac:dyDescent="0.5">
      <c r="A33" s="22"/>
      <c r="B33" s="22"/>
      <c r="C33" s="23"/>
      <c r="D33" s="26"/>
      <c r="E33" s="2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ht="25" x14ac:dyDescent="0.5">
      <c r="A34" s="22"/>
      <c r="B34" s="22"/>
      <c r="C34" s="23"/>
      <c r="D34" s="26"/>
      <c r="E34" s="2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ht="25" x14ac:dyDescent="0.5">
      <c r="A35" s="22"/>
      <c r="B35" s="22"/>
      <c r="C35" s="23"/>
      <c r="D35" s="26"/>
      <c r="E35" s="2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ht="15.5" x14ac:dyDescent="0.3">
      <c r="D36" s="11"/>
      <c r="S36" s="1"/>
    </row>
    <row r="37" spans="1:20" ht="15.5" x14ac:dyDescent="0.3">
      <c r="D37" s="11"/>
      <c r="S37" s="1"/>
    </row>
    <row r="38" spans="1:20" ht="15.5" x14ac:dyDescent="0.3">
      <c r="D38" s="11"/>
      <c r="S38" s="1"/>
    </row>
    <row r="39" spans="1:20" ht="15.5" x14ac:dyDescent="0.3">
      <c r="D39" s="11"/>
      <c r="S39" s="1"/>
    </row>
    <row r="40" spans="1:20" ht="15.5" x14ac:dyDescent="0.3">
      <c r="D40" s="11"/>
      <c r="S40" s="1"/>
    </row>
    <row r="41" spans="1:20" ht="15.5" x14ac:dyDescent="0.3">
      <c r="D41" s="11"/>
      <c r="S41" s="1"/>
    </row>
    <row r="42" spans="1:20" ht="15.5" x14ac:dyDescent="0.3">
      <c r="D42" s="11"/>
      <c r="S42" s="1"/>
    </row>
    <row r="43" spans="1:20" ht="15.5" x14ac:dyDescent="0.3">
      <c r="D43" s="11"/>
      <c r="S43" s="1"/>
    </row>
    <row r="44" spans="1:20" ht="15.5" x14ac:dyDescent="0.3">
      <c r="D44" s="11"/>
      <c r="S44" s="1"/>
    </row>
    <row r="45" spans="1:20" ht="15.5" x14ac:dyDescent="0.3">
      <c r="D45" s="11"/>
      <c r="S45" s="1"/>
    </row>
    <row r="46" spans="1:20" ht="15.5" x14ac:dyDescent="0.3">
      <c r="D46" s="11"/>
      <c r="S46" s="1"/>
    </row>
    <row r="47" spans="1:20" ht="15.5" x14ac:dyDescent="0.3">
      <c r="D47" s="11"/>
      <c r="S47" s="1"/>
    </row>
    <row r="48" spans="1:20" ht="15.5" x14ac:dyDescent="0.3">
      <c r="D48" s="11"/>
      <c r="S48" s="1"/>
    </row>
    <row r="49" spans="4:19" ht="15.5" x14ac:dyDescent="0.3">
      <c r="D49" s="11"/>
      <c r="S49" s="1"/>
    </row>
    <row r="50" spans="4:19" ht="15.5" x14ac:dyDescent="0.3">
      <c r="D50" s="11"/>
      <c r="S50" s="1"/>
    </row>
    <row r="51" spans="4:19" ht="15.5" x14ac:dyDescent="0.3">
      <c r="D51" s="11"/>
      <c r="S51" s="1"/>
    </row>
    <row r="52" spans="4:19" ht="15.5" x14ac:dyDescent="0.3">
      <c r="D52" s="11"/>
      <c r="S52" s="1"/>
    </row>
    <row r="53" spans="4:19" ht="15.5" x14ac:dyDescent="0.3">
      <c r="D53" s="11"/>
      <c r="S53" s="1"/>
    </row>
    <row r="54" spans="4:19" ht="15.5" x14ac:dyDescent="0.3">
      <c r="D54" s="11"/>
      <c r="S54" s="1"/>
    </row>
    <row r="55" spans="4:19" ht="15.5" x14ac:dyDescent="0.3">
      <c r="D55" s="11"/>
      <c r="S55" s="1"/>
    </row>
    <row r="56" spans="4:19" ht="15.5" x14ac:dyDescent="0.3">
      <c r="D56" s="11"/>
      <c r="S56" s="1"/>
    </row>
    <row r="57" spans="4:19" ht="15.5" x14ac:dyDescent="0.3">
      <c r="D57" s="11"/>
      <c r="S57" s="1"/>
    </row>
    <row r="58" spans="4:19" ht="15.5" x14ac:dyDescent="0.3">
      <c r="D58" s="11"/>
      <c r="S58" s="1"/>
    </row>
    <row r="59" spans="4:19" ht="15.5" x14ac:dyDescent="0.3">
      <c r="D59" s="11"/>
      <c r="S59" s="1"/>
    </row>
    <row r="60" spans="4:19" ht="15.5" x14ac:dyDescent="0.3">
      <c r="D60" s="11"/>
      <c r="S60" s="1"/>
    </row>
    <row r="61" spans="4:19" ht="15.5" x14ac:dyDescent="0.3">
      <c r="D61" s="11"/>
      <c r="S61" s="1"/>
    </row>
    <row r="62" spans="4:19" ht="15.5" x14ac:dyDescent="0.3">
      <c r="D62" s="11"/>
      <c r="S62" s="1"/>
    </row>
    <row r="63" spans="4:19" ht="15.5" x14ac:dyDescent="0.3">
      <c r="D63" s="11"/>
      <c r="S63" s="1"/>
    </row>
    <row r="64" spans="4:19" ht="15.5" x14ac:dyDescent="0.3">
      <c r="D64" s="11"/>
      <c r="S64" s="1"/>
    </row>
    <row r="65" spans="4:19" ht="15.5" x14ac:dyDescent="0.3">
      <c r="D65" s="11"/>
      <c r="S65" s="1"/>
    </row>
    <row r="66" spans="4:19" ht="15.5" x14ac:dyDescent="0.3">
      <c r="D66" s="11"/>
      <c r="S66" s="1"/>
    </row>
    <row r="67" spans="4:19" ht="15.5" x14ac:dyDescent="0.3">
      <c r="D67" s="11"/>
      <c r="S67" s="1"/>
    </row>
    <row r="68" spans="4:19" ht="15.5" x14ac:dyDescent="0.3">
      <c r="D68" s="11"/>
      <c r="S68" s="1"/>
    </row>
    <row r="69" spans="4:19" ht="15.5" x14ac:dyDescent="0.3">
      <c r="D69" s="11"/>
      <c r="S69" s="1"/>
    </row>
    <row r="70" spans="4:19" ht="15.5" x14ac:dyDescent="0.3">
      <c r="D70" s="11"/>
      <c r="S70" s="1"/>
    </row>
    <row r="71" spans="4:19" ht="15.5" x14ac:dyDescent="0.3">
      <c r="D71" s="11"/>
      <c r="S71" s="1"/>
    </row>
    <row r="72" spans="4:19" ht="15.5" x14ac:dyDescent="0.3">
      <c r="D72" s="11"/>
      <c r="S72" s="1"/>
    </row>
    <row r="73" spans="4:19" ht="15.5" x14ac:dyDescent="0.3">
      <c r="D73" s="11"/>
      <c r="S73" s="1"/>
    </row>
    <row r="74" spans="4:19" ht="15.5" x14ac:dyDescent="0.3">
      <c r="D74" s="11"/>
      <c r="S74" s="1"/>
    </row>
    <row r="75" spans="4:19" ht="15.5" x14ac:dyDescent="0.3">
      <c r="D75" s="11"/>
      <c r="S75" s="1"/>
    </row>
    <row r="76" spans="4:19" ht="15.5" x14ac:dyDescent="0.3">
      <c r="D76" s="11"/>
      <c r="S76" s="1"/>
    </row>
    <row r="77" spans="4:19" ht="15.5" x14ac:dyDescent="0.3">
      <c r="D77" s="11"/>
      <c r="S77" s="1"/>
    </row>
    <row r="78" spans="4:19" ht="15.5" x14ac:dyDescent="0.3">
      <c r="D78" s="11"/>
      <c r="S78" s="1"/>
    </row>
    <row r="79" spans="4:19" ht="15.5" x14ac:dyDescent="0.3">
      <c r="D79" s="11"/>
      <c r="S79" s="1"/>
    </row>
    <row r="80" spans="4:19" ht="15.5" x14ac:dyDescent="0.3">
      <c r="D80" s="11"/>
      <c r="S80" s="1"/>
    </row>
    <row r="81" spans="4:19" ht="15.5" x14ac:dyDescent="0.3">
      <c r="D81" s="11"/>
      <c r="S81" s="1"/>
    </row>
    <row r="82" spans="4:19" ht="15.5" x14ac:dyDescent="0.3">
      <c r="D82" s="11"/>
      <c r="S82" s="1"/>
    </row>
    <row r="83" spans="4:19" ht="15.5" x14ac:dyDescent="0.3">
      <c r="D83" s="11"/>
      <c r="S83" s="1"/>
    </row>
    <row r="84" spans="4:19" ht="15.5" x14ac:dyDescent="0.3">
      <c r="D84" s="11"/>
      <c r="S84" s="1"/>
    </row>
    <row r="85" spans="4:19" ht="15.5" x14ac:dyDescent="0.3">
      <c r="D85" s="11"/>
      <c r="S85" s="1"/>
    </row>
    <row r="86" spans="4:19" ht="15.5" x14ac:dyDescent="0.3">
      <c r="D86" s="11"/>
      <c r="S86" s="1"/>
    </row>
    <row r="87" spans="4:19" ht="15.5" x14ac:dyDescent="0.3">
      <c r="D87" s="11"/>
      <c r="S87" s="1"/>
    </row>
    <row r="88" spans="4:19" ht="15.5" x14ac:dyDescent="0.3">
      <c r="D88" s="11"/>
      <c r="S88" s="1"/>
    </row>
    <row r="89" spans="4:19" ht="15.5" x14ac:dyDescent="0.3">
      <c r="D89" s="11"/>
      <c r="S89" s="1"/>
    </row>
    <row r="90" spans="4:19" ht="15.5" x14ac:dyDescent="0.3">
      <c r="D90" s="11"/>
      <c r="S90" s="1"/>
    </row>
    <row r="91" spans="4:19" ht="15.5" x14ac:dyDescent="0.3">
      <c r="D91" s="11"/>
      <c r="S91" s="1"/>
    </row>
    <row r="92" spans="4:19" ht="15.5" x14ac:dyDescent="0.3">
      <c r="D92" s="11"/>
      <c r="S92" s="1"/>
    </row>
    <row r="93" spans="4:19" ht="15.5" x14ac:dyDescent="0.3">
      <c r="D93" s="11"/>
      <c r="S93" s="1"/>
    </row>
    <row r="94" spans="4:19" ht="15.5" x14ac:dyDescent="0.3">
      <c r="D94" s="11"/>
      <c r="S94" s="1"/>
    </row>
    <row r="95" spans="4:19" ht="15.5" x14ac:dyDescent="0.3">
      <c r="D95" s="11"/>
      <c r="S95" s="1"/>
    </row>
    <row r="96" spans="4:19" ht="15.5" x14ac:dyDescent="0.3">
      <c r="D96" s="11"/>
      <c r="S96" s="1"/>
    </row>
    <row r="97" spans="4:19" ht="15.5" x14ac:dyDescent="0.3">
      <c r="D97" s="11"/>
      <c r="S97" s="1"/>
    </row>
    <row r="98" spans="4:19" ht="15.5" x14ac:dyDescent="0.3">
      <c r="D98" s="11"/>
      <c r="S98" s="1"/>
    </row>
    <row r="99" spans="4:19" ht="15.5" x14ac:dyDescent="0.3">
      <c r="D99" s="11"/>
      <c r="S99" s="1"/>
    </row>
    <row r="100" spans="4:19" ht="15.5" x14ac:dyDescent="0.3">
      <c r="D100" s="11"/>
      <c r="S100" s="1"/>
    </row>
    <row r="101" spans="4:19" ht="15.5" x14ac:dyDescent="0.3">
      <c r="D101" s="11"/>
      <c r="S101" s="1"/>
    </row>
    <row r="102" spans="4:19" ht="15.5" x14ac:dyDescent="0.3">
      <c r="D102" s="11"/>
      <c r="S102" s="1"/>
    </row>
    <row r="103" spans="4:19" ht="15.5" x14ac:dyDescent="0.3">
      <c r="D103" s="11"/>
      <c r="S103" s="1"/>
    </row>
    <row r="104" spans="4:19" ht="15.5" x14ac:dyDescent="0.3">
      <c r="D104" s="11"/>
      <c r="S104" s="1"/>
    </row>
    <row r="105" spans="4:19" ht="15.5" x14ac:dyDescent="0.3">
      <c r="D105" s="11"/>
      <c r="S105" s="1"/>
    </row>
    <row r="106" spans="4:19" ht="15.5" x14ac:dyDescent="0.3">
      <c r="D106" s="11"/>
      <c r="S106" s="1"/>
    </row>
    <row r="107" spans="4:19" ht="15.5" x14ac:dyDescent="0.3">
      <c r="D107" s="11"/>
      <c r="S107" s="1"/>
    </row>
    <row r="108" spans="4:19" ht="15.5" x14ac:dyDescent="0.3">
      <c r="D108" s="11"/>
      <c r="S108" s="1"/>
    </row>
    <row r="109" spans="4:19" ht="15.5" x14ac:dyDescent="0.3">
      <c r="D109" s="11"/>
      <c r="S109" s="1"/>
    </row>
    <row r="110" spans="4:19" ht="15.5" x14ac:dyDescent="0.3">
      <c r="D110" s="11"/>
      <c r="S110" s="1"/>
    </row>
    <row r="111" spans="4:19" ht="15.5" x14ac:dyDescent="0.3">
      <c r="D111" s="11"/>
      <c r="S111" s="1"/>
    </row>
    <row r="112" spans="4:19" ht="15.5" x14ac:dyDescent="0.3">
      <c r="D112" s="11"/>
      <c r="S112" s="1"/>
    </row>
  </sheetData>
  <mergeCells count="21">
    <mergeCell ref="B6:S6"/>
    <mergeCell ref="B7:S7"/>
    <mergeCell ref="B9:S9"/>
    <mergeCell ref="I18:J18"/>
    <mergeCell ref="B11:D11"/>
    <mergeCell ref="B12:D12"/>
    <mergeCell ref="N18:O18"/>
    <mergeCell ref="L18:M18"/>
    <mergeCell ref="G18:H18"/>
    <mergeCell ref="R18:S18"/>
    <mergeCell ref="P18:Q18"/>
    <mergeCell ref="K18:K19"/>
    <mergeCell ref="E18:E19"/>
    <mergeCell ref="D18:D19"/>
    <mergeCell ref="B18:B19"/>
    <mergeCell ref="E16:K16"/>
    <mergeCell ref="F18:F19"/>
    <mergeCell ref="C18:C19"/>
    <mergeCell ref="B28:J28"/>
    <mergeCell ref="E14:K14"/>
    <mergeCell ref="B29:I29"/>
  </mergeCells>
  <printOptions horizontalCentered="1" verticalCentered="1"/>
  <pageMargins left="0.5" right="0.5" top="1" bottom="1" header="0.3" footer="0.3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2026-08-06T07:20:20Z</dcterms:modified>
</cp:coreProperties>
</file>