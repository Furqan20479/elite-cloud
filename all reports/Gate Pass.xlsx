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FF066677-CEEF-4625-972F-FBD07CFAB5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12" i="1" l="1"/>
  <c r="J13" i="1"/>
  <c r="J14" i="1"/>
  <c r="J15" i="1"/>
  <c r="J16" i="1"/>
  <c r="J17" i="1"/>
  <c r="J11" i="1"/>
  <c r="E26" i="1" l="1"/>
  <c r="F26" i="1"/>
  <c r="G26" i="1"/>
  <c r="H26" i="1"/>
  <c r="I26" i="1"/>
  <c r="J26" i="1"/>
  <c r="D26" i="1"/>
  <c r="E25" i="1"/>
  <c r="F25" i="1"/>
  <c r="G25" i="1"/>
  <c r="H25" i="1"/>
  <c r="I25" i="1"/>
  <c r="J25" i="1"/>
  <c r="D25" i="1"/>
  <c r="H12" i="1" l="1"/>
  <c r="H13" i="1"/>
  <c r="H14" i="1"/>
  <c r="H15" i="1"/>
  <c r="H16" i="1"/>
  <c r="H18" i="1"/>
  <c r="H11" i="1"/>
  <c r="E20" i="1"/>
  <c r="F20" i="1"/>
  <c r="G20" i="1"/>
  <c r="D20" i="1"/>
  <c r="F17" i="1"/>
  <c r="H17" i="1" s="1"/>
  <c r="F18" i="1"/>
  <c r="F12" i="1"/>
  <c r="F13" i="1"/>
  <c r="F14" i="1"/>
  <c r="F15" i="1"/>
  <c r="F16" i="1"/>
  <c r="F11" i="1"/>
  <c r="D16" i="1"/>
  <c r="D15" i="1"/>
  <c r="D14" i="1"/>
  <c r="D13" i="1"/>
  <c r="H20" i="1" l="1"/>
  <c r="Q19" i="1"/>
  <c r="R13" i="1"/>
  <c r="R14" i="1"/>
  <c r="R15" i="1"/>
  <c r="R16" i="1"/>
  <c r="R17" i="1"/>
  <c r="R18" i="1"/>
  <c r="R19" i="1" s="1"/>
  <c r="R12" i="1"/>
</calcChain>
</file>

<file path=xl/sharedStrings.xml><?xml version="1.0" encoding="utf-8"?>
<sst xmlns="http://schemas.openxmlformats.org/spreadsheetml/2006/main" count="40" uniqueCount="30">
  <si>
    <t>Gate Pass</t>
  </si>
  <si>
    <t>Issue</t>
  </si>
  <si>
    <t>FOC</t>
  </si>
  <si>
    <t>Return</t>
  </si>
  <si>
    <t>Net Sale</t>
  </si>
  <si>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</si>
  <si>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</si>
  <si>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</si>
  <si>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</si>
  <si>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</si>
  <si>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</si>
  <si>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</si>
  <si>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</si>
  <si>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Lemon Tarka (ECO)</t>
  </si>
  <si>
    <t>Meat Masala (ECO)</t>
  </si>
  <si>
    <t>GM</t>
  </si>
  <si>
    <t xml:space="preserve">Pcs </t>
  </si>
  <si>
    <t>Ctn's</t>
  </si>
  <si>
    <t>Total</t>
  </si>
  <si>
    <t>Total Issu</t>
  </si>
  <si>
    <t>Meat 70</t>
  </si>
  <si>
    <t>Lemon  70</t>
  </si>
  <si>
    <t>Chk 70</t>
  </si>
  <si>
    <t>Meat 120</t>
  </si>
  <si>
    <t>Lemon 120</t>
  </si>
  <si>
    <t xml:space="preserve">Chk </t>
  </si>
  <si>
    <t>Ckn 60</t>
  </si>
  <si>
    <t xml:space="preserve">Zeeshan </t>
  </si>
  <si>
    <t xml:space="preserve">Mubeen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</si>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</sst>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1" fontId="1" fillId="0" borderId="6" xfId="0" applyNumberFormat="1" applyFont="1" applyBorder="1"/>
    <xf numFmtId="1" fontId="1" fillId="0" borderId="9" xfId="0" applyNumberFormat="1" applyFont="1" applyBorder="1"/>
    <xf numFmtId="1" fontId="1" fillId="0" borderId="1" xfId="0" applyNumberFormat="1" applyFont="1" applyBorder="1"/>
    <xf numFmtId="1" fontId="3" fillId="0" borderId="0" xfId="0" applyNumberFormat="1" applyFont="1"/>
    <xf numFmtId="0" fontId="4" fillId="3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1" fillId="0" borderId="1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R26"/>
  <sheetViews>
    <sheetView tabSelected="1" topLeftCell="A13" zoomScale="85" zoomScaleNormal="85" workbookViewId="0">
      <selection activeCell="B26" sqref="B26"/>
    </sheetView>
  </sheetViews>
  <sheetFormatPr defaultRowHeight="14.5" x14ac:dyDescent="0.35"/>
  <cols>
    <col min="2" max="2" width="41.453125" bestFit="1" customWidth="1"/>
    <col min="4" max="5" width="11.26953125" customWidth="1"/>
    <col min="6" max="6" width="14.26953125" bestFit="1" customWidth="1"/>
    <col min="7" max="7" width="11.26953125" customWidth="1"/>
    <col min="8" max="8" width="13" bestFit="1" customWidth="1"/>
    <col min="15" max="15" width="39.453125" bestFit="1" customWidth="1"/>
    <col min="16" max="16" width="6.26953125" bestFit="1" customWidth="1"/>
    <col min="17" max="17" width="12.08984375" bestFit="1" customWidth="1"/>
    <col min="18" max="18" width="11.08984375" bestFit="1" customWidth="1"/>
  </cols>
  <sheetData>
    <row r="7" spans="2:18" ht="21.75" customHeight="1" x14ac:dyDescent="0.35">
      <c r="B7" s="16" t="s">
        <v>0</v>
      </c>
      <c r="C7" s="16"/>
      <c r="D7" s="16"/>
      <c r="E7" s="16"/>
      <c r="F7" s="16"/>
      <c r="G7" s="16"/>
      <c r="H7" s="16"/>
    </row>
    <row r="8" spans="2:18" ht="28.5" customHeight="1" x14ac:dyDescent="0.35">
      <c r="B8" s="16"/>
      <c r="C8" s="16"/>
      <c r="D8" s="16"/>
      <c r="E8" s="16"/>
      <c r="F8" s="16"/>
      <c r="G8" s="16"/>
      <c r="H8" s="16"/>
    </row>
    <row r="9" spans="2:18" ht="15" thickBot="1" x14ac:dyDescent="0.4"/>
    <row r="10" spans="2:18" ht="53.25" customHeight="1" thickBot="1" x14ac:dyDescent="0.6">
      <c r="B10" s="1" t="s">
        <v>5</v>
      </c>
      <c r="C10" s="2" t="s">
        <v>15</v>
      </c>
      <c r="D10" s="2" t="s">
        <v>1</v>
      </c>
      <c r="E10" s="2" t="s">
        <v>2</v>
      </c>
      <c r="F10" s="2" t="s">
        <v>19</v>
      </c>
      <c r="G10" s="2" t="s">
        <v>3</v>
      </c>
      <c r="H10" s="3" t="s">
        <v>4</v>
      </c>
    </row>
    <row r="11" spans="2:18" ht="23.5" x14ac:dyDescent="0.55000000000000004">
      <c r="B11" s="4" t="s">
        <v>6</v>
      </c>
      <c r="C11" s="5">
        <v>70</v>
      </c>
      <c r="D11" s="5">
        <v>87</v>
      </c>
      <c r="E11" s="20">
        <v>4.3499999999999996</v>
      </c>
      <c r="F11" s="20">
        <f>D11+E11</f>
        <v>91.35</v>
      </c>
      <c r="G11" s="5"/>
      <c r="H11" s="18">
        <f>F11-G11</f>
        <v>91.35</v>
      </c>
      <c r="I11">
        <v>90</v>
      </c>
      <c r="J11" s="25">
        <f>H11-I11</f>
        <v>1.3499999999999943</v>
      </c>
      <c r="K11" s="25"/>
      <c r="O11" s="9" t="s">
        <v>5</v>
      </c>
      <c r="P11" s="10" t="s">
        <v>15</v>
      </c>
      <c r="Q11" s="10" t="s">
        <v>16</v>
      </c>
      <c r="R11" s="10" t="s">
        <v>17</v>
      </c>
    </row>
    <row r="12" spans="2:18" ht="23.5" x14ac:dyDescent="0.55000000000000004">
      <c r="B12" s="4" t="s">
        <v>7</v>
      </c>
      <c r="C12" s="5">
        <v>70</v>
      </c>
      <c r="D12" s="5">
        <v>122</v>
      </c>
      <c r="E12" s="20">
        <v>6.1</v>
      </c>
      <c r="F12" s="20">
        <f t="shared" ref="F12:F18" si="0">D12+E12</f>
        <v>128.1</v>
      </c>
      <c r="G12" s="5">
        <v>15</v>
      </c>
      <c r="H12" s="18">
        <f t="shared" ref="H12:H18" si="1">F12-G12</f>
        <v>113.1</v>
      </c>
      <c r="I12" s="24">
        <v>140</v>
      </c>
      <c r="J12" s="25">
        <f t="shared" ref="J12:J17" si="2">H12-I12</f>
        <v>-26.900000000000006</v>
      </c>
      <c r="K12" s="25"/>
      <c r="O12" s="5" t="s">
        <v>6</v>
      </c>
      <c r="P12" s="13">
        <v>70</v>
      </c>
      <c r="Q12" s="11">
        <v>7794</v>
      </c>
      <c r="R12" s="12">
        <f>Q12/40</f>
        <v>194.85</v>
      </c>
    </row>
    <row r="13" spans="2:18" ht="23.5" x14ac:dyDescent="0.55000000000000004">
      <c r="B13" s="4" t="s">
        <v>8</v>
      </c>
      <c r="C13" s="5">
        <v>70</v>
      </c>
      <c r="D13" s="5">
        <f>80+27</f>
        <v>107</v>
      </c>
      <c r="E13" s="20">
        <v>5.35</v>
      </c>
      <c r="F13" s="20">
        <f t="shared" si="0"/>
        <v>112.35</v>
      </c>
      <c r="G13" s="5"/>
      <c r="H13" s="18">
        <f t="shared" si="1"/>
        <v>112.35</v>
      </c>
      <c r="I13">
        <v>111</v>
      </c>
      <c r="J13" s="25">
        <f t="shared" si="2"/>
        <v>1.3499999999999943</v>
      </c>
      <c r="K13" s="25"/>
      <c r="O13" s="5" t="s">
        <v>7</v>
      </c>
      <c r="P13" s="13">
        <v>70</v>
      </c>
      <c r="Q13" s="11">
        <v>8638</v>
      </c>
      <c r="R13" s="12">
        <f t="shared" ref="R13:R18" si="3">Q13/40</f>
        <v>215.95</v>
      </c>
    </row>
    <row r="14" spans="2:18" ht="23.5" x14ac:dyDescent="0.55000000000000004">
      <c r="B14" s="4" t="s">
        <v>9</v>
      </c>
      <c r="C14" s="5">
        <v>120</v>
      </c>
      <c r="D14" s="5">
        <f>135+22</f>
        <v>157</v>
      </c>
      <c r="E14" s="20">
        <v>7.85</v>
      </c>
      <c r="F14" s="20">
        <f t="shared" si="0"/>
        <v>164.85</v>
      </c>
      <c r="G14" s="5">
        <v>25</v>
      </c>
      <c r="H14" s="18">
        <f t="shared" si="1"/>
        <v>139.85</v>
      </c>
      <c r="I14">
        <v>163</v>
      </c>
      <c r="J14" s="25">
        <f t="shared" si="2"/>
        <v>-23.150000000000006</v>
      </c>
      <c r="K14" s="25"/>
      <c r="O14" s="5" t="s">
        <v>8</v>
      </c>
      <c r="P14" s="13">
        <v>70</v>
      </c>
      <c r="Q14" s="11">
        <v>153</v>
      </c>
      <c r="R14" s="12">
        <f t="shared" si="3"/>
        <v>3.8250000000000002</v>
      </c>
    </row>
    <row r="15" spans="2:18" ht="23.5" x14ac:dyDescent="0.55000000000000004">
      <c r="B15" s="4" t="s">
        <v>10</v>
      </c>
      <c r="C15" s="5">
        <v>120</v>
      </c>
      <c r="D15" s="5">
        <f>110+52</f>
        <v>162</v>
      </c>
      <c r="E15" s="20">
        <v>8.1</v>
      </c>
      <c r="F15" s="20">
        <f t="shared" si="0"/>
        <v>170.1</v>
      </c>
      <c r="G15" s="5">
        <v>12</v>
      </c>
      <c r="H15" s="18">
        <f t="shared" si="1"/>
        <v>158.1</v>
      </c>
      <c r="I15">
        <v>173</v>
      </c>
      <c r="J15" s="25">
        <f t="shared" si="2"/>
        <v>-14.900000000000006</v>
      </c>
      <c r="K15" s="25"/>
      <c r="O15" s="5" t="s">
        <v>9</v>
      </c>
      <c r="P15" s="13">
        <v>120</v>
      </c>
      <c r="Q15" s="11">
        <v>805</v>
      </c>
      <c r="R15" s="12">
        <f t="shared" si="3"/>
        <v>20.125</v>
      </c>
    </row>
    <row r="16" spans="2:18" ht="23.5" x14ac:dyDescent="0.55000000000000004">
      <c r="B16" s="4" t="s">
        <v>11</v>
      </c>
      <c r="C16" s="5">
        <v>120</v>
      </c>
      <c r="D16" s="5">
        <f>115+42</f>
        <v>157</v>
      </c>
      <c r="E16" s="20">
        <v>7.85</v>
      </c>
      <c r="F16" s="20">
        <f t="shared" si="0"/>
        <v>164.85</v>
      </c>
      <c r="G16" s="5">
        <v>13</v>
      </c>
      <c r="H16" s="18">
        <f t="shared" si="1"/>
        <v>151.85</v>
      </c>
      <c r="I16">
        <v>163</v>
      </c>
      <c r="J16" s="25">
        <f t="shared" si="2"/>
        <v>-11.150000000000006</v>
      </c>
      <c r="K16" s="25"/>
      <c r="O16" s="5" t="s">
        <v>10</v>
      </c>
      <c r="P16" s="13">
        <v>120</v>
      </c>
      <c r="Q16" s="11">
        <v>1874</v>
      </c>
      <c r="R16" s="12">
        <f t="shared" si="3"/>
        <v>46.85</v>
      </c>
    </row>
    <row r="17" spans="2:18" ht="23.5" x14ac:dyDescent="0.55000000000000004">
      <c r="B17" s="4" t="s">
        <v>12</v>
      </c>
      <c r="C17" s="5">
        <v>60</v>
      </c>
      <c r="D17" s="5">
        <v>46</v>
      </c>
      <c r="E17" s="5"/>
      <c r="F17" s="20">
        <f t="shared" si="0"/>
        <v>46</v>
      </c>
      <c r="G17" s="5"/>
      <c r="H17" s="18">
        <f t="shared" si="1"/>
        <v>46</v>
      </c>
      <c r="I17">
        <v>40</v>
      </c>
      <c r="J17" s="25">
        <f t="shared" si="2"/>
        <v>6</v>
      </c>
      <c r="K17" s="25"/>
      <c r="O17" s="5" t="s">
        <v>11</v>
      </c>
      <c r="P17" s="13">
        <v>120</v>
      </c>
      <c r="Q17" s="11"/>
      <c r="R17" s="11">
        <f t="shared" si="3"/>
        <v>0</v>
      </c>
    </row>
    <row r="18" spans="2:18" ht="23.5" x14ac:dyDescent="0.55000000000000004">
      <c r="B18" s="4" t="s">
        <v>13</v>
      </c>
      <c r="C18" s="5">
        <v>60</v>
      </c>
      <c r="D18" s="5"/>
      <c r="E18" s="5"/>
      <c r="F18" s="5">
        <f t="shared" si="0"/>
        <v>0</v>
      </c>
      <c r="G18" s="5"/>
      <c r="H18" s="18">
        <f t="shared" si="1"/>
        <v>0</v>
      </c>
      <c r="O18" s="5" t="s">
        <v>12</v>
      </c>
      <c r="P18" s="13">
        <v>60</v>
      </c>
      <c r="Q18" s="11">
        <v>72000</v>
      </c>
      <c r="R18" s="11">
        <f t="shared" si="3"/>
        <v>1800</v>
      </c>
    </row>
    <row r="19" spans="2:18" ht="28.5" customHeight="1" thickBot="1" x14ac:dyDescent="0.6">
      <c r="B19" s="6" t="s">
        <v>14</v>
      </c>
      <c r="C19" s="7">
        <v>60</v>
      </c>
      <c r="D19" s="7"/>
      <c r="E19" s="7"/>
      <c r="F19" s="7"/>
      <c r="G19" s="7"/>
      <c r="H19" s="19"/>
      <c r="O19" s="5" t="s">
        <v>18</v>
      </c>
      <c r="P19" s="8"/>
      <c r="Q19" s="14">
        <f>SUM(Q12:Q18)</f>
        <v>91264</v>
      </c>
      <c r="R19" s="15">
        <f>SUM(R12:R18)</f>
        <v>2281.6</v>
      </c>
    </row>
    <row r="20" spans="2:18" x14ac:dyDescent="0.35">
      <c r="D20" s="17">
        <f>SUM(D11:D18)</f>
        <v>838</v>
      </c>
      <c r="E20" s="17">
        <f t="shared" ref="E20:H20" si="4">SUM(E11:E18)</f>
        <v>39.6</v>
      </c>
      <c r="F20" s="17">
        <f t="shared" si="4"/>
        <v>877.6</v>
      </c>
      <c r="G20" s="17">
        <f t="shared" si="4"/>
        <v>65</v>
      </c>
      <c r="H20" s="21">
        <f t="shared" si="4"/>
        <v>812.6</v>
      </c>
    </row>
    <row r="22" spans="2:18" x14ac:dyDescent="0.35"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</row>
    <row r="23" spans="2:18" x14ac:dyDescent="0.35">
      <c r="C23" t="s">
        <v>27</v>
      </c>
      <c r="D23">
        <v>60</v>
      </c>
      <c r="E23">
        <v>100</v>
      </c>
      <c r="F23">
        <v>80</v>
      </c>
      <c r="G23">
        <v>135</v>
      </c>
      <c r="H23">
        <v>110</v>
      </c>
      <c r="I23">
        <v>115</v>
      </c>
      <c r="J23">
        <v>40</v>
      </c>
    </row>
    <row r="24" spans="2:18" x14ac:dyDescent="0.35">
      <c r="C24" t="s">
        <v>28</v>
      </c>
      <c r="D24">
        <v>27</v>
      </c>
      <c r="E24">
        <v>46</v>
      </c>
      <c r="F24">
        <v>27</v>
      </c>
      <c r="G24">
        <v>46</v>
      </c>
      <c r="H24">
        <v>64</v>
      </c>
      <c r="I24">
        <v>54</v>
      </c>
      <c r="J24">
        <v>6</v>
      </c>
      <c r="K24">
        <v>11</v>
      </c>
    </row>
    <row r="25" spans="2:18" ht="31.5" customHeight="1" x14ac:dyDescent="0.35">
      <c r="C25" t="s">
        <v>29</v>
      </c>
      <c r="D25" s="22">
        <f>SUM(D23:D24)</f>
        <v>87</v>
      </c>
      <c r="E25" s="22">
        <f t="shared" ref="E25:J25" si="5">SUM(E23:E24)</f>
        <v>146</v>
      </c>
      <c r="F25" s="22">
        <f t="shared" si="5"/>
        <v>107</v>
      </c>
      <c r="G25" s="22">
        <f t="shared" si="5"/>
        <v>181</v>
      </c>
      <c r="H25" s="22">
        <f t="shared" si="5"/>
        <v>174</v>
      </c>
      <c r="I25" s="22">
        <f t="shared" si="5"/>
        <v>169</v>
      </c>
      <c r="J25" s="22">
        <f t="shared" si="5"/>
        <v>46</v>
      </c>
      <c r="K25">
        <v>30</v>
      </c>
    </row>
    <row r="26" spans="2:18" ht="31.5" customHeight="1" x14ac:dyDescent="0.35">
      <c r="C26" t="s">
        <v>2</v>
      </c>
      <c r="D26" s="23">
        <f>D25/20</f>
        <v>4.3499999999999996</v>
      </c>
      <c r="E26" s="23">
        <f t="shared" ref="E26:J26" si="6">E25/20</f>
        <v>7.3</v>
      </c>
      <c r="F26" s="23">
        <f t="shared" si="6"/>
        <v>5.35</v>
      </c>
      <c r="G26" s="23">
        <f t="shared" si="6"/>
        <v>9.0500000000000007</v>
      </c>
      <c r="H26" s="23">
        <f t="shared" si="6"/>
        <v>8.6999999999999993</v>
      </c>
      <c r="I26" s="23">
        <f t="shared" si="6"/>
        <v>8.4499999999999993</v>
      </c>
      <c r="J26" s="23">
        <f t="shared" si="6"/>
        <v>2.2999999999999998</v>
      </c>
    </row>
  </sheetData>
  <mergeCells count="1">
    <mergeCell ref="B7:H8"/>
  </mergeCells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2026-06-06T05:30:02Z</cp:lastPrinted>
  <dcterms:created xsi:type="dcterms:W3CDTF">2026-05-23T04:02:39Z</dcterms:created>
  <dcterms:modified xsi:type="dcterms:W3CDTF">2026-06-15T12:07:39Z</dcterms:modified>
</cp:coreProperties>
</file>