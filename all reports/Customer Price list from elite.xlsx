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0B4C1B-28CB-41FF-B559-6057CB75B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1" l="1"/>
  <c r="V30" i="1"/>
  <c r="V24" i="1"/>
  <c r="V23" i="1"/>
  <c r="V17" i="1"/>
  <c r="V16" i="1"/>
  <c r="V10" i="1"/>
  <c r="V9" i="1"/>
  <c r="V32" i="1"/>
  <c r="V25" i="1"/>
  <c r="V18" i="1"/>
  <c r="V11" i="1"/>
  <c r="N32" i="1"/>
  <c r="M32" i="1"/>
  <c r="O32" i="1" s="1"/>
  <c r="L32" i="1"/>
  <c r="J32" i="1" s="1"/>
  <c r="I32" i="1" s="1"/>
  <c r="G32" i="1"/>
  <c r="M31" i="1"/>
  <c r="O31" i="1" s="1"/>
  <c r="L31" i="1"/>
  <c r="J31" i="1" s="1"/>
  <c r="I31" i="1" s="1"/>
  <c r="G31" i="1"/>
  <c r="M30" i="1"/>
  <c r="O30" i="1" s="1"/>
  <c r="P30" i="1" s="1"/>
  <c r="R30" i="1" s="1"/>
  <c r="L30" i="1"/>
  <c r="S30" i="1" s="1"/>
  <c r="G30" i="1"/>
  <c r="N25" i="1"/>
  <c r="M25" i="1"/>
  <c r="O25" i="1" s="1"/>
  <c r="L25" i="1"/>
  <c r="J25" i="1" s="1"/>
  <c r="I25" i="1" s="1"/>
  <c r="G25" i="1"/>
  <c r="M24" i="1"/>
  <c r="O24" i="1" s="1"/>
  <c r="L24" i="1"/>
  <c r="J24" i="1" s="1"/>
  <c r="I24" i="1" s="1"/>
  <c r="G24" i="1"/>
  <c r="M23" i="1"/>
  <c r="O23" i="1" s="1"/>
  <c r="L23" i="1"/>
  <c r="S23" i="1" s="1"/>
  <c r="G23" i="1"/>
  <c r="N18" i="1"/>
  <c r="M18" i="1"/>
  <c r="O18" i="1" s="1"/>
  <c r="L18" i="1"/>
  <c r="J18" i="1" s="1"/>
  <c r="I18" i="1" s="1"/>
  <c r="G18" i="1"/>
  <c r="S17" i="1"/>
  <c r="M17" i="1"/>
  <c r="O17" i="1" s="1"/>
  <c r="L17" i="1"/>
  <c r="G17" i="1"/>
  <c r="M16" i="1"/>
  <c r="O16" i="1" s="1"/>
  <c r="L16" i="1"/>
  <c r="J16" i="1" s="1"/>
  <c r="I16" i="1" s="1"/>
  <c r="G16" i="1"/>
  <c r="N11" i="1"/>
  <c r="O11" i="1" s="1"/>
  <c r="L11" i="1"/>
  <c r="G11" i="1"/>
  <c r="S10" i="1"/>
  <c r="M10" i="1"/>
  <c r="O10" i="1" s="1"/>
  <c r="L10" i="1"/>
  <c r="G10" i="1"/>
  <c r="M9" i="1"/>
  <c r="O9" i="1" s="1"/>
  <c r="L9" i="1"/>
  <c r="J9" i="1" s="1"/>
  <c r="I9" i="1" s="1"/>
  <c r="G9" i="1"/>
  <c r="O5" i="1"/>
  <c r="L5" i="1"/>
  <c r="J5" i="1" s="1"/>
  <c r="I5" i="1" s="1"/>
  <c r="G5" i="1"/>
  <c r="O4" i="1"/>
  <c r="L4" i="1"/>
  <c r="J4" i="1" s="1"/>
  <c r="I4" i="1" s="1"/>
  <c r="G4" i="1"/>
  <c r="O3" i="1"/>
  <c r="L3" i="1"/>
  <c r="J3" i="1"/>
  <c r="I3" i="1" s="1"/>
  <c r="G3" i="1"/>
  <c r="P11" i="1" l="1"/>
  <c r="R11" i="1" s="1"/>
  <c r="T11" i="1" s="1"/>
  <c r="U11" i="1" s="1"/>
  <c r="P24" i="1"/>
  <c r="R24" i="1" s="1"/>
  <c r="P10" i="1"/>
  <c r="R10" i="1" s="1"/>
  <c r="T10" i="1" s="1"/>
  <c r="U10" i="1" s="1"/>
  <c r="J11" i="1"/>
  <c r="I11" i="1" s="1"/>
  <c r="P17" i="1"/>
  <c r="R17" i="1" s="1"/>
  <c r="T17" i="1" s="1"/>
  <c r="U17" i="1" s="1"/>
  <c r="J23" i="1"/>
  <c r="I23" i="1" s="1"/>
  <c r="P31" i="1"/>
  <c r="R31" i="1" s="1"/>
  <c r="T31" i="1" s="1"/>
  <c r="U31" i="1" s="1"/>
  <c r="T30" i="1"/>
  <c r="U30" i="1" s="1"/>
  <c r="S24" i="1"/>
  <c r="T24" i="1" s="1"/>
  <c r="U24" i="1" s="1"/>
  <c r="J30" i="1"/>
  <c r="I30" i="1" s="1"/>
  <c r="J10" i="1"/>
  <c r="I10" i="1" s="1"/>
  <c r="J17" i="1"/>
  <c r="I17" i="1" s="1"/>
  <c r="P18" i="1"/>
  <c r="R18" i="1" s="1"/>
  <c r="T18" i="1" s="1"/>
  <c r="U18" i="1" s="1"/>
  <c r="S31" i="1"/>
  <c r="P16" i="1"/>
  <c r="R16" i="1" s="1"/>
  <c r="T16" i="1" s="1"/>
  <c r="U16" i="1" s="1"/>
  <c r="P25" i="1"/>
  <c r="R25" i="1" s="1"/>
  <c r="T25" i="1" s="1"/>
  <c r="U25" i="1" s="1"/>
  <c r="P9" i="1"/>
  <c r="R9" i="1" s="1"/>
  <c r="T9" i="1" s="1"/>
  <c r="U9" i="1" s="1"/>
  <c r="P23" i="1"/>
  <c r="R23" i="1" s="1"/>
  <c r="T23" i="1" s="1"/>
  <c r="U23" i="1" s="1"/>
  <c r="P32" i="1"/>
  <c r="R32" i="1" s="1"/>
  <c r="T32" i="1" s="1"/>
  <c r="U32" i="1" s="1"/>
  <c r="S9" i="1"/>
  <c r="S16" i="1"/>
</calcChain>
</file>

<file path=xl/sharedStrings.xml><?xml version="1.0" encoding="utf-8"?>
<sst xmlns="http://schemas.openxmlformats.org/spreadsheetml/2006/main" count="165" uniqueCount="36">
  <si>
    <t>SKU</t>
  </si>
  <si>
    <t>SKUs Description</t>
  </si>
  <si>
    <t>Unit</t>
  </si>
  <si>
    <t xml:space="preserve">Retail Price </t>
  </si>
  <si>
    <t>TP Incl.</t>
  </si>
  <si>
    <t>TP Excl.</t>
  </si>
  <si>
    <t>Discount &amp; TO</t>
  </si>
  <si>
    <t>Gm</t>
  </si>
  <si>
    <t>CTN</t>
  </si>
  <si>
    <t>Ctn</t>
  </si>
  <si>
    <t xml:space="preserve">Pk </t>
  </si>
  <si>
    <t>Pk</t>
  </si>
  <si>
    <t>Discount</t>
  </si>
  <si>
    <t>TO</t>
  </si>
  <si>
    <t xml:space="preserve">Total </t>
  </si>
  <si>
    <t>CCN</t>
  </si>
  <si>
    <t xml:space="preserve">Meat Masala </t>
  </si>
  <si>
    <t>CCNJ</t>
  </si>
  <si>
    <t>Meat Masala (Jumbo)</t>
  </si>
  <si>
    <t>CCE</t>
  </si>
  <si>
    <t>Chicken Chatkhara  (ECO)</t>
  </si>
  <si>
    <t>Unregistered Customer's with Non Filer</t>
  </si>
  <si>
    <t>20 Pack</t>
  </si>
  <si>
    <t>40 Pack</t>
  </si>
  <si>
    <t>Net Price</t>
  </si>
  <si>
    <t>Adv</t>
  </si>
  <si>
    <t>FOC Tax</t>
  </si>
  <si>
    <t>Net Amount</t>
  </si>
  <si>
    <t>Incl. 22%</t>
  </si>
  <si>
    <t>236 H</t>
  </si>
  <si>
    <t>Unregistered Customer's with Filer</t>
  </si>
  <si>
    <t>Registered Customer's with Non Filer</t>
  </si>
  <si>
    <t>Registered Customer's with Filer</t>
  </si>
  <si>
    <t>Incl. 18%</t>
  </si>
  <si>
    <t>FOC Tax (2pc)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</si>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</sst>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3" applyNumberFormat="1" applyFont="1" applyFill="1" applyBorder="1" applyAlignment="1">
      <alignment horizontal="center" vertical="center"/>
    </xf>
    <xf numFmtId="2" fontId="4" fillId="2" borderId="1" xfId="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2" borderId="7" xfId="0" applyFont="1" applyFill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4" fillId="2" borderId="0" xfId="3" applyNumberFormat="1" applyFont="1" applyFill="1" applyBorder="1" applyAlignment="1">
      <alignment horizontal="center" vertical="center"/>
    </xf>
    <xf numFmtId="2" fontId="4" fillId="2" borderId="0" xfId="3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43" fontId="3" fillId="2" borderId="2" xfId="1" applyFont="1" applyFill="1" applyBorder="1" applyAlignment="1">
      <alignment horizontal="center" vertical="center" wrapText="1"/>
    </xf>
    <xf numFmtId="43" fontId="3" fillId="2" borderId="4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</cellXfs>
  <cellStyles count="4">
    <cellStyle name="Comma" xfId="1" builtinId="3"/>
    <cellStyle name="Comma 2 10" xfId="3" xr:uid="{B04F5881-D55E-4208-860D-AD13B481FB31}"/>
    <cellStyle name="Normal" xfId="0" builtinId="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32"/>
  <sheetViews>
    <sheetView tabSelected="1" topLeftCell="A16" workbookViewId="0">
      <selection activeCell="V34" sqref="V34"/>
    </sheetView>
  </sheetViews>
  <sheetFormatPr defaultRowHeight="15" x14ac:dyDescent="0.25"/>
  <cols>
    <col min="3" max="3" width="5.42578125" bestFit="1" customWidth="1"/>
    <col min="4" max="4" width="23.5703125" bestFit="1" customWidth="1"/>
    <col min="5" max="5" width="4" bestFit="1" customWidth="1"/>
    <col min="6" max="6" width="3.140625" bestFit="1" customWidth="1"/>
    <col min="7" max="7" width="5" bestFit="1" customWidth="1"/>
    <col min="8" max="8" width="3" bestFit="1" customWidth="1"/>
    <col min="9" max="9" width="5" hidden="1" customWidth="1"/>
    <col min="10" max="10" width="3.140625" hidden="1" customWidth="1"/>
    <col min="11" max="11" width="7.5703125" bestFit="1" customWidth="1"/>
    <col min="12" max="12" width="5.5703125" bestFit="1" customWidth="1"/>
    <col min="13" max="13" width="8.7109375" bestFit="1" customWidth="1"/>
    <col min="14" max="14" width="6.140625" bestFit="1" customWidth="1"/>
    <col min="15" max="15" width="5.85546875" bestFit="1" customWidth="1"/>
    <col min="16" max="16" width="9.140625" bestFit="1" customWidth="1"/>
    <col min="17" max="17" width="6.140625" bestFit="1" customWidth="1"/>
    <col min="18" max="18" width="9.140625" bestFit="1" customWidth="1"/>
    <col min="19" max="19" width="8" bestFit="1" customWidth="1"/>
    <col min="20" max="21" width="11.85546875" bestFit="1" customWidth="1"/>
  </cols>
  <sheetData>
    <row r="1" spans="3:22" x14ac:dyDescent="0.25">
      <c r="C1" s="45" t="s">
        <v>0</v>
      </c>
      <c r="D1" s="46" t="s">
        <v>1</v>
      </c>
      <c r="E1" s="45" t="s">
        <v>2</v>
      </c>
      <c r="F1" s="45"/>
      <c r="G1" s="44" t="s">
        <v>3</v>
      </c>
      <c r="H1" s="44"/>
      <c r="I1" s="47" t="s">
        <v>4</v>
      </c>
      <c r="J1" s="47"/>
      <c r="K1" s="47" t="s">
        <v>5</v>
      </c>
      <c r="L1" s="47"/>
      <c r="M1" s="35" t="s">
        <v>6</v>
      </c>
      <c r="N1" s="36"/>
      <c r="O1" s="37"/>
    </row>
    <row r="2" spans="3:22" ht="30" x14ac:dyDescent="0.25">
      <c r="C2" s="45"/>
      <c r="D2" s="46"/>
      <c r="E2" s="4" t="s">
        <v>7</v>
      </c>
      <c r="F2" s="5" t="s">
        <v>8</v>
      </c>
      <c r="G2" s="2" t="s">
        <v>9</v>
      </c>
      <c r="H2" s="6" t="s">
        <v>10</v>
      </c>
      <c r="I2" s="3" t="s">
        <v>9</v>
      </c>
      <c r="J2" s="3" t="s">
        <v>11</v>
      </c>
      <c r="K2" s="3" t="s">
        <v>9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3:22" x14ac:dyDescent="0.25">
      <c r="C3" s="1" t="s">
        <v>15</v>
      </c>
      <c r="D3" s="7" t="s">
        <v>16</v>
      </c>
      <c r="E3" s="8">
        <v>70</v>
      </c>
      <c r="F3" s="9">
        <v>40</v>
      </c>
      <c r="G3" s="9">
        <f>H3*F3</f>
        <v>2600</v>
      </c>
      <c r="H3" s="9">
        <v>65</v>
      </c>
      <c r="I3" s="10">
        <f>J3*F3</f>
        <v>2560.17</v>
      </c>
      <c r="J3" s="10">
        <f>L3*1.22</f>
        <v>64.004249999999999</v>
      </c>
      <c r="K3" s="11">
        <v>2098.5</v>
      </c>
      <c r="L3" s="11">
        <f>K3/F3</f>
        <v>52.462499999999999</v>
      </c>
      <c r="M3" s="12">
        <v>0.08</v>
      </c>
      <c r="N3" s="13">
        <v>3.5000000000000003E-2</v>
      </c>
      <c r="O3" s="12">
        <f>M3+N3</f>
        <v>0.115</v>
      </c>
    </row>
    <row r="4" spans="3:22" x14ac:dyDescent="0.25">
      <c r="C4" s="1" t="s">
        <v>17</v>
      </c>
      <c r="D4" s="7" t="s">
        <v>18</v>
      </c>
      <c r="E4" s="8">
        <v>120</v>
      </c>
      <c r="F4" s="9">
        <v>40</v>
      </c>
      <c r="G4" s="9">
        <f t="shared" ref="G4:G5" si="0">H4*F4</f>
        <v>3600</v>
      </c>
      <c r="H4" s="9">
        <v>90</v>
      </c>
      <c r="I4" s="10">
        <f t="shared" ref="I4:I5" si="1">J4*F4</f>
        <v>3544.8320000000003</v>
      </c>
      <c r="J4" s="10">
        <f t="shared" ref="J4:J5" si="2">L4*1.22</f>
        <v>88.620800000000003</v>
      </c>
      <c r="K4" s="11">
        <v>2905.6</v>
      </c>
      <c r="L4" s="11">
        <f t="shared" ref="L4:L5" si="3">K4/F4</f>
        <v>72.64</v>
      </c>
      <c r="M4" s="12">
        <v>0.08</v>
      </c>
      <c r="N4" s="13">
        <v>3.5000000000000003E-2</v>
      </c>
      <c r="O4" s="12">
        <f t="shared" ref="O4:O5" si="4">M4+N4</f>
        <v>0.115</v>
      </c>
    </row>
    <row r="5" spans="3:22" x14ac:dyDescent="0.25">
      <c r="C5" s="1" t="s">
        <v>19</v>
      </c>
      <c r="D5" s="7" t="s">
        <v>20</v>
      </c>
      <c r="E5" s="8">
        <v>60</v>
      </c>
      <c r="F5" s="9">
        <v>40</v>
      </c>
      <c r="G5" s="9">
        <f t="shared" si="0"/>
        <v>2000</v>
      </c>
      <c r="H5" s="10">
        <v>50</v>
      </c>
      <c r="I5" s="10">
        <f t="shared" si="1"/>
        <v>1914.4240000000002</v>
      </c>
      <c r="J5" s="10">
        <f t="shared" si="2"/>
        <v>47.860600000000005</v>
      </c>
      <c r="K5" s="11">
        <v>1569.2</v>
      </c>
      <c r="L5" s="11">
        <f t="shared" si="3"/>
        <v>39.230000000000004</v>
      </c>
      <c r="M5" s="12">
        <v>0.05</v>
      </c>
      <c r="N5" s="13">
        <v>3.5000000000000003E-2</v>
      </c>
      <c r="O5" s="12">
        <f t="shared" si="4"/>
        <v>8.5000000000000006E-2</v>
      </c>
    </row>
    <row r="6" spans="3:22" x14ac:dyDescent="0.25">
      <c r="C6" s="38" t="s">
        <v>21</v>
      </c>
      <c r="D6" s="38"/>
      <c r="E6" s="38"/>
      <c r="F6" s="38"/>
      <c r="G6" s="38"/>
      <c r="T6" s="31" t="s">
        <v>22</v>
      </c>
      <c r="U6" s="31" t="s">
        <v>23</v>
      </c>
    </row>
    <row r="7" spans="3:22" x14ac:dyDescent="0.25">
      <c r="C7" s="39" t="s">
        <v>0</v>
      </c>
      <c r="D7" s="41" t="s">
        <v>1</v>
      </c>
      <c r="E7" s="42" t="s">
        <v>2</v>
      </c>
      <c r="F7" s="42"/>
      <c r="G7" s="43" t="s">
        <v>3</v>
      </c>
      <c r="H7" s="44"/>
      <c r="I7" s="33" t="s">
        <v>4</v>
      </c>
      <c r="J7" s="34"/>
      <c r="K7" s="33" t="s">
        <v>5</v>
      </c>
      <c r="L7" s="34"/>
      <c r="M7" s="35" t="s">
        <v>6</v>
      </c>
      <c r="N7" s="36"/>
      <c r="O7" s="37"/>
      <c r="P7" s="14" t="s">
        <v>24</v>
      </c>
      <c r="Q7" s="3" t="s">
        <v>25</v>
      </c>
      <c r="R7" s="46" t="s">
        <v>24</v>
      </c>
      <c r="S7" s="46" t="s">
        <v>34</v>
      </c>
      <c r="T7" s="48" t="s">
        <v>27</v>
      </c>
      <c r="U7" s="48" t="s">
        <v>27</v>
      </c>
    </row>
    <row r="8" spans="3:22" ht="30.75" thickBot="1" x14ac:dyDescent="0.3">
      <c r="C8" s="40"/>
      <c r="D8" s="41"/>
      <c r="E8" s="4" t="s">
        <v>7</v>
      </c>
      <c r="F8" s="5" t="s">
        <v>8</v>
      </c>
      <c r="G8" s="15" t="s">
        <v>9</v>
      </c>
      <c r="H8" s="16" t="s">
        <v>10</v>
      </c>
      <c r="I8" s="17" t="s">
        <v>9</v>
      </c>
      <c r="J8" s="17" t="s">
        <v>11</v>
      </c>
      <c r="K8" s="17" t="s">
        <v>9</v>
      </c>
      <c r="L8" s="17" t="s">
        <v>11</v>
      </c>
      <c r="M8" s="3" t="s">
        <v>12</v>
      </c>
      <c r="N8" s="3" t="s">
        <v>13</v>
      </c>
      <c r="O8" s="3" t="s">
        <v>14</v>
      </c>
      <c r="P8" s="3" t="s">
        <v>28</v>
      </c>
      <c r="Q8" s="3" t="s">
        <v>29</v>
      </c>
      <c r="R8" s="46"/>
      <c r="S8" s="46"/>
      <c r="T8" s="43"/>
      <c r="U8" s="43"/>
    </row>
    <row r="9" spans="3:22" x14ac:dyDescent="0.25">
      <c r="C9" s="1" t="s">
        <v>15</v>
      </c>
      <c r="D9" s="7" t="s">
        <v>16</v>
      </c>
      <c r="E9" s="8">
        <v>70</v>
      </c>
      <c r="F9" s="9">
        <v>40</v>
      </c>
      <c r="G9" s="9">
        <f>H9*F9</f>
        <v>2600</v>
      </c>
      <c r="H9" s="9">
        <v>65</v>
      </c>
      <c r="I9" s="10">
        <f>J9*F9</f>
        <v>2560.17</v>
      </c>
      <c r="J9" s="10">
        <f>L9*1.22</f>
        <v>64.004249999999999</v>
      </c>
      <c r="K9" s="11">
        <v>2098.5</v>
      </c>
      <c r="L9" s="11">
        <f>K9/F9</f>
        <v>52.462499999999999</v>
      </c>
      <c r="M9" s="12">
        <f>M3</f>
        <v>0.08</v>
      </c>
      <c r="N9" s="13"/>
      <c r="O9" s="12">
        <f>M9+N9</f>
        <v>0.08</v>
      </c>
      <c r="P9" s="18">
        <f>(L9-(L9*O9))*1.22</f>
        <v>58.883909999999993</v>
      </c>
      <c r="Q9" s="19">
        <v>2.5000000000000001E-2</v>
      </c>
      <c r="R9" s="18">
        <f>P9*Q9+P9</f>
        <v>60.356007749999996</v>
      </c>
      <c r="S9" s="18">
        <f>L9*22%</f>
        <v>11.54175</v>
      </c>
      <c r="T9" s="20">
        <f>R9*20+S9</f>
        <v>1218.6619049999999</v>
      </c>
      <c r="U9" s="20">
        <f>T9*2</f>
        <v>2437.3238099999999</v>
      </c>
      <c r="V9">
        <f>U9/42</f>
        <v>58.031519285714282</v>
      </c>
    </row>
    <row r="10" spans="3:22" x14ac:dyDescent="0.25">
      <c r="C10" s="1" t="s">
        <v>17</v>
      </c>
      <c r="D10" s="7" t="s">
        <v>18</v>
      </c>
      <c r="E10" s="8">
        <v>120</v>
      </c>
      <c r="F10" s="9">
        <v>40</v>
      </c>
      <c r="G10" s="9">
        <f t="shared" ref="G10:G11" si="5">H10*F10</f>
        <v>3600</v>
      </c>
      <c r="H10" s="9">
        <v>90</v>
      </c>
      <c r="I10" s="10">
        <f t="shared" ref="I10:I11" si="6">J10*F10</f>
        <v>3544.8320000000003</v>
      </c>
      <c r="J10" s="10">
        <f t="shared" ref="J10:J11" si="7">L10*1.22</f>
        <v>88.620800000000003</v>
      </c>
      <c r="K10" s="11">
        <v>2905.6</v>
      </c>
      <c r="L10" s="11">
        <f t="shared" ref="L10:L11" si="8">K10/F10</f>
        <v>72.64</v>
      </c>
      <c r="M10" s="12">
        <f t="shared" ref="M10" si="9">M4</f>
        <v>0.08</v>
      </c>
      <c r="N10" s="13"/>
      <c r="O10" s="12">
        <f t="shared" ref="O10:O11" si="10">M10+N10</f>
        <v>0.08</v>
      </c>
      <c r="P10" s="18">
        <f t="shared" ref="P10:P11" si="11">(L10-(L10*O10))*1.22</f>
        <v>81.531136000000004</v>
      </c>
      <c r="Q10" s="19">
        <v>2.5000000000000001E-2</v>
      </c>
      <c r="R10" s="18">
        <f t="shared" ref="R10:R11" si="12">P10*Q10+P10</f>
        <v>83.569414399999999</v>
      </c>
      <c r="S10" s="18">
        <f>L10*22%</f>
        <v>15.9808</v>
      </c>
      <c r="T10" s="20">
        <f t="shared" ref="T10" si="13">R10*20+S10</f>
        <v>1687.3690880000001</v>
      </c>
      <c r="U10" s="20">
        <f t="shared" ref="U10:U11" si="14">T10*2</f>
        <v>3374.7381760000003</v>
      </c>
      <c r="V10">
        <f>U10/42</f>
        <v>80.350908952380962</v>
      </c>
    </row>
    <row r="11" spans="3:22" x14ac:dyDescent="0.25">
      <c r="C11" s="1" t="s">
        <v>19</v>
      </c>
      <c r="D11" s="7" t="s">
        <v>20</v>
      </c>
      <c r="E11" s="8">
        <v>60</v>
      </c>
      <c r="F11" s="9">
        <v>40</v>
      </c>
      <c r="G11" s="9">
        <f t="shared" si="5"/>
        <v>2000</v>
      </c>
      <c r="H11" s="10">
        <v>50</v>
      </c>
      <c r="I11" s="10">
        <f t="shared" si="6"/>
        <v>1914.4240000000002</v>
      </c>
      <c r="J11" s="10">
        <f t="shared" si="7"/>
        <v>47.860600000000005</v>
      </c>
      <c r="K11" s="11">
        <v>1569.2</v>
      </c>
      <c r="L11" s="11">
        <f t="shared" si="8"/>
        <v>39.230000000000004</v>
      </c>
      <c r="M11" s="12">
        <v>0.05</v>
      </c>
      <c r="N11" s="13">
        <f>N5</f>
        <v>3.5000000000000003E-2</v>
      </c>
      <c r="O11" s="12">
        <f t="shared" si="10"/>
        <v>8.5000000000000006E-2</v>
      </c>
      <c r="P11" s="18">
        <f t="shared" si="11"/>
        <v>43.792449000000005</v>
      </c>
      <c r="Q11" s="19">
        <v>2.5000000000000001E-2</v>
      </c>
      <c r="R11" s="18">
        <f t="shared" si="12"/>
        <v>44.887260225000006</v>
      </c>
      <c r="S11" s="18"/>
      <c r="T11" s="20">
        <f>R11*20+S11</f>
        <v>897.74520450000011</v>
      </c>
      <c r="U11" s="20">
        <f t="shared" si="14"/>
        <v>1795.4904090000002</v>
      </c>
      <c r="V11">
        <f>U11/40</f>
        <v>44.887260225000006</v>
      </c>
    </row>
    <row r="12" spans="3:22" x14ac:dyDescent="0.25">
      <c r="C12" s="1"/>
      <c r="D12" s="7"/>
      <c r="E12" s="8"/>
      <c r="F12" s="9"/>
      <c r="G12" s="9"/>
      <c r="H12" s="26"/>
      <c r="I12" s="26"/>
      <c r="J12" s="26"/>
      <c r="K12" s="27"/>
      <c r="L12" s="27"/>
      <c r="M12" s="28"/>
      <c r="N12" s="32"/>
      <c r="O12" s="28"/>
      <c r="P12" s="29"/>
      <c r="Q12" s="30"/>
      <c r="R12" s="29"/>
      <c r="S12" s="29"/>
      <c r="T12" s="20"/>
      <c r="U12" s="20"/>
    </row>
    <row r="13" spans="3:22" x14ac:dyDescent="0.25">
      <c r="C13" s="38" t="s">
        <v>30</v>
      </c>
      <c r="D13" s="38"/>
      <c r="E13" s="38"/>
      <c r="F13" s="38"/>
      <c r="G13" s="38"/>
      <c r="T13" s="31" t="s">
        <v>22</v>
      </c>
      <c r="U13" s="31" t="s">
        <v>23</v>
      </c>
    </row>
    <row r="14" spans="3:22" x14ac:dyDescent="0.25">
      <c r="C14" s="39" t="s">
        <v>0</v>
      </c>
      <c r="D14" s="41" t="s">
        <v>1</v>
      </c>
      <c r="E14" s="42" t="s">
        <v>2</v>
      </c>
      <c r="F14" s="42"/>
      <c r="G14" s="43" t="s">
        <v>3</v>
      </c>
      <c r="H14" s="44"/>
      <c r="I14" s="33" t="s">
        <v>4</v>
      </c>
      <c r="J14" s="34"/>
      <c r="K14" s="33" t="s">
        <v>5</v>
      </c>
      <c r="L14" s="34"/>
      <c r="M14" s="35" t="s">
        <v>6</v>
      </c>
      <c r="N14" s="36"/>
      <c r="O14" s="37"/>
      <c r="P14" s="14" t="s">
        <v>24</v>
      </c>
      <c r="Q14" s="3" t="s">
        <v>25</v>
      </c>
      <c r="R14" s="46" t="s">
        <v>24</v>
      </c>
      <c r="S14" s="46" t="s">
        <v>26</v>
      </c>
      <c r="T14" s="48" t="s">
        <v>27</v>
      </c>
      <c r="U14" s="48" t="s">
        <v>27</v>
      </c>
    </row>
    <row r="15" spans="3:22" ht="30.75" thickBot="1" x14ac:dyDescent="0.3">
      <c r="C15" s="40"/>
      <c r="D15" s="41"/>
      <c r="E15" s="4" t="s">
        <v>7</v>
      </c>
      <c r="F15" s="5" t="s">
        <v>8</v>
      </c>
      <c r="G15" s="15" t="s">
        <v>9</v>
      </c>
      <c r="H15" s="16" t="s">
        <v>10</v>
      </c>
      <c r="I15" s="17" t="s">
        <v>9</v>
      </c>
      <c r="J15" s="17" t="s">
        <v>11</v>
      </c>
      <c r="K15" s="17" t="s">
        <v>9</v>
      </c>
      <c r="L15" s="17" t="s">
        <v>11</v>
      </c>
      <c r="M15" s="3" t="s">
        <v>12</v>
      </c>
      <c r="N15" s="3" t="s">
        <v>13</v>
      </c>
      <c r="O15" s="3" t="s">
        <v>14</v>
      </c>
      <c r="P15" s="3" t="s">
        <v>28</v>
      </c>
      <c r="Q15" s="3" t="s">
        <v>29</v>
      </c>
      <c r="R15" s="46"/>
      <c r="S15" s="46"/>
      <c r="T15" s="43"/>
      <c r="U15" s="43"/>
    </row>
    <row r="16" spans="3:22" x14ac:dyDescent="0.25">
      <c r="C16" s="1" t="s">
        <v>15</v>
      </c>
      <c r="D16" s="7" t="s">
        <v>16</v>
      </c>
      <c r="E16" s="8">
        <v>70</v>
      </c>
      <c r="F16" s="9">
        <v>40</v>
      </c>
      <c r="G16" s="9">
        <f>H16*F16</f>
        <v>2600</v>
      </c>
      <c r="H16" s="9">
        <v>65</v>
      </c>
      <c r="I16" s="10">
        <f>J16*F16</f>
        <v>2560.17</v>
      </c>
      <c r="J16" s="10">
        <f>L16*1.22</f>
        <v>64.004249999999999</v>
      </c>
      <c r="K16" s="11">
        <v>2098.5</v>
      </c>
      <c r="L16" s="11">
        <f>K16/F16</f>
        <v>52.462499999999999</v>
      </c>
      <c r="M16" s="12">
        <f>M3</f>
        <v>0.08</v>
      </c>
      <c r="N16" s="13"/>
      <c r="O16" s="12">
        <f>M16+N16</f>
        <v>0.08</v>
      </c>
      <c r="P16" s="18">
        <f t="shared" ref="P16:P18" si="15">(L16-(L16*O16))*1.22</f>
        <v>58.883909999999993</v>
      </c>
      <c r="Q16" s="19">
        <v>5.0000000000000001E-3</v>
      </c>
      <c r="R16" s="18">
        <f>P16*Q16+P16</f>
        <v>59.178329549999994</v>
      </c>
      <c r="S16" s="18">
        <f>L16*22%</f>
        <v>11.54175</v>
      </c>
      <c r="T16" s="20">
        <f>R16*20+S16</f>
        <v>1195.1083409999999</v>
      </c>
      <c r="U16" s="20">
        <f t="shared" ref="U16:U18" si="16">T16*2</f>
        <v>2390.2166819999998</v>
      </c>
      <c r="V16">
        <f>U16/42</f>
        <v>56.909920999999997</v>
      </c>
    </row>
    <row r="17" spans="3:22" x14ac:dyDescent="0.25">
      <c r="C17" s="1" t="s">
        <v>17</v>
      </c>
      <c r="D17" s="7" t="s">
        <v>18</v>
      </c>
      <c r="E17" s="8">
        <v>120</v>
      </c>
      <c r="F17" s="9">
        <v>40</v>
      </c>
      <c r="G17" s="9">
        <f t="shared" ref="G17:G18" si="17">H17*F17</f>
        <v>3600</v>
      </c>
      <c r="H17" s="9">
        <v>90</v>
      </c>
      <c r="I17" s="10">
        <f t="shared" ref="I17:I18" si="18">J17*F17</f>
        <v>3544.8320000000003</v>
      </c>
      <c r="J17" s="10">
        <f t="shared" ref="J17:J18" si="19">L17*1.22</f>
        <v>88.620800000000003</v>
      </c>
      <c r="K17" s="11">
        <v>2905.6</v>
      </c>
      <c r="L17" s="11">
        <f t="shared" ref="L17:L18" si="20">K17/F17</f>
        <v>72.64</v>
      </c>
      <c r="M17" s="12">
        <f>M4</f>
        <v>0.08</v>
      </c>
      <c r="N17" s="13"/>
      <c r="O17" s="12">
        <f t="shared" ref="O17:O18" si="21">M17+N17</f>
        <v>0.08</v>
      </c>
      <c r="P17" s="18">
        <f t="shared" si="15"/>
        <v>81.531136000000004</v>
      </c>
      <c r="Q17" s="19">
        <v>5.0000000000000001E-3</v>
      </c>
      <c r="R17" s="18">
        <f t="shared" ref="R17:R18" si="22">P17*Q17+P17</f>
        <v>81.938791680000008</v>
      </c>
      <c r="S17" s="18">
        <f>L17*22%</f>
        <v>15.9808</v>
      </c>
      <c r="T17" s="20">
        <f t="shared" ref="T17:T18" si="23">R17*20+S17</f>
        <v>1654.7566336000002</v>
      </c>
      <c r="U17" s="20">
        <f t="shared" si="16"/>
        <v>3309.5132672000004</v>
      </c>
      <c r="V17">
        <f>U17/42</f>
        <v>78.797934933333337</v>
      </c>
    </row>
    <row r="18" spans="3:22" x14ac:dyDescent="0.25">
      <c r="C18" s="1" t="s">
        <v>19</v>
      </c>
      <c r="D18" s="7" t="s">
        <v>20</v>
      </c>
      <c r="E18" s="8">
        <v>60</v>
      </c>
      <c r="F18" s="9">
        <v>40</v>
      </c>
      <c r="G18" s="9">
        <f t="shared" si="17"/>
        <v>2000</v>
      </c>
      <c r="H18" s="10">
        <v>50</v>
      </c>
      <c r="I18" s="10">
        <f t="shared" si="18"/>
        <v>1914.4240000000002</v>
      </c>
      <c r="J18" s="10">
        <f t="shared" si="19"/>
        <v>47.860600000000005</v>
      </c>
      <c r="K18" s="11">
        <v>1569.2</v>
      </c>
      <c r="L18" s="11">
        <f t="shared" si="20"/>
        <v>39.230000000000004</v>
      </c>
      <c r="M18" s="12">
        <f>M5</f>
        <v>0.05</v>
      </c>
      <c r="N18" s="13">
        <f>N5</f>
        <v>3.5000000000000003E-2</v>
      </c>
      <c r="O18" s="21">
        <f t="shared" si="21"/>
        <v>8.5000000000000006E-2</v>
      </c>
      <c r="P18" s="18">
        <f t="shared" si="15"/>
        <v>43.792449000000005</v>
      </c>
      <c r="Q18" s="19">
        <v>5.0000000000000001E-3</v>
      </c>
      <c r="R18" s="18">
        <f t="shared" si="22"/>
        <v>44.011411245000005</v>
      </c>
      <c r="S18" s="18"/>
      <c r="T18" s="20">
        <f t="shared" si="23"/>
        <v>880.2282249000001</v>
      </c>
      <c r="U18" s="20">
        <f t="shared" si="16"/>
        <v>1760.4564498000002</v>
      </c>
      <c r="V18">
        <f>U18/40</f>
        <v>44.011411245000005</v>
      </c>
    </row>
    <row r="19" spans="3:22" x14ac:dyDescent="0.25">
      <c r="K19" t="s">
        <v>35</v>
      </c>
    </row>
    <row r="20" spans="3:22" ht="15.75" thickBot="1" x14ac:dyDescent="0.3">
      <c r="C20" s="38" t="s">
        <v>31</v>
      </c>
      <c r="D20" s="38"/>
      <c r="E20" s="38"/>
      <c r="F20" s="38"/>
      <c r="G20" s="38"/>
      <c r="T20" s="31" t="s">
        <v>22</v>
      </c>
      <c r="U20" s="31" t="s">
        <v>23</v>
      </c>
    </row>
    <row r="21" spans="3:22" x14ac:dyDescent="0.25">
      <c r="C21" s="49" t="s">
        <v>0</v>
      </c>
      <c r="D21" s="50" t="s">
        <v>1</v>
      </c>
      <c r="E21" s="45" t="s">
        <v>2</v>
      </c>
      <c r="F21" s="45"/>
      <c r="G21" s="44" t="s">
        <v>3</v>
      </c>
      <c r="H21" s="44"/>
      <c r="I21" s="33" t="s">
        <v>4</v>
      </c>
      <c r="J21" s="34"/>
      <c r="K21" s="33" t="s">
        <v>5</v>
      </c>
      <c r="L21" s="34"/>
      <c r="M21" s="35" t="s">
        <v>6</v>
      </c>
      <c r="N21" s="36"/>
      <c r="O21" s="37"/>
      <c r="P21" s="14" t="s">
        <v>24</v>
      </c>
      <c r="Q21" s="3" t="s">
        <v>25</v>
      </c>
      <c r="R21" s="46" t="s">
        <v>24</v>
      </c>
      <c r="S21" s="46" t="s">
        <v>26</v>
      </c>
      <c r="T21" s="48" t="s">
        <v>27</v>
      </c>
      <c r="U21" s="48" t="s">
        <v>27</v>
      </c>
    </row>
    <row r="22" spans="3:22" ht="30.75" thickBot="1" x14ac:dyDescent="0.3">
      <c r="C22" s="40"/>
      <c r="D22" s="41"/>
      <c r="E22" s="4" t="s">
        <v>7</v>
      </c>
      <c r="F22" s="5" t="s">
        <v>8</v>
      </c>
      <c r="G22" s="15" t="s">
        <v>9</v>
      </c>
      <c r="H22" s="16" t="s">
        <v>10</v>
      </c>
      <c r="I22" s="17" t="s">
        <v>9</v>
      </c>
      <c r="J22" s="17" t="s">
        <v>11</v>
      </c>
      <c r="K22" s="17" t="s">
        <v>9</v>
      </c>
      <c r="L22" s="17" t="s">
        <v>11</v>
      </c>
      <c r="M22" s="3" t="s">
        <v>12</v>
      </c>
      <c r="N22" s="3" t="s">
        <v>13</v>
      </c>
      <c r="O22" s="3" t="s">
        <v>14</v>
      </c>
      <c r="P22" s="3" t="s">
        <v>33</v>
      </c>
      <c r="Q22" s="3" t="s">
        <v>29</v>
      </c>
      <c r="R22" s="46"/>
      <c r="S22" s="46"/>
      <c r="T22" s="43"/>
      <c r="U22" s="43"/>
    </row>
    <row r="23" spans="3:22" x14ac:dyDescent="0.25">
      <c r="C23" s="1" t="s">
        <v>15</v>
      </c>
      <c r="D23" s="7" t="s">
        <v>16</v>
      </c>
      <c r="E23" s="8">
        <v>70</v>
      </c>
      <c r="F23" s="9">
        <v>40</v>
      </c>
      <c r="G23" s="9">
        <f>H23*F23</f>
        <v>2600</v>
      </c>
      <c r="H23" s="9">
        <v>65</v>
      </c>
      <c r="I23" s="10">
        <f>J23*F23</f>
        <v>2560.17</v>
      </c>
      <c r="J23" s="10">
        <f>L23*1.22</f>
        <v>64.004249999999999</v>
      </c>
      <c r="K23" s="11">
        <v>2098.5</v>
      </c>
      <c r="L23" s="11">
        <f>K23/F23</f>
        <v>52.462499999999999</v>
      </c>
      <c r="M23" s="12">
        <f>M3</f>
        <v>0.08</v>
      </c>
      <c r="N23" s="13"/>
      <c r="O23" s="12">
        <f>M23+N23</f>
        <v>0.08</v>
      </c>
      <c r="P23" s="18">
        <f>(L23-(L23*O23))*1.18</f>
        <v>56.953289999999996</v>
      </c>
      <c r="Q23" s="19">
        <v>2.5000000000000001E-2</v>
      </c>
      <c r="R23" s="18">
        <f>P23*Q23+P23</f>
        <v>58.377122249999992</v>
      </c>
      <c r="S23" s="18">
        <f>L23*18%</f>
        <v>9.443249999999999</v>
      </c>
      <c r="T23" s="20">
        <f>R23*20+S23</f>
        <v>1176.9856949999999</v>
      </c>
      <c r="U23" s="20">
        <f t="shared" ref="U23:U25" si="24">T23*2</f>
        <v>2353.9713899999997</v>
      </c>
      <c r="V23">
        <f>U23/42</f>
        <v>56.046937857142851</v>
      </c>
    </row>
    <row r="24" spans="3:22" x14ac:dyDescent="0.25">
      <c r="C24" s="1" t="s">
        <v>17</v>
      </c>
      <c r="D24" s="7" t="s">
        <v>18</v>
      </c>
      <c r="E24" s="8">
        <v>120</v>
      </c>
      <c r="F24" s="9">
        <v>40</v>
      </c>
      <c r="G24" s="9">
        <f t="shared" ref="G24:G25" si="25">H24*F24</f>
        <v>3600</v>
      </c>
      <c r="H24" s="9">
        <v>90</v>
      </c>
      <c r="I24" s="10">
        <f t="shared" ref="I24:I25" si="26">J24*F24</f>
        <v>3544.8320000000003</v>
      </c>
      <c r="J24" s="10">
        <f t="shared" ref="J24:J25" si="27">L24*1.22</f>
        <v>88.620800000000003</v>
      </c>
      <c r="K24" s="11">
        <v>2905.6</v>
      </c>
      <c r="L24" s="11">
        <f t="shared" ref="L24:L25" si="28">K24/F24</f>
        <v>72.64</v>
      </c>
      <c r="M24" s="12">
        <f>M4</f>
        <v>0.08</v>
      </c>
      <c r="N24" s="13"/>
      <c r="O24" s="12">
        <f t="shared" ref="O24:O25" si="29">M24+N24</f>
        <v>0.08</v>
      </c>
      <c r="P24" s="18">
        <f t="shared" ref="P24:P25" si="30">(L24-(L24*O24))*1.18</f>
        <v>78.857984000000002</v>
      </c>
      <c r="Q24" s="19">
        <v>2.5000000000000001E-2</v>
      </c>
      <c r="R24" s="18">
        <f t="shared" ref="R24:R25" si="31">P24*Q24+P24</f>
        <v>80.829433600000002</v>
      </c>
      <c r="S24" s="18">
        <f>L24*18%</f>
        <v>13.075199999999999</v>
      </c>
      <c r="T24" s="20">
        <f t="shared" ref="T24:T25" si="32">R24*20+S24</f>
        <v>1629.6638720000001</v>
      </c>
      <c r="U24" s="20">
        <f t="shared" si="24"/>
        <v>3259.3277440000002</v>
      </c>
      <c r="V24">
        <f>U24/42</f>
        <v>77.603041523809523</v>
      </c>
    </row>
    <row r="25" spans="3:22" x14ac:dyDescent="0.25">
      <c r="C25" s="1" t="s">
        <v>19</v>
      </c>
      <c r="D25" s="7" t="s">
        <v>20</v>
      </c>
      <c r="E25" s="8">
        <v>60</v>
      </c>
      <c r="F25" s="9">
        <v>40</v>
      </c>
      <c r="G25" s="9">
        <f t="shared" si="25"/>
        <v>2000</v>
      </c>
      <c r="H25" s="10">
        <v>50</v>
      </c>
      <c r="I25" s="10">
        <f t="shared" si="26"/>
        <v>1914.4240000000002</v>
      </c>
      <c r="J25" s="10">
        <f t="shared" si="27"/>
        <v>47.860600000000005</v>
      </c>
      <c r="K25" s="11">
        <v>1569.2</v>
      </c>
      <c r="L25" s="11">
        <f t="shared" si="28"/>
        <v>39.230000000000004</v>
      </c>
      <c r="M25" s="12">
        <f>M5</f>
        <v>0.05</v>
      </c>
      <c r="N25" s="13">
        <f>N5</f>
        <v>3.5000000000000003E-2</v>
      </c>
      <c r="O25" s="21">
        <f t="shared" si="29"/>
        <v>8.5000000000000006E-2</v>
      </c>
      <c r="P25" s="18">
        <f t="shared" si="30"/>
        <v>42.356631</v>
      </c>
      <c r="Q25" s="19">
        <v>2.5000000000000001E-2</v>
      </c>
      <c r="R25" s="18">
        <f t="shared" si="31"/>
        <v>43.415546775000003</v>
      </c>
      <c r="S25" s="18"/>
      <c r="T25" s="20">
        <f t="shared" si="32"/>
        <v>868.31093550000003</v>
      </c>
      <c r="U25" s="20">
        <f t="shared" si="24"/>
        <v>1736.6218710000001</v>
      </c>
      <c r="V25">
        <f>U25/40</f>
        <v>43.415546775000003</v>
      </c>
    </row>
    <row r="26" spans="3:22" x14ac:dyDescent="0.25">
      <c r="C26" s="22"/>
      <c r="D26" s="23"/>
      <c r="E26" s="24"/>
      <c r="F26" s="25"/>
      <c r="G26" s="25"/>
      <c r="H26" s="26"/>
      <c r="I26" s="26"/>
      <c r="J26" s="26"/>
      <c r="K26" s="27"/>
      <c r="L26" s="27"/>
      <c r="M26" s="28"/>
      <c r="N26" s="28"/>
      <c r="O26" s="28"/>
      <c r="P26" s="29"/>
      <c r="Q26" s="30"/>
      <c r="R26" s="29"/>
    </row>
    <row r="27" spans="3:22" ht="15.75" thickBot="1" x14ac:dyDescent="0.3">
      <c r="C27" s="38" t="s">
        <v>32</v>
      </c>
      <c r="D27" s="38"/>
      <c r="E27" s="38"/>
      <c r="F27" s="38"/>
      <c r="G27" s="38"/>
      <c r="T27" s="31" t="s">
        <v>22</v>
      </c>
      <c r="U27" s="31" t="s">
        <v>23</v>
      </c>
    </row>
    <row r="28" spans="3:22" x14ac:dyDescent="0.25">
      <c r="C28" s="49" t="s">
        <v>0</v>
      </c>
      <c r="D28" s="50" t="s">
        <v>1</v>
      </c>
      <c r="E28" s="45" t="s">
        <v>2</v>
      </c>
      <c r="F28" s="45"/>
      <c r="G28" s="44" t="s">
        <v>3</v>
      </c>
      <c r="H28" s="44"/>
      <c r="I28" s="33" t="s">
        <v>4</v>
      </c>
      <c r="J28" s="34"/>
      <c r="K28" s="33" t="s">
        <v>5</v>
      </c>
      <c r="L28" s="34"/>
      <c r="M28" s="35" t="s">
        <v>6</v>
      </c>
      <c r="N28" s="36"/>
      <c r="O28" s="37"/>
      <c r="P28" s="14" t="s">
        <v>24</v>
      </c>
      <c r="Q28" s="3" t="s">
        <v>25</v>
      </c>
      <c r="R28" s="46" t="s">
        <v>24</v>
      </c>
      <c r="S28" s="46" t="s">
        <v>26</v>
      </c>
      <c r="T28" s="48" t="s">
        <v>27</v>
      </c>
      <c r="U28" s="48" t="s">
        <v>27</v>
      </c>
    </row>
    <row r="29" spans="3:22" ht="30.75" thickBot="1" x14ac:dyDescent="0.3">
      <c r="C29" s="40"/>
      <c r="D29" s="41"/>
      <c r="E29" s="4" t="s">
        <v>7</v>
      </c>
      <c r="F29" s="5" t="s">
        <v>8</v>
      </c>
      <c r="G29" s="15" t="s">
        <v>9</v>
      </c>
      <c r="H29" s="16" t="s">
        <v>10</v>
      </c>
      <c r="I29" s="17" t="s">
        <v>9</v>
      </c>
      <c r="J29" s="17" t="s">
        <v>11</v>
      </c>
      <c r="K29" s="17" t="s">
        <v>9</v>
      </c>
      <c r="L29" s="17" t="s">
        <v>11</v>
      </c>
      <c r="M29" s="3" t="s">
        <v>12</v>
      </c>
      <c r="N29" s="3" t="s">
        <v>13</v>
      </c>
      <c r="O29" s="3" t="s">
        <v>14</v>
      </c>
      <c r="P29" s="3" t="s">
        <v>33</v>
      </c>
      <c r="Q29" s="3" t="s">
        <v>29</v>
      </c>
      <c r="R29" s="46"/>
      <c r="S29" s="46"/>
      <c r="T29" s="43"/>
      <c r="U29" s="43"/>
    </row>
    <row r="30" spans="3:22" x14ac:dyDescent="0.25">
      <c r="C30" s="1" t="s">
        <v>15</v>
      </c>
      <c r="D30" s="7" t="s">
        <v>16</v>
      </c>
      <c r="E30" s="8">
        <v>70</v>
      </c>
      <c r="F30" s="9">
        <v>40</v>
      </c>
      <c r="G30" s="9">
        <f>H30*F30</f>
        <v>2600</v>
      </c>
      <c r="H30" s="9">
        <v>65</v>
      </c>
      <c r="I30" s="10">
        <f>J30*F30</f>
        <v>2560.17</v>
      </c>
      <c r="J30" s="10">
        <f>L30*1.22</f>
        <v>64.004249999999999</v>
      </c>
      <c r="K30" s="11">
        <v>2098.5</v>
      </c>
      <c r="L30" s="11">
        <f>K30/F30</f>
        <v>52.462499999999999</v>
      </c>
      <c r="M30" s="12">
        <f>M3</f>
        <v>0.08</v>
      </c>
      <c r="N30" s="13"/>
      <c r="O30" s="12">
        <f>M30+N30</f>
        <v>0.08</v>
      </c>
      <c r="P30" s="18">
        <f>(L30-(L30*O30))*1.18</f>
        <v>56.953289999999996</v>
      </c>
      <c r="Q30" s="19">
        <v>5.0000000000000001E-3</v>
      </c>
      <c r="R30" s="18">
        <f>P30*Q30+P30</f>
        <v>57.238056449999995</v>
      </c>
      <c r="S30" s="18">
        <f>L30*18%</f>
        <v>9.443249999999999</v>
      </c>
      <c r="T30" s="20">
        <f>R30*20+S30</f>
        <v>1154.204379</v>
      </c>
      <c r="U30" s="20">
        <f t="shared" ref="U30:U32" si="33">T30*2</f>
        <v>2308.408758</v>
      </c>
      <c r="V30">
        <f>U30/42</f>
        <v>54.962113285714288</v>
      </c>
    </row>
    <row r="31" spans="3:22" x14ac:dyDescent="0.25">
      <c r="C31" s="1" t="s">
        <v>17</v>
      </c>
      <c r="D31" s="7" t="s">
        <v>18</v>
      </c>
      <c r="E31" s="8">
        <v>120</v>
      </c>
      <c r="F31" s="9">
        <v>40</v>
      </c>
      <c r="G31" s="9">
        <f t="shared" ref="G31:G32" si="34">H31*F31</f>
        <v>3600</v>
      </c>
      <c r="H31" s="9">
        <v>90</v>
      </c>
      <c r="I31" s="10">
        <f t="shared" ref="I31:I32" si="35">J31*F31</f>
        <v>3544.8320000000003</v>
      </c>
      <c r="J31" s="10">
        <f t="shared" ref="J31:J32" si="36">L31*1.22</f>
        <v>88.620800000000003</v>
      </c>
      <c r="K31" s="11">
        <v>2905.6</v>
      </c>
      <c r="L31" s="11">
        <f t="shared" ref="L31:L32" si="37">K31/F31</f>
        <v>72.64</v>
      </c>
      <c r="M31" s="12">
        <f>M4</f>
        <v>0.08</v>
      </c>
      <c r="N31" s="13"/>
      <c r="O31" s="12">
        <f t="shared" ref="O31:O32" si="38">M31+N31</f>
        <v>0.08</v>
      </c>
      <c r="P31" s="18">
        <f t="shared" ref="P31:P32" si="39">(L31-(L31*O31))*1.18</f>
        <v>78.857984000000002</v>
      </c>
      <c r="Q31" s="19">
        <v>5.0000000000000001E-3</v>
      </c>
      <c r="R31" s="18">
        <f t="shared" ref="R31:R32" si="40">P31*Q31+P31</f>
        <v>79.252273920000007</v>
      </c>
      <c r="S31" s="18">
        <f>L31*18%</f>
        <v>13.075199999999999</v>
      </c>
      <c r="T31" s="20">
        <f t="shared" ref="T31:T32" si="41">R31*20+S31</f>
        <v>1598.1206784000001</v>
      </c>
      <c r="U31" s="20">
        <f t="shared" si="33"/>
        <v>3196.2413568000002</v>
      </c>
      <c r="V31">
        <f>U31/42</f>
        <v>76.100984685714295</v>
      </c>
    </row>
    <row r="32" spans="3:22" x14ac:dyDescent="0.25">
      <c r="C32" s="1" t="s">
        <v>19</v>
      </c>
      <c r="D32" s="7" t="s">
        <v>20</v>
      </c>
      <c r="E32" s="8">
        <v>60</v>
      </c>
      <c r="F32" s="9">
        <v>40</v>
      </c>
      <c r="G32" s="9">
        <f t="shared" si="34"/>
        <v>2000</v>
      </c>
      <c r="H32" s="10">
        <v>50</v>
      </c>
      <c r="I32" s="10">
        <f t="shared" si="35"/>
        <v>1914.4240000000002</v>
      </c>
      <c r="J32" s="10">
        <f t="shared" si="36"/>
        <v>47.860600000000005</v>
      </c>
      <c r="K32" s="11">
        <v>1569.2</v>
      </c>
      <c r="L32" s="11">
        <f t="shared" si="37"/>
        <v>39.230000000000004</v>
      </c>
      <c r="M32" s="12">
        <f>M5</f>
        <v>0.05</v>
      </c>
      <c r="N32" s="13">
        <f>N5</f>
        <v>3.5000000000000003E-2</v>
      </c>
      <c r="O32" s="21">
        <f t="shared" si="38"/>
        <v>8.5000000000000006E-2</v>
      </c>
      <c r="P32" s="18">
        <f t="shared" si="39"/>
        <v>42.356631</v>
      </c>
      <c r="Q32" s="19">
        <v>5.0000000000000001E-3</v>
      </c>
      <c r="R32" s="18">
        <f t="shared" si="40"/>
        <v>42.568414154999999</v>
      </c>
      <c r="S32" s="18"/>
      <c r="T32" s="20">
        <f t="shared" si="41"/>
        <v>851.36828309999999</v>
      </c>
      <c r="U32" s="20">
        <f t="shared" si="33"/>
        <v>1702.7365662</v>
      </c>
      <c r="V32">
        <f>U32/40</f>
        <v>42.568414154999999</v>
      </c>
    </row>
  </sheetData>
  <mergeCells count="55">
    <mergeCell ref="U28:U29"/>
    <mergeCell ref="C27:G27"/>
    <mergeCell ref="C28:C29"/>
    <mergeCell ref="D28:D29"/>
    <mergeCell ref="E28:F28"/>
    <mergeCell ref="G28:H28"/>
    <mergeCell ref="I28:J28"/>
    <mergeCell ref="K28:L28"/>
    <mergeCell ref="M28:O28"/>
    <mergeCell ref="R28:R29"/>
    <mergeCell ref="S28:S29"/>
    <mergeCell ref="T28:T29"/>
    <mergeCell ref="U21:U22"/>
    <mergeCell ref="C20:G20"/>
    <mergeCell ref="C21:C22"/>
    <mergeCell ref="D21:D22"/>
    <mergeCell ref="E21:F21"/>
    <mergeCell ref="G21:H21"/>
    <mergeCell ref="I21:J21"/>
    <mergeCell ref="K21:L21"/>
    <mergeCell ref="M21:O21"/>
    <mergeCell ref="R21:R22"/>
    <mergeCell ref="S21:S22"/>
    <mergeCell ref="T21:T22"/>
    <mergeCell ref="K14:L14"/>
    <mergeCell ref="M14:O14"/>
    <mergeCell ref="R14:R15"/>
    <mergeCell ref="S14:S15"/>
    <mergeCell ref="T14:T15"/>
    <mergeCell ref="U14:U15"/>
    <mergeCell ref="R7:R8"/>
    <mergeCell ref="S7:S8"/>
    <mergeCell ref="T7:T8"/>
    <mergeCell ref="U7:U8"/>
    <mergeCell ref="C13:G13"/>
    <mergeCell ref="C14:C15"/>
    <mergeCell ref="D14:D15"/>
    <mergeCell ref="E14:F14"/>
    <mergeCell ref="G14:H14"/>
    <mergeCell ref="I14:J14"/>
    <mergeCell ref="M1:O1"/>
    <mergeCell ref="C6:G6"/>
    <mergeCell ref="C7:C8"/>
    <mergeCell ref="D7:D8"/>
    <mergeCell ref="E7:F7"/>
    <mergeCell ref="G7:H7"/>
    <mergeCell ref="I7:J7"/>
    <mergeCell ref="K7:L7"/>
    <mergeCell ref="M7:O7"/>
    <mergeCell ref="C1:C2"/>
    <mergeCell ref="D1:D2"/>
    <mergeCell ref="E1:F1"/>
    <mergeCell ref="G1:H1"/>
    <mergeCell ref="I1:J1"/>
    <mergeCell ref="K1:L1"/>
  </mergeCells>
  <conditionalFormatting sqref="C1 C3:C5">
    <cfRule type="cellIs" dxfId="10" priority="1" stopIfTrue="1" operator="lessThan">
      <formula>1</formula>
    </cfRule>
  </conditionalFormatting>
  <conditionalFormatting sqref="C3:C5">
    <cfRule type="duplicateValues" dxfId="9" priority="2"/>
  </conditionalFormatting>
  <conditionalFormatting sqref="C7 C9:C12 C16:C18 C23:C26">
    <cfRule type="cellIs" dxfId="8" priority="8" stopIfTrue="1" operator="lessThan">
      <formula>1</formula>
    </cfRule>
  </conditionalFormatting>
  <conditionalFormatting sqref="C9:C12">
    <cfRule type="duplicateValues" dxfId="7" priority="10"/>
  </conditionalFormatting>
  <conditionalFormatting sqref="C14">
    <cfRule type="cellIs" dxfId="6" priority="7" stopIfTrue="1" operator="lessThan">
      <formula>1</formula>
    </cfRule>
  </conditionalFormatting>
  <conditionalFormatting sqref="C16:C18">
    <cfRule type="duplicateValues" dxfId="5" priority="11"/>
  </conditionalFormatting>
  <conditionalFormatting sqref="C21">
    <cfRule type="cellIs" dxfId="4" priority="6" stopIfTrue="1" operator="lessThan">
      <formula>1</formula>
    </cfRule>
  </conditionalFormatting>
  <conditionalFormatting sqref="C23:C26">
    <cfRule type="duplicateValues" dxfId="3" priority="9"/>
  </conditionalFormatting>
  <conditionalFormatting sqref="C28">
    <cfRule type="cellIs" dxfId="2" priority="5" stopIfTrue="1" operator="lessThan">
      <formula>1</formula>
    </cfRule>
  </conditionalFormatting>
  <conditionalFormatting sqref="C30:C32">
    <cfRule type="cellIs" dxfId="1" priority="3" stopIfTrue="1" operator="lessThan">
      <formula>1</formula>
    </cfRule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HP</cp:lastModifiedBy>
  <dcterms:created xsi:type="dcterms:W3CDTF">2015-06-05T18:17:20Z</dcterms:created>
  <dcterms:modified xsi:type="dcterms:W3CDTF">2026-05-22T05:08:42Z</dcterms:modified>
</cp:coreProperties>
</file>