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xr:revisionPtr revIDLastSave="0" documentId="13_ncr:1_{86E20E08-A2CD-4F1B-9DD2-74915DF064B6}" xr6:coauthVersionLast="47" xr6:coauthVersionMax="47" xr10:uidLastSave="{00000000-0000-0000-0000-000000000000}"/>
  <bookViews>
    <workbookView xWindow="-110" yWindow="-110" windowWidth="19420" windowHeight="10420" xr2:uid="{ACB43BBC-D00E-493E-844F-870E318E9AAC}"/>
  </bookViews>
  <sheets>
    <sheet name="Elite Marketing" sheetId="7" r:id="rId1"/>
    <sheet name="Waseem Brother" sheetId="5" r:id="rId2"/>
    <sheet name="Dolphin Trader" sheetId="6" r:id="rId3"/>
    <sheet name="Employee Details 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2" i="7" l="1"/>
  <c r="AQ12" i="7"/>
  <c r="AP12" i="7"/>
  <c r="AO12" i="7"/>
  <c r="AN12" i="7"/>
  <c r="AN5" i="7"/>
  <c r="AO5" i="7"/>
  <c r="AP5" i="7"/>
  <c r="AQ5" i="7"/>
  <c r="AR5" i="7"/>
  <c r="AN6" i="7"/>
  <c r="AO6" i="7"/>
  <c r="AP6" i="7"/>
  <c r="AQ6" i="7"/>
  <c r="AR6" i="7"/>
  <c r="AN7" i="7"/>
  <c r="AO7" i="7"/>
  <c r="AP7" i="7"/>
  <c r="AQ7" i="7"/>
  <c r="AR7" i="7"/>
  <c r="AN8" i="7"/>
  <c r="AO8" i="7"/>
  <c r="AP8" i="7"/>
  <c r="AQ8" i="7"/>
  <c r="AR8" i="7"/>
  <c r="AN9" i="7"/>
  <c r="AO9" i="7"/>
  <c r="AP9" i="7"/>
  <c r="AQ9" i="7"/>
  <c r="AR9" i="7"/>
  <c r="AN10" i="7"/>
  <c r="AO10" i="7"/>
  <c r="AP10" i="7"/>
  <c r="AQ10" i="7"/>
  <c r="AR10" i="7"/>
  <c r="AS8" i="6"/>
  <c r="AR8" i="6"/>
  <c r="AQ8" i="6"/>
  <c r="AP8" i="6"/>
  <c r="AO8" i="6"/>
  <c r="AR9" i="5"/>
  <c r="AQ9" i="5"/>
  <c r="AP9" i="5"/>
  <c r="AO9" i="5"/>
  <c r="AN9" i="5"/>
  <c r="AR8" i="5"/>
  <c r="AQ8" i="5"/>
  <c r="AP8" i="5"/>
  <c r="AO8" i="5"/>
  <c r="AN8" i="5"/>
  <c r="AR7" i="5"/>
  <c r="AQ7" i="5"/>
  <c r="AP7" i="5"/>
  <c r="AO7" i="5"/>
  <c r="AN7" i="5"/>
  <c r="AR6" i="5"/>
  <c r="AQ6" i="5"/>
  <c r="AP6" i="5"/>
  <c r="AO6" i="5"/>
  <c r="AN6" i="5"/>
  <c r="AR5" i="5"/>
  <c r="AQ5" i="5"/>
  <c r="AP5" i="5"/>
  <c r="AO5" i="5"/>
  <c r="AN5" i="5"/>
  <c r="AR4" i="5"/>
  <c r="AQ4" i="5"/>
  <c r="AP4" i="5"/>
  <c r="AO4" i="5"/>
  <c r="AN4" i="5"/>
  <c r="AS12" i="7" l="1"/>
  <c r="AT12" i="7"/>
  <c r="AS10" i="7"/>
  <c r="AS8" i="7"/>
  <c r="AS6" i="7"/>
  <c r="AS9" i="7"/>
  <c r="AS7" i="7"/>
  <c r="AS5" i="7"/>
  <c r="AT8" i="6"/>
  <c r="AU8" i="6"/>
  <c r="AS9" i="5"/>
  <c r="AS5" i="5"/>
  <c r="AT5" i="5"/>
  <c r="AT9" i="5"/>
  <c r="AT4" i="5"/>
  <c r="AS6" i="5"/>
  <c r="AT6" i="5"/>
  <c r="AT8" i="5"/>
  <c r="AT7" i="5"/>
  <c r="AS4" i="5"/>
  <c r="AS7" i="5"/>
  <c r="AS8" i="5"/>
  <c r="AS7" i="6"/>
  <c r="AR7" i="6"/>
  <c r="AQ7" i="6"/>
  <c r="AP7" i="6"/>
  <c r="AO7" i="6"/>
  <c r="AS6" i="6"/>
  <c r="AR6" i="6"/>
  <c r="AQ6" i="6"/>
  <c r="AP6" i="6"/>
  <c r="AO6" i="6"/>
  <c r="AS5" i="6"/>
  <c r="AR5" i="6"/>
  <c r="AQ5" i="6"/>
  <c r="AP5" i="6"/>
  <c r="AO5" i="6"/>
  <c r="AS4" i="6"/>
  <c r="AR4" i="6"/>
  <c r="AQ4" i="6"/>
  <c r="AP4" i="6"/>
  <c r="AO4" i="6"/>
  <c r="AT5" i="6" l="1"/>
  <c r="AT7" i="6"/>
  <c r="AT4" i="6"/>
  <c r="AU6" i="6"/>
  <c r="AU7" i="6"/>
  <c r="AT6" i="6"/>
  <c r="AU5" i="6"/>
  <c r="AU4" i="6"/>
  <c r="AR13" i="7" l="1"/>
  <c r="AR11" i="7"/>
  <c r="AT9" i="7" l="1"/>
  <c r="AT8" i="7"/>
  <c r="AT10" i="7"/>
  <c r="AQ13" i="7" l="1"/>
  <c r="AP13" i="7"/>
  <c r="AO13" i="7"/>
  <c r="AN13" i="7"/>
  <c r="AQ11" i="7"/>
  <c r="AP11" i="7"/>
  <c r="AO11" i="7"/>
  <c r="AN11" i="7"/>
  <c r="AT11" i="7" l="1"/>
  <c r="AT5" i="7"/>
  <c r="AT7" i="7"/>
  <c r="AT6" i="7"/>
  <c r="AS11" i="7"/>
  <c r="AS13" i="7"/>
  <c r="AT13" i="7"/>
</calcChain>
</file>

<file path=xl/sharedStrings.xml><?xml version="1.0" encoding="utf-8"?>
<sst xmlns="http://schemas.openxmlformats.org/spreadsheetml/2006/main" count="1059" uniqueCount="242">
  <si>
    <t>Sr.</t>
  </si>
  <si>
    <t>PA. No.</t>
  </si>
  <si>
    <t>Name</t>
  </si>
  <si>
    <t>Contact #</t>
  </si>
  <si>
    <t xml:space="preserve">WORKING AT </t>
  </si>
  <si>
    <t>location</t>
  </si>
  <si>
    <t>Job Title</t>
  </si>
  <si>
    <t>Joining Date</t>
  </si>
  <si>
    <t>REST - R</t>
  </si>
  <si>
    <t>GAZZETED HOLIDAY - GH</t>
  </si>
  <si>
    <t>ABSENT - A</t>
  </si>
  <si>
    <t xml:space="preserve">PRESENT- P </t>
  </si>
  <si>
    <t>LEAVE - L</t>
  </si>
  <si>
    <t>TOTAL DAYS</t>
  </si>
  <si>
    <t>SALARY DAYS</t>
  </si>
  <si>
    <t>P</t>
  </si>
  <si>
    <t>R</t>
  </si>
  <si>
    <t>A</t>
  </si>
  <si>
    <t>L</t>
  </si>
  <si>
    <t>LAHORE</t>
  </si>
  <si>
    <t>GT Order Bookers</t>
  </si>
  <si>
    <t>GAZZETED HOLIDAY</t>
  </si>
  <si>
    <t>GH</t>
  </si>
  <si>
    <t>ABSENT</t>
  </si>
  <si>
    <t>PRESENT</t>
  </si>
  <si>
    <t>REST</t>
  </si>
  <si>
    <t>LEAVE</t>
  </si>
  <si>
    <t>Address</t>
  </si>
  <si>
    <t>CNIC</t>
  </si>
  <si>
    <t>Contact</t>
  </si>
  <si>
    <t xml:space="preserve">Bank Name </t>
  </si>
  <si>
    <t>Bank Account Number</t>
  </si>
  <si>
    <t>Zeeshan Meharban</t>
  </si>
  <si>
    <t>Asif ali Khan</t>
  </si>
  <si>
    <t>Qasim</t>
  </si>
  <si>
    <t>Hafiz Khurram</t>
  </si>
  <si>
    <t>PK79MEZN0002250102689628</t>
  </si>
  <si>
    <t>0308-4041420</t>
  </si>
  <si>
    <t>35201-1498842-3</t>
  </si>
  <si>
    <t xml:space="preserve">Meezan </t>
  </si>
  <si>
    <t>0326-4598550</t>
  </si>
  <si>
    <t>Official No.</t>
  </si>
  <si>
    <t>0320-9558168</t>
  </si>
  <si>
    <t>0326-4598544</t>
  </si>
  <si>
    <t>PK25MEZN0000300112338948</t>
  </si>
  <si>
    <t>61101-7719562-9</t>
  </si>
  <si>
    <t>Employees Details</t>
  </si>
  <si>
    <t>PK14MEZN0000300112345063</t>
  </si>
  <si>
    <t>0322-4350769</t>
  </si>
  <si>
    <t>35201-2615484-1</t>
  </si>
  <si>
    <t>Meezan</t>
  </si>
  <si>
    <t>0322-4916143</t>
  </si>
  <si>
    <t>0326-4598543</t>
  </si>
  <si>
    <t>NAME</t>
  </si>
  <si>
    <t>Designation</t>
  </si>
  <si>
    <t>Bilal Khalid</t>
  </si>
  <si>
    <t>TSO</t>
  </si>
  <si>
    <t>Oder Booker</t>
  </si>
  <si>
    <t>F-98, P&amp;T colony, Multan Road, Lahore.</t>
  </si>
  <si>
    <t>H-E223, St-5, Bedian Road, Lahore.</t>
  </si>
  <si>
    <t>H-843, St-8, Makkah colony, Gulberg-3,Lahore.</t>
  </si>
  <si>
    <t>H-2, St-3, Ghani Block, Qalander pura,harbanspura, LHR.</t>
  </si>
  <si>
    <t>35202-4552298-9</t>
  </si>
  <si>
    <t>0307-4567747</t>
  </si>
  <si>
    <t>PK20MEZN0002450112310461</t>
  </si>
  <si>
    <t>0236-4598553</t>
  </si>
  <si>
    <t>Imran Butt</t>
  </si>
  <si>
    <t xml:space="preserve">Flat-8, Haleem Plaza 67, Lytton Road,lahore </t>
  </si>
  <si>
    <t>35202-1680213-9</t>
  </si>
  <si>
    <t>0327-5454542</t>
  </si>
  <si>
    <t>Salman Aslam</t>
  </si>
  <si>
    <t>Bedian Road, Gohawa,lahore</t>
  </si>
  <si>
    <t>35201-7435827-3</t>
  </si>
  <si>
    <t>0302-9220363</t>
  </si>
  <si>
    <t>PK25MEZN0000300112582382</t>
  </si>
  <si>
    <t>PK66MEZN0002450112596171</t>
  </si>
  <si>
    <t xml:space="preserve"> </t>
  </si>
  <si>
    <t>35201-5776759-5</t>
  </si>
  <si>
    <t>H-11, LDA mohala, Mulsim Pura Kotli,cantt Lahore</t>
  </si>
  <si>
    <t>0326-4598545</t>
  </si>
  <si>
    <t>PK79MEZN0000300111519102</t>
  </si>
  <si>
    <t>Aqib Ali</t>
  </si>
  <si>
    <t>0322-4985565</t>
  </si>
  <si>
    <t>PK91MEZN0000300112729349</t>
  </si>
  <si>
    <t>35202-5833601-5</t>
  </si>
  <si>
    <t>H-35,17/18, fazal street, iqbal road, garhi shahu, lahore</t>
  </si>
  <si>
    <t xml:space="preserve">  </t>
  </si>
  <si>
    <t xml:space="preserve">Tariq Mirza </t>
  </si>
  <si>
    <t xml:space="preserve">Hafiz Usman </t>
  </si>
  <si>
    <t xml:space="preserve">Abdul Qadir </t>
  </si>
  <si>
    <t xml:space="preserve">Dolphin Trader </t>
  </si>
  <si>
    <t xml:space="preserve">Zafar Ali </t>
  </si>
  <si>
    <t xml:space="preserve">Shahzad Nayyar </t>
  </si>
  <si>
    <t>BTL 027</t>
  </si>
  <si>
    <t>BTL 020</t>
  </si>
  <si>
    <t>BTL 024</t>
  </si>
  <si>
    <t>BTL 029</t>
  </si>
  <si>
    <t>0321-0002832</t>
  </si>
  <si>
    <t>0323-4106246</t>
  </si>
  <si>
    <t>0304-0601512</t>
  </si>
  <si>
    <t>BTL 023</t>
  </si>
  <si>
    <t>0309-8188730</t>
  </si>
  <si>
    <t>0319-4231226</t>
  </si>
  <si>
    <t>0322-4971514</t>
  </si>
  <si>
    <t>0309-4833884</t>
  </si>
  <si>
    <t>0308-4278365</t>
  </si>
  <si>
    <t>0311-6323494</t>
  </si>
  <si>
    <t>BTL 025</t>
  </si>
  <si>
    <t xml:space="preserve">Bahadur </t>
  </si>
  <si>
    <t>0306-2079306</t>
  </si>
  <si>
    <t xml:space="preserve">OB Code </t>
  </si>
  <si>
    <t xml:space="preserve">Distribution </t>
  </si>
  <si>
    <t xml:space="preserve">Joining Date </t>
  </si>
  <si>
    <t xml:space="preserve">Status </t>
  </si>
  <si>
    <t xml:space="preserve">Bank Details </t>
  </si>
  <si>
    <t>35201-1216348-5</t>
  </si>
  <si>
    <t xml:space="preserve">Active </t>
  </si>
  <si>
    <t>35202-1323095-9</t>
  </si>
  <si>
    <t xml:space="preserve">Baig Ent </t>
  </si>
  <si>
    <t>35202-1136100-7</t>
  </si>
  <si>
    <t xml:space="preserve">Muhammad Danish </t>
  </si>
  <si>
    <t>34102-9625172-9</t>
  </si>
  <si>
    <t xml:space="preserve">Waseem Brother </t>
  </si>
  <si>
    <t>35202-2548721-1</t>
  </si>
  <si>
    <t>42101-8581730-7</t>
  </si>
  <si>
    <t>BTL 026</t>
  </si>
  <si>
    <t xml:space="preserve">M. Bilal </t>
  </si>
  <si>
    <t>35202-7933006-7</t>
  </si>
  <si>
    <t xml:space="preserve">Not Available </t>
  </si>
  <si>
    <t xml:space="preserve">Muhammad Adil </t>
  </si>
  <si>
    <t>35103-7834299-3</t>
  </si>
  <si>
    <t>BTL 022</t>
  </si>
  <si>
    <t xml:space="preserve">Danish Malik </t>
  </si>
  <si>
    <t xml:space="preserve">Order Booker </t>
  </si>
  <si>
    <t>35202-5139342-3</t>
  </si>
  <si>
    <t>36302-0365663-7</t>
  </si>
  <si>
    <t xml:space="preserve">Muhammad Awais </t>
  </si>
  <si>
    <t>Merchandiser LMT</t>
  </si>
  <si>
    <t>35202-2327847-3</t>
  </si>
  <si>
    <t>PK95MEZN0000300113784734</t>
  </si>
  <si>
    <t xml:space="preserve">Muhammad Aqib </t>
  </si>
  <si>
    <t>35202-1696555-1</t>
  </si>
  <si>
    <t>PK12MEZN0000300113811351</t>
  </si>
  <si>
    <t>Resign From (08-JAN-2026)</t>
  </si>
  <si>
    <t>Not Available from(06-JAN-2026)</t>
  </si>
  <si>
    <t xml:space="preserve">Usman Akbar </t>
  </si>
  <si>
    <t xml:space="preserve">Shahzad </t>
  </si>
  <si>
    <t>0326-4321336</t>
  </si>
  <si>
    <t>0301-9874321</t>
  </si>
  <si>
    <t>Resign From (10-FEB-2026)</t>
  </si>
  <si>
    <t>Resign From (09-FEB-2026)</t>
  </si>
  <si>
    <t xml:space="preserve">M . Shahzad </t>
  </si>
  <si>
    <t>Active</t>
  </si>
  <si>
    <t>BTL 030</t>
  </si>
  <si>
    <t>BTL 031</t>
  </si>
  <si>
    <t>BTL 032</t>
  </si>
  <si>
    <t xml:space="preserve">Salman Hanif </t>
  </si>
  <si>
    <t xml:space="preserve">Ghulam Ahmad </t>
  </si>
  <si>
    <t>Rana Maqbool</t>
  </si>
  <si>
    <t>35202-9364784-5</t>
  </si>
  <si>
    <t>0300-4845051</t>
  </si>
  <si>
    <t>0339-0393910</t>
  </si>
  <si>
    <t>0309-9645092</t>
  </si>
  <si>
    <t>35202-5295119-3</t>
  </si>
  <si>
    <t xml:space="preserve">Merchandiser </t>
  </si>
  <si>
    <t>35202-4261863-9</t>
  </si>
  <si>
    <t>35202-2665033-3</t>
  </si>
  <si>
    <t>BTL 034</t>
  </si>
  <si>
    <t xml:space="preserve">Ghulam Ahmed </t>
  </si>
  <si>
    <t>35202-1453529-3</t>
  </si>
  <si>
    <t>Resign From (25-Mar-2026)</t>
  </si>
  <si>
    <t>Waseem Brother</t>
  </si>
  <si>
    <t xml:space="preserve">Aqeel Malik </t>
  </si>
  <si>
    <t>Zahid Rafique</t>
  </si>
  <si>
    <t xml:space="preserve">Furqan Ali </t>
  </si>
  <si>
    <t xml:space="preserve">Umair Rehman </t>
  </si>
  <si>
    <t xml:space="preserve">Elite Marketing </t>
  </si>
  <si>
    <t xml:space="preserve">Shakoor Hussain </t>
  </si>
  <si>
    <t>LMT Oder Booker</t>
  </si>
  <si>
    <t>Salman Hanif</t>
  </si>
  <si>
    <t>GT Order Booker</t>
  </si>
  <si>
    <t>0320-4750065</t>
  </si>
  <si>
    <t>M.Awais</t>
  </si>
  <si>
    <t>DTL 006</t>
  </si>
  <si>
    <t>Muhmmad Saleh</t>
  </si>
  <si>
    <t>0312-6304431</t>
  </si>
  <si>
    <t>Muhammad Hassan</t>
  </si>
  <si>
    <t>0312-6643756</t>
  </si>
  <si>
    <t>Noman Younis</t>
  </si>
  <si>
    <t xml:space="preserve">Muhammad Saleh </t>
  </si>
  <si>
    <t xml:space="preserve">Muhammad Hassan </t>
  </si>
  <si>
    <t xml:space="preserve">Resign </t>
  </si>
  <si>
    <t xml:space="preserve">Noman Younus </t>
  </si>
  <si>
    <t xml:space="preserve">Zeeshan Meharban </t>
  </si>
  <si>
    <t xml:space="preserve">Malik Aqeel </t>
  </si>
  <si>
    <t xml:space="preserve">Mobeen Ahmad </t>
  </si>
  <si>
    <t>35202-2529565-7</t>
  </si>
  <si>
    <t>0322-6948402</t>
  </si>
  <si>
    <t>35202-2044149-5</t>
  </si>
  <si>
    <t>0326-0462344</t>
  </si>
  <si>
    <t>35202-2624223-1</t>
  </si>
  <si>
    <t>0315-8529336</t>
  </si>
  <si>
    <t>35202-3814007-7</t>
  </si>
  <si>
    <t>0336-4603809</t>
  </si>
  <si>
    <t>35102-9047052-7</t>
  </si>
  <si>
    <t>35202-6775084-9</t>
  </si>
  <si>
    <t>35202-8153090-1</t>
  </si>
  <si>
    <t>0320-6877237</t>
  </si>
  <si>
    <t xml:space="preserve">Resigned </t>
  </si>
  <si>
    <t xml:space="preserve">Qasim Khan </t>
  </si>
  <si>
    <t xml:space="preserve">Aqib Ali </t>
  </si>
  <si>
    <t>DTL 002</t>
  </si>
  <si>
    <t>DTL 001</t>
  </si>
  <si>
    <t>DTL 007</t>
  </si>
  <si>
    <t>DTL 004</t>
  </si>
  <si>
    <t>WTL 001</t>
  </si>
  <si>
    <t>EML 001</t>
  </si>
  <si>
    <t>EML 002</t>
  </si>
  <si>
    <t>EML 003</t>
  </si>
  <si>
    <t>EML 004</t>
  </si>
  <si>
    <t>EML 005</t>
  </si>
  <si>
    <t>EML 006</t>
  </si>
  <si>
    <t>EML 007</t>
  </si>
  <si>
    <t>EML 008</t>
  </si>
  <si>
    <t>0308-4167028</t>
  </si>
  <si>
    <t>EML-004</t>
  </si>
  <si>
    <t>EML-007</t>
  </si>
  <si>
    <t>EML-008</t>
  </si>
  <si>
    <t>EML-002</t>
  </si>
  <si>
    <t>EML-001</t>
  </si>
  <si>
    <t>WTL-001</t>
  </si>
  <si>
    <t>DTL-002</t>
  </si>
  <si>
    <t>Azeem Arshad</t>
  </si>
  <si>
    <t>DTL-004</t>
  </si>
  <si>
    <t>0320-4519734</t>
  </si>
  <si>
    <t xml:space="preserve">Jabar </t>
  </si>
  <si>
    <t xml:space="preserve">Yasir Ali </t>
  </si>
  <si>
    <t xml:space="preserve">Furqan </t>
  </si>
  <si>
    <t>p</t>
  </si>
  <si>
    <t>ATTENDANCE FOR THE MONTH OF JULY-26 to AUGUST -26</t>
  </si>
  <si>
    <t>ATTENDANCE FOR THE MONTH OF JULY-26 TO AUGUST-26</t>
  </si>
  <si>
    <t>ATTENDANCE FOR THE MONTH OF AUG-26 To SEPTEMBER-26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</si>
</sst>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;@"/>
    <numFmt numFmtId="165" formatCode="[$-2C09]dddd\,\ dd\ mmmm\ yyyy;@"/>
    <numFmt numFmtId="166" formatCode="[$-F800]dddd\,\ mmmm\ dd\,\ yyyy"/>
    <numFmt numFmtId="167" formatCode="[$-409]d\-mmm\-yy;@"/>
    <numFmt numFmtId="168" formatCode="[$-409]dd\-mmm\-yy;@"/>
  </numFmts>
  <fonts count="21" x14ac:knownFonts="1">
    <font>
      <sz val="11"/>
      <color theme="1"/>
      <name val="Calibri"/>
      <family val="2"/>
      <scheme val="minor"/>
    </font>
    <font>
      <b/>
      <u/>
      <sz val="20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240">
    <xf numFmtId="0" fontId="0" fillId="0" borderId="0" xfId="0"/>
    <xf numFmtId="0" fontId="9" fillId="2" borderId="6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wrapText="1"/>
    </xf>
    <xf numFmtId="166" fontId="11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textRotation="90"/>
    </xf>
    <xf numFmtId="0" fontId="9" fillId="0" borderId="0" xfId="0" applyFont="1" applyAlignment="1">
      <alignment horizontal="center" textRotation="90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0" fontId="12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" fontId="12" fillId="0" borderId="0" xfId="0" applyNumberFormat="1" applyFont="1" applyAlignment="1">
      <alignment horizontal="left" vertical="center"/>
    </xf>
    <xf numFmtId="1" fontId="12" fillId="0" borderId="0" xfId="0" applyNumberFormat="1" applyFont="1" applyAlignment="1">
      <alignment horizontal="left"/>
    </xf>
    <xf numFmtId="166" fontId="11" fillId="2" borderId="8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 vertical="center" textRotation="90"/>
    </xf>
    <xf numFmtId="164" fontId="3" fillId="2" borderId="4" xfId="0" applyNumberFormat="1" applyFont="1" applyFill="1" applyBorder="1" applyAlignment="1">
      <alignment horizontal="center" vertical="center" textRotation="90" wrapText="1"/>
    </xf>
    <xf numFmtId="0" fontId="5" fillId="2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" fontId="13" fillId="3" borderId="5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5" xfId="0" applyFont="1" applyFill="1" applyBorder="1"/>
    <xf numFmtId="0" fontId="7" fillId="2" borderId="18" xfId="0" applyFont="1" applyFill="1" applyBorder="1"/>
    <xf numFmtId="165" fontId="4" fillId="2" borderId="39" xfId="0" applyNumberFormat="1" applyFont="1" applyFill="1" applyBorder="1" applyAlignment="1">
      <alignment horizontal="center" vertical="center" textRotation="90" wrapText="1"/>
    </xf>
    <xf numFmtId="166" fontId="4" fillId="2" borderId="3" xfId="0" applyNumberFormat="1" applyFont="1" applyFill="1" applyBorder="1" applyAlignment="1">
      <alignment horizontal="center" vertical="center" textRotation="90" wrapText="1"/>
    </xf>
    <xf numFmtId="166" fontId="4" fillId="2" borderId="4" xfId="0" applyNumberFormat="1" applyFont="1" applyFill="1" applyBorder="1" applyAlignment="1">
      <alignment horizontal="center" vertical="center" textRotation="90" wrapText="1"/>
    </xf>
    <xf numFmtId="164" fontId="3" fillId="2" borderId="21" xfId="0" applyNumberFormat="1" applyFont="1" applyFill="1" applyBorder="1" applyAlignment="1">
      <alignment horizontal="center" vertical="center" textRotation="90"/>
    </xf>
    <xf numFmtId="0" fontId="7" fillId="2" borderId="22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15" fillId="0" borderId="43" xfId="0" applyFont="1" applyBorder="1" applyAlignment="1">
      <alignment horizontal="center" vertical="center"/>
    </xf>
    <xf numFmtId="0" fontId="15" fillId="2" borderId="4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left"/>
    </xf>
    <xf numFmtId="0" fontId="16" fillId="0" borderId="43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2" borderId="42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5" xfId="0" applyFont="1" applyBorder="1"/>
    <xf numFmtId="0" fontId="6" fillId="0" borderId="18" xfId="0" applyFont="1" applyBorder="1"/>
    <xf numFmtId="0" fontId="5" fillId="2" borderId="18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67" fontId="12" fillId="3" borderId="5" xfId="0" applyNumberFormat="1" applyFont="1" applyFill="1" applyBorder="1" applyAlignment="1">
      <alignment horizontal="center" vertical="center"/>
    </xf>
    <xf numFmtId="167" fontId="0" fillId="3" borderId="5" xfId="0" applyNumberFormat="1" applyFill="1" applyBorder="1" applyAlignment="1">
      <alignment horizontal="center" vertical="center"/>
    </xf>
    <xf numFmtId="14" fontId="12" fillId="3" borderId="32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5" fillId="2" borderId="0" xfId="0" applyFont="1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168" fontId="3" fillId="2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7" fillId="2" borderId="22" xfId="0" applyFont="1" applyFill="1" applyBorder="1"/>
    <xf numFmtId="0" fontId="5" fillId="2" borderId="5" xfId="0" applyFont="1" applyFill="1" applyBorder="1"/>
    <xf numFmtId="0" fontId="6" fillId="0" borderId="22" xfId="0" applyFont="1" applyBorder="1"/>
    <xf numFmtId="0" fontId="12" fillId="2" borderId="27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168" fontId="3" fillId="2" borderId="30" xfId="0" applyNumberFormat="1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15" fillId="2" borderId="52" xfId="0" applyFont="1" applyFill="1" applyBorder="1" applyAlignment="1">
      <alignment horizontal="center" vertical="center"/>
    </xf>
    <xf numFmtId="168" fontId="3" fillId="2" borderId="23" xfId="0" applyNumberFormat="1" applyFont="1" applyFill="1" applyBorder="1" applyAlignment="1">
      <alignment horizontal="center" vertical="center"/>
    </xf>
    <xf numFmtId="168" fontId="3" fillId="2" borderId="31" xfId="0" applyNumberFormat="1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top"/>
    </xf>
    <xf numFmtId="0" fontId="5" fillId="2" borderId="22" xfId="0" applyFont="1" applyFill="1" applyBorder="1" applyAlignment="1">
      <alignment horizontal="left" vertical="top"/>
    </xf>
    <xf numFmtId="0" fontId="17" fillId="2" borderId="5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0" borderId="33" xfId="0" applyFont="1" applyBorder="1"/>
    <xf numFmtId="0" fontId="7" fillId="0" borderId="2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7" fontId="12" fillId="3" borderId="27" xfId="0" applyNumberFormat="1" applyFont="1" applyFill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0" fillId="4" borderId="32" xfId="0" applyNumberFormat="1" applyFill="1" applyBorder="1" applyAlignment="1">
      <alignment horizontal="center" vertical="center"/>
    </xf>
    <xf numFmtId="167" fontId="0" fillId="0" borderId="32" xfId="0" applyNumberForma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0" fillId="0" borderId="41" xfId="0" applyBorder="1"/>
    <xf numFmtId="0" fontId="0" fillId="0" borderId="56" xfId="0" applyBorder="1"/>
    <xf numFmtId="0" fontId="12" fillId="0" borderId="28" xfId="0" applyFont="1" applyBorder="1"/>
    <xf numFmtId="0" fontId="12" fillId="0" borderId="18" xfId="0" applyFont="1" applyBorder="1"/>
    <xf numFmtId="0" fontId="6" fillId="3" borderId="5" xfId="0" applyFont="1" applyFill="1" applyBorder="1" applyAlignment="1">
      <alignment horizontal="center" vertical="center"/>
    </xf>
    <xf numFmtId="167" fontId="0" fillId="3" borderId="32" xfId="0" applyNumberFormat="1" applyFill="1" applyBorder="1" applyAlignment="1">
      <alignment horizontal="center" vertical="center"/>
    </xf>
    <xf numFmtId="167" fontId="20" fillId="2" borderId="32" xfId="0" applyNumberFormat="1" applyFont="1" applyFill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left" vertical="top"/>
    </xf>
    <xf numFmtId="0" fontId="6" fillId="2" borderId="35" xfId="0" applyFont="1" applyFill="1" applyBorder="1" applyAlignment="1">
      <alignment horizontal="center" vertical="center"/>
    </xf>
    <xf numFmtId="168" fontId="3" fillId="2" borderId="34" xfId="0" applyNumberFormat="1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30" xfId="0" applyFont="1" applyBorder="1"/>
    <xf numFmtId="0" fontId="6" fillId="0" borderId="34" xfId="0" applyFont="1" applyBorder="1"/>
    <xf numFmtId="0" fontId="6" fillId="0" borderId="31" xfId="0" applyFont="1" applyBorder="1"/>
    <xf numFmtId="0" fontId="6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67" fontId="0" fillId="2" borderId="32" xfId="0" applyNumberForma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5" fillId="2" borderId="2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167" fontId="3" fillId="2" borderId="22" xfId="0" applyNumberFormat="1" applyFont="1" applyFill="1" applyBorder="1" applyAlignment="1">
      <alignment horizontal="center" vertical="center"/>
    </xf>
    <xf numFmtId="167" fontId="3" fillId="2" borderId="5" xfId="0" applyNumberFormat="1" applyFont="1" applyFill="1" applyBorder="1" applyAlignment="1">
      <alignment horizontal="center" vertical="center"/>
    </xf>
    <xf numFmtId="167" fontId="3" fillId="2" borderId="33" xfId="0" applyNumberFormat="1" applyFont="1" applyFill="1" applyBorder="1" applyAlignment="1">
      <alignment horizontal="center" vertical="center"/>
    </xf>
    <xf numFmtId="15" fontId="5" fillId="0" borderId="18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167" fontId="12" fillId="3" borderId="32" xfId="0" applyNumberFormat="1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</cellXfs>
  <cellStyles count="2">
    <cellStyle name="Normal" xfId="0" builtinId="0"/>
    <cellStyle name="Normal 2" xfId="1" xr:uid="{8EC1DFF0-CE09-4622-80A4-FED600ED3290}"/>
  </cellStyles>
  <dxfs count="132"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D463-9A57-4FBA-83FA-BECDA5675A6B}">
  <dimension ref="A3:AT21"/>
  <sheetViews>
    <sheetView tabSelected="1" topLeftCell="A2" workbookViewId="0">
      <pane xSplit="3" ySplit="3" topLeftCell="D5" activePane="bottomRight" state="frozen"/>
      <selection activeCell="A2" sqref="A2"/>
      <selection pane="topRight" activeCell="D2" sqref="D2"/>
      <selection pane="bottomLeft" activeCell="A5" sqref="A5"/>
      <selection pane="bottomRight" activeCell="A5" sqref="A5"/>
    </sheetView>
  </sheetViews>
  <sheetFormatPr defaultRowHeight="14.5" x14ac:dyDescent="0.35"/>
  <cols>
    <col min="1" max="1" width="3.7265625" bestFit="1" customWidth="1"/>
    <col min="2" max="2" width="9.26953125" bestFit="1" customWidth="1"/>
    <col min="3" max="3" width="18.26953125" bestFit="1" customWidth="1"/>
    <col min="4" max="4" width="3.7265625" bestFit="1" customWidth="1"/>
    <col min="5" max="5" width="15" bestFit="1" customWidth="1"/>
    <col min="6" max="6" width="8" bestFit="1" customWidth="1"/>
    <col min="7" max="7" width="16.54296875" bestFit="1" customWidth="1"/>
    <col min="8" max="8" width="8.54296875" bestFit="1" customWidth="1"/>
    <col min="9" max="46" width="3.26953125" bestFit="1" customWidth="1"/>
  </cols>
  <sheetData>
    <row r="3" spans="1:46" ht="26.5" thickBot="1" x14ac:dyDescent="0.65">
      <c r="A3" s="232" t="s">
        <v>241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</row>
    <row r="4" spans="1:46" ht="141.5" thickBot="1" x14ac:dyDescent="0.4">
      <c r="A4" s="24" t="s">
        <v>0</v>
      </c>
      <c r="B4" s="116" t="s">
        <v>1</v>
      </c>
      <c r="C4" s="25" t="s">
        <v>2</v>
      </c>
      <c r="D4" s="67" t="s">
        <v>3</v>
      </c>
      <c r="E4" s="24" t="s">
        <v>4</v>
      </c>
      <c r="F4" s="25" t="s">
        <v>5</v>
      </c>
      <c r="G4" s="25" t="s">
        <v>6</v>
      </c>
      <c r="H4" s="24" t="s">
        <v>7</v>
      </c>
      <c r="I4" s="64">
        <v>46260</v>
      </c>
      <c r="J4" s="64">
        <v>46261</v>
      </c>
      <c r="K4" s="64">
        <v>46262</v>
      </c>
      <c r="L4" s="64">
        <v>46263</v>
      </c>
      <c r="M4" s="64">
        <v>46264</v>
      </c>
      <c r="N4" s="64">
        <v>46265</v>
      </c>
      <c r="O4" s="64">
        <v>46266</v>
      </c>
      <c r="P4" s="64">
        <v>46267</v>
      </c>
      <c r="Q4" s="64">
        <v>46268</v>
      </c>
      <c r="R4" s="64">
        <v>46269</v>
      </c>
      <c r="S4" s="64">
        <v>46270</v>
      </c>
      <c r="T4" s="64">
        <v>46271</v>
      </c>
      <c r="U4" s="64">
        <v>46272</v>
      </c>
      <c r="V4" s="64">
        <v>46273</v>
      </c>
      <c r="W4" s="64">
        <v>46274</v>
      </c>
      <c r="X4" s="64">
        <v>46275</v>
      </c>
      <c r="Y4" s="64">
        <v>46276</v>
      </c>
      <c r="Z4" s="64">
        <v>46277</v>
      </c>
      <c r="AA4" s="64">
        <v>46278</v>
      </c>
      <c r="AB4" s="64">
        <v>46279</v>
      </c>
      <c r="AC4" s="64">
        <v>46280</v>
      </c>
      <c r="AD4" s="64">
        <v>46281</v>
      </c>
      <c r="AE4" s="64">
        <v>46282</v>
      </c>
      <c r="AF4" s="64">
        <v>46283</v>
      </c>
      <c r="AG4" s="64">
        <v>46284</v>
      </c>
      <c r="AH4" s="64">
        <v>46285</v>
      </c>
      <c r="AI4" s="64">
        <v>46286</v>
      </c>
      <c r="AJ4" s="64">
        <v>46287</v>
      </c>
      <c r="AK4" s="64">
        <v>46288</v>
      </c>
      <c r="AL4" s="64">
        <v>46289</v>
      </c>
      <c r="AM4" s="64">
        <v>46290</v>
      </c>
      <c r="AN4" s="65" t="s">
        <v>8</v>
      </c>
      <c r="AO4" s="65" t="s">
        <v>9</v>
      </c>
      <c r="AP4" s="65" t="s">
        <v>10</v>
      </c>
      <c r="AQ4" s="66" t="s">
        <v>11</v>
      </c>
      <c r="AR4" s="66" t="s">
        <v>12</v>
      </c>
      <c r="AS4" s="66" t="s">
        <v>13</v>
      </c>
      <c r="AT4" s="66" t="s">
        <v>14</v>
      </c>
    </row>
    <row r="5" spans="1:46" ht="15.5" x14ac:dyDescent="0.35">
      <c r="A5" s="26">
        <v>1</v>
      </c>
      <c r="B5" s="213" t="s">
        <v>229</v>
      </c>
      <c r="C5" s="148" t="s">
        <v>32</v>
      </c>
      <c r="D5" s="109"/>
      <c r="E5" s="150" t="s">
        <v>176</v>
      </c>
      <c r="F5" s="113" t="s">
        <v>19</v>
      </c>
      <c r="G5" s="113" t="s">
        <v>20</v>
      </c>
      <c r="H5" s="127"/>
      <c r="I5" s="130" t="s">
        <v>238</v>
      </c>
      <c r="J5" s="130" t="s">
        <v>238</v>
      </c>
      <c r="K5" s="131" t="s">
        <v>238</v>
      </c>
      <c r="L5" s="131" t="s">
        <v>238</v>
      </c>
      <c r="M5" s="129" t="s">
        <v>16</v>
      </c>
      <c r="N5" s="131" t="s">
        <v>238</v>
      </c>
      <c r="O5" s="131" t="s">
        <v>238</v>
      </c>
      <c r="P5" s="131" t="s">
        <v>238</v>
      </c>
      <c r="Q5" s="131" t="s">
        <v>238</v>
      </c>
      <c r="R5" s="132" t="s">
        <v>238</v>
      </c>
      <c r="S5" s="132" t="s">
        <v>238</v>
      </c>
      <c r="T5" s="129" t="s">
        <v>16</v>
      </c>
      <c r="U5" s="132" t="s">
        <v>238</v>
      </c>
      <c r="V5" s="131" t="s">
        <v>238</v>
      </c>
      <c r="W5" s="131" t="s">
        <v>238</v>
      </c>
      <c r="X5" s="132" t="s">
        <v>238</v>
      </c>
      <c r="Y5" s="132" t="s">
        <v>238</v>
      </c>
      <c r="Z5" s="131" t="s">
        <v>238</v>
      </c>
      <c r="AA5" s="129" t="s">
        <v>16</v>
      </c>
      <c r="AB5" s="131" t="s">
        <v>238</v>
      </c>
      <c r="AC5" s="131" t="s">
        <v>238</v>
      </c>
      <c r="AD5" s="131" t="s">
        <v>238</v>
      </c>
      <c r="AE5" s="132" t="s">
        <v>238</v>
      </c>
      <c r="AF5" s="132" t="s">
        <v>238</v>
      </c>
      <c r="AG5" s="132" t="s">
        <v>238</v>
      </c>
      <c r="AH5" s="129" t="s">
        <v>16</v>
      </c>
      <c r="AI5" s="130" t="s">
        <v>238</v>
      </c>
      <c r="AJ5" s="131" t="s">
        <v>238</v>
      </c>
      <c r="AK5" s="131" t="s">
        <v>238</v>
      </c>
      <c r="AL5" s="133" t="s">
        <v>238</v>
      </c>
      <c r="AM5" s="204" t="s">
        <v>238</v>
      </c>
      <c r="AN5" s="200">
        <f t="shared" ref="AN5:AN13" si="0">COUNTIF(I5:AM5,"R")</f>
        <v>4</v>
      </c>
      <c r="AO5" s="141">
        <f t="shared" ref="AO5:AO13" si="1">COUNTIF(I5:AM5,"GH")</f>
        <v>0</v>
      </c>
      <c r="AP5" s="141">
        <f t="shared" ref="AP5:AP13" si="2">COUNTIF(I5:AM5,"A")</f>
        <v>0</v>
      </c>
      <c r="AQ5" s="141">
        <f t="shared" ref="AQ5:AQ13" si="3">COUNTIF(I5:AM5,"p")</f>
        <v>27</v>
      </c>
      <c r="AR5" s="151">
        <f t="shared" ref="AR5:AR13" si="4">COUNTIF(I5:AM5,"L")</f>
        <v>0</v>
      </c>
      <c r="AS5" s="142">
        <f t="shared" ref="AS5:AS12" si="5">SUM(AN5:AR5)</f>
        <v>31</v>
      </c>
      <c r="AT5" s="143">
        <f t="shared" ref="AT5:AT13" si="6">(+AR5+AQ5+AP5+AO5+AN5)-AP5</f>
        <v>31</v>
      </c>
    </row>
    <row r="6" spans="1:46" ht="15.5" x14ac:dyDescent="0.35">
      <c r="A6" s="90">
        <v>2</v>
      </c>
      <c r="B6" s="214" t="s">
        <v>228</v>
      </c>
      <c r="C6" s="147" t="s">
        <v>172</v>
      </c>
      <c r="D6" s="34"/>
      <c r="E6" s="114" t="s">
        <v>176</v>
      </c>
      <c r="F6" s="114" t="s">
        <v>19</v>
      </c>
      <c r="G6" s="114" t="s">
        <v>20</v>
      </c>
      <c r="H6" s="120"/>
      <c r="I6" s="40" t="s">
        <v>15</v>
      </c>
      <c r="J6" s="40" t="s">
        <v>15</v>
      </c>
      <c r="K6" s="29" t="s">
        <v>15</v>
      </c>
      <c r="L6" s="29" t="s">
        <v>15</v>
      </c>
      <c r="M6" s="137" t="s">
        <v>16</v>
      </c>
      <c r="N6" s="29" t="s">
        <v>15</v>
      </c>
      <c r="O6" s="29" t="s">
        <v>15</v>
      </c>
      <c r="P6" s="29" t="s">
        <v>15</v>
      </c>
      <c r="Q6" s="29" t="s">
        <v>15</v>
      </c>
      <c r="R6" s="39" t="s">
        <v>15</v>
      </c>
      <c r="S6" s="39" t="s">
        <v>15</v>
      </c>
      <c r="T6" s="137" t="s">
        <v>16</v>
      </c>
      <c r="U6" s="39" t="s">
        <v>15</v>
      </c>
      <c r="V6" s="29" t="s">
        <v>15</v>
      </c>
      <c r="W6" s="29" t="s">
        <v>15</v>
      </c>
      <c r="X6" s="39" t="s">
        <v>15</v>
      </c>
      <c r="Y6" s="39" t="s">
        <v>15</v>
      </c>
      <c r="Z6" s="29" t="s">
        <v>15</v>
      </c>
      <c r="AA6" s="137" t="s">
        <v>16</v>
      </c>
      <c r="AB6" s="29" t="s">
        <v>15</v>
      </c>
      <c r="AC6" s="29" t="s">
        <v>15</v>
      </c>
      <c r="AD6" s="29" t="s">
        <v>15</v>
      </c>
      <c r="AE6" s="39" t="s">
        <v>15</v>
      </c>
      <c r="AF6" s="39" t="s">
        <v>15</v>
      </c>
      <c r="AG6" s="39" t="s">
        <v>15</v>
      </c>
      <c r="AH6" s="137" t="s">
        <v>16</v>
      </c>
      <c r="AI6" s="40" t="s">
        <v>15</v>
      </c>
      <c r="AJ6" s="29" t="s">
        <v>15</v>
      </c>
      <c r="AK6" s="29" t="s">
        <v>15</v>
      </c>
      <c r="AL6" s="28" t="s">
        <v>15</v>
      </c>
      <c r="AM6" s="138" t="s">
        <v>15</v>
      </c>
      <c r="AN6" s="201">
        <f t="shared" si="0"/>
        <v>4</v>
      </c>
      <c r="AO6" s="1">
        <f t="shared" si="1"/>
        <v>0</v>
      </c>
      <c r="AP6" s="1">
        <f t="shared" si="2"/>
        <v>0</v>
      </c>
      <c r="AQ6" s="1">
        <f t="shared" si="3"/>
        <v>27</v>
      </c>
      <c r="AR6" s="1">
        <f t="shared" si="4"/>
        <v>0</v>
      </c>
      <c r="AS6" s="72">
        <f t="shared" si="5"/>
        <v>31</v>
      </c>
      <c r="AT6" s="57">
        <f t="shared" si="6"/>
        <v>31</v>
      </c>
    </row>
    <row r="7" spans="1:46" ht="15.5" x14ac:dyDescent="0.35">
      <c r="A7" s="90">
        <v>3</v>
      </c>
      <c r="B7" s="214" t="s">
        <v>225</v>
      </c>
      <c r="C7" s="147" t="s">
        <v>179</v>
      </c>
      <c r="D7" s="110"/>
      <c r="E7" s="114" t="s">
        <v>176</v>
      </c>
      <c r="F7" s="114" t="s">
        <v>19</v>
      </c>
      <c r="G7" s="114" t="s">
        <v>20</v>
      </c>
      <c r="H7" s="120"/>
      <c r="I7" s="40" t="s">
        <v>15</v>
      </c>
      <c r="J7" s="40" t="s">
        <v>15</v>
      </c>
      <c r="K7" s="29" t="s">
        <v>15</v>
      </c>
      <c r="L7" s="29" t="s">
        <v>15</v>
      </c>
      <c r="M7" s="137" t="s">
        <v>16</v>
      </c>
      <c r="N7" s="29" t="s">
        <v>15</v>
      </c>
      <c r="O7" s="29" t="s">
        <v>15</v>
      </c>
      <c r="P7" s="29" t="s">
        <v>15</v>
      </c>
      <c r="Q7" s="29" t="s">
        <v>15</v>
      </c>
      <c r="R7" s="39" t="s">
        <v>15</v>
      </c>
      <c r="S7" s="39" t="s">
        <v>15</v>
      </c>
      <c r="T7" s="137" t="s">
        <v>16</v>
      </c>
      <c r="U7" s="39" t="s">
        <v>15</v>
      </c>
      <c r="V7" s="29" t="s">
        <v>15</v>
      </c>
      <c r="W7" s="29" t="s">
        <v>15</v>
      </c>
      <c r="X7" s="39" t="s">
        <v>15</v>
      </c>
      <c r="Y7" s="39" t="s">
        <v>15</v>
      </c>
      <c r="Z7" s="29" t="s">
        <v>15</v>
      </c>
      <c r="AA7" s="137" t="s">
        <v>16</v>
      </c>
      <c r="AB7" s="29" t="s">
        <v>15</v>
      </c>
      <c r="AC7" s="29" t="s">
        <v>15</v>
      </c>
      <c r="AD7" s="29" t="s">
        <v>15</v>
      </c>
      <c r="AE7" s="39" t="s">
        <v>15</v>
      </c>
      <c r="AF7" s="39" t="s">
        <v>15</v>
      </c>
      <c r="AG7" s="39" t="s">
        <v>15</v>
      </c>
      <c r="AH7" s="137" t="s">
        <v>16</v>
      </c>
      <c r="AI7" s="40" t="s">
        <v>15</v>
      </c>
      <c r="AJ7" s="29" t="s">
        <v>238</v>
      </c>
      <c r="AK7" s="29" t="s">
        <v>15</v>
      </c>
      <c r="AL7" s="28" t="s">
        <v>17</v>
      </c>
      <c r="AM7" s="138" t="s">
        <v>17</v>
      </c>
      <c r="AN7" s="201">
        <f t="shared" si="0"/>
        <v>4</v>
      </c>
      <c r="AO7" s="1">
        <f t="shared" si="1"/>
        <v>0</v>
      </c>
      <c r="AP7" s="1">
        <f t="shared" si="2"/>
        <v>2</v>
      </c>
      <c r="AQ7" s="1">
        <f t="shared" si="3"/>
        <v>25</v>
      </c>
      <c r="AR7" s="1">
        <f t="shared" si="4"/>
        <v>0</v>
      </c>
      <c r="AS7" s="72">
        <f t="shared" si="5"/>
        <v>31</v>
      </c>
      <c r="AT7" s="57">
        <f t="shared" si="6"/>
        <v>29</v>
      </c>
    </row>
    <row r="8" spans="1:46" ht="15.5" x14ac:dyDescent="0.35">
      <c r="A8" s="90">
        <v>4</v>
      </c>
      <c r="B8" s="214" t="s">
        <v>226</v>
      </c>
      <c r="C8" s="149" t="s">
        <v>175</v>
      </c>
      <c r="D8" s="110"/>
      <c r="E8" s="114" t="s">
        <v>176</v>
      </c>
      <c r="F8" s="114" t="s">
        <v>19</v>
      </c>
      <c r="G8" s="114" t="s">
        <v>20</v>
      </c>
      <c r="H8" s="120"/>
      <c r="I8" s="40" t="s">
        <v>15</v>
      </c>
      <c r="J8" s="40" t="s">
        <v>15</v>
      </c>
      <c r="K8" s="29" t="s">
        <v>15</v>
      </c>
      <c r="L8" s="29" t="s">
        <v>15</v>
      </c>
      <c r="M8" s="137" t="s">
        <v>16</v>
      </c>
      <c r="N8" s="29" t="s">
        <v>15</v>
      </c>
      <c r="O8" s="29" t="s">
        <v>15</v>
      </c>
      <c r="P8" s="29" t="s">
        <v>15</v>
      </c>
      <c r="Q8" s="29" t="s">
        <v>15</v>
      </c>
      <c r="R8" s="39" t="s">
        <v>15</v>
      </c>
      <c r="S8" s="39" t="s">
        <v>15</v>
      </c>
      <c r="T8" s="137" t="s">
        <v>16</v>
      </c>
      <c r="U8" s="39" t="s">
        <v>17</v>
      </c>
      <c r="V8" s="29" t="s">
        <v>15</v>
      </c>
      <c r="W8" s="29" t="s">
        <v>15</v>
      </c>
      <c r="X8" s="39" t="s">
        <v>15</v>
      </c>
      <c r="Y8" s="39" t="s">
        <v>15</v>
      </c>
      <c r="Z8" s="29" t="s">
        <v>15</v>
      </c>
      <c r="AA8" s="137" t="s">
        <v>16</v>
      </c>
      <c r="AB8" s="29" t="s">
        <v>15</v>
      </c>
      <c r="AC8" s="29" t="s">
        <v>15</v>
      </c>
      <c r="AD8" s="29" t="s">
        <v>15</v>
      </c>
      <c r="AE8" s="39" t="s">
        <v>15</v>
      </c>
      <c r="AF8" s="39" t="s">
        <v>15</v>
      </c>
      <c r="AG8" s="39" t="s">
        <v>15</v>
      </c>
      <c r="AH8" s="137" t="s">
        <v>16</v>
      </c>
      <c r="AI8" s="40" t="s">
        <v>15</v>
      </c>
      <c r="AJ8" s="29" t="s">
        <v>15</v>
      </c>
      <c r="AK8" s="29" t="s">
        <v>15</v>
      </c>
      <c r="AL8" s="28" t="s">
        <v>15</v>
      </c>
      <c r="AM8" s="138" t="s">
        <v>15</v>
      </c>
      <c r="AN8" s="202">
        <f t="shared" si="0"/>
        <v>4</v>
      </c>
      <c r="AO8" s="91">
        <f t="shared" si="1"/>
        <v>0</v>
      </c>
      <c r="AP8" s="91">
        <f t="shared" si="2"/>
        <v>1</v>
      </c>
      <c r="AQ8" s="91">
        <f t="shared" si="3"/>
        <v>26</v>
      </c>
      <c r="AR8" s="1">
        <f t="shared" si="4"/>
        <v>0</v>
      </c>
      <c r="AS8" s="92">
        <f t="shared" si="5"/>
        <v>31</v>
      </c>
      <c r="AT8" s="93">
        <f t="shared" si="6"/>
        <v>30</v>
      </c>
    </row>
    <row r="9" spans="1:46" ht="15.5" x14ac:dyDescent="0.35">
      <c r="A9" s="90">
        <v>5</v>
      </c>
      <c r="B9" s="214" t="s">
        <v>227</v>
      </c>
      <c r="C9" s="147" t="s">
        <v>177</v>
      </c>
      <c r="D9" s="110"/>
      <c r="E9" s="114" t="s">
        <v>176</v>
      </c>
      <c r="F9" s="114" t="s">
        <v>19</v>
      </c>
      <c r="G9" s="114" t="s">
        <v>20</v>
      </c>
      <c r="H9" s="120"/>
      <c r="I9" s="40" t="s">
        <v>15</v>
      </c>
      <c r="J9" s="40" t="s">
        <v>15</v>
      </c>
      <c r="K9" s="29" t="s">
        <v>15</v>
      </c>
      <c r="L9" s="29" t="s">
        <v>15</v>
      </c>
      <c r="M9" s="137" t="s">
        <v>16</v>
      </c>
      <c r="N9" s="29" t="s">
        <v>15</v>
      </c>
      <c r="O9" s="29" t="s">
        <v>15</v>
      </c>
      <c r="P9" s="29" t="s">
        <v>15</v>
      </c>
      <c r="Q9" s="29" t="s">
        <v>15</v>
      </c>
      <c r="R9" s="39" t="s">
        <v>15</v>
      </c>
      <c r="S9" s="39" t="s">
        <v>15</v>
      </c>
      <c r="T9" s="137" t="s">
        <v>16</v>
      </c>
      <c r="U9" s="39" t="s">
        <v>15</v>
      </c>
      <c r="V9" s="29" t="s">
        <v>15</v>
      </c>
      <c r="W9" s="29" t="s">
        <v>15</v>
      </c>
      <c r="X9" s="39" t="s">
        <v>15</v>
      </c>
      <c r="Y9" s="39" t="s">
        <v>15</v>
      </c>
      <c r="Z9" s="29" t="s">
        <v>15</v>
      </c>
      <c r="AA9" s="137" t="s">
        <v>16</v>
      </c>
      <c r="AB9" s="29" t="s">
        <v>15</v>
      </c>
      <c r="AC9" s="29" t="s">
        <v>15</v>
      </c>
      <c r="AD9" s="29" t="s">
        <v>15</v>
      </c>
      <c r="AE9" s="39" t="s">
        <v>15</v>
      </c>
      <c r="AF9" s="39" t="s">
        <v>15</v>
      </c>
      <c r="AG9" s="39" t="s">
        <v>15</v>
      </c>
      <c r="AH9" s="137" t="s">
        <v>16</v>
      </c>
      <c r="AI9" s="40" t="s">
        <v>15</v>
      </c>
      <c r="AJ9" s="29" t="s">
        <v>238</v>
      </c>
      <c r="AK9" s="29" t="s">
        <v>15</v>
      </c>
      <c r="AL9" s="28" t="s">
        <v>15</v>
      </c>
      <c r="AM9" s="138" t="s">
        <v>15</v>
      </c>
      <c r="AN9" s="202">
        <f t="shared" si="0"/>
        <v>4</v>
      </c>
      <c r="AO9" s="91">
        <f t="shared" si="1"/>
        <v>0</v>
      </c>
      <c r="AP9" s="91">
        <f t="shared" si="2"/>
        <v>0</v>
      </c>
      <c r="AQ9" s="91">
        <f t="shared" si="3"/>
        <v>27</v>
      </c>
      <c r="AR9" s="1">
        <f t="shared" si="4"/>
        <v>0</v>
      </c>
      <c r="AS9" s="92">
        <f t="shared" si="5"/>
        <v>31</v>
      </c>
      <c r="AT9" s="93">
        <f t="shared" si="6"/>
        <v>31</v>
      </c>
    </row>
    <row r="10" spans="1:46" ht="15.5" x14ac:dyDescent="0.35">
      <c r="A10" s="90">
        <v>6</v>
      </c>
      <c r="B10" s="214"/>
      <c r="C10" s="210" t="s">
        <v>209</v>
      </c>
      <c r="D10" s="110"/>
      <c r="E10" s="114" t="s">
        <v>176</v>
      </c>
      <c r="F10" s="114" t="s">
        <v>19</v>
      </c>
      <c r="G10" s="114" t="s">
        <v>20</v>
      </c>
      <c r="H10" s="120"/>
      <c r="I10" s="40" t="s">
        <v>15</v>
      </c>
      <c r="J10" s="40" t="s">
        <v>15</v>
      </c>
      <c r="K10" s="29" t="s">
        <v>15</v>
      </c>
      <c r="L10" s="29" t="s">
        <v>15</v>
      </c>
      <c r="M10" s="137" t="s">
        <v>16</v>
      </c>
      <c r="N10" s="29" t="s">
        <v>15</v>
      </c>
      <c r="O10" s="29" t="s">
        <v>15</v>
      </c>
      <c r="P10" s="29" t="s">
        <v>15</v>
      </c>
      <c r="Q10" s="29" t="s">
        <v>15</v>
      </c>
      <c r="R10" s="39" t="s">
        <v>15</v>
      </c>
      <c r="S10" s="39" t="s">
        <v>15</v>
      </c>
      <c r="T10" s="39" t="s">
        <v>16</v>
      </c>
      <c r="U10" s="39" t="s">
        <v>15</v>
      </c>
      <c r="V10" s="29" t="s">
        <v>15</v>
      </c>
      <c r="W10" s="29" t="s">
        <v>15</v>
      </c>
      <c r="X10" s="39" t="s">
        <v>15</v>
      </c>
      <c r="Y10" s="39" t="s">
        <v>15</v>
      </c>
      <c r="Z10" s="29" t="s">
        <v>15</v>
      </c>
      <c r="AA10" s="39" t="s">
        <v>16</v>
      </c>
      <c r="AB10" s="29" t="s">
        <v>15</v>
      </c>
      <c r="AC10" s="29" t="s">
        <v>15</v>
      </c>
      <c r="AD10" s="29" t="s">
        <v>15</v>
      </c>
      <c r="AE10" s="39" t="s">
        <v>15</v>
      </c>
      <c r="AF10" s="39" t="s">
        <v>15</v>
      </c>
      <c r="AG10" s="39" t="s">
        <v>15</v>
      </c>
      <c r="AH10" s="39" t="s">
        <v>16</v>
      </c>
      <c r="AI10" s="40" t="s">
        <v>15</v>
      </c>
      <c r="AJ10" s="29" t="s">
        <v>15</v>
      </c>
      <c r="AK10" s="29" t="s">
        <v>15</v>
      </c>
      <c r="AL10" s="28" t="s">
        <v>15</v>
      </c>
      <c r="AM10" s="138" t="s">
        <v>15</v>
      </c>
      <c r="AN10" s="202">
        <f t="shared" si="0"/>
        <v>4</v>
      </c>
      <c r="AO10" s="91">
        <f t="shared" si="1"/>
        <v>0</v>
      </c>
      <c r="AP10" s="91">
        <f t="shared" si="2"/>
        <v>0</v>
      </c>
      <c r="AQ10" s="91">
        <f t="shared" si="3"/>
        <v>27</v>
      </c>
      <c r="AR10" s="91">
        <f t="shared" si="4"/>
        <v>0</v>
      </c>
      <c r="AS10" s="92">
        <f t="shared" si="5"/>
        <v>31</v>
      </c>
      <c r="AT10" s="93">
        <f t="shared" si="6"/>
        <v>31</v>
      </c>
    </row>
    <row r="11" spans="1:46" ht="15.5" x14ac:dyDescent="0.35">
      <c r="A11" s="90">
        <v>7</v>
      </c>
      <c r="B11" s="214"/>
      <c r="C11" s="149" t="s">
        <v>235</v>
      </c>
      <c r="D11" s="111"/>
      <c r="E11" s="114" t="s">
        <v>176</v>
      </c>
      <c r="F11" s="114" t="s">
        <v>19</v>
      </c>
      <c r="G11" s="114" t="s">
        <v>178</v>
      </c>
      <c r="H11" s="120"/>
      <c r="I11" s="40" t="s">
        <v>15</v>
      </c>
      <c r="J11" s="40" t="s">
        <v>15</v>
      </c>
      <c r="K11" s="29" t="s">
        <v>15</v>
      </c>
      <c r="L11" s="29" t="s">
        <v>15</v>
      </c>
      <c r="M11" s="137" t="s">
        <v>16</v>
      </c>
      <c r="N11" s="29" t="s">
        <v>15</v>
      </c>
      <c r="O11" s="29" t="s">
        <v>15</v>
      </c>
      <c r="P11" s="29" t="s">
        <v>15</v>
      </c>
      <c r="Q11" s="29" t="s">
        <v>15</v>
      </c>
      <c r="R11" s="39" t="s">
        <v>15</v>
      </c>
      <c r="S11" s="39" t="s">
        <v>15</v>
      </c>
      <c r="T11" s="39" t="s">
        <v>16</v>
      </c>
      <c r="U11" s="39" t="s">
        <v>15</v>
      </c>
      <c r="V11" s="29" t="s">
        <v>15</v>
      </c>
      <c r="W11" s="29" t="s">
        <v>15</v>
      </c>
      <c r="X11" s="39" t="s">
        <v>15</v>
      </c>
      <c r="Y11" s="39" t="s">
        <v>15</v>
      </c>
      <c r="Z11" s="29" t="s">
        <v>15</v>
      </c>
      <c r="AA11" s="39" t="s">
        <v>16</v>
      </c>
      <c r="AB11" s="29" t="s">
        <v>15</v>
      </c>
      <c r="AC11" s="29" t="s">
        <v>15</v>
      </c>
      <c r="AD11" s="29" t="s">
        <v>15</v>
      </c>
      <c r="AE11" s="39" t="s">
        <v>15</v>
      </c>
      <c r="AF11" s="39" t="s">
        <v>15</v>
      </c>
      <c r="AG11" s="39" t="s">
        <v>15</v>
      </c>
      <c r="AH11" s="39" t="s">
        <v>16</v>
      </c>
      <c r="AI11" s="40" t="s">
        <v>15</v>
      </c>
      <c r="AJ11" s="29" t="s">
        <v>15</v>
      </c>
      <c r="AK11" s="29" t="s">
        <v>15</v>
      </c>
      <c r="AL11" s="28" t="s">
        <v>15</v>
      </c>
      <c r="AM11" s="138" t="s">
        <v>15</v>
      </c>
      <c r="AN11" s="202">
        <f t="shared" si="0"/>
        <v>4</v>
      </c>
      <c r="AO11" s="91">
        <f t="shared" si="1"/>
        <v>0</v>
      </c>
      <c r="AP11" s="91">
        <f t="shared" si="2"/>
        <v>0</v>
      </c>
      <c r="AQ11" s="92">
        <f t="shared" si="3"/>
        <v>27</v>
      </c>
      <c r="AR11" s="1">
        <f t="shared" si="4"/>
        <v>0</v>
      </c>
      <c r="AS11" s="152">
        <f t="shared" si="5"/>
        <v>31</v>
      </c>
      <c r="AT11" s="93">
        <f t="shared" si="6"/>
        <v>31</v>
      </c>
    </row>
    <row r="12" spans="1:46" ht="15.5" x14ac:dyDescent="0.35">
      <c r="A12" s="209">
        <v>8</v>
      </c>
      <c r="B12" s="215"/>
      <c r="C12" s="220" t="s">
        <v>236</v>
      </c>
      <c r="D12" s="211"/>
      <c r="E12" s="114" t="s">
        <v>176</v>
      </c>
      <c r="F12" s="114" t="s">
        <v>19</v>
      </c>
      <c r="G12" s="114" t="s">
        <v>20</v>
      </c>
      <c r="H12" s="212"/>
      <c r="I12" s="40" t="s">
        <v>15</v>
      </c>
      <c r="J12" s="40" t="s">
        <v>15</v>
      </c>
      <c r="K12" s="29" t="s">
        <v>15</v>
      </c>
      <c r="L12" s="29" t="s">
        <v>15</v>
      </c>
      <c r="M12" s="137" t="s">
        <v>16</v>
      </c>
      <c r="N12" s="29" t="s">
        <v>15</v>
      </c>
      <c r="O12" s="29" t="s">
        <v>15</v>
      </c>
      <c r="P12" s="29" t="s">
        <v>15</v>
      </c>
      <c r="Q12" s="29" t="s">
        <v>15</v>
      </c>
      <c r="R12" s="39" t="s">
        <v>15</v>
      </c>
      <c r="S12" s="39" t="s">
        <v>15</v>
      </c>
      <c r="T12" s="39" t="s">
        <v>16</v>
      </c>
      <c r="U12" s="39" t="s">
        <v>15</v>
      </c>
      <c r="V12" s="29" t="s">
        <v>15</v>
      </c>
      <c r="W12" s="29" t="s">
        <v>15</v>
      </c>
      <c r="X12" s="39" t="s">
        <v>15</v>
      </c>
      <c r="Y12" s="39" t="s">
        <v>15</v>
      </c>
      <c r="Z12" s="29" t="s">
        <v>17</v>
      </c>
      <c r="AA12" s="39" t="s">
        <v>16</v>
      </c>
      <c r="AB12" s="29" t="s">
        <v>15</v>
      </c>
      <c r="AC12" s="29" t="s">
        <v>15</v>
      </c>
      <c r="AD12" s="29" t="s">
        <v>15</v>
      </c>
      <c r="AE12" s="76" t="s">
        <v>15</v>
      </c>
      <c r="AF12" s="76" t="s">
        <v>15</v>
      </c>
      <c r="AG12" s="76" t="s">
        <v>15</v>
      </c>
      <c r="AH12" s="39" t="s">
        <v>16</v>
      </c>
      <c r="AI12" s="75" t="s">
        <v>15</v>
      </c>
      <c r="AJ12" s="29" t="s">
        <v>15</v>
      </c>
      <c r="AK12" s="29" t="s">
        <v>15</v>
      </c>
      <c r="AL12" s="71" t="s">
        <v>15</v>
      </c>
      <c r="AM12" s="121" t="s">
        <v>15</v>
      </c>
      <c r="AN12" s="202">
        <f t="shared" si="0"/>
        <v>4</v>
      </c>
      <c r="AO12" s="91">
        <f t="shared" si="1"/>
        <v>0</v>
      </c>
      <c r="AP12" s="91">
        <f t="shared" si="2"/>
        <v>1</v>
      </c>
      <c r="AQ12" s="92">
        <f t="shared" si="3"/>
        <v>26</v>
      </c>
      <c r="AR12" s="1">
        <f t="shared" si="4"/>
        <v>0</v>
      </c>
      <c r="AS12" s="152">
        <f t="shared" si="5"/>
        <v>31</v>
      </c>
      <c r="AT12" s="93">
        <f t="shared" si="6"/>
        <v>30</v>
      </c>
    </row>
    <row r="13" spans="1:46" ht="16" thickBot="1" x14ac:dyDescent="0.4">
      <c r="A13" s="27">
        <v>9</v>
      </c>
      <c r="B13" s="216"/>
      <c r="C13" s="221" t="s">
        <v>237</v>
      </c>
      <c r="D13" s="119"/>
      <c r="E13" s="118" t="s">
        <v>176</v>
      </c>
      <c r="F13" s="118" t="s">
        <v>19</v>
      </c>
      <c r="G13" s="118" t="s">
        <v>20</v>
      </c>
      <c r="H13" s="128"/>
      <c r="I13" s="40" t="s">
        <v>15</v>
      </c>
      <c r="J13" s="40" t="s">
        <v>15</v>
      </c>
      <c r="K13" s="29" t="s">
        <v>15</v>
      </c>
      <c r="L13" s="29" t="s">
        <v>15</v>
      </c>
      <c r="M13" s="205" t="s">
        <v>16</v>
      </c>
      <c r="N13" s="29" t="s">
        <v>15</v>
      </c>
      <c r="O13" s="29" t="s">
        <v>15</v>
      </c>
      <c r="P13" s="29" t="s">
        <v>15</v>
      </c>
      <c r="Q13" s="29" t="s">
        <v>15</v>
      </c>
      <c r="R13" s="39" t="s">
        <v>15</v>
      </c>
      <c r="S13" s="39" t="s">
        <v>15</v>
      </c>
      <c r="T13" s="206" t="s">
        <v>16</v>
      </c>
      <c r="U13" s="39" t="s">
        <v>15</v>
      </c>
      <c r="V13" s="29" t="s">
        <v>15</v>
      </c>
      <c r="W13" s="29" t="s">
        <v>15</v>
      </c>
      <c r="X13" s="206" t="s">
        <v>15</v>
      </c>
      <c r="Y13" s="206" t="s">
        <v>15</v>
      </c>
      <c r="Z13" s="29" t="s">
        <v>15</v>
      </c>
      <c r="AA13" s="206" t="s">
        <v>16</v>
      </c>
      <c r="AB13" s="29" t="s">
        <v>17</v>
      </c>
      <c r="AC13" s="29" t="s">
        <v>15</v>
      </c>
      <c r="AD13" s="29" t="s">
        <v>15</v>
      </c>
      <c r="AE13" s="206" t="s">
        <v>15</v>
      </c>
      <c r="AF13" s="206" t="s">
        <v>15</v>
      </c>
      <c r="AG13" s="206" t="s">
        <v>15</v>
      </c>
      <c r="AH13" s="206" t="s">
        <v>16</v>
      </c>
      <c r="AI13" s="172" t="s">
        <v>15</v>
      </c>
      <c r="AJ13" s="29" t="s">
        <v>15</v>
      </c>
      <c r="AK13" s="29" t="s">
        <v>15</v>
      </c>
      <c r="AL13" s="207" t="s">
        <v>15</v>
      </c>
      <c r="AM13" s="208" t="s">
        <v>15</v>
      </c>
      <c r="AN13" s="203">
        <f t="shared" si="0"/>
        <v>4</v>
      </c>
      <c r="AO13" s="58">
        <f t="shared" si="1"/>
        <v>0</v>
      </c>
      <c r="AP13" s="58">
        <f t="shared" si="2"/>
        <v>1</v>
      </c>
      <c r="AQ13" s="58">
        <f t="shared" si="3"/>
        <v>26</v>
      </c>
      <c r="AR13" s="153">
        <f t="shared" si="4"/>
        <v>0</v>
      </c>
      <c r="AS13" s="73">
        <f>SUM(AN13:AR13)</f>
        <v>31</v>
      </c>
      <c r="AT13" s="59">
        <f t="shared" si="6"/>
        <v>30</v>
      </c>
    </row>
    <row r="14" spans="1:46" ht="15.5" x14ac:dyDescent="0.35">
      <c r="A14" s="94"/>
      <c r="B14" s="95"/>
      <c r="C14" s="96"/>
      <c r="D14" s="97"/>
      <c r="E14" s="98"/>
      <c r="F14" s="99"/>
      <c r="G14" s="100"/>
      <c r="H14" s="101"/>
      <c r="I14" s="102"/>
      <c r="J14" s="102"/>
      <c r="K14" s="103"/>
      <c r="L14" s="103"/>
      <c r="M14" s="103"/>
      <c r="N14" s="103"/>
      <c r="O14" s="103"/>
      <c r="P14" s="104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5"/>
      <c r="AO14" s="5"/>
      <c r="AP14" s="5"/>
      <c r="AQ14" s="5"/>
      <c r="AR14" s="5"/>
      <c r="AS14" s="5"/>
      <c r="AT14" s="5"/>
    </row>
    <row r="15" spans="1:46" ht="15" thickBot="1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5"/>
      <c r="AO15" s="5"/>
      <c r="AP15" s="5"/>
      <c r="AQ15" s="5"/>
      <c r="AR15" s="5"/>
      <c r="AS15" s="5"/>
    </row>
    <row r="16" spans="1:46" ht="15" thickBot="1" x14ac:dyDescent="0.4">
      <c r="A16" s="6"/>
      <c r="B16" s="2"/>
      <c r="C16" s="7"/>
      <c r="D16" s="2"/>
      <c r="E16" s="2"/>
      <c r="F16" s="6"/>
      <c r="G16" s="3"/>
      <c r="H16" s="23" t="s">
        <v>25</v>
      </c>
      <c r="I16" s="20" t="s">
        <v>16</v>
      </c>
      <c r="J16" s="9"/>
      <c r="K16" s="9"/>
      <c r="L16" s="9"/>
      <c r="M16" s="9"/>
      <c r="N16" s="9"/>
      <c r="O16" s="9" t="s">
        <v>86</v>
      </c>
      <c r="P16" s="9"/>
      <c r="Q16" s="9"/>
      <c r="R16" s="9"/>
      <c r="S16" s="9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9" t="s">
        <v>76</v>
      </c>
      <c r="AO16" s="9"/>
      <c r="AP16" s="9"/>
      <c r="AQ16" s="9"/>
      <c r="AR16" s="2"/>
      <c r="AS16" s="2"/>
    </row>
    <row r="17" spans="1:45" ht="24.5" thickBot="1" x14ac:dyDescent="0.4">
      <c r="A17" s="6"/>
      <c r="B17" s="2"/>
      <c r="C17" s="7"/>
      <c r="D17" s="2"/>
      <c r="E17" s="2"/>
      <c r="F17" s="6"/>
      <c r="G17" s="3"/>
      <c r="H17" s="19" t="s">
        <v>21</v>
      </c>
      <c r="I17" s="21" t="s">
        <v>22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9"/>
      <c r="AO17" s="9"/>
      <c r="AP17" s="9"/>
      <c r="AQ17" s="9"/>
      <c r="AR17" s="2"/>
      <c r="AS17" s="2"/>
    </row>
    <row r="18" spans="1:45" ht="15" thickBot="1" x14ac:dyDescent="0.4">
      <c r="A18" s="6"/>
      <c r="B18" s="2"/>
      <c r="C18" s="7"/>
      <c r="D18" s="2"/>
      <c r="E18" s="2"/>
      <c r="F18" s="6"/>
      <c r="G18" s="3"/>
      <c r="H18" s="8" t="s">
        <v>23</v>
      </c>
      <c r="I18" s="22" t="s">
        <v>17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9"/>
      <c r="AO18" s="9"/>
      <c r="AP18" s="9"/>
      <c r="AQ18" s="9"/>
      <c r="AR18" s="2"/>
      <c r="AS18" s="2"/>
    </row>
    <row r="19" spans="1:45" ht="15" thickBot="1" x14ac:dyDescent="0.4">
      <c r="A19" s="6"/>
      <c r="B19" s="2"/>
      <c r="C19" s="7"/>
      <c r="D19" s="2"/>
      <c r="E19" s="2"/>
      <c r="F19" s="6"/>
      <c r="G19" s="3"/>
      <c r="H19" s="8" t="s">
        <v>24</v>
      </c>
      <c r="I19" s="22" t="s">
        <v>15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9"/>
      <c r="AO19" s="9"/>
      <c r="AP19" s="9"/>
      <c r="AQ19" s="9"/>
      <c r="AR19" s="2"/>
      <c r="AS19" s="2"/>
    </row>
    <row r="20" spans="1:45" ht="15" thickBot="1" x14ac:dyDescent="0.4">
      <c r="A20" s="6"/>
      <c r="B20" s="2"/>
      <c r="C20" s="7"/>
      <c r="D20" s="2"/>
      <c r="E20" s="2"/>
      <c r="F20" s="6"/>
      <c r="G20" s="3"/>
      <c r="H20" s="8" t="s">
        <v>26</v>
      </c>
      <c r="I20" s="22" t="s">
        <v>18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9"/>
      <c r="AO20" s="9"/>
      <c r="AP20" s="9"/>
      <c r="AQ20" s="9"/>
      <c r="AR20" s="2"/>
      <c r="AS20" s="2"/>
    </row>
    <row r="21" spans="1:45" x14ac:dyDescent="0.35">
      <c r="A21" s="6"/>
      <c r="B21" s="2"/>
      <c r="C21" s="7"/>
      <c r="D21" s="2"/>
      <c r="E21" s="2"/>
      <c r="F21" s="6"/>
      <c r="G21" s="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9"/>
      <c r="AO21" s="9"/>
      <c r="AP21" s="9"/>
      <c r="AQ21" s="9"/>
      <c r="AR21" s="2"/>
      <c r="AS21" s="2"/>
    </row>
  </sheetData>
  <mergeCells count="1">
    <mergeCell ref="A3:AS3"/>
  </mergeCells>
  <conditionalFormatting sqref="A15:AM15">
    <cfRule type="cellIs" dxfId="131" priority="20" operator="equal">
      <formula>"R"</formula>
    </cfRule>
    <cfRule type="cellIs" dxfId="130" priority="18" operator="equal">
      <formula>"SL"</formula>
    </cfRule>
    <cfRule type="cellIs" dxfId="129" priority="19" operator="equal">
      <formula>"GH"</formula>
    </cfRule>
    <cfRule type="cellIs" dxfId="128" priority="25" operator="equal">
      <formula>"AL"</formula>
    </cfRule>
    <cfRule type="cellIs" dxfId="127" priority="24" operator="equal">
      <formula>"AL"</formula>
    </cfRule>
    <cfRule type="cellIs" dxfId="126" priority="23" operator="equal">
      <formula>"A"</formula>
    </cfRule>
    <cfRule type="cellIs" dxfId="125" priority="22" operator="equal">
      <formula>"P"</formula>
    </cfRule>
    <cfRule type="cellIs" dxfId="124" priority="21" operator="equal">
      <formula>"OD"</formula>
    </cfRule>
    <cfRule type="cellIs" dxfId="123" priority="17" operator="equal">
      <formula>"CL"</formula>
    </cfRule>
  </conditionalFormatting>
  <conditionalFormatting sqref="B16:B21 B4">
    <cfRule type="duplicateValues" dxfId="122" priority="38"/>
  </conditionalFormatting>
  <conditionalFormatting sqref="B16:B21">
    <cfRule type="duplicateValues" dxfId="121" priority="37"/>
  </conditionalFormatting>
  <conditionalFormatting sqref="H16:I21">
    <cfRule type="cellIs" dxfId="120" priority="2" operator="equal">
      <formula>"SL"</formula>
    </cfRule>
    <cfRule type="cellIs" dxfId="119" priority="3" operator="equal">
      <formula>"GH"</formula>
    </cfRule>
    <cfRule type="cellIs" dxfId="118" priority="4" operator="equal">
      <formula>"R"</formula>
    </cfRule>
    <cfRule type="cellIs" dxfId="117" priority="5" operator="equal">
      <formula>"OD"</formula>
    </cfRule>
    <cfRule type="cellIs" dxfId="116" priority="6" operator="equal">
      <formula>"P"</formula>
    </cfRule>
    <cfRule type="cellIs" dxfId="115" priority="7" operator="equal">
      <formula>"A"</formula>
    </cfRule>
    <cfRule type="cellIs" dxfId="114" priority="8" operator="equal">
      <formula>"AL"</formula>
    </cfRule>
    <cfRule type="cellIs" dxfId="113" priority="1" operator="equal">
      <formula>"CL"</formula>
    </cfRule>
  </conditionalFormatting>
  <conditionalFormatting sqref="I16:I20">
    <cfRule type="cellIs" dxfId="112" priority="9" operator="equal">
      <formula>"AL"</formula>
    </cfRule>
  </conditionalFormatting>
  <conditionalFormatting sqref="I4:AM4">
    <cfRule type="cellIs" dxfId="7" priority="28" operator="equal">
      <formula>"L"</formula>
    </cfRule>
  </conditionalFormatting>
  <conditionalFormatting sqref="I4:AM14">
    <cfRule type="cellIs" dxfId="6" priority="11" operator="equal">
      <formula>"SL"</formula>
    </cfRule>
    <cfRule type="cellIs" dxfId="5" priority="16" operator="equal">
      <formula>"A"</formula>
    </cfRule>
    <cfRule type="cellIs" dxfId="4" priority="15" operator="equal">
      <formula>"P"</formula>
    </cfRule>
    <cfRule type="cellIs" dxfId="3" priority="14" operator="equal">
      <formula>"OD"</formula>
    </cfRule>
    <cfRule type="cellIs" dxfId="2" priority="12" operator="equal">
      <formula>"GH"</formula>
    </cfRule>
    <cfRule type="cellIs" dxfId="1" priority="26" operator="equal">
      <formula>"AL"</formula>
    </cfRule>
    <cfRule type="cellIs" dxfId="0" priority="27" operator="equal">
      <formula>"AL"</formula>
    </cfRule>
  </conditionalFormatting>
  <conditionalFormatting sqref="I5:AM14">
    <cfRule type="cellIs" dxfId="111" priority="10" operator="equal">
      <formula>"CL"</formula>
    </cfRule>
    <cfRule type="cellIs" dxfId="110" priority="13" operator="equal">
      <formula>"R"</formula>
    </cfRule>
  </conditionalFormatting>
  <conditionalFormatting sqref="L16:AM21">
    <cfRule type="cellIs" dxfId="109" priority="29" operator="equal">
      <formula>"R"</formula>
    </cfRule>
    <cfRule type="cellIs" dxfId="108" priority="30" operator="equal">
      <formula>"OD"</formula>
    </cfRule>
    <cfRule type="cellIs" dxfId="107" priority="31" operator="equal">
      <formula>"P"</formula>
    </cfRule>
    <cfRule type="cellIs" dxfId="106" priority="32" operator="equal">
      <formula>"A"</formula>
    </cfRule>
  </conditionalFormatting>
  <conditionalFormatting sqref="L16:AN21">
    <cfRule type="cellIs" dxfId="105" priority="33" operator="equal">
      <formula>"AL"</formula>
    </cfRule>
    <cfRule type="cellIs" dxfId="104" priority="34" operator="equal">
      <formula>"CL"</formula>
    </cfRule>
    <cfRule type="cellIs" dxfId="103" priority="35" operator="equal">
      <formula>"SL"</formula>
    </cfRule>
    <cfRule type="cellIs" dxfId="102" priority="36" operator="equal">
      <formula>"GH"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B603-9BDB-4D76-A042-4940326B0EE6}">
  <dimension ref="A2:AT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1" sqref="E11"/>
    </sheetView>
  </sheetViews>
  <sheetFormatPr defaultRowHeight="14.5" x14ac:dyDescent="0.35"/>
  <cols>
    <col min="1" max="1" width="3.7265625" bestFit="1" customWidth="1"/>
    <col min="2" max="2" width="9.453125" bestFit="1" customWidth="1"/>
    <col min="3" max="3" width="16.81640625" bestFit="1" customWidth="1"/>
    <col min="4" max="4" width="14.453125" bestFit="1" customWidth="1"/>
    <col min="5" max="5" width="16.1796875" bestFit="1" customWidth="1"/>
    <col min="6" max="6" width="8" bestFit="1" customWidth="1"/>
    <col min="7" max="7" width="16.54296875" bestFit="1" customWidth="1"/>
    <col min="8" max="8" width="10" bestFit="1" customWidth="1"/>
    <col min="9" max="38" width="3.26953125" bestFit="1" customWidth="1"/>
    <col min="39" max="39" width="3.26953125" customWidth="1"/>
    <col min="40" max="46" width="3.26953125" bestFit="1" customWidth="1"/>
  </cols>
  <sheetData>
    <row r="2" spans="1:46" ht="26.5" thickBot="1" x14ac:dyDescent="0.65">
      <c r="A2" s="232" t="s">
        <v>240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</row>
    <row r="3" spans="1:46" ht="124.5" thickBot="1" x14ac:dyDescent="0.4">
      <c r="A3" s="24" t="s">
        <v>0</v>
      </c>
      <c r="B3" s="116" t="s">
        <v>1</v>
      </c>
      <c r="C3" s="25" t="s">
        <v>2</v>
      </c>
      <c r="D3" s="67" t="s">
        <v>3</v>
      </c>
      <c r="E3" s="24" t="s">
        <v>4</v>
      </c>
      <c r="F3" s="25" t="s">
        <v>5</v>
      </c>
      <c r="G3" s="25" t="s">
        <v>6</v>
      </c>
      <c r="H3" s="24" t="s">
        <v>7</v>
      </c>
      <c r="I3" s="64">
        <v>46229</v>
      </c>
      <c r="J3" s="64">
        <v>46230</v>
      </c>
      <c r="K3" s="64">
        <v>46231</v>
      </c>
      <c r="L3" s="64">
        <v>46232</v>
      </c>
      <c r="M3" s="64">
        <v>46233</v>
      </c>
      <c r="N3" s="64">
        <v>46234</v>
      </c>
      <c r="O3" s="64">
        <v>46235</v>
      </c>
      <c r="P3" s="64">
        <v>46236</v>
      </c>
      <c r="Q3" s="64">
        <v>46237</v>
      </c>
      <c r="R3" s="64">
        <v>46238</v>
      </c>
      <c r="S3" s="64">
        <v>46239</v>
      </c>
      <c r="T3" s="64">
        <v>46240</v>
      </c>
      <c r="U3" s="64">
        <v>46241</v>
      </c>
      <c r="V3" s="64">
        <v>46242</v>
      </c>
      <c r="W3" s="64">
        <v>46243</v>
      </c>
      <c r="X3" s="64">
        <v>46244</v>
      </c>
      <c r="Y3" s="64">
        <v>46245</v>
      </c>
      <c r="Z3" s="64">
        <v>46246</v>
      </c>
      <c r="AA3" s="64">
        <v>46247</v>
      </c>
      <c r="AB3" s="64">
        <v>46248</v>
      </c>
      <c r="AC3" s="64">
        <v>46249</v>
      </c>
      <c r="AD3" s="64">
        <v>46250</v>
      </c>
      <c r="AE3" s="64">
        <v>46251</v>
      </c>
      <c r="AF3" s="64">
        <v>46252</v>
      </c>
      <c r="AG3" s="64">
        <v>46253</v>
      </c>
      <c r="AH3" s="64">
        <v>46254</v>
      </c>
      <c r="AI3" s="64">
        <v>46255</v>
      </c>
      <c r="AJ3" s="64">
        <v>46256</v>
      </c>
      <c r="AK3" s="64">
        <v>46257</v>
      </c>
      <c r="AL3" s="64">
        <v>46258</v>
      </c>
      <c r="AM3" s="64">
        <v>46259</v>
      </c>
      <c r="AN3" s="65" t="s">
        <v>8</v>
      </c>
      <c r="AO3" s="65" t="s">
        <v>9</v>
      </c>
      <c r="AP3" s="65" t="s">
        <v>10</v>
      </c>
      <c r="AQ3" s="66" t="s">
        <v>11</v>
      </c>
      <c r="AR3" s="66" t="s">
        <v>12</v>
      </c>
      <c r="AS3" s="66" t="s">
        <v>13</v>
      </c>
      <c r="AT3" s="66" t="s">
        <v>14</v>
      </c>
    </row>
    <row r="4" spans="1:46" ht="15.5" x14ac:dyDescent="0.35">
      <c r="A4" s="26">
        <v>1</v>
      </c>
      <c r="B4" s="108" t="s">
        <v>154</v>
      </c>
      <c r="C4" s="106" t="s">
        <v>145</v>
      </c>
      <c r="D4" s="109" t="s">
        <v>97</v>
      </c>
      <c r="E4" s="68" t="s">
        <v>171</v>
      </c>
      <c r="F4" s="60" t="s">
        <v>19</v>
      </c>
      <c r="G4" s="113" t="s">
        <v>20</v>
      </c>
      <c r="H4" s="127">
        <v>46065</v>
      </c>
      <c r="I4" s="129" t="s">
        <v>16</v>
      </c>
      <c r="J4" s="130" t="s">
        <v>15</v>
      </c>
      <c r="K4" s="131" t="s">
        <v>15</v>
      </c>
      <c r="L4" s="131" t="s">
        <v>15</v>
      </c>
      <c r="M4" s="131" t="s">
        <v>15</v>
      </c>
      <c r="N4" s="131" t="s">
        <v>15</v>
      </c>
      <c r="O4" s="131" t="s">
        <v>15</v>
      </c>
      <c r="P4" s="132" t="s">
        <v>16</v>
      </c>
      <c r="Q4" s="132" t="s">
        <v>15</v>
      </c>
      <c r="R4" s="132" t="s">
        <v>15</v>
      </c>
      <c r="S4" s="132" t="s">
        <v>15</v>
      </c>
      <c r="T4" s="132" t="s">
        <v>15</v>
      </c>
      <c r="U4" s="132" t="s">
        <v>15</v>
      </c>
      <c r="V4" s="132" t="s">
        <v>15</v>
      </c>
      <c r="W4" s="132" t="s">
        <v>16</v>
      </c>
      <c r="X4" s="132" t="s">
        <v>15</v>
      </c>
      <c r="Y4" s="132" t="s">
        <v>15</v>
      </c>
      <c r="Z4" s="132" t="s">
        <v>15</v>
      </c>
      <c r="AA4" s="132" t="s">
        <v>15</v>
      </c>
      <c r="AB4" s="132" t="s">
        <v>22</v>
      </c>
      <c r="AC4" s="132" t="s">
        <v>18</v>
      </c>
      <c r="AD4" s="132" t="s">
        <v>16</v>
      </c>
      <c r="AE4" s="132" t="s">
        <v>15</v>
      </c>
      <c r="AF4" s="132" t="s">
        <v>15</v>
      </c>
      <c r="AG4" s="132" t="s">
        <v>15</v>
      </c>
      <c r="AH4" s="130" t="s">
        <v>15</v>
      </c>
      <c r="AI4" s="130" t="s">
        <v>15</v>
      </c>
      <c r="AJ4" s="130" t="s">
        <v>15</v>
      </c>
      <c r="AK4" s="130" t="s">
        <v>16</v>
      </c>
      <c r="AL4" s="133" t="s">
        <v>15</v>
      </c>
      <c r="AM4" s="134" t="s">
        <v>15</v>
      </c>
      <c r="AN4" s="140">
        <f t="shared" ref="AN4:AN9" si="0">COUNTIF(I4:AM4,"R")</f>
        <v>5</v>
      </c>
      <c r="AO4" s="141">
        <f t="shared" ref="AO4:AO9" si="1">COUNTIF(I4:AM4,"GH")</f>
        <v>1</v>
      </c>
      <c r="AP4" s="141">
        <f t="shared" ref="AP4:AP9" si="2">COUNTIF(I4:AM4,"A")</f>
        <v>0</v>
      </c>
      <c r="AQ4" s="141">
        <f t="shared" ref="AQ4:AQ9" si="3">COUNTIF(I4:AM4,"p")</f>
        <v>24</v>
      </c>
      <c r="AR4" s="141">
        <f t="shared" ref="AR4:AR9" si="4">COUNTIF(I4:AM4,"L")</f>
        <v>1</v>
      </c>
      <c r="AS4" s="142">
        <f t="shared" ref="AS4:AS8" si="5">SUM(AN4:AR4)</f>
        <v>31</v>
      </c>
      <c r="AT4" s="143">
        <f t="shared" ref="AT4:AT9" si="6">(+AR4+AQ4+AP4+AO4+AN4)-AP4</f>
        <v>31</v>
      </c>
    </row>
    <row r="5" spans="1:46" ht="15.5" x14ac:dyDescent="0.35">
      <c r="A5" s="90">
        <v>2</v>
      </c>
      <c r="B5" s="81" t="s">
        <v>155</v>
      </c>
      <c r="C5" s="62" t="s">
        <v>146</v>
      </c>
      <c r="D5" s="34" t="s">
        <v>98</v>
      </c>
      <c r="E5" s="69" t="s">
        <v>171</v>
      </c>
      <c r="F5" s="61" t="s">
        <v>19</v>
      </c>
      <c r="G5" s="114" t="s">
        <v>20</v>
      </c>
      <c r="H5" s="120">
        <v>46065</v>
      </c>
      <c r="I5" s="135" t="s">
        <v>16</v>
      </c>
      <c r="J5" s="29" t="s">
        <v>15</v>
      </c>
      <c r="K5" s="29" t="s">
        <v>15</v>
      </c>
      <c r="L5" s="29" t="s">
        <v>15</v>
      </c>
      <c r="M5" s="29" t="s">
        <v>15</v>
      </c>
      <c r="N5" s="29" t="s">
        <v>15</v>
      </c>
      <c r="O5" s="29" t="s">
        <v>15</v>
      </c>
      <c r="P5" s="28" t="s">
        <v>16</v>
      </c>
      <c r="Q5" s="28" t="s">
        <v>15</v>
      </c>
      <c r="R5" s="28" t="s">
        <v>15</v>
      </c>
      <c r="S5" s="28" t="s">
        <v>15</v>
      </c>
      <c r="T5" s="28" t="s">
        <v>15</v>
      </c>
      <c r="U5" s="28" t="s">
        <v>15</v>
      </c>
      <c r="V5" s="28" t="s">
        <v>15</v>
      </c>
      <c r="W5" s="28" t="s">
        <v>16</v>
      </c>
      <c r="X5" s="28" t="s">
        <v>15</v>
      </c>
      <c r="Y5" s="28" t="s">
        <v>15</v>
      </c>
      <c r="Z5" s="28" t="s">
        <v>15</v>
      </c>
      <c r="AA5" s="28" t="s">
        <v>15</v>
      </c>
      <c r="AB5" s="28" t="s">
        <v>22</v>
      </c>
      <c r="AC5" s="28" t="s">
        <v>15</v>
      </c>
      <c r="AD5" s="28" t="s">
        <v>16</v>
      </c>
      <c r="AE5" s="28" t="s">
        <v>15</v>
      </c>
      <c r="AF5" s="28" t="s">
        <v>15</v>
      </c>
      <c r="AG5" s="28" t="s">
        <v>15</v>
      </c>
      <c r="AH5" s="28" t="s">
        <v>15</v>
      </c>
      <c r="AI5" s="28" t="s">
        <v>15</v>
      </c>
      <c r="AJ5" s="28" t="s">
        <v>15</v>
      </c>
      <c r="AK5" s="28" t="s">
        <v>16</v>
      </c>
      <c r="AL5" s="28" t="s">
        <v>15</v>
      </c>
      <c r="AM5" s="77" t="s">
        <v>15</v>
      </c>
      <c r="AN5" s="144">
        <f t="shared" si="0"/>
        <v>5</v>
      </c>
      <c r="AO5" s="1">
        <f t="shared" si="1"/>
        <v>1</v>
      </c>
      <c r="AP5" s="1">
        <f t="shared" si="2"/>
        <v>0</v>
      </c>
      <c r="AQ5" s="1">
        <f t="shared" si="3"/>
        <v>25</v>
      </c>
      <c r="AR5" s="1">
        <f t="shared" si="4"/>
        <v>0</v>
      </c>
      <c r="AS5" s="72">
        <f t="shared" si="5"/>
        <v>31</v>
      </c>
      <c r="AT5" s="57">
        <f t="shared" si="6"/>
        <v>31</v>
      </c>
    </row>
    <row r="6" spans="1:46" ht="15.5" x14ac:dyDescent="0.35">
      <c r="A6" s="90">
        <v>3</v>
      </c>
      <c r="B6" s="81" t="s">
        <v>93</v>
      </c>
      <c r="C6" s="62" t="s">
        <v>188</v>
      </c>
      <c r="D6" s="110" t="s">
        <v>181</v>
      </c>
      <c r="E6" s="69" t="s">
        <v>171</v>
      </c>
      <c r="F6" s="61" t="s">
        <v>19</v>
      </c>
      <c r="G6" s="114" t="s">
        <v>20</v>
      </c>
      <c r="H6" s="120">
        <v>46087</v>
      </c>
      <c r="I6" s="136" t="s">
        <v>16</v>
      </c>
      <c r="J6" s="75" t="s">
        <v>15</v>
      </c>
      <c r="K6" s="70" t="s">
        <v>15</v>
      </c>
      <c r="L6" s="70" t="s">
        <v>15</v>
      </c>
      <c r="M6" s="70" t="s">
        <v>15</v>
      </c>
      <c r="N6" s="70" t="s">
        <v>15</v>
      </c>
      <c r="O6" s="70" t="s">
        <v>15</v>
      </c>
      <c r="P6" s="76" t="s">
        <v>16</v>
      </c>
      <c r="Q6" s="71" t="s">
        <v>15</v>
      </c>
      <c r="R6" s="71" t="s">
        <v>18</v>
      </c>
      <c r="S6" s="71" t="s">
        <v>15</v>
      </c>
      <c r="T6" s="71" t="s">
        <v>15</v>
      </c>
      <c r="U6" s="71" t="s">
        <v>15</v>
      </c>
      <c r="V6" s="71" t="s">
        <v>15</v>
      </c>
      <c r="W6" s="71" t="s">
        <v>16</v>
      </c>
      <c r="X6" s="71" t="s">
        <v>15</v>
      </c>
      <c r="Y6" s="71" t="s">
        <v>15</v>
      </c>
      <c r="Z6" s="71" t="s">
        <v>15</v>
      </c>
      <c r="AA6" s="71" t="s">
        <v>15</v>
      </c>
      <c r="AB6" s="71" t="s">
        <v>22</v>
      </c>
      <c r="AC6" s="71" t="s">
        <v>15</v>
      </c>
      <c r="AD6" s="71" t="s">
        <v>16</v>
      </c>
      <c r="AE6" s="71" t="s">
        <v>15</v>
      </c>
      <c r="AF6" s="71" t="s">
        <v>15</v>
      </c>
      <c r="AG6" s="71" t="s">
        <v>15</v>
      </c>
      <c r="AH6" s="71" t="s">
        <v>15</v>
      </c>
      <c r="AI6" s="71" t="s">
        <v>15</v>
      </c>
      <c r="AJ6" s="71" t="s">
        <v>15</v>
      </c>
      <c r="AK6" s="71" t="s">
        <v>16</v>
      </c>
      <c r="AL6" s="71" t="s">
        <v>15</v>
      </c>
      <c r="AM6" s="78" t="s">
        <v>15</v>
      </c>
      <c r="AN6" s="144">
        <f t="shared" si="0"/>
        <v>5</v>
      </c>
      <c r="AO6" s="1">
        <f t="shared" si="1"/>
        <v>1</v>
      </c>
      <c r="AP6" s="1">
        <f t="shared" si="2"/>
        <v>0</v>
      </c>
      <c r="AQ6" s="1">
        <f t="shared" si="3"/>
        <v>24</v>
      </c>
      <c r="AR6" s="1">
        <f t="shared" si="4"/>
        <v>1</v>
      </c>
      <c r="AS6" s="72">
        <f t="shared" si="5"/>
        <v>31</v>
      </c>
      <c r="AT6" s="57">
        <f t="shared" si="6"/>
        <v>31</v>
      </c>
    </row>
    <row r="7" spans="1:46" ht="15.5" x14ac:dyDescent="0.35">
      <c r="A7" s="90">
        <v>4</v>
      </c>
      <c r="B7" s="81" t="s">
        <v>167</v>
      </c>
      <c r="C7" s="62" t="s">
        <v>157</v>
      </c>
      <c r="D7" s="110" t="s">
        <v>162</v>
      </c>
      <c r="E7" s="69" t="s">
        <v>171</v>
      </c>
      <c r="F7" s="61" t="s">
        <v>19</v>
      </c>
      <c r="G7" s="114" t="s">
        <v>20</v>
      </c>
      <c r="H7" s="120">
        <v>46098</v>
      </c>
      <c r="I7" s="136" t="s">
        <v>16</v>
      </c>
      <c r="J7" s="75" t="s">
        <v>15</v>
      </c>
      <c r="K7" s="70" t="s">
        <v>15</v>
      </c>
      <c r="L7" s="70" t="s">
        <v>15</v>
      </c>
      <c r="M7" s="70" t="s">
        <v>15</v>
      </c>
      <c r="N7" s="70" t="s">
        <v>15</v>
      </c>
      <c r="O7" s="70" t="s">
        <v>15</v>
      </c>
      <c r="P7" s="76" t="s">
        <v>16</v>
      </c>
      <c r="Q7" s="71" t="s">
        <v>15</v>
      </c>
      <c r="R7" s="71" t="s">
        <v>15</v>
      </c>
      <c r="S7" s="71" t="s">
        <v>15</v>
      </c>
      <c r="T7" s="71" t="s">
        <v>15</v>
      </c>
      <c r="U7" s="71" t="s">
        <v>15</v>
      </c>
      <c r="V7" s="71" t="s">
        <v>15</v>
      </c>
      <c r="W7" s="71" t="s">
        <v>16</v>
      </c>
      <c r="X7" s="71" t="s">
        <v>15</v>
      </c>
      <c r="Y7" s="71" t="s">
        <v>15</v>
      </c>
      <c r="Z7" s="71" t="s">
        <v>15</v>
      </c>
      <c r="AA7" s="71" t="s">
        <v>15</v>
      </c>
      <c r="AB7" s="71" t="s">
        <v>22</v>
      </c>
      <c r="AC7" s="71" t="s">
        <v>15</v>
      </c>
      <c r="AD7" s="71" t="s">
        <v>16</v>
      </c>
      <c r="AE7" s="71" t="s">
        <v>15</v>
      </c>
      <c r="AF7" s="71" t="s">
        <v>15</v>
      </c>
      <c r="AG7" s="71" t="s">
        <v>15</v>
      </c>
      <c r="AH7" s="71" t="s">
        <v>15</v>
      </c>
      <c r="AI7" s="71" t="s">
        <v>18</v>
      </c>
      <c r="AJ7" s="71" t="s">
        <v>15</v>
      </c>
      <c r="AK7" s="71" t="s">
        <v>16</v>
      </c>
      <c r="AL7" s="71" t="s">
        <v>15</v>
      </c>
      <c r="AM7" s="121" t="s">
        <v>15</v>
      </c>
      <c r="AN7" s="144">
        <f t="shared" si="0"/>
        <v>5</v>
      </c>
      <c r="AO7" s="1">
        <f t="shared" si="1"/>
        <v>1</v>
      </c>
      <c r="AP7" s="1">
        <f t="shared" si="2"/>
        <v>0</v>
      </c>
      <c r="AQ7" s="1">
        <f t="shared" si="3"/>
        <v>24</v>
      </c>
      <c r="AR7" s="1">
        <f t="shared" si="4"/>
        <v>1</v>
      </c>
      <c r="AS7" s="72">
        <f t="shared" si="5"/>
        <v>31</v>
      </c>
      <c r="AT7" s="57">
        <f t="shared" si="6"/>
        <v>31</v>
      </c>
    </row>
    <row r="8" spans="1:46" ht="15.5" x14ac:dyDescent="0.35">
      <c r="A8" s="90">
        <v>5</v>
      </c>
      <c r="B8" s="81" t="s">
        <v>96</v>
      </c>
      <c r="C8" s="107" t="s">
        <v>140</v>
      </c>
      <c r="D8" s="111" t="s">
        <v>99</v>
      </c>
      <c r="E8" s="112" t="s">
        <v>171</v>
      </c>
      <c r="F8" s="117" t="s">
        <v>19</v>
      </c>
      <c r="G8" s="115" t="s">
        <v>164</v>
      </c>
      <c r="H8" s="120">
        <v>46003</v>
      </c>
      <c r="I8" s="137" t="s">
        <v>16</v>
      </c>
      <c r="J8" s="40"/>
      <c r="K8" s="29"/>
      <c r="L8" s="29"/>
      <c r="M8" s="29"/>
      <c r="N8" s="29"/>
      <c r="O8" s="29"/>
      <c r="P8" s="39" t="s">
        <v>16</v>
      </c>
      <c r="Q8" s="28"/>
      <c r="R8" s="28"/>
      <c r="S8" s="28"/>
      <c r="T8" s="28"/>
      <c r="U8" s="28"/>
      <c r="V8" s="28"/>
      <c r="W8" s="28" t="s">
        <v>16</v>
      </c>
      <c r="X8" s="28"/>
      <c r="Y8" s="28"/>
      <c r="Z8" s="28"/>
      <c r="AA8" s="28"/>
      <c r="AB8" s="28" t="s">
        <v>22</v>
      </c>
      <c r="AC8" s="28"/>
      <c r="AD8" s="28" t="s">
        <v>16</v>
      </c>
      <c r="AE8" s="28"/>
      <c r="AF8" s="28"/>
      <c r="AG8" s="28"/>
      <c r="AH8" s="28"/>
      <c r="AI8" s="28"/>
      <c r="AJ8" s="28"/>
      <c r="AK8" s="28" t="s">
        <v>16</v>
      </c>
      <c r="AL8" s="28"/>
      <c r="AM8" s="138"/>
      <c r="AN8" s="145">
        <f t="shared" si="0"/>
        <v>5</v>
      </c>
      <c r="AO8" s="91">
        <f t="shared" si="1"/>
        <v>1</v>
      </c>
      <c r="AP8" s="91">
        <f t="shared" si="2"/>
        <v>0</v>
      </c>
      <c r="AQ8" s="91">
        <f t="shared" si="3"/>
        <v>0</v>
      </c>
      <c r="AR8" s="91">
        <f t="shared" si="4"/>
        <v>0</v>
      </c>
      <c r="AS8" s="92">
        <f t="shared" si="5"/>
        <v>6</v>
      </c>
      <c r="AT8" s="93">
        <f t="shared" si="6"/>
        <v>6</v>
      </c>
    </row>
    <row r="9" spans="1:46" ht="16" thickBot="1" x14ac:dyDescent="0.4">
      <c r="A9" s="27">
        <v>6</v>
      </c>
      <c r="B9" s="82" t="s">
        <v>230</v>
      </c>
      <c r="C9" s="63" t="s">
        <v>158</v>
      </c>
      <c r="D9" s="119" t="s">
        <v>160</v>
      </c>
      <c r="E9" s="74" t="s">
        <v>171</v>
      </c>
      <c r="F9" s="83" t="s">
        <v>19</v>
      </c>
      <c r="G9" s="118" t="s">
        <v>20</v>
      </c>
      <c r="H9" s="128">
        <v>46079</v>
      </c>
      <c r="I9" s="139" t="s">
        <v>16</v>
      </c>
      <c r="J9" s="122" t="s">
        <v>15</v>
      </c>
      <c r="K9" s="123" t="s">
        <v>15</v>
      </c>
      <c r="L9" s="123" t="s">
        <v>15</v>
      </c>
      <c r="M9" s="123" t="s">
        <v>15</v>
      </c>
      <c r="N9" s="123" t="s">
        <v>15</v>
      </c>
      <c r="O9" s="123" t="s">
        <v>15</v>
      </c>
      <c r="P9" s="124" t="s">
        <v>16</v>
      </c>
      <c r="Q9" s="125" t="s">
        <v>15</v>
      </c>
      <c r="R9" s="125" t="s">
        <v>15</v>
      </c>
      <c r="S9" s="125" t="s">
        <v>15</v>
      </c>
      <c r="T9" s="125" t="s">
        <v>15</v>
      </c>
      <c r="U9" s="125" t="s">
        <v>15</v>
      </c>
      <c r="V9" s="125" t="s">
        <v>15</v>
      </c>
      <c r="W9" s="125" t="s">
        <v>16</v>
      </c>
      <c r="X9" s="125" t="s">
        <v>15</v>
      </c>
      <c r="Y9" s="125" t="s">
        <v>15</v>
      </c>
      <c r="Z9" s="125" t="s">
        <v>15</v>
      </c>
      <c r="AA9" s="125" t="s">
        <v>15</v>
      </c>
      <c r="AB9" s="125" t="s">
        <v>22</v>
      </c>
      <c r="AC9" s="125" t="s">
        <v>15</v>
      </c>
      <c r="AD9" s="125" t="s">
        <v>16</v>
      </c>
      <c r="AE9" s="125" t="s">
        <v>15</v>
      </c>
      <c r="AF9" s="125" t="s">
        <v>15</v>
      </c>
      <c r="AG9" s="125" t="s">
        <v>15</v>
      </c>
      <c r="AH9" s="125" t="s">
        <v>15</v>
      </c>
      <c r="AI9" s="125" t="s">
        <v>15</v>
      </c>
      <c r="AJ9" s="125" t="s">
        <v>15</v>
      </c>
      <c r="AK9" s="125" t="s">
        <v>16</v>
      </c>
      <c r="AL9" s="125" t="s">
        <v>15</v>
      </c>
      <c r="AM9" s="126" t="s">
        <v>15</v>
      </c>
      <c r="AN9" s="146">
        <f t="shared" si="0"/>
        <v>5</v>
      </c>
      <c r="AO9" s="58">
        <f t="shared" si="1"/>
        <v>1</v>
      </c>
      <c r="AP9" s="58">
        <f t="shared" si="2"/>
        <v>0</v>
      </c>
      <c r="AQ9" s="58">
        <f t="shared" si="3"/>
        <v>25</v>
      </c>
      <c r="AR9" s="58">
        <f t="shared" si="4"/>
        <v>0</v>
      </c>
      <c r="AS9" s="73">
        <f>SUM(AN9:AR9)</f>
        <v>31</v>
      </c>
      <c r="AT9" s="59">
        <f t="shared" si="6"/>
        <v>31</v>
      </c>
    </row>
    <row r="10" spans="1:46" ht="15.5" x14ac:dyDescent="0.35">
      <c r="A10" s="94"/>
      <c r="B10" s="95"/>
      <c r="C10" s="96"/>
      <c r="D10" s="97"/>
      <c r="E10" s="98"/>
      <c r="F10" s="99"/>
      <c r="G10" s="100"/>
      <c r="H10" s="101"/>
      <c r="I10" s="102"/>
      <c r="J10" s="102"/>
      <c r="K10" s="103"/>
      <c r="L10" s="103"/>
      <c r="M10" s="103"/>
      <c r="N10" s="103"/>
      <c r="O10" s="103"/>
      <c r="P10" s="104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5"/>
      <c r="AO10" s="5"/>
      <c r="AP10" s="5"/>
      <c r="AQ10" s="5"/>
      <c r="AR10" s="5"/>
      <c r="AS10" s="5"/>
      <c r="AT10" s="5"/>
    </row>
    <row r="11" spans="1:46" ht="15" thickBot="1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5"/>
      <c r="AO11" s="5"/>
      <c r="AP11" s="5"/>
      <c r="AQ11" s="5"/>
      <c r="AR11" s="5"/>
      <c r="AS11" s="5"/>
    </row>
    <row r="12" spans="1:46" ht="15" thickBot="1" x14ac:dyDescent="0.4">
      <c r="A12" s="6"/>
      <c r="B12" s="2"/>
      <c r="C12" s="7"/>
      <c r="D12" s="2"/>
      <c r="E12" s="2"/>
      <c r="F12" s="6"/>
      <c r="G12" s="3"/>
      <c r="H12" s="23" t="s">
        <v>25</v>
      </c>
      <c r="I12" s="20" t="s">
        <v>16</v>
      </c>
      <c r="J12" s="9"/>
      <c r="K12" s="9"/>
      <c r="L12" s="9"/>
      <c r="M12" s="9"/>
      <c r="N12" s="9"/>
      <c r="O12" s="9" t="s">
        <v>86</v>
      </c>
      <c r="P12" s="9"/>
      <c r="Q12" s="9"/>
      <c r="R12" s="9" t="s">
        <v>86</v>
      </c>
      <c r="S12" s="9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9" t="s">
        <v>76</v>
      </c>
      <c r="AO12" s="9"/>
      <c r="AP12" s="9"/>
      <c r="AQ12" s="9"/>
      <c r="AR12" s="2"/>
      <c r="AS12" s="2"/>
    </row>
    <row r="13" spans="1:46" ht="24.5" thickBot="1" x14ac:dyDescent="0.4">
      <c r="A13" s="6"/>
      <c r="B13" s="2"/>
      <c r="C13" s="7"/>
      <c r="D13" s="2"/>
      <c r="E13" s="2"/>
      <c r="F13" s="6"/>
      <c r="G13" s="3"/>
      <c r="H13" s="19" t="s">
        <v>21</v>
      </c>
      <c r="I13" s="21" t="s">
        <v>22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9"/>
      <c r="AO13" s="9"/>
      <c r="AP13" s="9"/>
      <c r="AQ13" s="9"/>
      <c r="AR13" s="2"/>
      <c r="AS13" s="2"/>
    </row>
    <row r="14" spans="1:46" ht="15" thickBot="1" x14ac:dyDescent="0.4">
      <c r="A14" s="6"/>
      <c r="B14" s="2"/>
      <c r="C14" s="7"/>
      <c r="D14" s="2"/>
      <c r="E14" s="2"/>
      <c r="F14" s="6"/>
      <c r="G14" s="3"/>
      <c r="H14" s="8" t="s">
        <v>23</v>
      </c>
      <c r="I14" s="22" t="s">
        <v>17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9"/>
      <c r="AO14" s="9"/>
      <c r="AP14" s="9"/>
      <c r="AQ14" s="9"/>
      <c r="AR14" s="2"/>
      <c r="AS14" s="2"/>
    </row>
    <row r="15" spans="1:46" ht="15" thickBot="1" x14ac:dyDescent="0.4">
      <c r="A15" s="6"/>
      <c r="B15" s="2"/>
      <c r="C15" s="7"/>
      <c r="D15" s="2"/>
      <c r="E15" s="2"/>
      <c r="F15" s="6"/>
      <c r="G15" s="3"/>
      <c r="H15" s="8" t="s">
        <v>24</v>
      </c>
      <c r="I15" s="22" t="s">
        <v>15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9"/>
      <c r="AO15" s="9"/>
      <c r="AP15" s="9"/>
      <c r="AQ15" s="9"/>
      <c r="AR15" s="2"/>
      <c r="AS15" s="2"/>
    </row>
    <row r="16" spans="1:46" ht="15" thickBot="1" x14ac:dyDescent="0.4">
      <c r="A16" s="6"/>
      <c r="B16" s="2"/>
      <c r="C16" s="7"/>
      <c r="D16" s="2"/>
      <c r="E16" s="2"/>
      <c r="F16" s="6"/>
      <c r="G16" s="3"/>
      <c r="H16" s="8" t="s">
        <v>26</v>
      </c>
      <c r="I16" s="22" t="s">
        <v>18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9"/>
      <c r="AO16" s="9"/>
      <c r="AP16" s="9"/>
      <c r="AQ16" s="9"/>
      <c r="AR16" s="2"/>
      <c r="AS16" s="2"/>
    </row>
    <row r="17" spans="1:45" x14ac:dyDescent="0.35">
      <c r="A17" s="6"/>
      <c r="B17" s="2"/>
      <c r="C17" s="7"/>
      <c r="D17" s="2"/>
      <c r="E17" s="2"/>
      <c r="F17" s="6"/>
      <c r="G17" s="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9"/>
      <c r="AO17" s="9"/>
      <c r="AP17" s="9"/>
      <c r="AQ17" s="9"/>
      <c r="AR17" s="2"/>
      <c r="AS17" s="2"/>
    </row>
    <row r="18" spans="1:45" x14ac:dyDescent="0.35">
      <c r="A18" s="6"/>
      <c r="B18" s="2"/>
      <c r="C18" s="7"/>
      <c r="D18" s="2"/>
      <c r="E18" s="2"/>
      <c r="F18" s="6"/>
      <c r="G18" s="9"/>
      <c r="H18" s="6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9"/>
      <c r="AO18" s="9"/>
      <c r="AP18" s="9"/>
      <c r="AQ18" s="9"/>
      <c r="AR18" s="2"/>
      <c r="AS18" s="2"/>
    </row>
    <row r="19" spans="1:45" x14ac:dyDescent="0.35">
      <c r="A19" s="6"/>
      <c r="B19" s="2"/>
      <c r="C19" s="7"/>
      <c r="D19" s="2"/>
      <c r="E19" s="2"/>
      <c r="F19" s="9"/>
      <c r="G19" s="3"/>
      <c r="H19" s="6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9"/>
      <c r="AO19" s="9"/>
      <c r="AP19" s="9"/>
      <c r="AQ19" s="9"/>
      <c r="AR19" s="2"/>
      <c r="AS19" s="2"/>
    </row>
    <row r="20" spans="1:45" x14ac:dyDescent="0.35">
      <c r="A20" s="6"/>
      <c r="B20" s="2"/>
      <c r="C20" s="7"/>
      <c r="D20" s="2"/>
      <c r="E20" s="2"/>
      <c r="F20" s="6"/>
      <c r="G20" s="3"/>
      <c r="H20" s="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9"/>
      <c r="AO20" s="9"/>
      <c r="AP20" s="9"/>
      <c r="AQ20" s="9"/>
      <c r="AR20" s="2"/>
      <c r="AS20" s="2"/>
    </row>
    <row r="21" spans="1:45" x14ac:dyDescent="0.35">
      <c r="A21" s="6"/>
      <c r="B21" s="2"/>
      <c r="C21" s="7"/>
      <c r="D21" s="2"/>
      <c r="E21" s="2"/>
      <c r="F21" s="6"/>
      <c r="G21" s="3"/>
      <c r="H21" s="6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9"/>
      <c r="AO21" s="9"/>
      <c r="AP21" s="9"/>
      <c r="AQ21" s="9"/>
      <c r="AR21" s="2"/>
      <c r="AS21" s="2"/>
    </row>
    <row r="22" spans="1:45" x14ac:dyDescent="0.35">
      <c r="A22" s="6"/>
      <c r="B22" s="2"/>
      <c r="C22" s="7"/>
      <c r="D22" s="2"/>
      <c r="E22" s="2"/>
      <c r="F22" s="6"/>
      <c r="G22" s="3"/>
      <c r="H22" s="6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9"/>
      <c r="AO22" s="9"/>
      <c r="AP22" s="9"/>
      <c r="AQ22" s="9"/>
      <c r="AR22" s="2"/>
      <c r="AS22" s="2"/>
    </row>
    <row r="23" spans="1:45" x14ac:dyDescent="0.35">
      <c r="A23" s="6"/>
      <c r="B23" s="2"/>
      <c r="C23" s="7"/>
      <c r="D23" s="2"/>
      <c r="E23" s="2"/>
      <c r="F23" s="6"/>
      <c r="G23" s="3"/>
      <c r="H23" s="6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9"/>
      <c r="AO23" s="9"/>
      <c r="AP23" s="9"/>
      <c r="AQ23" s="9"/>
      <c r="AR23" s="2"/>
      <c r="AS23" s="2"/>
    </row>
  </sheetData>
  <mergeCells count="1">
    <mergeCell ref="A2:AS2"/>
  </mergeCells>
  <conditionalFormatting sqref="A11:AM11">
    <cfRule type="cellIs" dxfId="101" priority="17" operator="equal">
      <formula>"CL"</formula>
    </cfRule>
    <cfRule type="cellIs" dxfId="100" priority="18" operator="equal">
      <formula>"SL"</formula>
    </cfRule>
    <cfRule type="cellIs" dxfId="99" priority="19" operator="equal">
      <formula>"GH"</formula>
    </cfRule>
    <cfRule type="cellIs" dxfId="98" priority="25" operator="equal">
      <formula>"AL"</formula>
    </cfRule>
    <cfRule type="cellIs" dxfId="97" priority="20" operator="equal">
      <formula>"R"</formula>
    </cfRule>
    <cfRule type="cellIs" dxfId="96" priority="21" operator="equal">
      <formula>"OD"</formula>
    </cfRule>
    <cfRule type="cellIs" dxfId="95" priority="22" operator="equal">
      <formula>"P"</formula>
    </cfRule>
    <cfRule type="cellIs" dxfId="94" priority="23" operator="equal">
      <formula>"A"</formula>
    </cfRule>
    <cfRule type="cellIs" dxfId="93" priority="24" operator="equal">
      <formula>"AL"</formula>
    </cfRule>
  </conditionalFormatting>
  <conditionalFormatting sqref="B12:B17 B3">
    <cfRule type="duplicateValues" dxfId="92" priority="38"/>
  </conditionalFormatting>
  <conditionalFormatting sqref="B12:B17">
    <cfRule type="duplicateValues" dxfId="91" priority="37"/>
  </conditionalFormatting>
  <conditionalFormatting sqref="B18:B23">
    <cfRule type="duplicateValues" dxfId="90" priority="76"/>
    <cfRule type="duplicateValues" dxfId="89" priority="75"/>
  </conditionalFormatting>
  <conditionalFormatting sqref="G18 I18:AM23 F19">
    <cfRule type="cellIs" dxfId="88" priority="67" operator="equal">
      <formula>"R"</formula>
    </cfRule>
    <cfRule type="cellIs" dxfId="87" priority="68" operator="equal">
      <formula>"OD"</formula>
    </cfRule>
    <cfRule type="cellIs" dxfId="86" priority="69" operator="equal">
      <formula>"P"</formula>
    </cfRule>
    <cfRule type="cellIs" dxfId="85" priority="70" operator="equal">
      <formula>"A"</formula>
    </cfRule>
  </conditionalFormatting>
  <conditionalFormatting sqref="G18 I18:AN23 F19">
    <cfRule type="cellIs" dxfId="84" priority="71" operator="equal">
      <formula>"AL"</formula>
    </cfRule>
    <cfRule type="cellIs" dxfId="83" priority="72" operator="equal">
      <formula>"CL"</formula>
    </cfRule>
    <cfRule type="cellIs" dxfId="82" priority="73" operator="equal">
      <formula>"SL"</formula>
    </cfRule>
    <cfRule type="cellIs" dxfId="81" priority="74" operator="equal">
      <formula>"GH"</formula>
    </cfRule>
  </conditionalFormatting>
  <conditionalFormatting sqref="H12:I17">
    <cfRule type="cellIs" dxfId="80" priority="1" operator="equal">
      <formula>"CL"</formula>
    </cfRule>
    <cfRule type="cellIs" dxfId="79" priority="2" operator="equal">
      <formula>"SL"</formula>
    </cfRule>
    <cfRule type="cellIs" dxfId="78" priority="3" operator="equal">
      <formula>"GH"</formula>
    </cfRule>
    <cfRule type="cellIs" dxfId="77" priority="4" operator="equal">
      <formula>"R"</formula>
    </cfRule>
    <cfRule type="cellIs" dxfId="76" priority="5" operator="equal">
      <formula>"OD"</formula>
    </cfRule>
    <cfRule type="cellIs" dxfId="75" priority="6" operator="equal">
      <formula>"P"</formula>
    </cfRule>
    <cfRule type="cellIs" dxfId="74" priority="8" operator="equal">
      <formula>"AL"</formula>
    </cfRule>
    <cfRule type="cellIs" dxfId="73" priority="7" operator="equal">
      <formula>"A"</formula>
    </cfRule>
  </conditionalFormatting>
  <conditionalFormatting sqref="I12:I16">
    <cfRule type="cellIs" dxfId="72" priority="9" operator="equal">
      <formula>"AL"</formula>
    </cfRule>
  </conditionalFormatting>
  <conditionalFormatting sqref="I3:AM3">
    <cfRule type="cellIs" dxfId="71" priority="28" operator="equal">
      <formula>"L"</formula>
    </cfRule>
  </conditionalFormatting>
  <conditionalFormatting sqref="I3:AM10">
    <cfRule type="cellIs" dxfId="70" priority="11" operator="equal">
      <formula>"SL"</formula>
    </cfRule>
    <cfRule type="cellIs" dxfId="69" priority="12" operator="equal">
      <formula>"GH"</formula>
    </cfRule>
    <cfRule type="cellIs" dxfId="68" priority="16" operator="equal">
      <formula>"A"</formula>
    </cfRule>
    <cfRule type="cellIs" dxfId="67" priority="15" operator="equal">
      <formula>"P"</formula>
    </cfRule>
    <cfRule type="cellIs" dxfId="66" priority="14" operator="equal">
      <formula>"OD"</formula>
    </cfRule>
    <cfRule type="cellIs" dxfId="65" priority="26" operator="equal">
      <formula>"AL"</formula>
    </cfRule>
    <cfRule type="cellIs" dxfId="64" priority="27" operator="equal">
      <formula>"AL"</formula>
    </cfRule>
  </conditionalFormatting>
  <conditionalFormatting sqref="I4:AM10">
    <cfRule type="cellIs" dxfId="63" priority="10" operator="equal">
      <formula>"CL"</formula>
    </cfRule>
    <cfRule type="cellIs" dxfId="62" priority="13" operator="equal">
      <formula>"R"</formula>
    </cfRule>
  </conditionalFormatting>
  <conditionalFormatting sqref="L12:AM17">
    <cfRule type="cellIs" dxfId="61" priority="29" operator="equal">
      <formula>"R"</formula>
    </cfRule>
    <cfRule type="cellIs" dxfId="60" priority="30" operator="equal">
      <formula>"OD"</formula>
    </cfRule>
    <cfRule type="cellIs" dxfId="59" priority="31" operator="equal">
      <formula>"P"</formula>
    </cfRule>
    <cfRule type="cellIs" dxfId="58" priority="32" operator="equal">
      <formula>"A"</formula>
    </cfRule>
  </conditionalFormatting>
  <conditionalFormatting sqref="L12:AN17">
    <cfRule type="cellIs" dxfId="57" priority="33" operator="equal">
      <formula>"AL"</formula>
    </cfRule>
    <cfRule type="cellIs" dxfId="56" priority="34" operator="equal">
      <formula>"CL"</formula>
    </cfRule>
    <cfRule type="cellIs" dxfId="55" priority="35" operator="equal">
      <formula>"SL"</formula>
    </cfRule>
    <cfRule type="cellIs" dxfId="54" priority="36" operator="equal">
      <formula>"GH"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5011-DB32-4F81-A030-FC2C82734DA5}">
  <dimension ref="A2:AW1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10" sqref="A10"/>
    </sheetView>
  </sheetViews>
  <sheetFormatPr defaultRowHeight="14.5" x14ac:dyDescent="0.35"/>
  <cols>
    <col min="1" max="1" width="3" bestFit="1" customWidth="1"/>
    <col min="2" max="2" width="3.7265625" bestFit="1" customWidth="1"/>
    <col min="3" max="3" width="8.7265625" bestFit="1" customWidth="1"/>
    <col min="4" max="4" width="18.453125" bestFit="1" customWidth="1"/>
    <col min="5" max="5" width="14.453125" bestFit="1" customWidth="1"/>
    <col min="6" max="6" width="14.7265625" bestFit="1" customWidth="1"/>
    <col min="7" max="7" width="8" bestFit="1" customWidth="1"/>
    <col min="8" max="8" width="15.7265625" bestFit="1" customWidth="1"/>
    <col min="9" max="9" width="10.26953125" bestFit="1" customWidth="1"/>
    <col min="10" max="47" width="3.26953125" bestFit="1" customWidth="1"/>
    <col min="48" max="48" width="3.81640625" bestFit="1" customWidth="1"/>
    <col min="49" max="49" width="8.54296875" bestFit="1" customWidth="1"/>
  </cols>
  <sheetData>
    <row r="2" spans="1:49" ht="26.5" thickBot="1" x14ac:dyDescent="0.65">
      <c r="A2" s="160"/>
      <c r="B2" s="232" t="s">
        <v>239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W2" s="154"/>
    </row>
    <row r="3" spans="1:49" ht="124.5" thickBot="1" x14ac:dyDescent="0.4">
      <c r="A3" s="155"/>
      <c r="B3" s="24" t="s">
        <v>0</v>
      </c>
      <c r="C3" s="24" t="s">
        <v>1</v>
      </c>
      <c r="D3" s="25" t="s">
        <v>2</v>
      </c>
      <c r="E3" s="24" t="s">
        <v>3</v>
      </c>
      <c r="F3" s="24" t="s">
        <v>4</v>
      </c>
      <c r="G3" s="25" t="s">
        <v>5</v>
      </c>
      <c r="H3" s="25" t="s">
        <v>6</v>
      </c>
      <c r="I3" s="24" t="s">
        <v>7</v>
      </c>
      <c r="J3" s="64">
        <v>46229</v>
      </c>
      <c r="K3" s="64">
        <v>46230</v>
      </c>
      <c r="L3" s="64">
        <v>46231</v>
      </c>
      <c r="M3" s="64">
        <v>46232</v>
      </c>
      <c r="N3" s="64">
        <v>46233</v>
      </c>
      <c r="O3" s="64">
        <v>46234</v>
      </c>
      <c r="P3" s="64">
        <v>46235</v>
      </c>
      <c r="Q3" s="64">
        <v>46236</v>
      </c>
      <c r="R3" s="64">
        <v>46237</v>
      </c>
      <c r="S3" s="64">
        <v>46238</v>
      </c>
      <c r="T3" s="64">
        <v>46239</v>
      </c>
      <c r="U3" s="64">
        <v>46240</v>
      </c>
      <c r="V3" s="64">
        <v>46241</v>
      </c>
      <c r="W3" s="64">
        <v>46242</v>
      </c>
      <c r="X3" s="64">
        <v>46243</v>
      </c>
      <c r="Y3" s="64">
        <v>46244</v>
      </c>
      <c r="Z3" s="64">
        <v>46245</v>
      </c>
      <c r="AA3" s="64">
        <v>46246</v>
      </c>
      <c r="AB3" s="64">
        <v>46247</v>
      </c>
      <c r="AC3" s="64">
        <v>46248</v>
      </c>
      <c r="AD3" s="64">
        <v>46249</v>
      </c>
      <c r="AE3" s="64">
        <v>46250</v>
      </c>
      <c r="AF3" s="64">
        <v>46251</v>
      </c>
      <c r="AG3" s="64">
        <v>46252</v>
      </c>
      <c r="AH3" s="64">
        <v>46253</v>
      </c>
      <c r="AI3" s="64">
        <v>46254</v>
      </c>
      <c r="AJ3" s="64">
        <v>46255</v>
      </c>
      <c r="AK3" s="64">
        <v>46256</v>
      </c>
      <c r="AL3" s="64">
        <v>46257</v>
      </c>
      <c r="AM3" s="64">
        <v>46258</v>
      </c>
      <c r="AN3" s="64">
        <v>46259</v>
      </c>
      <c r="AO3" s="65" t="s">
        <v>8</v>
      </c>
      <c r="AP3" s="65" t="s">
        <v>9</v>
      </c>
      <c r="AQ3" s="65" t="s">
        <v>10</v>
      </c>
      <c r="AR3" s="66" t="s">
        <v>11</v>
      </c>
      <c r="AS3" s="66" t="s">
        <v>12</v>
      </c>
      <c r="AT3" s="66" t="s">
        <v>13</v>
      </c>
      <c r="AU3" s="66" t="s">
        <v>14</v>
      </c>
      <c r="AW3" s="156"/>
    </row>
    <row r="4" spans="1:49" ht="15.5" x14ac:dyDescent="0.35">
      <c r="A4" s="94"/>
      <c r="B4" s="222">
        <v>1</v>
      </c>
      <c r="C4" s="108" t="s">
        <v>231</v>
      </c>
      <c r="D4" s="223" t="s">
        <v>92</v>
      </c>
      <c r="E4" s="30" t="s">
        <v>103</v>
      </c>
      <c r="F4" s="223" t="s">
        <v>90</v>
      </c>
      <c r="G4" s="113" t="s">
        <v>19</v>
      </c>
      <c r="H4" s="223" t="s">
        <v>180</v>
      </c>
      <c r="I4" s="224">
        <v>45360</v>
      </c>
      <c r="J4" s="228" t="s">
        <v>16</v>
      </c>
      <c r="K4" s="131" t="s">
        <v>15</v>
      </c>
      <c r="L4" s="131" t="s">
        <v>15</v>
      </c>
      <c r="M4" s="131" t="s">
        <v>15</v>
      </c>
      <c r="N4" s="131" t="s">
        <v>15</v>
      </c>
      <c r="O4" s="131" t="s">
        <v>15</v>
      </c>
      <c r="P4" s="131" t="s">
        <v>15</v>
      </c>
      <c r="Q4" s="133" t="s">
        <v>16</v>
      </c>
      <c r="R4" s="133" t="s">
        <v>18</v>
      </c>
      <c r="S4" s="133" t="s">
        <v>15</v>
      </c>
      <c r="T4" s="133" t="s">
        <v>15</v>
      </c>
      <c r="U4" s="133" t="s">
        <v>15</v>
      </c>
      <c r="V4" s="133" t="s">
        <v>15</v>
      </c>
      <c r="W4" s="133" t="s">
        <v>15</v>
      </c>
      <c r="X4" s="133" t="s">
        <v>16</v>
      </c>
      <c r="Y4" s="133" t="s">
        <v>15</v>
      </c>
      <c r="Z4" s="133" t="s">
        <v>15</v>
      </c>
      <c r="AA4" s="133" t="s">
        <v>15</v>
      </c>
      <c r="AB4" s="133" t="s">
        <v>15</v>
      </c>
      <c r="AC4" s="133" t="s">
        <v>22</v>
      </c>
      <c r="AD4" s="133" t="s">
        <v>15</v>
      </c>
      <c r="AE4" s="133" t="s">
        <v>16</v>
      </c>
      <c r="AF4" s="133" t="s">
        <v>15</v>
      </c>
      <c r="AG4" s="133" t="s">
        <v>15</v>
      </c>
      <c r="AH4" s="133" t="s">
        <v>15</v>
      </c>
      <c r="AI4" s="133" t="s">
        <v>15</v>
      </c>
      <c r="AJ4" s="133" t="s">
        <v>15</v>
      </c>
      <c r="AK4" s="133" t="s">
        <v>17</v>
      </c>
      <c r="AL4" s="133" t="s">
        <v>16</v>
      </c>
      <c r="AM4" s="133" t="s">
        <v>15</v>
      </c>
      <c r="AN4" s="204" t="s">
        <v>15</v>
      </c>
      <c r="AO4" s="144">
        <f t="shared" ref="AO4:AO8" si="0">COUNTIF(J4:AN4,"R")</f>
        <v>5</v>
      </c>
      <c r="AP4" s="1">
        <f t="shared" ref="AP4:AP8" si="1">COUNTIF(J4:AN4,"GH")</f>
        <v>1</v>
      </c>
      <c r="AQ4" s="1">
        <f t="shared" ref="AQ4:AQ8" si="2">COUNTIF(J4:AN4,"A")</f>
        <v>1</v>
      </c>
      <c r="AR4" s="1">
        <f t="shared" ref="AR4:AR8" si="3">COUNTIF(J4:AN4,"p")</f>
        <v>23</v>
      </c>
      <c r="AS4" s="1">
        <f t="shared" ref="AS4:AS8" si="4">COUNTIF(J4:AN4,"L")</f>
        <v>1</v>
      </c>
      <c r="AT4" s="1">
        <f t="shared" ref="AT4:AT8" si="5">SUM(AO4:AS4)</f>
        <v>31</v>
      </c>
      <c r="AU4" s="57">
        <f t="shared" ref="AU4:AU8" si="6">(+AS4+AR4+AQ4+AP4+AO4)-AQ4</f>
        <v>30</v>
      </c>
      <c r="AW4" s="157"/>
    </row>
    <row r="5" spans="1:49" ht="15.5" x14ac:dyDescent="0.35">
      <c r="A5" s="94"/>
      <c r="B5" s="164">
        <v>2</v>
      </c>
      <c r="C5" s="81"/>
      <c r="D5" s="161" t="s">
        <v>232</v>
      </c>
      <c r="E5" s="31" t="s">
        <v>234</v>
      </c>
      <c r="F5" s="161" t="s">
        <v>90</v>
      </c>
      <c r="G5" s="114" t="s">
        <v>19</v>
      </c>
      <c r="H5" s="161" t="s">
        <v>180</v>
      </c>
      <c r="I5" s="225">
        <v>46211</v>
      </c>
      <c r="J5" s="135" t="s">
        <v>16</v>
      </c>
      <c r="K5" s="29" t="s">
        <v>15</v>
      </c>
      <c r="L5" s="29" t="s">
        <v>15</v>
      </c>
      <c r="M5" s="29" t="s">
        <v>15</v>
      </c>
      <c r="N5" s="29" t="s">
        <v>15</v>
      </c>
      <c r="O5" s="29" t="s">
        <v>15</v>
      </c>
      <c r="P5" s="29" t="s">
        <v>15</v>
      </c>
      <c r="Q5" s="28" t="s">
        <v>16</v>
      </c>
      <c r="R5" s="28" t="s">
        <v>15</v>
      </c>
      <c r="S5" s="28" t="s">
        <v>18</v>
      </c>
      <c r="T5" s="28" t="s">
        <v>15</v>
      </c>
      <c r="U5" s="28" t="s">
        <v>15</v>
      </c>
      <c r="V5" s="28" t="s">
        <v>15</v>
      </c>
      <c r="W5" s="28" t="s">
        <v>15</v>
      </c>
      <c r="X5" s="28" t="s">
        <v>16</v>
      </c>
      <c r="Y5" s="28" t="s">
        <v>15</v>
      </c>
      <c r="Z5" s="28" t="s">
        <v>15</v>
      </c>
      <c r="AA5" s="28" t="s">
        <v>15</v>
      </c>
      <c r="AB5" s="28" t="s">
        <v>15</v>
      </c>
      <c r="AC5" s="28" t="s">
        <v>22</v>
      </c>
      <c r="AD5" s="28" t="s">
        <v>15</v>
      </c>
      <c r="AE5" s="28" t="s">
        <v>16</v>
      </c>
      <c r="AF5" s="28" t="s">
        <v>15</v>
      </c>
      <c r="AG5" s="28" t="s">
        <v>15</v>
      </c>
      <c r="AH5" s="28" t="s">
        <v>15</v>
      </c>
      <c r="AI5" s="28" t="s">
        <v>15</v>
      </c>
      <c r="AJ5" s="28" t="s">
        <v>15</v>
      </c>
      <c r="AK5" s="28" t="s">
        <v>15</v>
      </c>
      <c r="AL5" s="28" t="s">
        <v>16</v>
      </c>
      <c r="AM5" s="28" t="s">
        <v>15</v>
      </c>
      <c r="AN5" s="138" t="s">
        <v>15</v>
      </c>
      <c r="AO5" s="144">
        <f t="shared" si="0"/>
        <v>5</v>
      </c>
      <c r="AP5" s="1">
        <f t="shared" si="1"/>
        <v>1</v>
      </c>
      <c r="AQ5" s="1">
        <f t="shared" si="2"/>
        <v>0</v>
      </c>
      <c r="AR5" s="1">
        <f t="shared" si="3"/>
        <v>24</v>
      </c>
      <c r="AS5" s="1">
        <f t="shared" si="4"/>
        <v>1</v>
      </c>
      <c r="AT5" s="1">
        <f t="shared" si="5"/>
        <v>31</v>
      </c>
      <c r="AU5" s="57">
        <f t="shared" si="6"/>
        <v>31</v>
      </c>
      <c r="AW5" s="157"/>
    </row>
    <row r="6" spans="1:49" ht="15.5" x14ac:dyDescent="0.35">
      <c r="A6" s="94"/>
      <c r="B6" s="165">
        <v>3</v>
      </c>
      <c r="C6" s="167" t="s">
        <v>233</v>
      </c>
      <c r="D6" s="162" t="s">
        <v>182</v>
      </c>
      <c r="E6" s="42" t="s">
        <v>105</v>
      </c>
      <c r="F6" s="162" t="s">
        <v>90</v>
      </c>
      <c r="G6" s="163" t="s">
        <v>19</v>
      </c>
      <c r="H6" s="161" t="s">
        <v>180</v>
      </c>
      <c r="I6" s="226">
        <v>45789</v>
      </c>
      <c r="J6" s="135" t="s">
        <v>16</v>
      </c>
      <c r="K6" s="29" t="s">
        <v>15</v>
      </c>
      <c r="L6" s="29" t="s">
        <v>15</v>
      </c>
      <c r="M6" s="29" t="s">
        <v>15</v>
      </c>
      <c r="N6" s="29" t="s">
        <v>15</v>
      </c>
      <c r="O6" s="29" t="s">
        <v>15</v>
      </c>
      <c r="P6" s="29" t="s">
        <v>15</v>
      </c>
      <c r="Q6" s="28" t="s">
        <v>16</v>
      </c>
      <c r="R6" s="28" t="s">
        <v>15</v>
      </c>
      <c r="S6" s="28" t="s">
        <v>15</v>
      </c>
      <c r="T6" s="28" t="s">
        <v>15</v>
      </c>
      <c r="U6" s="28" t="s">
        <v>15</v>
      </c>
      <c r="V6" s="28" t="s">
        <v>15</v>
      </c>
      <c r="W6" s="28" t="s">
        <v>15</v>
      </c>
      <c r="X6" s="28" t="s">
        <v>16</v>
      </c>
      <c r="Y6" s="28" t="s">
        <v>15</v>
      </c>
      <c r="Z6" s="28" t="s">
        <v>15</v>
      </c>
      <c r="AA6" s="28" t="s">
        <v>15</v>
      </c>
      <c r="AB6" s="28" t="s">
        <v>15</v>
      </c>
      <c r="AC6" s="28" t="s">
        <v>22</v>
      </c>
      <c r="AD6" s="28" t="s">
        <v>18</v>
      </c>
      <c r="AE6" s="28" t="s">
        <v>16</v>
      </c>
      <c r="AF6" s="28" t="s">
        <v>15</v>
      </c>
      <c r="AG6" s="28" t="s">
        <v>15</v>
      </c>
      <c r="AH6" s="28" t="s">
        <v>15</v>
      </c>
      <c r="AI6" s="28" t="s">
        <v>15</v>
      </c>
      <c r="AJ6" s="28" t="s">
        <v>15</v>
      </c>
      <c r="AK6" s="28" t="s">
        <v>15</v>
      </c>
      <c r="AL6" s="28" t="s">
        <v>16</v>
      </c>
      <c r="AM6" s="28" t="s">
        <v>15</v>
      </c>
      <c r="AN6" s="138" t="s">
        <v>15</v>
      </c>
      <c r="AO6" s="144">
        <f t="shared" si="0"/>
        <v>5</v>
      </c>
      <c r="AP6" s="1">
        <f t="shared" si="1"/>
        <v>1</v>
      </c>
      <c r="AQ6" s="1">
        <f t="shared" si="2"/>
        <v>0</v>
      </c>
      <c r="AR6" s="1">
        <f t="shared" si="3"/>
        <v>24</v>
      </c>
      <c r="AS6" s="1">
        <f t="shared" si="4"/>
        <v>1</v>
      </c>
      <c r="AT6" s="1">
        <f t="shared" si="5"/>
        <v>31</v>
      </c>
      <c r="AU6" s="57">
        <f t="shared" si="6"/>
        <v>31</v>
      </c>
      <c r="AW6" s="157"/>
    </row>
    <row r="7" spans="1:49" ht="15.5" x14ac:dyDescent="0.35">
      <c r="A7" s="94"/>
      <c r="B7" s="165">
        <v>4</v>
      </c>
      <c r="C7" s="81" t="s">
        <v>183</v>
      </c>
      <c r="D7" s="161" t="s">
        <v>184</v>
      </c>
      <c r="E7" s="31" t="s">
        <v>185</v>
      </c>
      <c r="F7" s="161" t="s">
        <v>90</v>
      </c>
      <c r="G7" s="114" t="s">
        <v>19</v>
      </c>
      <c r="H7" s="161" t="s">
        <v>180</v>
      </c>
      <c r="I7" s="225">
        <v>46063</v>
      </c>
      <c r="J7" s="135" t="s">
        <v>16</v>
      </c>
      <c r="K7" s="29" t="s">
        <v>17</v>
      </c>
      <c r="L7" s="29" t="s">
        <v>17</v>
      </c>
      <c r="M7" s="29" t="s">
        <v>17</v>
      </c>
      <c r="N7" s="29" t="s">
        <v>17</v>
      </c>
      <c r="O7" s="29" t="s">
        <v>17</v>
      </c>
      <c r="P7" s="29" t="s">
        <v>17</v>
      </c>
      <c r="Q7" s="28" t="s">
        <v>16</v>
      </c>
      <c r="R7" s="28" t="s">
        <v>17</v>
      </c>
      <c r="S7" s="28" t="s">
        <v>17</v>
      </c>
      <c r="T7" s="28" t="s">
        <v>17</v>
      </c>
      <c r="U7" s="28" t="s">
        <v>17</v>
      </c>
      <c r="V7" s="28" t="s">
        <v>17</v>
      </c>
      <c r="W7" s="28" t="s">
        <v>17</v>
      </c>
      <c r="X7" s="28" t="s">
        <v>16</v>
      </c>
      <c r="Y7" s="28" t="s">
        <v>17</v>
      </c>
      <c r="Z7" s="28" t="s">
        <v>17</v>
      </c>
      <c r="AA7" s="28" t="s">
        <v>17</v>
      </c>
      <c r="AB7" s="28" t="s">
        <v>17</v>
      </c>
      <c r="AC7" s="28" t="s">
        <v>22</v>
      </c>
      <c r="AD7" s="28" t="s">
        <v>17</v>
      </c>
      <c r="AE7" s="28" t="s">
        <v>16</v>
      </c>
      <c r="AF7" s="28" t="s">
        <v>17</v>
      </c>
      <c r="AG7" s="28" t="s">
        <v>17</v>
      </c>
      <c r="AH7" s="28" t="s">
        <v>17</v>
      </c>
      <c r="AI7" s="28" t="s">
        <v>17</v>
      </c>
      <c r="AJ7" s="28" t="s">
        <v>17</v>
      </c>
      <c r="AK7" s="28" t="s">
        <v>17</v>
      </c>
      <c r="AL7" s="28" t="s">
        <v>16</v>
      </c>
      <c r="AM7" s="28" t="s">
        <v>17</v>
      </c>
      <c r="AN7" s="138" t="s">
        <v>17</v>
      </c>
      <c r="AO7" s="144">
        <f t="shared" si="0"/>
        <v>5</v>
      </c>
      <c r="AP7" s="1">
        <f t="shared" si="1"/>
        <v>1</v>
      </c>
      <c r="AQ7" s="1">
        <f t="shared" si="2"/>
        <v>25</v>
      </c>
      <c r="AR7" s="1">
        <f t="shared" si="3"/>
        <v>0</v>
      </c>
      <c r="AS7" s="1">
        <f t="shared" si="4"/>
        <v>0</v>
      </c>
      <c r="AT7" s="1">
        <f t="shared" si="5"/>
        <v>31</v>
      </c>
      <c r="AU7" s="57">
        <f t="shared" si="6"/>
        <v>6</v>
      </c>
      <c r="AW7" s="157"/>
    </row>
    <row r="8" spans="1:49" ht="16" thickBot="1" x14ac:dyDescent="0.4">
      <c r="A8" s="94"/>
      <c r="B8" s="166">
        <v>5</v>
      </c>
      <c r="C8" s="82" t="s">
        <v>213</v>
      </c>
      <c r="D8" s="168" t="s">
        <v>186</v>
      </c>
      <c r="E8" s="169" t="s">
        <v>187</v>
      </c>
      <c r="F8" s="168" t="s">
        <v>90</v>
      </c>
      <c r="G8" s="170" t="s">
        <v>19</v>
      </c>
      <c r="H8" s="168" t="s">
        <v>180</v>
      </c>
      <c r="I8" s="227">
        <v>46175</v>
      </c>
      <c r="J8" s="171" t="s">
        <v>16</v>
      </c>
      <c r="K8" s="172" t="s">
        <v>18</v>
      </c>
      <c r="L8" s="172" t="s">
        <v>15</v>
      </c>
      <c r="M8" s="172" t="s">
        <v>15</v>
      </c>
      <c r="N8" s="172" t="s">
        <v>15</v>
      </c>
      <c r="O8" s="172" t="s">
        <v>15</v>
      </c>
      <c r="P8" s="172" t="s">
        <v>15</v>
      </c>
      <c r="Q8" s="172" t="s">
        <v>16</v>
      </c>
      <c r="R8" s="172" t="s">
        <v>15</v>
      </c>
      <c r="S8" s="172" t="s">
        <v>15</v>
      </c>
      <c r="T8" s="172" t="s">
        <v>15</v>
      </c>
      <c r="U8" s="172" t="s">
        <v>15</v>
      </c>
      <c r="V8" s="172" t="s">
        <v>15</v>
      </c>
      <c r="W8" s="172" t="s">
        <v>15</v>
      </c>
      <c r="X8" s="172" t="s">
        <v>16</v>
      </c>
      <c r="Y8" s="172" t="s">
        <v>15</v>
      </c>
      <c r="Z8" s="172" t="s">
        <v>15</v>
      </c>
      <c r="AA8" s="172" t="s">
        <v>15</v>
      </c>
      <c r="AB8" s="172" t="s">
        <v>15</v>
      </c>
      <c r="AC8" s="172" t="s">
        <v>22</v>
      </c>
      <c r="AD8" s="172" t="s">
        <v>15</v>
      </c>
      <c r="AE8" s="172" t="s">
        <v>16</v>
      </c>
      <c r="AF8" s="172" t="s">
        <v>15</v>
      </c>
      <c r="AG8" s="172" t="s">
        <v>15</v>
      </c>
      <c r="AH8" s="172" t="s">
        <v>15</v>
      </c>
      <c r="AI8" s="172" t="s">
        <v>15</v>
      </c>
      <c r="AJ8" s="172" t="s">
        <v>15</v>
      </c>
      <c r="AK8" s="172" t="s">
        <v>15</v>
      </c>
      <c r="AL8" s="172" t="s">
        <v>16</v>
      </c>
      <c r="AM8" s="172" t="s">
        <v>15</v>
      </c>
      <c r="AN8" s="229" t="s">
        <v>15</v>
      </c>
      <c r="AO8" s="146">
        <f t="shared" si="0"/>
        <v>5</v>
      </c>
      <c r="AP8" s="58">
        <f t="shared" si="1"/>
        <v>1</v>
      </c>
      <c r="AQ8" s="58">
        <f t="shared" si="2"/>
        <v>0</v>
      </c>
      <c r="AR8" s="58">
        <f t="shared" si="3"/>
        <v>24</v>
      </c>
      <c r="AS8" s="58">
        <f t="shared" si="4"/>
        <v>1</v>
      </c>
      <c r="AT8" s="58">
        <f t="shared" si="5"/>
        <v>31</v>
      </c>
      <c r="AU8" s="59">
        <f t="shared" si="6"/>
        <v>31</v>
      </c>
      <c r="AW8" s="157"/>
    </row>
    <row r="9" spans="1:49" x14ac:dyDescent="0.35">
      <c r="B9" s="6"/>
      <c r="C9" s="2"/>
      <c r="D9" s="7"/>
      <c r="E9" s="2"/>
      <c r="F9" s="2"/>
      <c r="G9" s="6"/>
      <c r="H9" s="3"/>
      <c r="K9" s="9"/>
      <c r="L9" s="9"/>
      <c r="M9" s="9"/>
      <c r="N9" s="9"/>
      <c r="O9" s="9"/>
      <c r="P9" s="9" t="s">
        <v>86</v>
      </c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9" t="s">
        <v>76</v>
      </c>
      <c r="AP9" s="9"/>
      <c r="AQ9" s="9"/>
      <c r="AR9" s="9"/>
      <c r="AS9" s="2"/>
      <c r="AT9" s="2"/>
    </row>
    <row r="10" spans="1:49" x14ac:dyDescent="0.35">
      <c r="B10" s="6"/>
      <c r="C10" s="2"/>
      <c r="D10" s="7"/>
      <c r="E10" s="2"/>
      <c r="F10" s="2"/>
      <c r="G10" s="6"/>
      <c r="H10" s="3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/>
      <c r="AP10" s="9"/>
      <c r="AQ10" s="9"/>
      <c r="AR10" s="9"/>
      <c r="AS10" s="2"/>
      <c r="AT10" s="2"/>
    </row>
    <row r="11" spans="1:49" ht="15" thickBot="1" x14ac:dyDescent="0.4">
      <c r="B11" s="6"/>
      <c r="C11" s="2"/>
      <c r="D11" s="7"/>
      <c r="E11" s="2"/>
      <c r="F11" s="2"/>
      <c r="G11" s="6"/>
      <c r="H11" s="3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9"/>
      <c r="AP11" s="9"/>
      <c r="AQ11" s="9"/>
      <c r="AR11" s="9"/>
      <c r="AS11" s="2"/>
      <c r="AT11" s="2"/>
    </row>
    <row r="12" spans="1:49" ht="15" thickBot="1" x14ac:dyDescent="0.4">
      <c r="B12" s="6"/>
      <c r="C12" s="2"/>
      <c r="D12" s="7"/>
      <c r="E12" s="2"/>
      <c r="F12" s="2"/>
      <c r="G12" s="6"/>
      <c r="H12" s="3"/>
      <c r="I12" s="23" t="s">
        <v>25</v>
      </c>
      <c r="J12" s="20" t="s">
        <v>16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9"/>
      <c r="AP12" s="9"/>
      <c r="AQ12" s="9"/>
      <c r="AR12" s="9"/>
      <c r="AS12" s="2"/>
      <c r="AT12" s="2"/>
    </row>
    <row r="13" spans="1:49" ht="24.5" thickBot="1" x14ac:dyDescent="0.4">
      <c r="B13" s="6"/>
      <c r="C13" s="2"/>
      <c r="D13" s="7"/>
      <c r="E13" s="2"/>
      <c r="F13" s="2"/>
      <c r="G13" s="6"/>
      <c r="H13" s="3"/>
      <c r="I13" s="19" t="s">
        <v>21</v>
      </c>
      <c r="J13" s="21" t="s">
        <v>22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9"/>
      <c r="AP13" s="9"/>
      <c r="AQ13" s="9"/>
      <c r="AR13" s="9"/>
      <c r="AS13" s="2"/>
      <c r="AT13" s="2"/>
    </row>
    <row r="14" spans="1:49" ht="15" thickBot="1" x14ac:dyDescent="0.4">
      <c r="B14" s="6"/>
      <c r="C14" s="2"/>
      <c r="D14" s="7"/>
      <c r="E14" s="2"/>
      <c r="F14" s="2"/>
      <c r="G14" s="6"/>
      <c r="H14" s="3"/>
      <c r="I14" s="8" t="s">
        <v>23</v>
      </c>
      <c r="J14" s="22" t="s">
        <v>17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9"/>
      <c r="AP14" s="9"/>
      <c r="AQ14" s="9"/>
      <c r="AR14" s="9"/>
      <c r="AS14" s="2"/>
      <c r="AT14" s="2"/>
    </row>
    <row r="15" spans="1:49" ht="15" thickBot="1" x14ac:dyDescent="0.4">
      <c r="I15" s="8" t="s">
        <v>24</v>
      </c>
      <c r="J15" s="22" t="s">
        <v>15</v>
      </c>
    </row>
    <row r="16" spans="1:49" ht="15" thickBot="1" x14ac:dyDescent="0.4">
      <c r="I16" s="8" t="s">
        <v>26</v>
      </c>
      <c r="J16" s="22" t="s">
        <v>18</v>
      </c>
    </row>
    <row r="18" spans="7:8" x14ac:dyDescent="0.35">
      <c r="G18" s="158"/>
      <c r="H18" s="159"/>
    </row>
  </sheetData>
  <mergeCells count="1">
    <mergeCell ref="B2:AT2"/>
  </mergeCells>
  <conditionalFormatting sqref="B8 D8:AN8">
    <cfRule type="cellIs" dxfId="53" priority="22" operator="equal">
      <formula>"P"</formula>
    </cfRule>
    <cfRule type="cellIs" dxfId="52" priority="23" operator="equal">
      <formula>"A"</formula>
    </cfRule>
    <cfRule type="cellIs" dxfId="51" priority="25" operator="equal">
      <formula>"AL"</formula>
    </cfRule>
    <cfRule type="cellIs" dxfId="50" priority="24" operator="equal">
      <formula>"AL"</formula>
    </cfRule>
    <cfRule type="cellIs" dxfId="49" priority="17" operator="equal">
      <formula>"CL"</formula>
    </cfRule>
    <cfRule type="cellIs" dxfId="48" priority="18" operator="equal">
      <formula>"SL"</formula>
    </cfRule>
    <cfRule type="cellIs" dxfId="47" priority="19" operator="equal">
      <formula>"GH"</formula>
    </cfRule>
    <cfRule type="cellIs" dxfId="46" priority="20" operator="equal">
      <formula>"R"</formula>
    </cfRule>
    <cfRule type="cellIs" dxfId="45" priority="21" operator="equal">
      <formula>"OD"</formula>
    </cfRule>
  </conditionalFormatting>
  <conditionalFormatting sqref="C9:C14 C3">
    <cfRule type="duplicateValues" dxfId="44" priority="38"/>
  </conditionalFormatting>
  <conditionalFormatting sqref="C9:C14">
    <cfRule type="duplicateValues" dxfId="43" priority="37"/>
  </conditionalFormatting>
  <conditionalFormatting sqref="G18:H18">
    <cfRule type="cellIs" dxfId="42" priority="50" operator="equal">
      <formula>"A"</formula>
    </cfRule>
    <cfRule type="cellIs" dxfId="41" priority="51" operator="equal">
      <formula>"AL"</formula>
    </cfRule>
    <cfRule type="cellIs" dxfId="40" priority="52" operator="equal">
      <formula>"CL"</formula>
    </cfRule>
    <cfRule type="cellIs" dxfId="39" priority="53" operator="equal">
      <formula>"SL"</formula>
    </cfRule>
    <cfRule type="cellIs" dxfId="38" priority="54" operator="equal">
      <formula>"GH"</formula>
    </cfRule>
    <cfRule type="cellIs" dxfId="37" priority="49" operator="equal">
      <formula>"P"</formula>
    </cfRule>
    <cfRule type="cellIs" dxfId="36" priority="47" operator="equal">
      <formula>"R"</formula>
    </cfRule>
    <cfRule type="cellIs" dxfId="35" priority="48" operator="equal">
      <formula>"OD"</formula>
    </cfRule>
  </conditionalFormatting>
  <conditionalFormatting sqref="I12:J16">
    <cfRule type="cellIs" dxfId="34" priority="1" operator="equal">
      <formula>"CL"</formula>
    </cfRule>
    <cfRule type="cellIs" dxfId="33" priority="2" operator="equal">
      <formula>"SL"</formula>
    </cfRule>
    <cfRule type="cellIs" dxfId="32" priority="3" operator="equal">
      <formula>"GH"</formula>
    </cfRule>
    <cfRule type="cellIs" dxfId="31" priority="4" operator="equal">
      <formula>"R"</formula>
    </cfRule>
    <cfRule type="cellIs" dxfId="30" priority="5" operator="equal">
      <formula>"OD"</formula>
    </cfRule>
    <cfRule type="cellIs" dxfId="29" priority="7" operator="equal">
      <formula>"A"</formula>
    </cfRule>
    <cfRule type="cellIs" dxfId="28" priority="8" operator="equal">
      <formula>"AL"</formula>
    </cfRule>
    <cfRule type="cellIs" dxfId="27" priority="6" operator="equal">
      <formula>"P"</formula>
    </cfRule>
  </conditionalFormatting>
  <conditionalFormatting sqref="J12:J16">
    <cfRule type="cellIs" dxfId="26" priority="9" operator="equal">
      <formula>"AL"</formula>
    </cfRule>
  </conditionalFormatting>
  <conditionalFormatting sqref="J3:AN3">
    <cfRule type="cellIs" dxfId="25" priority="28" operator="equal">
      <formula>"L"</formula>
    </cfRule>
  </conditionalFormatting>
  <conditionalFormatting sqref="J3:AN7">
    <cfRule type="cellIs" dxfId="24" priority="11" operator="equal">
      <formula>"SL"</formula>
    </cfRule>
    <cfRule type="cellIs" dxfId="23" priority="12" operator="equal">
      <formula>"GH"</formula>
    </cfRule>
    <cfRule type="cellIs" dxfId="22" priority="16" operator="equal">
      <formula>"A"</formula>
    </cfRule>
    <cfRule type="cellIs" dxfId="21" priority="15" operator="equal">
      <formula>"P"</formula>
    </cfRule>
    <cfRule type="cellIs" dxfId="20" priority="14" operator="equal">
      <formula>"OD"</formula>
    </cfRule>
    <cfRule type="cellIs" dxfId="19" priority="26" operator="equal">
      <formula>"AL"</formula>
    </cfRule>
    <cfRule type="cellIs" dxfId="18" priority="27" operator="equal">
      <formula>"AL"</formula>
    </cfRule>
  </conditionalFormatting>
  <conditionalFormatting sqref="J4:AN7">
    <cfRule type="cellIs" dxfId="17" priority="10" operator="equal">
      <formula>"CL"</formula>
    </cfRule>
    <cfRule type="cellIs" dxfId="16" priority="13" operator="equal">
      <formula>"R"</formula>
    </cfRule>
  </conditionalFormatting>
  <conditionalFormatting sqref="M9:AN14">
    <cfRule type="cellIs" dxfId="15" priority="32" operator="equal">
      <formula>"A"</formula>
    </cfRule>
    <cfRule type="cellIs" dxfId="14" priority="29" operator="equal">
      <formula>"R"</formula>
    </cfRule>
    <cfRule type="cellIs" dxfId="13" priority="30" operator="equal">
      <formula>"OD"</formula>
    </cfRule>
    <cfRule type="cellIs" dxfId="12" priority="31" operator="equal">
      <formula>"P"</formula>
    </cfRule>
  </conditionalFormatting>
  <conditionalFormatting sqref="M9:AO14">
    <cfRule type="cellIs" dxfId="11" priority="33" operator="equal">
      <formula>"AL"</formula>
    </cfRule>
    <cfRule type="cellIs" dxfId="10" priority="34" operator="equal">
      <formula>"CL"</formula>
    </cfRule>
    <cfRule type="cellIs" dxfId="9" priority="35" operator="equal">
      <formula>"SL"</formula>
    </cfRule>
    <cfRule type="cellIs" dxfId="8" priority="36" operator="equal">
      <formula>"GH"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5CB6-C419-40B4-8334-7DF3F551C5D5}">
  <sheetPr codeName="Sheet4"/>
  <dimension ref="B2:K46"/>
  <sheetViews>
    <sheetView topLeftCell="A17" workbookViewId="0">
      <selection activeCell="C37" sqref="C37"/>
    </sheetView>
  </sheetViews>
  <sheetFormatPr defaultRowHeight="14.5" x14ac:dyDescent="0.35"/>
  <cols>
    <col min="1" max="1" width="2.453125" customWidth="1"/>
    <col min="2" max="2" width="20" bestFit="1" customWidth="1"/>
    <col min="3" max="3" width="21" bestFit="1" customWidth="1"/>
    <col min="4" max="4" width="54.7265625" bestFit="1" customWidth="1"/>
    <col min="5" max="5" width="17.54296875" bestFit="1" customWidth="1"/>
    <col min="6" max="6" width="14.453125" bestFit="1" customWidth="1"/>
    <col min="7" max="7" width="17.54296875" bestFit="1" customWidth="1"/>
    <col min="8" max="8" width="14.453125" bestFit="1" customWidth="1"/>
    <col min="9" max="9" width="33.7265625" bestFit="1" customWidth="1"/>
    <col min="10" max="10" width="30.1796875" bestFit="1" customWidth="1"/>
    <col min="11" max="11" width="27" bestFit="1" customWidth="1"/>
  </cols>
  <sheetData>
    <row r="2" spans="2:11" ht="15" thickBot="1" x14ac:dyDescent="0.4"/>
    <row r="3" spans="2:11" s="13" customFormat="1" ht="24.75" customHeight="1" thickBot="1" x14ac:dyDescent="0.4">
      <c r="B3" s="233" t="s">
        <v>46</v>
      </c>
      <c r="C3" s="234"/>
      <c r="D3" s="235"/>
      <c r="E3" s="235"/>
      <c r="F3" s="235"/>
      <c r="G3" s="235"/>
      <c r="H3" s="235"/>
      <c r="I3" s="236"/>
    </row>
    <row r="4" spans="2:11" s="13" customFormat="1" ht="24.75" customHeight="1" thickBot="1" x14ac:dyDescent="0.4">
      <c r="B4" s="14" t="s">
        <v>53</v>
      </c>
      <c r="C4" s="15" t="s">
        <v>54</v>
      </c>
      <c r="D4" s="15" t="s">
        <v>27</v>
      </c>
      <c r="E4" s="16" t="s">
        <v>28</v>
      </c>
      <c r="F4" s="14" t="s">
        <v>29</v>
      </c>
      <c r="G4" s="14" t="s">
        <v>41</v>
      </c>
      <c r="H4" s="16" t="s">
        <v>30</v>
      </c>
      <c r="I4" s="14" t="s">
        <v>31</v>
      </c>
    </row>
    <row r="5" spans="2:11" s="13" customFormat="1" ht="24.75" customHeight="1" x14ac:dyDescent="0.35">
      <c r="B5" s="45" t="s">
        <v>55</v>
      </c>
      <c r="C5" s="30" t="s">
        <v>56</v>
      </c>
      <c r="D5" s="33" t="s">
        <v>58</v>
      </c>
      <c r="E5" s="30" t="s">
        <v>62</v>
      </c>
      <c r="F5" s="33" t="s">
        <v>63</v>
      </c>
      <c r="G5" s="30"/>
      <c r="H5" s="33" t="s">
        <v>50</v>
      </c>
      <c r="I5" s="36" t="s">
        <v>64</v>
      </c>
    </row>
    <row r="6" spans="2:11" s="13" customFormat="1" ht="24.75" customHeight="1" x14ac:dyDescent="0.35">
      <c r="B6" s="46" t="s">
        <v>32</v>
      </c>
      <c r="C6" s="49" t="s">
        <v>57</v>
      </c>
      <c r="D6" s="34" t="s">
        <v>59</v>
      </c>
      <c r="E6" s="31" t="s">
        <v>38</v>
      </c>
      <c r="F6" s="34" t="s">
        <v>37</v>
      </c>
      <c r="G6" s="31" t="s">
        <v>40</v>
      </c>
      <c r="H6" s="34" t="s">
        <v>39</v>
      </c>
      <c r="I6" s="37" t="s">
        <v>36</v>
      </c>
    </row>
    <row r="7" spans="2:11" s="13" customFormat="1" ht="24.75" customHeight="1" x14ac:dyDescent="0.35">
      <c r="B7" s="51" t="s">
        <v>33</v>
      </c>
      <c r="C7" s="52" t="s">
        <v>57</v>
      </c>
      <c r="D7" s="53" t="s">
        <v>60</v>
      </c>
      <c r="E7" s="54" t="s">
        <v>45</v>
      </c>
      <c r="F7" s="53" t="s">
        <v>42</v>
      </c>
      <c r="G7" s="54" t="s">
        <v>43</v>
      </c>
      <c r="H7" s="53" t="s">
        <v>39</v>
      </c>
      <c r="I7" s="55" t="s">
        <v>44</v>
      </c>
      <c r="K7" s="17"/>
    </row>
    <row r="8" spans="2:11" s="13" customFormat="1" ht="24.75" customHeight="1" x14ac:dyDescent="0.35">
      <c r="B8" s="51" t="s">
        <v>66</v>
      </c>
      <c r="C8" s="52" t="s">
        <v>57</v>
      </c>
      <c r="D8" s="53" t="s">
        <v>67</v>
      </c>
      <c r="E8" s="54" t="s">
        <v>68</v>
      </c>
      <c r="F8" s="53" t="s">
        <v>69</v>
      </c>
      <c r="G8" s="54" t="s">
        <v>79</v>
      </c>
      <c r="H8" s="53" t="s">
        <v>50</v>
      </c>
      <c r="I8" s="56" t="s">
        <v>75</v>
      </c>
    </row>
    <row r="9" spans="2:11" s="13" customFormat="1" ht="24.75" customHeight="1" x14ac:dyDescent="0.35">
      <c r="B9" s="47" t="s">
        <v>34</v>
      </c>
      <c r="C9" s="49" t="s">
        <v>57</v>
      </c>
      <c r="D9" s="34" t="s">
        <v>78</v>
      </c>
      <c r="E9" s="31" t="s">
        <v>77</v>
      </c>
      <c r="F9" s="34" t="s">
        <v>51</v>
      </c>
      <c r="G9" s="31" t="s">
        <v>52</v>
      </c>
      <c r="H9" s="34" t="s">
        <v>50</v>
      </c>
      <c r="I9" s="37" t="s">
        <v>80</v>
      </c>
    </row>
    <row r="10" spans="2:11" s="13" customFormat="1" ht="24.75" customHeight="1" x14ac:dyDescent="0.35">
      <c r="B10" s="47" t="s">
        <v>70</v>
      </c>
      <c r="C10" s="49" t="s">
        <v>57</v>
      </c>
      <c r="D10" s="34" t="s">
        <v>71</v>
      </c>
      <c r="E10" s="31" t="s">
        <v>72</v>
      </c>
      <c r="F10" s="34" t="s">
        <v>73</v>
      </c>
      <c r="G10" s="31"/>
      <c r="H10" s="34" t="s">
        <v>50</v>
      </c>
      <c r="I10" s="37" t="s">
        <v>74</v>
      </c>
    </row>
    <row r="11" spans="2:11" s="13" customFormat="1" ht="24.75" customHeight="1" x14ac:dyDescent="0.35">
      <c r="B11" s="44" t="s">
        <v>81</v>
      </c>
      <c r="C11" s="49" t="s">
        <v>57</v>
      </c>
      <c r="D11" s="43" t="s">
        <v>85</v>
      </c>
      <c r="E11" s="42" t="s">
        <v>84</v>
      </c>
      <c r="F11" s="43" t="s">
        <v>82</v>
      </c>
      <c r="G11" s="42"/>
      <c r="H11" s="34" t="s">
        <v>50</v>
      </c>
      <c r="I11" s="37" t="s">
        <v>83</v>
      </c>
    </row>
    <row r="12" spans="2:11" s="13" customFormat="1" ht="24.75" customHeight="1" thickBot="1" x14ac:dyDescent="0.4">
      <c r="B12" s="48" t="s">
        <v>35</v>
      </c>
      <c r="C12" s="50" t="s">
        <v>57</v>
      </c>
      <c r="D12" s="35" t="s">
        <v>61</v>
      </c>
      <c r="E12" s="32" t="s">
        <v>49</v>
      </c>
      <c r="F12" s="35" t="s">
        <v>48</v>
      </c>
      <c r="G12" s="32" t="s">
        <v>65</v>
      </c>
      <c r="H12" s="35" t="s">
        <v>50</v>
      </c>
      <c r="I12" s="38" t="s">
        <v>47</v>
      </c>
      <c r="K12" s="18"/>
    </row>
    <row r="13" spans="2:11" ht="15" thickBot="1" x14ac:dyDescent="0.4">
      <c r="F13" s="12"/>
    </row>
    <row r="14" spans="2:11" ht="16" thickBot="1" x14ac:dyDescent="0.4">
      <c r="B14" s="237" t="s">
        <v>46</v>
      </c>
      <c r="C14" s="238"/>
      <c r="D14" s="238"/>
      <c r="E14" s="238"/>
      <c r="F14" s="238"/>
      <c r="G14" s="238"/>
      <c r="H14" s="238"/>
      <c r="I14" s="238"/>
      <c r="J14" s="239"/>
      <c r="K14" s="12"/>
    </row>
    <row r="15" spans="2:11" ht="16" thickBot="1" x14ac:dyDescent="0.4">
      <c r="B15" s="177" t="s">
        <v>110</v>
      </c>
      <c r="C15" s="79" t="s">
        <v>53</v>
      </c>
      <c r="D15" s="79" t="s">
        <v>54</v>
      </c>
      <c r="E15" s="80" t="s">
        <v>111</v>
      </c>
      <c r="F15" s="80" t="s">
        <v>112</v>
      </c>
      <c r="G15" s="41" t="s">
        <v>28</v>
      </c>
      <c r="H15" s="80" t="s">
        <v>29</v>
      </c>
      <c r="I15" s="80" t="s">
        <v>113</v>
      </c>
      <c r="J15" s="14" t="s">
        <v>114</v>
      </c>
      <c r="K15" s="12"/>
    </row>
    <row r="16" spans="2:11" ht="15.5" x14ac:dyDescent="0.35">
      <c r="B16" s="84" t="s">
        <v>212</v>
      </c>
      <c r="C16" s="178" t="s">
        <v>91</v>
      </c>
      <c r="D16" s="174" t="s">
        <v>57</v>
      </c>
      <c r="E16" s="173" t="s">
        <v>90</v>
      </c>
      <c r="F16" s="182">
        <v>45325</v>
      </c>
      <c r="G16" s="173" t="s">
        <v>115</v>
      </c>
      <c r="H16" s="174" t="s">
        <v>102</v>
      </c>
      <c r="I16" s="173" t="s">
        <v>191</v>
      </c>
      <c r="J16" s="186"/>
    </row>
    <row r="17" spans="2:11" ht="15.5" x14ac:dyDescent="0.35">
      <c r="B17" s="85" t="s">
        <v>211</v>
      </c>
      <c r="C17" s="179" t="s">
        <v>92</v>
      </c>
      <c r="D17" s="34" t="s">
        <v>57</v>
      </c>
      <c r="E17" s="31" t="s">
        <v>90</v>
      </c>
      <c r="F17" s="183">
        <v>45538</v>
      </c>
      <c r="G17" s="31" t="s">
        <v>117</v>
      </c>
      <c r="H17" s="34" t="s">
        <v>103</v>
      </c>
      <c r="I17" s="31" t="s">
        <v>116</v>
      </c>
      <c r="J17" s="187"/>
      <c r="K17" s="11"/>
    </row>
    <row r="18" spans="2:11" ht="15.5" x14ac:dyDescent="0.35">
      <c r="B18" s="85" t="s">
        <v>183</v>
      </c>
      <c r="C18" s="193" t="s">
        <v>189</v>
      </c>
      <c r="D18" s="53" t="s">
        <v>57</v>
      </c>
      <c r="E18" s="54" t="s">
        <v>90</v>
      </c>
      <c r="F18" s="230">
        <v>46079</v>
      </c>
      <c r="G18" s="54" t="s">
        <v>204</v>
      </c>
      <c r="H18" s="53" t="s">
        <v>185</v>
      </c>
      <c r="I18" s="54" t="s">
        <v>208</v>
      </c>
      <c r="J18" s="187"/>
      <c r="K18" s="11"/>
    </row>
    <row r="19" spans="2:11" ht="15.5" x14ac:dyDescent="0.35">
      <c r="B19" s="85" t="s">
        <v>213</v>
      </c>
      <c r="C19" s="179" t="s">
        <v>190</v>
      </c>
      <c r="D19" s="34" t="s">
        <v>57</v>
      </c>
      <c r="E19" s="31" t="s">
        <v>90</v>
      </c>
      <c r="F19" s="183">
        <v>46175</v>
      </c>
      <c r="G19" s="31" t="s">
        <v>205</v>
      </c>
      <c r="H19" s="34" t="s">
        <v>187</v>
      </c>
      <c r="I19" s="31" t="s">
        <v>116</v>
      </c>
      <c r="J19" s="187"/>
      <c r="K19" s="11"/>
    </row>
    <row r="20" spans="2:11" ht="15.5" x14ac:dyDescent="0.35">
      <c r="B20" s="85" t="s">
        <v>214</v>
      </c>
      <c r="C20" s="217" t="s">
        <v>136</v>
      </c>
      <c r="D20" s="110" t="s">
        <v>57</v>
      </c>
      <c r="E20" s="218" t="s">
        <v>90</v>
      </c>
      <c r="F20" s="219">
        <v>45999</v>
      </c>
      <c r="G20" s="218" t="s">
        <v>138</v>
      </c>
      <c r="H20" s="110" t="s">
        <v>105</v>
      </c>
      <c r="I20" s="218" t="s">
        <v>116</v>
      </c>
      <c r="J20" s="231" t="s">
        <v>139</v>
      </c>
    </row>
    <row r="21" spans="2:11" ht="15.5" x14ac:dyDescent="0.35">
      <c r="B21" s="85" t="s">
        <v>96</v>
      </c>
      <c r="C21" s="180" t="s">
        <v>140</v>
      </c>
      <c r="D21" s="176" t="s">
        <v>137</v>
      </c>
      <c r="E21" s="175" t="s">
        <v>122</v>
      </c>
      <c r="F21" s="184">
        <v>45999</v>
      </c>
      <c r="G21" s="175" t="s">
        <v>141</v>
      </c>
      <c r="H21" s="176" t="s">
        <v>99</v>
      </c>
      <c r="I21" s="175" t="s">
        <v>116</v>
      </c>
      <c r="J21" s="188" t="s">
        <v>142</v>
      </c>
    </row>
    <row r="22" spans="2:11" ht="15.5" x14ac:dyDescent="0.35">
      <c r="B22" s="85" t="s">
        <v>154</v>
      </c>
      <c r="C22" s="179" t="s">
        <v>145</v>
      </c>
      <c r="D22" s="34" t="s">
        <v>133</v>
      </c>
      <c r="E22" s="31" t="s">
        <v>122</v>
      </c>
      <c r="F22" s="185">
        <v>46065</v>
      </c>
      <c r="G22" s="31" t="s">
        <v>166</v>
      </c>
      <c r="H22" s="34" t="s">
        <v>147</v>
      </c>
      <c r="I22" s="31" t="s">
        <v>152</v>
      </c>
      <c r="J22" s="187"/>
    </row>
    <row r="23" spans="2:11" ht="15.5" x14ac:dyDescent="0.35">
      <c r="B23" s="85" t="s">
        <v>155</v>
      </c>
      <c r="C23" s="179" t="s">
        <v>151</v>
      </c>
      <c r="D23" s="34" t="s">
        <v>133</v>
      </c>
      <c r="E23" s="31" t="s">
        <v>122</v>
      </c>
      <c r="F23" s="185">
        <v>46065</v>
      </c>
      <c r="G23" s="31" t="s">
        <v>163</v>
      </c>
      <c r="H23" s="34" t="s">
        <v>148</v>
      </c>
      <c r="I23" s="31" t="s">
        <v>152</v>
      </c>
      <c r="J23" s="187"/>
    </row>
    <row r="24" spans="2:11" ht="15.5" x14ac:dyDescent="0.35">
      <c r="B24" s="85" t="s">
        <v>215</v>
      </c>
      <c r="C24" s="179" t="s">
        <v>158</v>
      </c>
      <c r="D24" s="34" t="s">
        <v>133</v>
      </c>
      <c r="E24" s="31" t="s">
        <v>122</v>
      </c>
      <c r="F24" s="185">
        <v>46079</v>
      </c>
      <c r="G24" s="31" t="s">
        <v>159</v>
      </c>
      <c r="H24" s="34" t="s">
        <v>160</v>
      </c>
      <c r="I24" s="31" t="s">
        <v>152</v>
      </c>
      <c r="J24" s="189"/>
    </row>
    <row r="25" spans="2:11" ht="15.5" x14ac:dyDescent="0.35">
      <c r="B25" s="85" t="s">
        <v>167</v>
      </c>
      <c r="C25" s="179" t="s">
        <v>168</v>
      </c>
      <c r="D25" s="34" t="s">
        <v>133</v>
      </c>
      <c r="E25" s="31" t="s">
        <v>122</v>
      </c>
      <c r="F25" s="185">
        <v>46098</v>
      </c>
      <c r="G25" s="31" t="s">
        <v>169</v>
      </c>
      <c r="H25" s="34" t="s">
        <v>162</v>
      </c>
      <c r="I25" s="31" t="s">
        <v>152</v>
      </c>
      <c r="J25" s="189"/>
    </row>
    <row r="26" spans="2:11" ht="15.5" x14ac:dyDescent="0.35">
      <c r="B26" s="31" t="s">
        <v>93</v>
      </c>
      <c r="C26" s="179" t="s">
        <v>192</v>
      </c>
      <c r="D26" s="34" t="s">
        <v>133</v>
      </c>
      <c r="E26" s="31" t="s">
        <v>122</v>
      </c>
      <c r="F26" s="195">
        <v>46087</v>
      </c>
      <c r="G26" s="31"/>
      <c r="H26" s="34" t="s">
        <v>181</v>
      </c>
      <c r="I26" s="31" t="s">
        <v>152</v>
      </c>
      <c r="J26" s="189"/>
    </row>
    <row r="27" spans="2:11" ht="15.5" x14ac:dyDescent="0.35">
      <c r="B27" s="85" t="s">
        <v>216</v>
      </c>
      <c r="C27" s="179" t="s">
        <v>193</v>
      </c>
      <c r="D27" s="34" t="s">
        <v>133</v>
      </c>
      <c r="E27" s="31" t="s">
        <v>176</v>
      </c>
      <c r="F27" s="185">
        <v>45803</v>
      </c>
      <c r="G27" s="31"/>
      <c r="H27" s="34"/>
      <c r="I27" s="31" t="s">
        <v>152</v>
      </c>
      <c r="J27" s="189"/>
    </row>
    <row r="28" spans="2:11" ht="15.5" x14ac:dyDescent="0.35">
      <c r="B28" s="85"/>
      <c r="C28" s="217" t="s">
        <v>209</v>
      </c>
      <c r="D28" s="110" t="s">
        <v>133</v>
      </c>
      <c r="E28" s="218" t="s">
        <v>176</v>
      </c>
      <c r="F28" s="219"/>
      <c r="G28" s="218"/>
      <c r="H28" s="110"/>
      <c r="I28" s="31" t="s">
        <v>152</v>
      </c>
      <c r="J28" s="189"/>
    </row>
    <row r="29" spans="2:11" ht="15.5" x14ac:dyDescent="0.35">
      <c r="B29" s="85"/>
      <c r="C29" s="193" t="s">
        <v>210</v>
      </c>
      <c r="D29" s="53" t="s">
        <v>133</v>
      </c>
      <c r="E29" s="54" t="s">
        <v>176</v>
      </c>
      <c r="F29" s="194"/>
      <c r="G29" s="54"/>
      <c r="H29" s="53"/>
      <c r="I29" s="54" t="s">
        <v>208</v>
      </c>
      <c r="J29" s="189"/>
    </row>
    <row r="30" spans="2:11" ht="15.5" x14ac:dyDescent="0.35">
      <c r="B30" s="85" t="s">
        <v>218</v>
      </c>
      <c r="C30" s="193" t="s">
        <v>173</v>
      </c>
      <c r="D30" s="53" t="s">
        <v>133</v>
      </c>
      <c r="E30" s="54" t="s">
        <v>176</v>
      </c>
      <c r="F30" s="194">
        <v>46048</v>
      </c>
      <c r="G30" s="197" t="s">
        <v>206</v>
      </c>
      <c r="H30" s="198" t="s">
        <v>207</v>
      </c>
      <c r="I30" s="54" t="s">
        <v>208</v>
      </c>
      <c r="J30" s="189"/>
    </row>
    <row r="31" spans="2:11" ht="15.5" x14ac:dyDescent="0.35">
      <c r="B31" s="85" t="s">
        <v>219</v>
      </c>
      <c r="C31" s="179" t="s">
        <v>156</v>
      </c>
      <c r="D31" s="34" t="s">
        <v>133</v>
      </c>
      <c r="E31" s="31" t="s">
        <v>176</v>
      </c>
      <c r="F31" s="185">
        <v>46083</v>
      </c>
      <c r="G31" s="31" t="s">
        <v>165</v>
      </c>
      <c r="H31" s="34" t="s">
        <v>161</v>
      </c>
      <c r="I31" s="31" t="s">
        <v>152</v>
      </c>
      <c r="J31" s="189"/>
    </row>
    <row r="32" spans="2:11" ht="15.5" x14ac:dyDescent="0.35">
      <c r="B32" s="85" t="s">
        <v>217</v>
      </c>
      <c r="C32" s="179" t="s">
        <v>194</v>
      </c>
      <c r="D32" s="34" t="s">
        <v>133</v>
      </c>
      <c r="E32" s="31" t="s">
        <v>176</v>
      </c>
      <c r="F32" s="185"/>
      <c r="G32" s="31"/>
      <c r="H32" s="34" t="s">
        <v>224</v>
      </c>
      <c r="I32" s="31" t="s">
        <v>152</v>
      </c>
      <c r="J32" s="189"/>
    </row>
    <row r="33" spans="2:10" ht="15.5" x14ac:dyDescent="0.35">
      <c r="B33" s="85" t="s">
        <v>221</v>
      </c>
      <c r="C33" s="193" t="s">
        <v>174</v>
      </c>
      <c r="D33" s="53" t="s">
        <v>133</v>
      </c>
      <c r="E33" s="54" t="s">
        <v>176</v>
      </c>
      <c r="F33" s="194">
        <v>46172</v>
      </c>
      <c r="G33" s="54" t="s">
        <v>202</v>
      </c>
      <c r="H33" s="53" t="s">
        <v>203</v>
      </c>
      <c r="I33" s="54" t="s">
        <v>208</v>
      </c>
      <c r="J33" s="189"/>
    </row>
    <row r="34" spans="2:10" ht="15.5" x14ac:dyDescent="0.35">
      <c r="B34" s="85" t="s">
        <v>220</v>
      </c>
      <c r="C34" s="193" t="s">
        <v>195</v>
      </c>
      <c r="D34" s="53" t="s">
        <v>133</v>
      </c>
      <c r="E34" s="54" t="s">
        <v>176</v>
      </c>
      <c r="F34" s="194">
        <v>46176</v>
      </c>
      <c r="G34" s="54" t="s">
        <v>200</v>
      </c>
      <c r="H34" s="53" t="s">
        <v>201</v>
      </c>
      <c r="I34" s="54" t="s">
        <v>208</v>
      </c>
      <c r="J34" s="189"/>
    </row>
    <row r="35" spans="2:10" ht="15.5" x14ac:dyDescent="0.35">
      <c r="B35" s="85" t="s">
        <v>222</v>
      </c>
      <c r="C35" s="179" t="s">
        <v>175</v>
      </c>
      <c r="D35" s="34" t="s">
        <v>133</v>
      </c>
      <c r="E35" s="31" t="s">
        <v>176</v>
      </c>
      <c r="F35" s="185">
        <v>46190</v>
      </c>
      <c r="G35" s="31" t="s">
        <v>198</v>
      </c>
      <c r="H35" s="34" t="s">
        <v>199</v>
      </c>
      <c r="I35" s="31" t="s">
        <v>152</v>
      </c>
      <c r="J35" s="189"/>
    </row>
    <row r="36" spans="2:10" ht="16" thickBot="1" x14ac:dyDescent="0.4">
      <c r="B36" s="199" t="s">
        <v>223</v>
      </c>
      <c r="C36" s="181" t="s">
        <v>177</v>
      </c>
      <c r="D36" s="35" t="s">
        <v>133</v>
      </c>
      <c r="E36" s="32" t="s">
        <v>176</v>
      </c>
      <c r="F36" s="196">
        <v>46164</v>
      </c>
      <c r="G36" s="192" t="s">
        <v>196</v>
      </c>
      <c r="H36" s="191" t="s">
        <v>197</v>
      </c>
      <c r="I36" s="32" t="s">
        <v>152</v>
      </c>
      <c r="J36" s="190"/>
    </row>
    <row r="39" spans="2:10" ht="15.5" x14ac:dyDescent="0.35">
      <c r="B39" s="85" t="s">
        <v>94</v>
      </c>
      <c r="C39" s="86" t="s">
        <v>88</v>
      </c>
      <c r="D39" s="54" t="s">
        <v>57</v>
      </c>
      <c r="E39" s="53" t="s">
        <v>118</v>
      </c>
      <c r="F39" s="87">
        <v>45789</v>
      </c>
      <c r="G39" s="53" t="s">
        <v>119</v>
      </c>
      <c r="H39" s="54" t="s">
        <v>97</v>
      </c>
      <c r="I39" s="53" t="s">
        <v>150</v>
      </c>
      <c r="J39" s="31"/>
    </row>
    <row r="40" spans="2:10" ht="15.5" x14ac:dyDescent="0.35">
      <c r="B40" s="85" t="s">
        <v>100</v>
      </c>
      <c r="C40" s="86" t="s">
        <v>120</v>
      </c>
      <c r="D40" s="54" t="s">
        <v>57</v>
      </c>
      <c r="E40" s="53" t="s">
        <v>90</v>
      </c>
      <c r="F40" s="87">
        <v>45718</v>
      </c>
      <c r="G40" s="53" t="s">
        <v>121</v>
      </c>
      <c r="H40" s="54" t="s">
        <v>101</v>
      </c>
      <c r="I40" s="89" t="s">
        <v>143</v>
      </c>
      <c r="J40" s="31"/>
    </row>
    <row r="41" spans="2:10" ht="15.5" x14ac:dyDescent="0.35">
      <c r="B41" s="85" t="s">
        <v>95</v>
      </c>
      <c r="C41" s="86" t="s">
        <v>89</v>
      </c>
      <c r="D41" s="54" t="s">
        <v>57</v>
      </c>
      <c r="E41" s="53" t="s">
        <v>90</v>
      </c>
      <c r="F41" s="87">
        <v>46003</v>
      </c>
      <c r="G41" s="53" t="s">
        <v>123</v>
      </c>
      <c r="H41" s="54" t="s">
        <v>98</v>
      </c>
      <c r="I41" s="89" t="s">
        <v>149</v>
      </c>
      <c r="J41" s="31"/>
    </row>
    <row r="42" spans="2:10" ht="15.5" x14ac:dyDescent="0.35">
      <c r="B42" s="85" t="s">
        <v>107</v>
      </c>
      <c r="C42" s="86" t="s">
        <v>108</v>
      </c>
      <c r="D42" s="54" t="s">
        <v>57</v>
      </c>
      <c r="E42" s="53" t="s">
        <v>118</v>
      </c>
      <c r="F42" s="87">
        <v>45987</v>
      </c>
      <c r="G42" s="53" t="s">
        <v>124</v>
      </c>
      <c r="H42" s="54" t="s">
        <v>109</v>
      </c>
      <c r="I42" s="53" t="s">
        <v>144</v>
      </c>
      <c r="J42" s="31"/>
    </row>
    <row r="43" spans="2:10" ht="15.5" x14ac:dyDescent="0.35">
      <c r="B43" s="85" t="s">
        <v>125</v>
      </c>
      <c r="C43" s="86" t="s">
        <v>126</v>
      </c>
      <c r="D43" s="54" t="s">
        <v>57</v>
      </c>
      <c r="E43" s="53" t="s">
        <v>122</v>
      </c>
      <c r="F43" s="87">
        <v>45992</v>
      </c>
      <c r="G43" s="53" t="s">
        <v>127</v>
      </c>
      <c r="H43" s="54"/>
      <c r="I43" s="53" t="s">
        <v>128</v>
      </c>
      <c r="J43" s="31"/>
    </row>
    <row r="44" spans="2:10" ht="15.5" x14ac:dyDescent="0.35">
      <c r="B44" s="85" t="s">
        <v>93</v>
      </c>
      <c r="C44" s="86" t="s">
        <v>129</v>
      </c>
      <c r="D44" s="54" t="s">
        <v>57</v>
      </c>
      <c r="E44" s="53" t="s">
        <v>90</v>
      </c>
      <c r="F44" s="87">
        <v>45987</v>
      </c>
      <c r="G44" s="53" t="s">
        <v>130</v>
      </c>
      <c r="H44" s="54" t="s">
        <v>104</v>
      </c>
      <c r="I44" s="53" t="s">
        <v>128</v>
      </c>
      <c r="J44" s="31"/>
    </row>
    <row r="45" spans="2:10" ht="15.5" x14ac:dyDescent="0.35">
      <c r="B45" s="85" t="s">
        <v>131</v>
      </c>
      <c r="C45" s="86" t="s">
        <v>132</v>
      </c>
      <c r="D45" s="54" t="s">
        <v>133</v>
      </c>
      <c r="E45" s="53" t="s">
        <v>118</v>
      </c>
      <c r="F45" s="88"/>
      <c r="G45" s="53" t="s">
        <v>134</v>
      </c>
      <c r="H45" s="54"/>
      <c r="I45" s="53" t="s">
        <v>128</v>
      </c>
      <c r="J45" s="31"/>
    </row>
    <row r="46" spans="2:10" ht="15.5" x14ac:dyDescent="0.35">
      <c r="B46" s="85" t="s">
        <v>153</v>
      </c>
      <c r="C46" s="86" t="s">
        <v>87</v>
      </c>
      <c r="D46" s="54" t="s">
        <v>133</v>
      </c>
      <c r="E46" s="53" t="s">
        <v>118</v>
      </c>
      <c r="F46" s="87">
        <v>46029</v>
      </c>
      <c r="G46" s="53" t="s">
        <v>135</v>
      </c>
      <c r="H46" s="54" t="s">
        <v>106</v>
      </c>
      <c r="I46" s="53" t="s">
        <v>170</v>
      </c>
      <c r="J46" s="31"/>
    </row>
  </sheetData>
  <mergeCells count="2">
    <mergeCell ref="B3:I3"/>
    <mergeCell ref="B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Elite Marketing</vt:lpstr>
      <vt:lpstr>Waseem Brother</vt:lpstr>
      <vt:lpstr>Dolphin Trader</vt:lpstr>
      <vt:lpstr>Employee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cp:lastPrinted>2025-12-26T06:55:50Z</cp:lastPrinted>
  <dcterms:created xsi:type="dcterms:W3CDTF">2025-06-17T10:18:05Z</dcterms:created>
  <dcterms:modified xsi:type="dcterms:W3CDTF">2026-09-25T06:28:01Z</dcterms:modified>
</cp:coreProperties>
</file>