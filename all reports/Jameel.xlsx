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CF3FCD4-95A3-4284-9904-A436B873E3F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2" i="62" l="1"/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25" i="58" s="1"/>
  <c r="P32" i="58" s="1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L33" i="41" l="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16" i="62" s="1"/>
  <c r="P23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L23" i="48" l="1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M19" i="50" s="1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/>
  <c r="L18" i="51"/>
  <c r="K18" i="51"/>
  <c r="J18" i="51"/>
  <c r="M18" i="51" s="1"/>
  <c r="J18" i="66"/>
  <c r="M18" i="66" s="1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/>
  <c r="O20" i="50" s="1"/>
  <c r="P20" i="50" s="1"/>
  <c r="R20" i="50" s="1"/>
  <c r="L20" i="50"/>
  <c r="K20" i="56"/>
  <c r="J20" i="56"/>
  <c r="L20" i="56"/>
  <c r="M20" i="56" s="1"/>
  <c r="O20" i="56" s="1"/>
  <c r="P20" i="56" s="1"/>
  <c r="R20" i="56" s="1"/>
  <c r="K20" i="52"/>
  <c r="L20" i="52"/>
  <c r="J20" i="52"/>
  <c r="M20" i="52" s="1"/>
  <c r="K20" i="45"/>
  <c r="J20" i="45"/>
  <c r="L20" i="45"/>
  <c r="K20" i="60"/>
  <c r="J20" i="60"/>
  <c r="L20" i="60"/>
  <c r="K20" i="64"/>
  <c r="J20" i="64"/>
  <c r="M20" i="64" s="1"/>
  <c r="O20" i="64" s="1"/>
  <c r="P20" i="64" s="1"/>
  <c r="R20" i="64" s="1"/>
  <c r="L20" i="64"/>
  <c r="K20" i="70"/>
  <c r="M20" i="70"/>
  <c r="O20" i="70" s="1"/>
  <c r="P20" i="70" s="1"/>
  <c r="R20" i="70" s="1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M17" i="46" s="1"/>
  <c r="O17" i="46" s="1"/>
  <c r="P17" i="46" s="1"/>
  <c r="L17" i="54"/>
  <c r="K17" i="54"/>
  <c r="J17" i="54"/>
  <c r="M17" i="54" s="1"/>
  <c r="O17" i="54" s="1"/>
  <c r="P17" i="54" s="1"/>
  <c r="K17" i="52"/>
  <c r="J17" i="52"/>
  <c r="L17" i="52"/>
  <c r="M17" i="52" s="1"/>
  <c r="O17" i="52" s="1"/>
  <c r="P17" i="52" s="1"/>
  <c r="L17" i="57"/>
  <c r="J17" i="57"/>
  <c r="K17" i="57"/>
  <c r="M17" i="57"/>
  <c r="O17" i="57" s="1"/>
  <c r="P17" i="57" s="1"/>
  <c r="J17" i="63"/>
  <c r="L17" i="63"/>
  <c r="K17" i="63"/>
  <c r="L17" i="64"/>
  <c r="J17" i="64"/>
  <c r="K17" i="64"/>
  <c r="L17" i="70"/>
  <c r="J17" i="70"/>
  <c r="M17" i="70" s="1"/>
  <c r="O17" i="70" s="1"/>
  <c r="P17" i="70" s="1"/>
  <c r="K17" i="70"/>
  <c r="I25" i="54"/>
  <c r="P28" i="54" s="1"/>
  <c r="J16" i="54"/>
  <c r="K16" i="54"/>
  <c r="L16" i="54"/>
  <c r="K16" i="52"/>
  <c r="L16" i="52"/>
  <c r="J16" i="52"/>
  <c r="I25" i="52"/>
  <c r="P28" i="52" s="1"/>
  <c r="M16" i="52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/>
  <c r="K16" i="66"/>
  <c r="J16" i="66"/>
  <c r="L16" i="66"/>
  <c r="I25" i="66"/>
  <c r="P28" i="66" s="1"/>
  <c r="M16" i="66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M21" i="50" s="1"/>
  <c r="L21" i="50"/>
  <c r="K21" i="50"/>
  <c r="K21" i="49"/>
  <c r="J21" i="49"/>
  <c r="L21" i="49"/>
  <c r="K21" i="70"/>
  <c r="L21" i="70"/>
  <c r="J21" i="70"/>
  <c r="K18" i="55"/>
  <c r="L18" i="55"/>
  <c r="J18" i="55"/>
  <c r="M18" i="55" s="1"/>
  <c r="O18" i="55" s="1"/>
  <c r="P18" i="55" s="1"/>
  <c r="J18" i="45"/>
  <c r="L18" i="45"/>
  <c r="K18" i="45"/>
  <c r="L18" i="61"/>
  <c r="K18" i="61"/>
  <c r="J18" i="61"/>
  <c r="K18" i="64"/>
  <c r="M18" i="64" s="1"/>
  <c r="O18" i="64" s="1"/>
  <c r="P18" i="64" s="1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M19" i="52" s="1"/>
  <c r="J19" i="52"/>
  <c r="J19" i="57"/>
  <c r="M19" i="57" s="1"/>
  <c r="O19" i="57" s="1"/>
  <c r="P19" i="57" s="1"/>
  <c r="L19" i="57"/>
  <c r="K19" i="57"/>
  <c r="J19" i="44"/>
  <c r="K19" i="44"/>
  <c r="L19" i="44"/>
  <c r="L19" i="54"/>
  <c r="K19" i="54"/>
  <c r="J19" i="54"/>
  <c r="M19" i="54" s="1"/>
  <c r="O19" i="54" s="1"/>
  <c r="P19" i="54" s="1"/>
  <c r="K19" i="59"/>
  <c r="J19" i="59"/>
  <c r="L19" i="59"/>
  <c r="M19" i="59"/>
  <c r="O19" i="59" s="1"/>
  <c r="P19" i="59" s="1"/>
  <c r="L19" i="67"/>
  <c r="K19" i="67"/>
  <c r="J19" i="67"/>
  <c r="M19" i="67"/>
  <c r="O19" i="67" s="1"/>
  <c r="P19" i="67" s="1"/>
  <c r="L19" i="72"/>
  <c r="K19" i="72"/>
  <c r="J19" i="72"/>
  <c r="L21" i="46"/>
  <c r="M21" i="46" s="1"/>
  <c r="O21" i="46" s="1"/>
  <c r="P21" i="46" s="1"/>
  <c r="K21" i="46"/>
  <c r="J21" i="46"/>
  <c r="K21" i="53"/>
  <c r="M21" i="53" s="1"/>
  <c r="O21" i="53" s="1"/>
  <c r="P21" i="53" s="1"/>
  <c r="J21" i="53"/>
  <c r="L21" i="53"/>
  <c r="M21" i="51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M18" i="50"/>
  <c r="L18" i="50"/>
  <c r="K18" i="50"/>
  <c r="K18" i="56"/>
  <c r="J18" i="56"/>
  <c r="M18" i="56" s="1"/>
  <c r="O18" i="56" s="1"/>
  <c r="P18" i="56" s="1"/>
  <c r="L18" i="56"/>
  <c r="J18" i="44"/>
  <c r="L18" i="44"/>
  <c r="K18" i="44"/>
  <c r="J18" i="54"/>
  <c r="M18" i="54" s="1"/>
  <c r="O18" i="54" s="1"/>
  <c r="P18" i="54" s="1"/>
  <c r="L18" i="54"/>
  <c r="K18" i="54"/>
  <c r="J18" i="59"/>
  <c r="M18" i="59" s="1"/>
  <c r="O18" i="59" s="1"/>
  <c r="P18" i="59" s="1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M20" i="58" s="1"/>
  <c r="O20" i="58" s="1"/>
  <c r="P20" i="58" s="1"/>
  <c r="R20" i="58" s="1"/>
  <c r="L20" i="58"/>
  <c r="J20" i="58"/>
  <c r="K20" i="55"/>
  <c r="M20" i="55" s="1"/>
  <c r="O20" i="55" s="1"/>
  <c r="P20" i="55" s="1"/>
  <c r="R20" i="55" s="1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M20" i="65"/>
  <c r="O20" i="65" s="1"/>
  <c r="P20" i="65" s="1"/>
  <c r="R20" i="65" s="1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M22" i="66" s="1"/>
  <c r="O22" i="66" s="1"/>
  <c r="P22" i="66" s="1"/>
  <c r="L22" i="72"/>
  <c r="K22" i="72"/>
  <c r="J22" i="72"/>
  <c r="J22" i="71"/>
  <c r="M22" i="71" s="1"/>
  <c r="O22" i="71" s="1"/>
  <c r="P22" i="71" s="1"/>
  <c r="L22" i="71"/>
  <c r="K22" i="71"/>
  <c r="J17" i="43"/>
  <c r="M17" i="43" s="1"/>
  <c r="O17" i="43" s="1"/>
  <c r="P17" i="43" s="1"/>
  <c r="L17" i="43"/>
  <c r="K17" i="43"/>
  <c r="L17" i="47"/>
  <c r="K17" i="47"/>
  <c r="J17" i="47"/>
  <c r="L17" i="53"/>
  <c r="K17" i="53"/>
  <c r="J17" i="53"/>
  <c r="M17" i="53" s="1"/>
  <c r="O17" i="53" s="1"/>
  <c r="P17" i="53" s="1"/>
  <c r="K17" i="58"/>
  <c r="L17" i="58"/>
  <c r="J17" i="58"/>
  <c r="M17" i="58" s="1"/>
  <c r="O17" i="58" s="1"/>
  <c r="P17" i="58" s="1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/>
  <c r="L16" i="67"/>
  <c r="I25" i="67"/>
  <c r="P28" i="67" s="1"/>
  <c r="K16" i="67"/>
  <c r="J16" i="67"/>
  <c r="M16" i="67" s="1"/>
  <c r="I25" i="71"/>
  <c r="P28" i="71" s="1"/>
  <c r="L16" i="71"/>
  <c r="K16" i="71"/>
  <c r="J16" i="71"/>
  <c r="L23" i="50"/>
  <c r="K23" i="50"/>
  <c r="J23" i="50"/>
  <c r="J19" i="56"/>
  <c r="M19" i="56" s="1"/>
  <c r="O19" i="56" s="1"/>
  <c r="P19" i="56" s="1"/>
  <c r="L19" i="56"/>
  <c r="K19" i="56"/>
  <c r="L19" i="51"/>
  <c r="K19" i="51"/>
  <c r="J19" i="51"/>
  <c r="L19" i="71"/>
  <c r="K19" i="71"/>
  <c r="J19" i="71"/>
  <c r="M19" i="71" s="1"/>
  <c r="O19" i="71" s="1"/>
  <c r="P19" i="71" s="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M19" i="53" s="1"/>
  <c r="O19" i="53" s="1"/>
  <c r="P19" i="53" s="1"/>
  <c r="L19" i="53"/>
  <c r="K19" i="53"/>
  <c r="L19" i="58"/>
  <c r="J19" i="58"/>
  <c r="M19" i="58" s="1"/>
  <c r="O19" i="58" s="1"/>
  <c r="P19" i="58" s="1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M19" i="65"/>
  <c r="O19" i="65" s="1"/>
  <c r="P19" i="65" s="1"/>
  <c r="L21" i="43"/>
  <c r="J21" i="43"/>
  <c r="K21" i="43"/>
  <c r="M21" i="43"/>
  <c r="O21" i="43" s="1"/>
  <c r="P21" i="43" s="1"/>
  <c r="L21" i="58"/>
  <c r="K21" i="58"/>
  <c r="J21" i="58"/>
  <c r="M21" i="58" s="1"/>
  <c r="O21" i="58" s="1"/>
  <c r="P21" i="58" s="1"/>
  <c r="L21" i="52"/>
  <c r="M21" i="52" s="1"/>
  <c r="O21" i="52" s="1"/>
  <c r="P21" i="52" s="1"/>
  <c r="K21" i="52"/>
  <c r="J21" i="52"/>
  <c r="J21" i="57"/>
  <c r="M21" i="57" s="1"/>
  <c r="O21" i="57" s="1"/>
  <c r="P21" i="57" s="1"/>
  <c r="K21" i="57"/>
  <c r="L21" i="57"/>
  <c r="K21" i="59"/>
  <c r="M21" i="59" s="1"/>
  <c r="O21" i="59" s="1"/>
  <c r="P21" i="59" s="1"/>
  <c r="L21" i="59"/>
  <c r="J21" i="59"/>
  <c r="J21" i="66"/>
  <c r="M21" i="66" s="1"/>
  <c r="O21" i="66" s="1"/>
  <c r="P21" i="66" s="1"/>
  <c r="L21" i="66"/>
  <c r="K21" i="66"/>
  <c r="J21" i="72"/>
  <c r="L21" i="72"/>
  <c r="K21" i="72"/>
  <c r="J18" i="43"/>
  <c r="M18" i="43" s="1"/>
  <c r="L18" i="43"/>
  <c r="K18" i="43"/>
  <c r="K18" i="52"/>
  <c r="L18" i="52"/>
  <c r="J18" i="52"/>
  <c r="M18" i="52" s="1"/>
  <c r="O18" i="52" s="1"/>
  <c r="P18" i="52" s="1"/>
  <c r="L18" i="57"/>
  <c r="K18" i="57"/>
  <c r="J18" i="57"/>
  <c r="M18" i="57"/>
  <c r="O18" i="57" s="1"/>
  <c r="P18" i="57" s="1"/>
  <c r="K18" i="46"/>
  <c r="J18" i="46"/>
  <c r="L18" i="46"/>
  <c r="M18" i="46"/>
  <c r="O18" i="46" s="1"/>
  <c r="P18" i="46" s="1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M22" i="54" s="1"/>
  <c r="O22" i="54" s="1"/>
  <c r="P22" i="54" s="1"/>
  <c r="J22" i="54"/>
  <c r="L22" i="45"/>
  <c r="K22" i="45"/>
  <c r="J22" i="45"/>
  <c r="M22" i="45" s="1"/>
  <c r="O22" i="45" s="1"/>
  <c r="P22" i="45" s="1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M17" i="45" s="1"/>
  <c r="L17" i="45"/>
  <c r="L17" i="49"/>
  <c r="K17" i="49"/>
  <c r="J17" i="49"/>
  <c r="M17" i="49" s="1"/>
  <c r="O17" i="49" s="1"/>
  <c r="P17" i="49" s="1"/>
  <c r="J17" i="48"/>
  <c r="L17" i="48"/>
  <c r="K17" i="48"/>
  <c r="L17" i="55"/>
  <c r="J17" i="55"/>
  <c r="M17" i="55" s="1"/>
  <c r="O17" i="55" s="1"/>
  <c r="P17" i="55" s="1"/>
  <c r="K17" i="55"/>
  <c r="L17" i="59"/>
  <c r="K17" i="59"/>
  <c r="J17" i="59"/>
  <c r="M17" i="59" s="1"/>
  <c r="O17" i="59" s="1"/>
  <c r="P17" i="59" s="1"/>
  <c r="K17" i="61"/>
  <c r="J17" i="61"/>
  <c r="L17" i="61"/>
  <c r="M17" i="61"/>
  <c r="O17" i="61" s="1"/>
  <c r="P17" i="61" s="1"/>
  <c r="L17" i="71"/>
  <c r="K17" i="71"/>
  <c r="J17" i="71"/>
  <c r="M17" i="71" s="1"/>
  <c r="O17" i="71" s="1"/>
  <c r="P17" i="71" s="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M16" i="48"/>
  <c r="I25" i="55"/>
  <c r="P28" i="55" s="1"/>
  <c r="L16" i="55"/>
  <c r="K16" i="55"/>
  <c r="J16" i="55"/>
  <c r="M16" i="55" s="1"/>
  <c r="I25" i="45"/>
  <c r="P28" i="45" s="1"/>
  <c r="L16" i="45"/>
  <c r="K16" i="45"/>
  <c r="J16" i="45"/>
  <c r="I25" i="63"/>
  <c r="P28" i="63" s="1"/>
  <c r="J16" i="63"/>
  <c r="L16" i="63"/>
  <c r="L25" i="63" s="1"/>
  <c r="K16" i="63"/>
  <c r="K25" i="63" s="1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M16" i="72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M19" i="48"/>
  <c r="O19" i="48" s="1"/>
  <c r="P19" i="48" s="1"/>
  <c r="J19" i="55"/>
  <c r="L19" i="55"/>
  <c r="K19" i="55"/>
  <c r="M19" i="55"/>
  <c r="K19" i="43"/>
  <c r="J19" i="43"/>
  <c r="M19" i="43" s="1"/>
  <c r="L19" i="43"/>
  <c r="J19" i="49"/>
  <c r="L19" i="49"/>
  <c r="K19" i="49"/>
  <c r="M19" i="49"/>
  <c r="O19" i="49" s="1"/>
  <c r="P19" i="49" s="1"/>
  <c r="K19" i="60"/>
  <c r="J19" i="60"/>
  <c r="L19" i="60"/>
  <c r="M19" i="60"/>
  <c r="O19" i="60" s="1"/>
  <c r="P19" i="60" s="1"/>
  <c r="J19" i="64"/>
  <c r="L19" i="64"/>
  <c r="K19" i="64"/>
  <c r="K19" i="69"/>
  <c r="J19" i="69"/>
  <c r="M19" i="69" s="1"/>
  <c r="L19" i="69"/>
  <c r="K19" i="70"/>
  <c r="M19" i="70" s="1"/>
  <c r="O19" i="70" s="1"/>
  <c r="P19" i="70" s="1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M21" i="54" s="1"/>
  <c r="L21" i="44"/>
  <c r="M21" i="44" s="1"/>
  <c r="O21" i="44" s="1"/>
  <c r="P21" i="44" s="1"/>
  <c r="K21" i="44"/>
  <c r="J21" i="44"/>
  <c r="J21" i="60"/>
  <c r="M21" i="60" s="1"/>
  <c r="O21" i="60" s="1"/>
  <c r="P21" i="60" s="1"/>
  <c r="L21" i="60"/>
  <c r="K21" i="60"/>
  <c r="J21" i="67"/>
  <c r="M21" i="67" s="1"/>
  <c r="O21" i="67" s="1"/>
  <c r="P21" i="67" s="1"/>
  <c r="L21" i="67"/>
  <c r="K21" i="67"/>
  <c r="J21" i="64"/>
  <c r="L21" i="64"/>
  <c r="K21" i="64"/>
  <c r="L18" i="47"/>
  <c r="K18" i="47"/>
  <c r="J18" i="47"/>
  <c r="M18" i="47" s="1"/>
  <c r="O18" i="47" s="1"/>
  <c r="P18" i="47" s="1"/>
  <c r="K18" i="53"/>
  <c r="J18" i="53"/>
  <c r="L18" i="53"/>
  <c r="M18" i="53"/>
  <c r="O18" i="53" s="1"/>
  <c r="P18" i="53" s="1"/>
  <c r="L18" i="58"/>
  <c r="J18" i="58"/>
  <c r="K18" i="58"/>
  <c r="K18" i="49"/>
  <c r="M18" i="49" s="1"/>
  <c r="O18" i="49" s="1"/>
  <c r="P18" i="49" s="1"/>
  <c r="J18" i="49"/>
  <c r="L18" i="49"/>
  <c r="L18" i="60"/>
  <c r="K18" i="60"/>
  <c r="J18" i="60"/>
  <c r="K18" i="65"/>
  <c r="J18" i="65"/>
  <c r="M18" i="65" s="1"/>
  <c r="O18" i="65" s="1"/>
  <c r="P18" i="65" s="1"/>
  <c r="L18" i="65"/>
  <c r="K18" i="69"/>
  <c r="J18" i="69"/>
  <c r="M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M20" i="49" s="1"/>
  <c r="O20" i="49" s="1"/>
  <c r="P20" i="49" s="1"/>
  <c r="R20" i="49" s="1"/>
  <c r="K20" i="54"/>
  <c r="J20" i="54"/>
  <c r="M20" i="54"/>
  <c r="O20" i="54" s="1"/>
  <c r="P20" i="54" s="1"/>
  <c r="R20" i="54" s="1"/>
  <c r="L20" i="54"/>
  <c r="K20" i="47"/>
  <c r="J20" i="47"/>
  <c r="M20" i="47"/>
  <c r="O20" i="47" s="1"/>
  <c r="P20" i="47" s="1"/>
  <c r="R20" i="47" s="1"/>
  <c r="L20" i="47"/>
  <c r="K20" i="44"/>
  <c r="L20" i="44"/>
  <c r="J20" i="44"/>
  <c r="M20" i="44" s="1"/>
  <c r="O20" i="44" s="1"/>
  <c r="P20" i="44" s="1"/>
  <c r="R20" i="44" s="1"/>
  <c r="K20" i="59"/>
  <c r="J20" i="59"/>
  <c r="L20" i="59"/>
  <c r="M20" i="59"/>
  <c r="O20" i="59" s="1"/>
  <c r="P20" i="59" s="1"/>
  <c r="R20" i="59" s="1"/>
  <c r="K20" i="66"/>
  <c r="L20" i="66"/>
  <c r="J20" i="66"/>
  <c r="M20" i="66"/>
  <c r="O20" i="66" s="1"/>
  <c r="P20" i="66" s="1"/>
  <c r="R20" i="66" s="1"/>
  <c r="K20" i="72"/>
  <c r="J20" i="72"/>
  <c r="L20" i="72"/>
  <c r="K20" i="69"/>
  <c r="L20" i="69"/>
  <c r="J20" i="69"/>
  <c r="L22" i="50"/>
  <c r="K22" i="50"/>
  <c r="J22" i="50"/>
  <c r="J22" i="49"/>
  <c r="L22" i="49"/>
  <c r="K22" i="49"/>
  <c r="M22" i="49" s="1"/>
  <c r="O22" i="49" s="1"/>
  <c r="P22" i="49" s="1"/>
  <c r="L22" i="55"/>
  <c r="K22" i="55"/>
  <c r="J22" i="55"/>
  <c r="M22" i="55" s="1"/>
  <c r="O22" i="55" s="1"/>
  <c r="P22" i="55" s="1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M17" i="51" s="1"/>
  <c r="L17" i="50"/>
  <c r="K17" i="50"/>
  <c r="J17" i="50"/>
  <c r="M17" i="50" s="1"/>
  <c r="K17" i="56"/>
  <c r="L17" i="56"/>
  <c r="J17" i="56"/>
  <c r="M17" i="56"/>
  <c r="O17" i="56" s="1"/>
  <c r="P17" i="56" s="1"/>
  <c r="L17" i="66"/>
  <c r="K17" i="66"/>
  <c r="J17" i="66"/>
  <c r="M17" i="66" s="1"/>
  <c r="O17" i="66" s="1"/>
  <c r="P17" i="66" s="1"/>
  <c r="L17" i="72"/>
  <c r="K17" i="72"/>
  <c r="J17" i="72"/>
  <c r="M17" i="72"/>
  <c r="O17" i="72" s="1"/>
  <c r="P17" i="72" s="1"/>
  <c r="K17" i="69"/>
  <c r="J17" i="69"/>
  <c r="L17" i="69"/>
  <c r="J16" i="51"/>
  <c r="J25" i="51" s="1"/>
  <c r="P29" i="51" s="1"/>
  <c r="I25" i="51"/>
  <c r="P28" i="51" s="1"/>
  <c r="L16" i="51"/>
  <c r="K16" i="51"/>
  <c r="K25" i="51" s="1"/>
  <c r="J16" i="50"/>
  <c r="I25" i="50"/>
  <c r="P28" i="50" s="1"/>
  <c r="K16" i="50"/>
  <c r="L16" i="50"/>
  <c r="L25" i="50" s="1"/>
  <c r="K16" i="56"/>
  <c r="L16" i="56"/>
  <c r="L25" i="56" s="1"/>
  <c r="I25" i="56"/>
  <c r="P28" i="56" s="1"/>
  <c r="J16" i="56"/>
  <c r="J25" i="56" s="1"/>
  <c r="P29" i="56" s="1"/>
  <c r="K16" i="47"/>
  <c r="J16" i="47"/>
  <c r="J25" i="47" s="1"/>
  <c r="P29" i="47" s="1"/>
  <c r="I25" i="47"/>
  <c r="P28" i="47" s="1"/>
  <c r="L16" i="47"/>
  <c r="I25" i="61"/>
  <c r="P28" i="61" s="1"/>
  <c r="J16" i="61"/>
  <c r="J25" i="61" s="1"/>
  <c r="P29" i="61" s="1"/>
  <c r="K16" i="61"/>
  <c r="K25" i="61" s="1"/>
  <c r="L16" i="61"/>
  <c r="K16" i="70"/>
  <c r="K25" i="70" s="1"/>
  <c r="L16" i="70"/>
  <c r="J16" i="70"/>
  <c r="J25" i="70" s="1"/>
  <c r="P29" i="70" s="1"/>
  <c r="I25" i="70"/>
  <c r="P28" i="70" s="1"/>
  <c r="L16" i="69"/>
  <c r="L25" i="69" s="1"/>
  <c r="I25" i="69"/>
  <c r="P28" i="69" s="1"/>
  <c r="K16" i="69"/>
  <c r="J16" i="69"/>
  <c r="J25" i="69" s="1"/>
  <c r="P29" i="69" s="1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L12" i="62" s="1"/>
  <c r="K21" i="11"/>
  <c r="K12" i="62" s="1"/>
  <c r="K20" i="11"/>
  <c r="L20" i="11"/>
  <c r="J20" i="11"/>
  <c r="K19" i="11"/>
  <c r="J19" i="11"/>
  <c r="L19" i="11"/>
  <c r="J18" i="11"/>
  <c r="J9" i="62" s="1"/>
  <c r="L18" i="11"/>
  <c r="L9" i="62" s="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O17" i="51" l="1"/>
  <c r="P17" i="51" s="1"/>
  <c r="O24" i="58"/>
  <c r="P24" i="58" s="1"/>
  <c r="O18" i="43"/>
  <c r="P18" i="43"/>
  <c r="O19" i="52"/>
  <c r="P19" i="52" s="1"/>
  <c r="O23" i="64"/>
  <c r="P23" i="64" s="1"/>
  <c r="O24" i="71"/>
  <c r="P24" i="71"/>
  <c r="O23" i="59"/>
  <c r="P23" i="59"/>
  <c r="O18" i="66"/>
  <c r="P18" i="66" s="1"/>
  <c r="O19" i="43"/>
  <c r="P19" i="43" s="1"/>
  <c r="O23" i="69"/>
  <c r="P23" i="69" s="1"/>
  <c r="O16" i="67"/>
  <c r="P16" i="67"/>
  <c r="O24" i="48"/>
  <c r="P24" i="48"/>
  <c r="O16" i="44"/>
  <c r="O22" i="51"/>
  <c r="P22" i="51" s="1"/>
  <c r="P19" i="50"/>
  <c r="O19" i="50"/>
  <c r="O19" i="69"/>
  <c r="P19" i="69" s="1"/>
  <c r="O23" i="60"/>
  <c r="P23" i="60" s="1"/>
  <c r="O16" i="64"/>
  <c r="P16" i="64"/>
  <c r="O16" i="55"/>
  <c r="O17" i="45"/>
  <c r="P17" i="45" s="1"/>
  <c r="O23" i="66"/>
  <c r="P23" i="66" s="1"/>
  <c r="O16" i="58"/>
  <c r="P16" i="58" s="1"/>
  <c r="P25" i="58" s="1"/>
  <c r="O16" i="59"/>
  <c r="P16" i="59" s="1"/>
  <c r="P25" i="59" s="1"/>
  <c r="O23" i="65"/>
  <c r="P23" i="65" s="1"/>
  <c r="M16" i="70"/>
  <c r="K7" i="62"/>
  <c r="M7" i="62" s="1"/>
  <c r="M16" i="47"/>
  <c r="K25" i="47"/>
  <c r="L7" i="62"/>
  <c r="J12" i="62"/>
  <c r="L24" i="16"/>
  <c r="L25" i="61"/>
  <c r="P30" i="61" s="1"/>
  <c r="P31" i="61" s="1"/>
  <c r="P33" i="61" s="1"/>
  <c r="P34" i="61" s="1"/>
  <c r="P35" i="61" s="1"/>
  <c r="T22" i="62" s="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P30" i="51"/>
  <c r="P31" i="51" s="1"/>
  <c r="P33" i="51" s="1"/>
  <c r="P34" i="51" s="1"/>
  <c r="P35" i="51" s="1"/>
  <c r="T12" i="62" s="1"/>
  <c r="M16" i="69"/>
  <c r="L25" i="70"/>
  <c r="P30" i="70" s="1"/>
  <c r="P31" i="70" s="1"/>
  <c r="P33" i="70" s="1"/>
  <c r="P34" i="70" s="1"/>
  <c r="P35" i="70" s="1"/>
  <c r="T30" i="62" s="1"/>
  <c r="M16" i="50"/>
  <c r="J25" i="50"/>
  <c r="P29" i="50" s="1"/>
  <c r="P31" i="50" s="1"/>
  <c r="P33" i="50" s="1"/>
  <c r="P34" i="50" s="1"/>
  <c r="P35" i="50" s="1"/>
  <c r="T11" i="62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P30" i="63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P31" i="43" s="1"/>
  <c r="P33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M25" i="66"/>
  <c r="O16" i="66"/>
  <c r="O25" i="66" s="1"/>
  <c r="K25" i="66"/>
  <c r="M16" i="57"/>
  <c r="J25" i="57"/>
  <c r="P29" i="57" s="1"/>
  <c r="L25" i="52"/>
  <c r="K25" i="54"/>
  <c r="P30" i="54" s="1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P30" i="72" s="1"/>
  <c r="P31" i="72" s="1"/>
  <c r="P33" i="72" s="1"/>
  <c r="P34" i="72" s="1"/>
  <c r="P35" i="72" s="1"/>
  <c r="T32" i="62" s="1"/>
  <c r="K25" i="68"/>
  <c r="P30" i="68" s="1"/>
  <c r="K25" i="64"/>
  <c r="P30" i="64" s="1"/>
  <c r="K25" i="45"/>
  <c r="J25" i="55"/>
  <c r="P29" i="55" s="1"/>
  <c r="O16" i="48"/>
  <c r="P16" i="48" s="1"/>
  <c r="K25" i="48"/>
  <c r="O24" i="72"/>
  <c r="P24" i="72" s="1"/>
  <c r="L25" i="71"/>
  <c r="J25" i="67"/>
  <c r="P29" i="67" s="1"/>
  <c r="P31" i="67" s="1"/>
  <c r="P33" i="67" s="1"/>
  <c r="P34" i="67" s="1"/>
  <c r="P35" i="67" s="1"/>
  <c r="T27" i="62" s="1"/>
  <c r="M25" i="60"/>
  <c r="O16" i="60"/>
  <c r="P16" i="60"/>
  <c r="L25" i="60"/>
  <c r="K25" i="46"/>
  <c r="P30" i="46" s="1"/>
  <c r="K25" i="58"/>
  <c r="P30" i="58" s="1"/>
  <c r="P31" i="58" s="1"/>
  <c r="P33" i="58" s="1"/>
  <c r="P34" i="58" s="1"/>
  <c r="P35" i="58" s="1"/>
  <c r="T19" i="62" s="1"/>
  <c r="K25" i="53"/>
  <c r="P30" i="53" s="1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M25" i="52"/>
  <c r="O16" i="52"/>
  <c r="P16" i="52"/>
  <c r="K25" i="52"/>
  <c r="P30" i="52" s="1"/>
  <c r="P31" i="52" s="1"/>
  <c r="P33" i="52" s="1"/>
  <c r="J25" i="54"/>
  <c r="P29" i="54" s="1"/>
  <c r="O22" i="70"/>
  <c r="P22" i="70" s="1"/>
  <c r="K11" i="62"/>
  <c r="O18" i="48"/>
  <c r="P18" i="48" s="1"/>
  <c r="K10" i="62"/>
  <c r="L15" i="62"/>
  <c r="M15" i="62" s="1"/>
  <c r="K25" i="69"/>
  <c r="P30" i="69" s="1"/>
  <c r="P31" i="69" s="1"/>
  <c r="P33" i="69" s="1"/>
  <c r="P34" i="69" s="1"/>
  <c r="P35" i="69" s="1"/>
  <c r="T29" i="62" s="1"/>
  <c r="M16" i="61"/>
  <c r="P30" i="56"/>
  <c r="P31" i="56" s="1"/>
  <c r="P33" i="56" s="1"/>
  <c r="P34" i="56" s="1"/>
  <c r="P35" i="56" s="1"/>
  <c r="T17" i="62" s="1"/>
  <c r="K25" i="50"/>
  <c r="P30" i="50" s="1"/>
  <c r="M16" i="51"/>
  <c r="M22" i="60"/>
  <c r="O22" i="60" s="1"/>
  <c r="P22" i="60" s="1"/>
  <c r="P21" i="54"/>
  <c r="O21" i="54"/>
  <c r="M23" i="67"/>
  <c r="O23" i="67" s="1"/>
  <c r="P23" i="67" s="1"/>
  <c r="M16" i="68"/>
  <c r="P31" i="64"/>
  <c r="P33" i="64" s="1"/>
  <c r="P34" i="64" s="1"/>
  <c r="P35" i="64" s="1"/>
  <c r="T24" i="62" s="1"/>
  <c r="M16" i="63"/>
  <c r="J25" i="63"/>
  <c r="P29" i="63" s="1"/>
  <c r="P31" i="63" s="1"/>
  <c r="P33" i="63" s="1"/>
  <c r="P34" i="63" s="1"/>
  <c r="P35" i="63" s="1"/>
  <c r="T23" i="62" s="1"/>
  <c r="L25" i="45"/>
  <c r="K25" i="55"/>
  <c r="L25" i="48"/>
  <c r="K25" i="49"/>
  <c r="P30" i="49" s="1"/>
  <c r="P31" i="49" s="1"/>
  <c r="P33" i="49" s="1"/>
  <c r="M16" i="49"/>
  <c r="M17" i="48"/>
  <c r="M25" i="48" s="1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P30" i="67" s="1"/>
  <c r="J25" i="60"/>
  <c r="P29" i="60" s="1"/>
  <c r="M16" i="46"/>
  <c r="J25" i="46"/>
  <c r="P29" i="46" s="1"/>
  <c r="P31" i="46" s="1"/>
  <c r="P33" i="46" s="1"/>
  <c r="P34" i="46" s="1"/>
  <c r="P35" i="46" s="1"/>
  <c r="T7" i="62" s="1"/>
  <c r="M16" i="53"/>
  <c r="J25" i="53"/>
  <c r="P29" i="53" s="1"/>
  <c r="P31" i="53" s="1"/>
  <c r="P33" i="53" s="1"/>
  <c r="P34" i="53" s="1"/>
  <c r="P35" i="53" s="1"/>
  <c r="T14" i="62" s="1"/>
  <c r="L25" i="59"/>
  <c r="K25" i="43"/>
  <c r="P30" i="43" s="1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O20" i="52"/>
  <c r="P20" i="52"/>
  <c r="R20" i="52" s="1"/>
  <c r="P18" i="51"/>
  <c r="O18" i="51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5" i="72" l="1"/>
  <c r="P34" i="43"/>
  <c r="P35" i="43" s="1"/>
  <c r="T4" i="62" s="1"/>
  <c r="P24" i="11"/>
  <c r="O24" i="54"/>
  <c r="P24" i="54" s="1"/>
  <c r="P24" i="69"/>
  <c r="O24" i="69"/>
  <c r="M25" i="46"/>
  <c r="O16" i="46"/>
  <c r="O25" i="46" s="1"/>
  <c r="P16" i="46"/>
  <c r="P25" i="46" s="1"/>
  <c r="M25" i="49"/>
  <c r="O16" i="49"/>
  <c r="O25" i="49" s="1"/>
  <c r="O16" i="68"/>
  <c r="P16" i="68" s="1"/>
  <c r="M25" i="68"/>
  <c r="O16" i="61"/>
  <c r="O25" i="61" s="1"/>
  <c r="M25" i="61"/>
  <c r="P16" i="61"/>
  <c r="P25" i="61" s="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P34" i="49"/>
  <c r="P35" i="49"/>
  <c r="T10" i="62" s="1"/>
  <c r="O16" i="51"/>
  <c r="M25" i="51"/>
  <c r="P16" i="51"/>
  <c r="P25" i="51" s="1"/>
  <c r="O25" i="65"/>
  <c r="O25" i="43"/>
  <c r="O25" i="72"/>
  <c r="M11" i="62"/>
  <c r="P31" i="54"/>
  <c r="P33" i="54" s="1"/>
  <c r="P34" i="54" s="1"/>
  <c r="P35" i="54" s="1"/>
  <c r="T15" i="62" s="1"/>
  <c r="O19" i="45"/>
  <c r="P19" i="45" s="1"/>
  <c r="P30" i="60"/>
  <c r="P31" i="60" s="1"/>
  <c r="P33" i="60" s="1"/>
  <c r="P34" i="60" s="1"/>
  <c r="P35" i="60" s="1"/>
  <c r="T21" i="62" s="1"/>
  <c r="P19" i="51"/>
  <c r="O19" i="51"/>
  <c r="O16" i="45"/>
  <c r="O25" i="45" s="1"/>
  <c r="M25" i="45"/>
  <c r="O22" i="50"/>
  <c r="P22" i="50"/>
  <c r="P30" i="44"/>
  <c r="P31" i="44" s="1"/>
  <c r="P33" i="44" s="1"/>
  <c r="P34" i="44" s="1"/>
  <c r="P35" i="44" s="1"/>
  <c r="T5" i="62" s="1"/>
  <c r="O16" i="71"/>
  <c r="O25" i="71" s="1"/>
  <c r="M25" i="71"/>
  <c r="P16" i="71"/>
  <c r="P25" i="71" s="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4"/>
  <c r="P16" i="53"/>
  <c r="P25" i="53" s="1"/>
  <c r="O16" i="53"/>
  <c r="O25" i="53" s="1"/>
  <c r="M25" i="53"/>
  <c r="O16" i="63"/>
  <c r="O25" i="63" s="1"/>
  <c r="M25" i="63"/>
  <c r="P34" i="52"/>
  <c r="P35" i="52" s="1"/>
  <c r="T13" i="62" s="1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P25" i="52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O25" i="50" s="1"/>
  <c r="M25" i="50"/>
  <c r="O16" i="69"/>
  <c r="O25" i="69" s="1"/>
  <c r="M25" i="69"/>
  <c r="P16" i="69"/>
  <c r="P25" i="69" s="1"/>
  <c r="O20" i="63"/>
  <c r="P20" i="63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68" l="1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0" i="62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P21" i="62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2" i="62" l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<sst xmlns="http://schemas.openxmlformats.org/spreadsheetml/2006/main" count="3907" uniqueCount="506">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</sst>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33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8" t="s">
        <v>91</v>
      </c>
      <c r="B2" s="378"/>
      <c r="C2" s="378"/>
      <c r="E2" s="341" t="s">
        <v>499</v>
      </c>
      <c r="F2" s="339"/>
      <c r="G2" s="339"/>
      <c r="H2" s="339" t="str">
        <f>+'1'!N6:N6</f>
        <v>Muhammad Hamza</v>
      </c>
      <c r="I2" s="339"/>
      <c r="J2" s="340"/>
      <c r="R2" s="336" t="s">
        <v>498</v>
      </c>
      <c r="S2" s="337"/>
      <c r="T2" s="338"/>
    </row>
    <row r="3" spans="1:20 16377:16378" ht="21.75" customHeight="1" thickBot="1" x14ac:dyDescent="0.4">
      <c r="A3" s="379" t="s">
        <v>92</v>
      </c>
      <c r="B3" s="379"/>
      <c r="C3" s="379"/>
      <c r="E3" s="344" t="s">
        <v>500</v>
      </c>
      <c r="F3" s="345"/>
      <c r="G3" s="345"/>
      <c r="H3" s="342">
        <f ca="1">+'1'!N4:N4</f>
        <v>46226</v>
      </c>
      <c r="I3" s="342"/>
      <c r="J3" s="343"/>
      <c r="K3" s="380" t="s">
        <v>43</v>
      </c>
      <c r="L3" s="380"/>
      <c r="M3" s="380"/>
      <c r="N3" s="379"/>
      <c r="O3" s="379"/>
      <c r="P3" s="379"/>
      <c r="R3" s="299">
        <v>1</v>
      </c>
      <c r="S3" s="300" t="str">
        <f>+'1'!A6:A6</f>
        <v>Fine Dedical Store</v>
      </c>
      <c r="T3" s="301">
        <f>+'1'!P35</f>
        <v>311.7926062334746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68" t="s">
        <v>51</v>
      </c>
      <c r="B5" s="346"/>
      <c r="C5" s="370" t="s">
        <v>90</v>
      </c>
      <c r="D5" s="115" t="s">
        <v>52</v>
      </c>
      <c r="E5" s="372" t="s">
        <v>58</v>
      </c>
      <c r="F5" s="373"/>
      <c r="G5" s="374" t="s">
        <v>54</v>
      </c>
      <c r="H5" s="375"/>
      <c r="I5" s="376" t="s">
        <v>77</v>
      </c>
      <c r="J5" s="377" t="s">
        <v>55</v>
      </c>
      <c r="K5" s="374"/>
      <c r="L5" s="375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69"/>
      <c r="B6" s="347"/>
      <c r="C6" s="37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135.0315791980932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</v>
      </c>
      <c r="I8" s="236">
        <f t="shared" ref="I8:I14" si="0">(G8*D8)*F8+H8*F8</f>
        <v>157.38749999999999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12.591000000000001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5.5085625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139.2879375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29.745762711864394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0.84516850105932195</v>
      </c>
      <c r="P8" s="119">
        <f t="shared" ref="P8:P15" si="2">M8+N8+O8</f>
        <v>169.87886871292372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</v>
      </c>
      <c r="I9" s="236">
        <f t="shared" si="0"/>
        <v>367.23750000000001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29.378999999999998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12.853312500000001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325.00518750000003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69.406779661016913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1.9720598358050845</v>
      </c>
      <c r="P9" s="119">
        <f t="shared" si="2"/>
        <v>396.38402699682206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</v>
      </c>
      <c r="I10" s="236">
        <f t="shared" si="0"/>
        <v>435.84000000000003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34.867200000000004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15.2544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385.71840000000003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82.372881355932208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2.3404564067796612</v>
      </c>
      <c r="P10" s="119">
        <f t="shared" si="2"/>
        <v>470.43173776271186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</v>
      </c>
      <c r="I11" s="236">
        <f t="shared" si="0"/>
        <v>581.12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46.489600000000003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20.339200000000002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514.2912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109.83050847457628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3.1206085423728815</v>
      </c>
      <c r="P11" s="119">
        <f t="shared" si="2"/>
        <v>627.24231701694919</v>
      </c>
      <c r="R11" s="299">
        <v>9</v>
      </c>
      <c r="S11" s="300" t="str">
        <f>+'9'!A6:A6</f>
        <v>Fine Dedical Store</v>
      </c>
      <c r="T11" s="301">
        <f>+'9'!P35</f>
        <v>156.8105792542373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</v>
      </c>
      <c r="I12" s="236">
        <f t="shared" si="0"/>
        <v>581.12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46.489600000000003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20.339200000000002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514.2912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109.83050847457628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3.1206085423728815</v>
      </c>
      <c r="P12" s="119">
        <f t="shared" si="2"/>
        <v>627.24231701694919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</v>
      </c>
      <c r="I13" s="236">
        <f t="shared" si="0"/>
        <v>39.230000000000004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1.9615000000000002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1.3730500000000003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2.0007299999999999</v>
      </c>
      <c r="M13" s="230">
        <f t="shared" si="1"/>
        <v>33.894720000000007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7.6271186440677923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0.20760919322033899</v>
      </c>
      <c r="P13" s="119">
        <f t="shared" si="2"/>
        <v>41.729447837288134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235.21586888135593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0">
        <f>COUNT(A7:A15)</f>
        <v>0</v>
      </c>
      <c r="B16" s="351"/>
      <c r="C16" s="351" t="s">
        <v>40</v>
      </c>
      <c r="D16" s="351"/>
      <c r="E16" s="351"/>
      <c r="F16" s="352"/>
      <c r="G16" s="117">
        <f t="shared" ref="G16:M16" si="3">SUM(G7:G15)</f>
        <v>0</v>
      </c>
      <c r="H16" s="113">
        <f t="shared" si="3"/>
        <v>33</v>
      </c>
      <c r="I16" s="114">
        <f t="shared" si="3"/>
        <v>2161.9349999999999</v>
      </c>
      <c r="J16" s="274">
        <f>SUM(J7:J15)</f>
        <v>171.77789999999999</v>
      </c>
      <c r="K16" s="275">
        <f t="shared" si="3"/>
        <v>75.667725000000019</v>
      </c>
      <c r="L16" s="276">
        <f t="shared" si="3"/>
        <v>2.0007299999999999</v>
      </c>
      <c r="M16" s="232">
        <f t="shared" si="3"/>
        <v>1912.4886450000001</v>
      </c>
      <c r="N16" s="233">
        <f>SUM(N7:N15)</f>
        <v>408.81355932203383</v>
      </c>
      <c r="O16" s="101">
        <f>SUM(O7:O15)</f>
        <v>11.606511021610171</v>
      </c>
      <c r="P16" s="234">
        <f>SUM(P7:P15)</f>
        <v>2332.908715343644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3" t="s">
        <v>64</v>
      </c>
      <c r="C19" s="354"/>
      <c r="D19" s="354"/>
      <c r="E19" s="354"/>
      <c r="F19" s="354"/>
      <c r="G19" s="354"/>
      <c r="H19" s="354"/>
      <c r="I19" s="354"/>
      <c r="J19" s="354"/>
      <c r="K19" s="354"/>
      <c r="L19" s="355"/>
      <c r="N19" s="362" t="s">
        <v>60</v>
      </c>
      <c r="O19" s="363"/>
      <c r="P19" s="139">
        <f>I16</f>
        <v>2161.9349999999999</v>
      </c>
      <c r="R19" s="299">
        <v>17</v>
      </c>
      <c r="S19" s="300" t="str">
        <f>+'17'!A6:A6</f>
        <v>Watto Store</v>
      </c>
      <c r="T19" s="301">
        <f>+'17'!P35</f>
        <v>156.8105792542373</v>
      </c>
    </row>
    <row r="20" spans="1:20" ht="21.75" customHeight="1" x14ac:dyDescent="0.35">
      <c r="B20" s="356"/>
      <c r="C20" s="357"/>
      <c r="D20" s="357"/>
      <c r="E20" s="357"/>
      <c r="F20" s="357"/>
      <c r="G20" s="357"/>
      <c r="H20" s="357"/>
      <c r="I20" s="357"/>
      <c r="J20" s="357"/>
      <c r="K20" s="357"/>
      <c r="L20" s="358"/>
      <c r="N20" s="364" t="s">
        <v>85</v>
      </c>
      <c r="O20" s="365"/>
      <c r="P20" s="140">
        <f>+J16</f>
        <v>171.77789999999999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6"/>
      <c r="C21" s="357"/>
      <c r="D21" s="357"/>
      <c r="E21" s="357"/>
      <c r="F21" s="357"/>
      <c r="G21" s="357"/>
      <c r="H21" s="357"/>
      <c r="I21" s="357"/>
      <c r="J21" s="357"/>
      <c r="K21" s="357"/>
      <c r="L21" s="358"/>
      <c r="N21" s="364" t="s">
        <v>86</v>
      </c>
      <c r="O21" s="365"/>
      <c r="P21" s="140">
        <f>+K16+L16</f>
        <v>77.668455000000023</v>
      </c>
      <c r="R21" s="299">
        <v>19</v>
      </c>
      <c r="S21" s="300" t="str">
        <f>+'19'!A6:A6</f>
        <v>Fine Dedical Store</v>
      </c>
      <c r="T21" s="301">
        <f>+'19'!P35</f>
        <v>78.405289627118648</v>
      </c>
    </row>
    <row r="22" spans="1:20" ht="21.75" customHeight="1" x14ac:dyDescent="0.35">
      <c r="B22" s="356"/>
      <c r="C22" s="357"/>
      <c r="D22" s="357"/>
      <c r="E22" s="357"/>
      <c r="F22" s="357"/>
      <c r="G22" s="357"/>
      <c r="H22" s="357"/>
      <c r="I22" s="357"/>
      <c r="J22" s="357"/>
      <c r="K22" s="357"/>
      <c r="L22" s="358"/>
      <c r="M22" s="131"/>
      <c r="N22" s="364" t="s">
        <v>87</v>
      </c>
      <c r="O22" s="365"/>
      <c r="P22" s="140">
        <f>P19-P20-P21</f>
        <v>1912.4886449999999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6"/>
      <c r="C23" s="357"/>
      <c r="D23" s="357"/>
      <c r="E23" s="357"/>
      <c r="F23" s="357"/>
      <c r="G23" s="357"/>
      <c r="H23" s="357"/>
      <c r="I23" s="357"/>
      <c r="J23" s="357"/>
      <c r="K23" s="357"/>
      <c r="L23" s="358"/>
      <c r="M23" s="131"/>
      <c r="N23" s="136" t="s">
        <v>61</v>
      </c>
      <c r="O23" s="133">
        <v>0.18</v>
      </c>
      <c r="P23" s="140">
        <f>+N16</f>
        <v>408.81355932203383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6"/>
      <c r="C24" s="357"/>
      <c r="D24" s="357"/>
      <c r="E24" s="357"/>
      <c r="F24" s="357"/>
      <c r="G24" s="357"/>
      <c r="H24" s="357"/>
      <c r="I24" s="357"/>
      <c r="J24" s="357"/>
      <c r="K24" s="357"/>
      <c r="L24" s="358"/>
      <c r="M24" s="131"/>
      <c r="N24" s="366" t="s">
        <v>76</v>
      </c>
      <c r="O24" s="367"/>
      <c r="P24" s="140">
        <f>P22+P23</f>
        <v>2321.3022043220335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9"/>
      <c r="C25" s="360"/>
      <c r="D25" s="360"/>
      <c r="E25" s="360"/>
      <c r="F25" s="360"/>
      <c r="G25" s="360"/>
      <c r="H25" s="360"/>
      <c r="I25" s="360"/>
      <c r="J25" s="360"/>
      <c r="K25" s="360"/>
      <c r="L25" s="361"/>
      <c r="M25" s="99"/>
      <c r="N25" s="138" t="s">
        <v>83</v>
      </c>
      <c r="O25" s="137" t="e">
        <f>IF(#REF!="Filer",0.5%,2.5%)</f>
        <v>#REF!</v>
      </c>
      <c r="P25" s="140">
        <f>+O16</f>
        <v>11.606511021610171</v>
      </c>
      <c r="R25" s="299">
        <v>23</v>
      </c>
      <c r="S25" s="300" t="str">
        <f>+'23'!A6:A6</f>
        <v>Fine Dedical Store</v>
      </c>
      <c r="T25" s="301">
        <f>+'23'!P35</f>
        <v>156.8105792542373</v>
      </c>
    </row>
    <row r="26" spans="1:20" ht="21.75" customHeight="1" thickBot="1" x14ac:dyDescent="0.4">
      <c r="N26" s="330" t="s">
        <v>88</v>
      </c>
      <c r="O26" s="331"/>
      <c r="P26" s="297">
        <f>+P24+P25</f>
        <v>2332.9087153436435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135.0315791980932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235.21586888135593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270.0631583961864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213.43686882521189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248.28415834004235</v>
      </c>
    </row>
    <row r="33" spans="18:20" ht="21.75" customHeight="1" thickBot="1" x14ac:dyDescent="0.6">
      <c r="R33" s="303"/>
      <c r="S33" s="302" t="s">
        <v>497</v>
      </c>
      <c r="T33" s="304">
        <f>SUM(T3:T32)</f>
        <v>2332.908715343644</v>
      </c>
    </row>
  </sheetData>
  <dataConsolidate/>
  <mergeCells count="28">
    <mergeCell ref="A5:B6"/>
    <mergeCell ref="C5:C6"/>
    <mergeCell ref="E5:F5"/>
    <mergeCell ref="G5:H5"/>
    <mergeCell ref="I5:I6"/>
    <mergeCell ref="A16:B1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7.2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ref="I18:I21" si="7">(G18*D18)*F18+H18*F18</f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7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</v>
      </c>
      <c r="I22" s="236">
        <f t="shared" si="0"/>
        <v>39.230000000000004</v>
      </c>
      <c r="J22" s="272">
        <f t="shared" si="1"/>
        <v>1.9615000000000002</v>
      </c>
      <c r="K22" s="128">
        <f t="shared" si="1"/>
        <v>1.3730500000000003</v>
      </c>
      <c r="L22" s="119">
        <f t="shared" si="1"/>
        <v>2.0007299999999999</v>
      </c>
      <c r="M22" s="230">
        <f t="shared" si="2"/>
        <v>33.894720000000007</v>
      </c>
      <c r="N22" s="277">
        <f t="shared" si="3"/>
        <v>7.6271186440677923</v>
      </c>
      <c r="O22" s="239">
        <f t="shared" si="4"/>
        <v>0.20760919322033899</v>
      </c>
      <c r="P22" s="119">
        <f t="shared" si="5"/>
        <v>41.729447837288134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289.435</v>
      </c>
      <c r="J25" s="274">
        <f>SUM(J16:J24)</f>
        <v>21.977900000000002</v>
      </c>
      <c r="K25" s="275">
        <f t="shared" si="10"/>
        <v>10.130225000000001</v>
      </c>
      <c r="L25" s="276">
        <f t="shared" si="10"/>
        <v>2.0007299999999999</v>
      </c>
      <c r="M25" s="232">
        <f t="shared" si="10"/>
        <v>255.326145</v>
      </c>
      <c r="N25" s="233">
        <f>SUM(N16:N24)</f>
        <v>54.915254237288124</v>
      </c>
      <c r="O25" s="101">
        <f>SUM(O16:O24)</f>
        <v>1.5512069961864405</v>
      </c>
      <c r="P25" s="234">
        <f>SUM(P16:P24)</f>
        <v>311.79260623347454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289.435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21.977900000000002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12.130955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255.32614500000003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54.915254237288124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310.24139923728814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1.5512069961864408</v>
      </c>
    </row>
    <row r="35" spans="2:16" ht="15.75" customHeight="1" thickBot="1" x14ac:dyDescent="0.4">
      <c r="N35" s="330" t="s">
        <v>88</v>
      </c>
      <c r="O35" s="331"/>
      <c r="P35" s="297">
        <f>+P33+P34</f>
        <v>311.7926062334746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8.75" customHeight="1" x14ac:dyDescent="0.4">
      <c r="A6" s="383" t="s">
        <v>501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119">
        <f t="shared" ref="P17:P24" si="5">M17+N17+O17</f>
        <v>56.626289570974564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2</v>
      </c>
      <c r="I25" s="114">
        <f t="shared" si="7"/>
        <v>125.10249999999999</v>
      </c>
      <c r="J25" s="274">
        <f>SUM(J16:J24)</f>
        <v>10.0082</v>
      </c>
      <c r="K25" s="275">
        <f t="shared" si="7"/>
        <v>4.3785875000000001</v>
      </c>
      <c r="L25" s="276">
        <f t="shared" si="7"/>
        <v>0</v>
      </c>
      <c r="M25" s="232">
        <f t="shared" si="7"/>
        <v>110.7157125</v>
      </c>
      <c r="N25" s="233">
        <f>SUM(N16:N24)</f>
        <v>23.644067796610166</v>
      </c>
      <c r="O25" s="101">
        <f>SUM(O16:O24)</f>
        <v>0.67179890148305077</v>
      </c>
      <c r="P25" s="234">
        <f>SUM(P16:P24)</f>
        <v>135.0315791980932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125.10249999999999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10.0082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4.3785875000000001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110.7157125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23.644067796610166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134.35978029661015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0.67179890148305077</v>
      </c>
    </row>
    <row r="35" spans="2:16" ht="15.75" customHeight="1" thickBot="1" x14ac:dyDescent="0.4">
      <c r="N35" s="330" t="s">
        <v>88</v>
      </c>
      <c r="O35" s="331"/>
      <c r="P35" s="297">
        <f>+P33+P34</f>
        <v>135.0315791980932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2</v>
      </c>
      <c r="I25" s="114">
        <f t="shared" si="7"/>
        <v>145.28</v>
      </c>
      <c r="J25" s="274">
        <f>SUM(J16:J24)</f>
        <v>11.622400000000001</v>
      </c>
      <c r="K25" s="275">
        <f t="shared" si="7"/>
        <v>5.0848000000000004</v>
      </c>
      <c r="L25" s="276">
        <f t="shared" si="7"/>
        <v>0</v>
      </c>
      <c r="M25" s="232">
        <f t="shared" si="7"/>
        <v>128.5728</v>
      </c>
      <c r="N25" s="233">
        <f>SUM(N16:N24)</f>
        <v>27.457627118644069</v>
      </c>
      <c r="O25" s="101">
        <f>SUM(O16:O24)</f>
        <v>0.78015213559322039</v>
      </c>
      <c r="P25" s="234">
        <f>SUM(P16:P24)</f>
        <v>156.8105792542373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145.28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11.622400000000001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5.0848000000000004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128.5728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27.457627118644069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156.03042711864407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0.78015213559322039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156.8105792542373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234">
        <f>SUM(P16:P24)</f>
        <v>235.21586888135593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217.92000000000002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17.433600000000002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7.6272000000000011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192.85920000000002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234.04564067796611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30" t="s">
        <v>88</v>
      </c>
      <c r="O35" s="331"/>
      <c r="P35" s="297">
        <f>+P33+P34</f>
        <v>235.21586888135593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504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2</v>
      </c>
      <c r="I25" s="114">
        <f t="shared" si="7"/>
        <v>145.28</v>
      </c>
      <c r="J25" s="274">
        <f>SUM(J16:J24)</f>
        <v>11.622400000000001</v>
      </c>
      <c r="K25" s="275">
        <f t="shared" si="7"/>
        <v>5.0848000000000004</v>
      </c>
      <c r="L25" s="276">
        <f t="shared" si="7"/>
        <v>0</v>
      </c>
      <c r="M25" s="232">
        <f t="shared" si="7"/>
        <v>128.5728</v>
      </c>
      <c r="N25" s="233">
        <f>SUM(N16:N24)</f>
        <v>27.457627118644069</v>
      </c>
      <c r="O25" s="101">
        <f>SUM(O16:O24)</f>
        <v>0.78015213559322039</v>
      </c>
      <c r="P25" s="234">
        <f>SUM(P16:P24)</f>
        <v>156.8105792542373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145.28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11.622400000000001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5.0848000000000004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128.5728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27.457627118644069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156.03042711864407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0.78015213559322039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156.8105792542373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1</v>
      </c>
      <c r="I25" s="114">
        <f t="shared" si="7"/>
        <v>72.64</v>
      </c>
      <c r="J25" s="274">
        <f>SUM(J16:J24)</f>
        <v>5.8112000000000004</v>
      </c>
      <c r="K25" s="275">
        <f t="shared" si="7"/>
        <v>2.5424000000000002</v>
      </c>
      <c r="L25" s="276">
        <f t="shared" si="7"/>
        <v>0</v>
      </c>
      <c r="M25" s="232">
        <f t="shared" si="7"/>
        <v>64.2864</v>
      </c>
      <c r="N25" s="233">
        <f>SUM(N16:N24)</f>
        <v>13.728813559322035</v>
      </c>
      <c r="O25" s="101">
        <f>SUM(O16:O24)</f>
        <v>0.39007606779661019</v>
      </c>
      <c r="P25" s="234">
        <f>SUM(P16:P24)</f>
        <v>78.405289627118648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72.64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5.8112000000000004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2.5424000000000002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64.2864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13.728813559322035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78.015213559322035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0.39007606779661019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78.405289627118648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8.75" customHeight="1" x14ac:dyDescent="0.4">
      <c r="A6" s="383" t="s">
        <v>505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2</v>
      </c>
      <c r="I25" s="114">
        <f t="shared" si="7"/>
        <v>145.28</v>
      </c>
      <c r="J25" s="274">
        <f>SUM(J16:J24)</f>
        <v>11.622400000000001</v>
      </c>
      <c r="K25" s="275">
        <f t="shared" si="7"/>
        <v>5.0848000000000004</v>
      </c>
      <c r="L25" s="276">
        <f t="shared" si="7"/>
        <v>0</v>
      </c>
      <c r="M25" s="232">
        <f t="shared" si="7"/>
        <v>128.5728</v>
      </c>
      <c r="N25" s="233">
        <f>SUM(N16:N24)</f>
        <v>27.457627118644069</v>
      </c>
      <c r="O25" s="101">
        <f>SUM(O16:O24)</f>
        <v>0.78015213559322039</v>
      </c>
      <c r="P25" s="234">
        <f>SUM(P16:P24)</f>
        <v>156.8105792542373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145.28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11.622400000000001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5.0848000000000004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128.5728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27.457627118644069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156.03042711864407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0.78015213559322039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156.8105792542373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119">
        <f t="shared" si="5"/>
        <v>56.626289570974564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2</v>
      </c>
      <c r="I25" s="114">
        <f t="shared" si="7"/>
        <v>125.10249999999999</v>
      </c>
      <c r="J25" s="274">
        <f>SUM(J16:J24)</f>
        <v>10.0082</v>
      </c>
      <c r="K25" s="275">
        <f t="shared" si="7"/>
        <v>4.3785875000000001</v>
      </c>
      <c r="L25" s="276">
        <f t="shared" si="7"/>
        <v>0</v>
      </c>
      <c r="M25" s="232">
        <f t="shared" si="7"/>
        <v>110.7157125</v>
      </c>
      <c r="N25" s="233">
        <f>SUM(N16:N24)</f>
        <v>23.644067796610166</v>
      </c>
      <c r="O25" s="101">
        <f>SUM(O16:O24)</f>
        <v>0.67179890148305077</v>
      </c>
      <c r="P25" s="234">
        <f>SUM(P16:P24)</f>
        <v>135.0315791980932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125.10249999999999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10.0082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4.3785875000000001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110.7157125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23.644067796610166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134.35978029661015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0.67179890148305077</v>
      </c>
    </row>
    <row r="35" spans="2:16" ht="15.75" customHeight="1" thickBot="1" x14ac:dyDescent="0.4">
      <c r="N35" s="330" t="s">
        <v>88</v>
      </c>
      <c r="O35" s="331"/>
      <c r="P35" s="297">
        <f>+P33+P34</f>
        <v>135.0315791980932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234">
        <f>SUM(P16:P24)</f>
        <v>235.21586888135596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217.92000000000002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17.433600000000002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7.6272000000000002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192.85920000000002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234.04564067796611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30" t="s">
        <v>88</v>
      </c>
      <c r="O35" s="331"/>
      <c r="P35" s="297">
        <f>+P33+P34</f>
        <v>235.21586888135593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119">
        <f t="shared" ref="P17:P24" si="5">M17+N17+O17</f>
        <v>56.626289570974564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119">
        <f t="shared" si="5"/>
        <v>56.626289570974564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4</v>
      </c>
      <c r="I25" s="114">
        <f t="shared" si="7"/>
        <v>250.20499999999998</v>
      </c>
      <c r="J25" s="274">
        <f>SUM(J16:J24)</f>
        <v>20.016400000000001</v>
      </c>
      <c r="K25" s="275">
        <f t="shared" si="7"/>
        <v>8.7571750000000002</v>
      </c>
      <c r="L25" s="276">
        <f t="shared" si="7"/>
        <v>0</v>
      </c>
      <c r="M25" s="232">
        <f t="shared" si="7"/>
        <v>221.43142499999999</v>
      </c>
      <c r="N25" s="233">
        <f>SUM(N16:N24)</f>
        <v>47.288135593220332</v>
      </c>
      <c r="O25" s="101">
        <f>SUM(O16:O24)</f>
        <v>1.3435978029661015</v>
      </c>
      <c r="P25" s="234">
        <f>SUM(P16:P24)</f>
        <v>270.0631583961864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250.20499999999998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20.016400000000001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8.7571750000000002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221.43142499999999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47.288135593220332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268.71956059322031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1.3435978029661015</v>
      </c>
    </row>
    <row r="35" spans="2:16" ht="15.75" customHeight="1" thickBot="1" x14ac:dyDescent="0.4">
      <c r="N35" s="330" t="s">
        <v>88</v>
      </c>
      <c r="O35" s="331"/>
      <c r="P35" s="297">
        <f>+P33+P34</f>
        <v>270.0631583961864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119">
        <f t="shared" si="5"/>
        <v>56.626289570974564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3</v>
      </c>
      <c r="I25" s="114">
        <f t="shared" si="7"/>
        <v>197.74250000000001</v>
      </c>
      <c r="J25" s="274">
        <f>SUM(J16:J24)</f>
        <v>15.819400000000002</v>
      </c>
      <c r="K25" s="275">
        <f t="shared" si="7"/>
        <v>6.9209875000000007</v>
      </c>
      <c r="L25" s="276">
        <f t="shared" si="7"/>
        <v>0</v>
      </c>
      <c r="M25" s="232">
        <f t="shared" si="7"/>
        <v>175.00211250000001</v>
      </c>
      <c r="N25" s="233">
        <f>SUM(N16:N24)</f>
        <v>37.372881355932201</v>
      </c>
      <c r="O25" s="101">
        <f>SUM(O16:O24)</f>
        <v>1.061874969279661</v>
      </c>
      <c r="P25" s="234">
        <f>SUM(P16:P24)</f>
        <v>213.43686882521186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197.74250000000001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15.819400000000002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6.9209875000000007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175.00211250000001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37.372881355932201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212.37499385593222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1.0618749692796612</v>
      </c>
    </row>
    <row r="35" spans="2:16" ht="15.75" customHeight="1" thickBot="1" x14ac:dyDescent="0.4">
      <c r="N35" s="330" t="s">
        <v>88</v>
      </c>
      <c r="O35" s="331"/>
      <c r="P35" s="297">
        <f>+P33+P34</f>
        <v>213.43686882521189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8" t="s">
        <v>91</v>
      </c>
      <c r="B2" s="378"/>
      <c r="C2" s="378"/>
    </row>
    <row r="3" spans="1:22 16383:16384" ht="15" customHeight="1" x14ac:dyDescent="0.35">
      <c r="A3" s="379" t="s">
        <v>92</v>
      </c>
      <c r="B3" s="379"/>
      <c r="C3" s="379"/>
      <c r="F3" s="85"/>
      <c r="G3" s="1"/>
      <c r="K3" s="380" t="s">
        <v>43</v>
      </c>
      <c r="L3" s="380"/>
      <c r="M3" s="380"/>
      <c r="N3" s="379"/>
      <c r="O3" s="379"/>
      <c r="P3" s="37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9" t="s">
        <v>65</v>
      </c>
      <c r="B4" s="379"/>
      <c r="C4" s="379"/>
      <c r="F4" s="85"/>
      <c r="G4" s="1"/>
      <c r="K4" s="380" t="s">
        <v>44</v>
      </c>
      <c r="L4" s="380"/>
      <c r="M4" s="380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80" t="s">
        <v>45</v>
      </c>
      <c r="L5" s="380"/>
      <c r="M5" s="380"/>
      <c r="N5" s="385">
        <f ca="1">N4-1</f>
        <v>46225</v>
      </c>
      <c r="O5" s="379"/>
      <c r="P5" s="379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80" t="s">
        <v>69</v>
      </c>
      <c r="L6" s="380"/>
      <c r="M6" s="380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0" t="s">
        <v>73</v>
      </c>
      <c r="B7" s="380"/>
      <c r="C7" s="380"/>
      <c r="F7" s="85"/>
      <c r="G7" s="86"/>
      <c r="K7" s="380" t="s">
        <v>66</v>
      </c>
      <c r="L7" s="380"/>
      <c r="M7" s="380"/>
      <c r="N7" s="384" t="s">
        <v>70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80" t="s">
        <v>67</v>
      </c>
      <c r="L8" s="380"/>
      <c r="M8" s="380"/>
      <c r="N8" s="384" t="s">
        <v>71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80" t="s">
        <v>68</v>
      </c>
      <c r="L9" s="380"/>
      <c r="M9" s="380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80" t="s">
        <v>46</v>
      </c>
      <c r="L10" s="380"/>
      <c r="M10" s="380"/>
      <c r="N10" s="379" t="s">
        <v>47</v>
      </c>
      <c r="O10" s="379"/>
      <c r="P10" s="37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0" t="s">
        <v>48</v>
      </c>
      <c r="L11" s="380"/>
      <c r="M11" s="380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0" t="s">
        <v>50</v>
      </c>
      <c r="L12" s="380"/>
      <c r="M12" s="380"/>
      <c r="N12" s="379"/>
      <c r="O12" s="379"/>
      <c r="P12" s="37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68" t="s">
        <v>51</v>
      </c>
      <c r="B14" s="346"/>
      <c r="C14" s="370" t="s">
        <v>90</v>
      </c>
      <c r="D14" s="115" t="s">
        <v>52</v>
      </c>
      <c r="E14" s="372" t="s">
        <v>58</v>
      </c>
      <c r="F14" s="373"/>
      <c r="G14" s="374" t="s">
        <v>54</v>
      </c>
      <c r="H14" s="375"/>
      <c r="I14" s="376" t="s">
        <v>77</v>
      </c>
      <c r="J14" s="377" t="s">
        <v>55</v>
      </c>
      <c r="K14" s="374"/>
      <c r="L14" s="375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9"/>
      <c r="B15" s="347"/>
      <c r="C15" s="37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119">
        <f t="shared" ref="P17:P24" si="5">M17+N17+O17</f>
        <v>56.626289570974564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4</v>
      </c>
      <c r="I25" s="114">
        <f t="shared" si="7"/>
        <v>230.02749999999997</v>
      </c>
      <c r="J25" s="274">
        <f>SUM(J16:J24)</f>
        <v>18.402200000000001</v>
      </c>
      <c r="K25" s="275">
        <f t="shared" si="7"/>
        <v>8.0509625000000007</v>
      </c>
      <c r="L25" s="276">
        <f t="shared" si="7"/>
        <v>0</v>
      </c>
      <c r="M25" s="232">
        <f t="shared" si="7"/>
        <v>203.57433750000001</v>
      </c>
      <c r="N25" s="233">
        <f>SUM(N16:N24)</f>
        <v>43.474576271186429</v>
      </c>
      <c r="O25" s="101">
        <f>SUM(O16:O24)</f>
        <v>1.2352445688559321</v>
      </c>
      <c r="P25" s="234">
        <f>SUM(P16:P24)</f>
        <v>248.28415834004232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230.02749999999997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18.402200000000001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8.0509625000000007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203.57433749999998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43.474576271186429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247.04891377118642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1.2352445688559321</v>
      </c>
    </row>
    <row r="35" spans="2:16" ht="15.75" customHeight="1" thickBot="1" x14ac:dyDescent="0.4">
      <c r="N35" s="330" t="s">
        <v>88</v>
      </c>
      <c r="O35" s="331"/>
      <c r="P35" s="297">
        <f>+P33+P34</f>
        <v>248.28415834004235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8" t="s">
        <v>91</v>
      </c>
      <c r="B2" s="378"/>
      <c r="C2" s="378"/>
    </row>
    <row r="3" spans="1:18 16382:16383" ht="15" customHeight="1" x14ac:dyDescent="0.35">
      <c r="A3" s="379" t="s">
        <v>92</v>
      </c>
      <c r="B3" s="379"/>
      <c r="C3" s="379"/>
      <c r="F3" s="85"/>
      <c r="G3" s="1"/>
      <c r="J3" s="380" t="s">
        <v>43</v>
      </c>
      <c r="K3" s="380"/>
      <c r="L3" s="380"/>
      <c r="M3" s="379"/>
      <c r="N3" s="379"/>
      <c r="O3" s="37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9" t="s">
        <v>65</v>
      </c>
      <c r="B4" s="379"/>
      <c r="C4" s="379"/>
      <c r="F4" s="85"/>
      <c r="G4" s="1"/>
      <c r="J4" s="380" t="s">
        <v>44</v>
      </c>
      <c r="K4" s="380"/>
      <c r="L4" s="380"/>
      <c r="M4" s="385">
        <f ca="1">TODAY()+1</f>
        <v>46226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80" t="s">
        <v>45</v>
      </c>
      <c r="K5" s="380"/>
      <c r="L5" s="380"/>
      <c r="M5" s="385">
        <f ca="1">M4-1</f>
        <v>46225</v>
      </c>
      <c r="N5" s="379"/>
      <c r="O5" s="379"/>
      <c r="Q5" s="85"/>
      <c r="R5" s="1"/>
    </row>
    <row r="6" spans="1:18 16382:16383" ht="15" customHeight="1" x14ac:dyDescent="0.35">
      <c r="A6" s="380" t="s">
        <v>94</v>
      </c>
      <c r="B6" s="380"/>
      <c r="C6" s="380"/>
      <c r="F6" s="85"/>
      <c r="G6" s="86"/>
      <c r="J6" s="380" t="s">
        <v>69</v>
      </c>
      <c r="K6" s="380"/>
      <c r="L6" s="380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0" t="s">
        <v>73</v>
      </c>
      <c r="B7" s="380"/>
      <c r="C7" s="380"/>
      <c r="F7" s="85"/>
      <c r="G7" s="86"/>
      <c r="J7" s="380" t="s">
        <v>66</v>
      </c>
      <c r="K7" s="380"/>
      <c r="L7" s="380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80" t="s">
        <v>67</v>
      </c>
      <c r="K8" s="380"/>
      <c r="L8" s="380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80" t="s">
        <v>68</v>
      </c>
      <c r="K9" s="380"/>
      <c r="L9" s="380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80" t="s">
        <v>46</v>
      </c>
      <c r="K10" s="380"/>
      <c r="L10" s="380"/>
      <c r="M10" s="379" t="s">
        <v>47</v>
      </c>
      <c r="N10" s="379"/>
      <c r="O10" s="37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0" t="s">
        <v>48</v>
      </c>
      <c r="K11" s="380"/>
      <c r="L11" s="380"/>
      <c r="M11" s="379" t="s">
        <v>49</v>
      </c>
      <c r="N11" s="379"/>
      <c r="O11" s="37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0" t="s">
        <v>50</v>
      </c>
      <c r="K12" s="380"/>
      <c r="L12" s="380"/>
      <c r="M12" s="379"/>
      <c r="N12" s="379"/>
      <c r="O12" s="37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68" t="s">
        <v>51</v>
      </c>
      <c r="B14" s="346"/>
      <c r="C14" s="370" t="s">
        <v>90</v>
      </c>
      <c r="D14" s="88" t="s">
        <v>52</v>
      </c>
      <c r="E14" s="95" t="s">
        <v>74</v>
      </c>
      <c r="F14" s="115" t="s">
        <v>53</v>
      </c>
      <c r="G14" s="377" t="s">
        <v>54</v>
      </c>
      <c r="H14" s="375"/>
      <c r="I14" s="376" t="s">
        <v>77</v>
      </c>
      <c r="J14" s="374" t="s">
        <v>55</v>
      </c>
      <c r="K14" s="375"/>
      <c r="L14" s="37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69"/>
      <c r="B15" s="347"/>
      <c r="C15" s="37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5"/>
      <c r="M28" s="362" t="s">
        <v>60</v>
      </c>
      <c r="N28" s="363"/>
      <c r="O28" s="139">
        <f>I25</f>
        <v>1452.8</v>
      </c>
    </row>
    <row r="29" spans="1:18 16383:16383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8"/>
      <c r="M29" s="364" t="s">
        <v>85</v>
      </c>
      <c r="N29" s="365"/>
      <c r="O29" s="140">
        <f>K25</f>
        <v>0</v>
      </c>
    </row>
    <row r="30" spans="1:18 16383:16383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8"/>
      <c r="M30" s="364" t="s">
        <v>86</v>
      </c>
      <c r="N30" s="365"/>
      <c r="O30" s="140">
        <f>J25</f>
        <v>50.848000000000006</v>
      </c>
    </row>
    <row r="31" spans="1:18 16383:16383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8"/>
      <c r="L31" s="131"/>
      <c r="M31" s="364" t="s">
        <v>87</v>
      </c>
      <c r="N31" s="365"/>
      <c r="O31" s="140">
        <f>O28-O29-O30</f>
        <v>1401.952</v>
      </c>
    </row>
    <row r="32" spans="1:18 16383:16383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8"/>
      <c r="L33" s="131"/>
      <c r="M33" s="366" t="s">
        <v>76</v>
      </c>
      <c r="N33" s="367"/>
      <c r="O33" s="140">
        <f>O31+O32</f>
        <v>1710.3814400000001</v>
      </c>
    </row>
    <row r="34" spans="2:15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2026-07-22T12:45:04Z</dcterms:modified>
</cp:coreProperties>
</file>