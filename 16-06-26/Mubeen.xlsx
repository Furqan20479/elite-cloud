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921F513-9472-4395-BD2E-7E1C2934979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M18" i="15"/>
  <c r="M16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<sst xmlns="http://schemas.openxmlformats.org/spreadsheetml/2006/main" count="1580" uniqueCount="124">
  <si>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</si>
  <si>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</si>
  <si>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</si>
  <si>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</si>
  <si>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</si>
  <si>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</si>
  <si>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</si>
  <si>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</si>
  <si>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</si>
  <si>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</si>
  <si>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</si>
  <si>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</si>
  <si>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</si>
  <si>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</si>
  <si>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</si>
  <si>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</si>
  <si>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</si>
  <si>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</si>
  <si>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</si>
  <si>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</si>
  <si>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</si>
  <si>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</si>
  <si>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</si>
  <si>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</si>
  <si>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</si>
  <si>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</si>
  <si>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</si>
  <si>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</si>
  <si>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</si>
  <si>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</si>
  <si>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</si>
  <si>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</si>
  <si>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</si>
  <si>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</si>
  <si>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</si>
  <si>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</si>
  <si>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</si>
  <si>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</si>
  <si>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</si>
  <si>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</si>
  <si>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</si>
  <si>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</si>
  <si>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</si>
  <si>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</si>
  <si>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</si>
  <si>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</si>
  <si>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</si>
  <si>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</si>
  <si>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</si>
  <si>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</si>
  <si>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</si>
  <si>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</si>
  <si>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</si>
  <si>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</si>
  <si>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</si>
  <si>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</si>
  <si>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</si>
  <si>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</si>
  <si>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</si>
  <si>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</si>
  <si>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</si>
  <si>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</si>
  <si>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</si>
  <si>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</si>
  <si>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</si>
  <si>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</si>
  <si>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</si>
  <si>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</si>
  <si>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</si>
  <si>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</si>
  <si>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</si>
  <si>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</si>
  <si>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</si>
  <si>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</si>
  <si>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</si>
  <si>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</si>
  <si>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</si>
  <si>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</si>
  <si>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</si>
  <si>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</si>
  <si>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</si>
  <si>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</si>
  <si>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</si>
  <si>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</si>
  <si>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</si>
  <si>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</si>
  <si>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</si>
  <si>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</si>
  <si>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</si>
  <si>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</si>
  <si>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</si>
  <si>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</si>
  <si>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</si>
  <si>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</si>
  <si>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</si>
  <si>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</si>
  <si>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</si>
  <si>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</si>
  <si>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</si>
  <si>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</si>
  <si>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</si>
  <si>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</si>
  <si>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</si>
  <si>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</si>
  <si>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Mubeen</t>
  </si>
  <si>
    <t>Shop Bill Summary (Mubeen)</t>
  </si>
  <si>
    <t>Customer Name : Marwa super store</t>
  </si>
  <si>
    <t>Address: Taj bagh main market</t>
  </si>
  <si>
    <t>Customer Name : Karam Store</t>
  </si>
  <si>
    <t>Address: Taj bagh Markit Phase 3</t>
  </si>
  <si>
    <t xml:space="preserve">Customer Name : Ideal Cash &amp; Carry </t>
  </si>
  <si>
    <t xml:space="preserve">Address: Tajh bagh main Road </t>
  </si>
  <si>
    <t>Customer Name : Mughal Store</t>
  </si>
  <si>
    <t>Address: Tajh bag Main Road</t>
  </si>
  <si>
    <t>3255339-7</t>
  </si>
  <si>
    <t>Customer Name : Bismillah Store</t>
  </si>
  <si>
    <t>Address: Amrat Sari Muhallah Nizamia Abad</t>
  </si>
  <si>
    <t>Customer Name : Madina Store</t>
  </si>
  <si>
    <t>Address: Tajh pura Ghazia Abad</t>
  </si>
  <si>
    <t xml:space="preserve">Customer Name : Baba g welfair </t>
  </si>
  <si>
    <t>Address: Ghazia Abad Road</t>
  </si>
  <si>
    <t>Customer Name : Irfan Store</t>
  </si>
  <si>
    <t>Customer Name : Tariq Store</t>
  </si>
  <si>
    <t>Address: Nizamia Abaad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</si>
</sst>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zoomScale="70" zoomScaleNormal="70" workbookViewId="0">
      <selection activeCell="S10" sqref="S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Marwa super store</v>
      </c>
      <c r="U14" s="164">
        <f>+'1'!P35</f>
        <v>6751.0744320000003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Karam Store</v>
      </c>
      <c r="U15" s="164">
        <f>+'2'!P35</f>
        <v>6392.7442176000004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15</v>
      </c>
      <c r="I16" s="1">
        <f>(G16*D16)*F16+H16*F16</f>
        <v>786.9375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62.954999999999998</v>
      </c>
      <c r="M16" s="106">
        <f>I16-K16-L16</f>
        <v>723.98249999999996</v>
      </c>
      <c r="N16" s="101">
        <f>+'1'!N16+'2'!N16+'4'!N16+'3'!N16+'5'!N16+'6'!N16+'7'!N16+'8'!N16+'9'!N16+'10'!N16</f>
        <v>159.27615</v>
      </c>
      <c r="O16" s="101">
        <f>+'1'!O16+'2'!O16+'4'!O16+'3'!O16+'5'!O16+'6'!O16+'7'!O16+'8'!O16+'9'!O16+'10'!O16</f>
        <v>4.4162932499999998</v>
      </c>
      <c r="P16" s="105">
        <f t="shared" ref="P16:P24" si="0">M16+N16+O16</f>
        <v>887.67494324999996</v>
      </c>
      <c r="Q16" s="108"/>
      <c r="T16" s="163" t="str">
        <f>+'4'!A5</f>
        <v>Customer Name : Mughal Store</v>
      </c>
      <c r="U16" s="164">
        <f>+'4'!P35</f>
        <v>3309.6730752000003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129.26760000000002</v>
      </c>
      <c r="O17" s="101">
        <f>+'1'!O17+'2'!O17+'4'!O17+'3'!O17+'5'!O17+'6'!O17+'7'!O17+'8'!O17+'9'!O17+'10'!O17</f>
        <v>3.0596130000000001</v>
      </c>
      <c r="P17" s="120">
        <f t="shared" si="0"/>
        <v>614.982213</v>
      </c>
      <c r="S17" s="64"/>
      <c r="T17" s="163" t="str">
        <f>+'3'!A5</f>
        <v xml:space="preserve">Customer Name : Ideal Cash &amp; Carry </v>
      </c>
      <c r="U17" s="164">
        <f>+'3'!P35</f>
        <v>5700.0051747000007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</v>
      </c>
      <c r="I18" s="1">
        <f t="shared" si="1"/>
        <v>786.9375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62.954999999999998</v>
      </c>
      <c r="M18" s="118">
        <f t="shared" si="2"/>
        <v>723.98249999999996</v>
      </c>
      <c r="N18" s="101">
        <f>+'1'!N18+'2'!N18+'4'!N18+'3'!N18+'5'!N18+'6'!N18+'7'!N18+'8'!N18+'9'!N18+'10'!N18</f>
        <v>159.27615</v>
      </c>
      <c r="O18" s="101">
        <f>+'1'!O18+'2'!O18+'4'!O18+'3'!O18+'5'!O18+'6'!O18+'7'!O18+'8'!O18+'9'!O18+'10'!O18</f>
        <v>4.4162932499999998</v>
      </c>
      <c r="P18" s="120">
        <f t="shared" si="0"/>
        <v>887.67494324999996</v>
      </c>
      <c r="T18" s="163" t="str">
        <f>+'5'!A5</f>
        <v>Customer Name : Bismillah Store</v>
      </c>
      <c r="U18" s="164">
        <f>+'5'!P35</f>
        <v>2309.9851451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117</v>
      </c>
      <c r="I19" s="1">
        <f t="shared" si="1"/>
        <v>8498.8799999999992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679.91039999999998</v>
      </c>
      <c r="M19" s="118">
        <f t="shared" si="2"/>
        <v>7818.9695999999994</v>
      </c>
      <c r="N19" s="101">
        <f>+'1'!N19+'2'!N19+'4'!N19+'3'!N19+'5'!N19+'6'!N19+'7'!N19+'8'!N19+'9'!N19+'10'!N19</f>
        <v>1703.9600640000001</v>
      </c>
      <c r="O19" s="101">
        <f>+'1'!O19+'2'!O19+'4'!O19+'3'!O19+'5'!O19+'6'!O19+'7'!O19+'8'!O19+'9'!O19+'10'!O19</f>
        <v>151.30272768</v>
      </c>
      <c r="P19" s="120">
        <f t="shared" si="0"/>
        <v>9674.2323916799996</v>
      </c>
      <c r="T19" s="163" t="str">
        <f>+'6'!A5</f>
        <v>Customer Name : Madina Store</v>
      </c>
      <c r="U19" s="164">
        <f>+'6'!P35</f>
        <v>3375.5372160000002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57</v>
      </c>
      <c r="I20" s="1">
        <f t="shared" si="1"/>
        <v>4140.4800000000005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331.23840000000001</v>
      </c>
      <c r="M20" s="118">
        <f t="shared" si="2"/>
        <v>3809.2416000000003</v>
      </c>
      <c r="N20" s="101">
        <f>+'1'!N20+'2'!N20+'4'!N20+'3'!N20+'5'!N20+'6'!N20+'7'!N20+'8'!N20+'9'!N20+'10'!N20</f>
        <v>901.31711999999993</v>
      </c>
      <c r="O20" s="101">
        <f>+'1'!O20+'2'!O20+'4'!O20+'3'!O20+'5'!O20+'6'!O20+'7'!O20+'8'!O20+'9'!O20+'10'!O20</f>
        <v>50.281989120000006</v>
      </c>
      <c r="P20" s="120">
        <f t="shared" si="0"/>
        <v>4760.8407091199997</v>
      </c>
      <c r="T20" s="163" t="str">
        <f>+'7'!A5</f>
        <v xml:space="preserve">Customer Name : Baba g welfair 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167</v>
      </c>
      <c r="I21" s="1">
        <f t="shared" si="1"/>
        <v>12130.88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970.47040000000004</v>
      </c>
      <c r="M21" s="118">
        <f t="shared" si="2"/>
        <v>11160.409599999999</v>
      </c>
      <c r="N21" s="101">
        <f>+'1'!N21+'2'!N21+'4'!N21+'3'!N21+'5'!N21+'6'!N21+'7'!N21+'8'!N21+'9'!N21+'10'!N21</f>
        <v>2454.4184319999999</v>
      </c>
      <c r="O21" s="101">
        <f>+'1'!O21+'2'!O21+'4'!O21+'3'!O21+'5'!O21+'6'!O21+'7'!O21+'8'!O21+'9'!O21+'10'!O21</f>
        <v>169.81198079999999</v>
      </c>
      <c r="P21" s="120">
        <f t="shared" si="0"/>
        <v>13784.640012799999</v>
      </c>
      <c r="T21" s="163" t="str">
        <f>+'8'!A5</f>
        <v>Customer Name : Irfan Store</v>
      </c>
      <c r="U21" s="164">
        <f>+'8'!P35</f>
        <v>269.32356135000003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24</v>
      </c>
      <c r="I22" s="1">
        <f t="shared" si="1"/>
        <v>941.5200000000001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32.95320000000001</v>
      </c>
      <c r="L22" s="175">
        <f>+'1'!L22+'2'!L22+'4'!L22+'3'!L22+'5'!L22+'6'!L22+'7'!L22+'8'!L22+'9'!L22+'10'!L22</f>
        <v>47.076000000000008</v>
      </c>
      <c r="M22" s="118">
        <f t="shared" si="2"/>
        <v>861.49080000000004</v>
      </c>
      <c r="N22" s="101">
        <f>+'1'!N22+'2'!N22+'4'!N22+'3'!N22+'5'!N22+'6'!N22+'7'!N22+'8'!N22+'9'!N22+'10'!N22</f>
        <v>189.527976</v>
      </c>
      <c r="O22" s="101">
        <f>+'1'!O22+'2'!O22+'4'!O22+'3'!O22+'5'!O22+'6'!O22+'7'!O22+'8'!O22+'9'!O22+'10'!O22</f>
        <v>26.275469400000006</v>
      </c>
      <c r="P22" s="120">
        <f t="shared" si="0"/>
        <v>1077.2942454000001</v>
      </c>
      <c r="T22" s="163" t="str">
        <f>+'9'!A5</f>
        <v>Customer Name : Tariq Store</v>
      </c>
      <c r="U22" s="164">
        <f>+'9'!P35</f>
        <v>269.32356135000003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10.125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405</v>
      </c>
      <c r="I25" s="178">
        <f t="shared" si="3"/>
        <v>27810.26</v>
      </c>
      <c r="J25" s="177">
        <f t="shared" si="3"/>
        <v>19</v>
      </c>
      <c r="K25" s="178">
        <f t="shared" si="3"/>
        <v>32.95320000000001</v>
      </c>
      <c r="L25" s="179">
        <f t="shared" si="3"/>
        <v>2196.5752000000002</v>
      </c>
      <c r="M25" s="141">
        <f t="shared" si="3"/>
        <v>25580.731599999999</v>
      </c>
      <c r="N25" s="142">
        <f>SUM(N16:N24)</f>
        <v>5697.0434919999998</v>
      </c>
      <c r="O25" s="143">
        <f>SUM(O16:O24)</f>
        <v>409.56436650000001</v>
      </c>
      <c r="P25" s="144">
        <f>SUM(P16:P24)</f>
        <v>31687.339458499999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31687.339458500002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27810.26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2196.5752000000002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32.95320000000001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25580.731599999999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5697.0434919999998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31277.775092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781.94437730000004</v>
      </c>
    </row>
    <row r="39" spans="2:16" ht="15.75" customHeight="1" thickBot="1" x14ac:dyDescent="0.4">
      <c r="N39" s="203" t="s">
        <v>92</v>
      </c>
      <c r="O39" s="204"/>
      <c r="P39" s="160">
        <f>P37+P38</f>
        <v>32059.719469299998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J15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82.330176000000009</v>
      </c>
      <c r="P19" s="120">
        <f t="shared" si="2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82.330176000000009</v>
      </c>
      <c r="P21" s="120">
        <f t="shared" si="2"/>
        <v>3375.5372160000002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6586.4140800000005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03" t="s">
        <v>92</v>
      </c>
      <c r="O35" s="204"/>
      <c r="P35" s="160">
        <f>P33+P34</f>
        <v>6751.0744320000003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/>
      <c r="K19" s="1">
        <f t="shared" si="3"/>
        <v>0</v>
      </c>
      <c r="L19" s="105">
        <f t="shared" si="4"/>
        <v>139.46880000000002</v>
      </c>
      <c r="M19" s="118">
        <f t="shared" si="5"/>
        <v>1603.8912</v>
      </c>
      <c r="N19" s="118">
        <f t="shared" si="0"/>
        <v>288.70041600000002</v>
      </c>
      <c r="O19" s="119">
        <f t="shared" si="6"/>
        <v>9.4629580800000017</v>
      </c>
      <c r="P19" s="120">
        <f t="shared" si="1"/>
        <v>1902.0545740800001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16</v>
      </c>
      <c r="I20" s="116">
        <f t="shared" si="2"/>
        <v>1162.24</v>
      </c>
      <c r="J20" s="117">
        <v>2</v>
      </c>
      <c r="K20" s="1">
        <f t="shared" si="3"/>
        <v>0</v>
      </c>
      <c r="L20" s="105">
        <f t="shared" si="4"/>
        <v>92.979200000000006</v>
      </c>
      <c r="M20" s="118">
        <f t="shared" si="5"/>
        <v>1069.2608</v>
      </c>
      <c r="N20" s="118">
        <f t="shared" si="0"/>
        <v>218.61734399999997</v>
      </c>
      <c r="O20" s="119">
        <f t="shared" si="6"/>
        <v>6.4393907200000005</v>
      </c>
      <c r="P20" s="120">
        <f t="shared" si="1"/>
        <v>1294.3175347199999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5811.2000000000007</v>
      </c>
      <c r="J25" s="138"/>
      <c r="K25" s="139">
        <f t="shared" si="9"/>
        <v>0</v>
      </c>
      <c r="L25" s="140">
        <f t="shared" si="9"/>
        <v>464.89600000000007</v>
      </c>
      <c r="M25" s="141">
        <f t="shared" si="9"/>
        <v>5346.3040000000001</v>
      </c>
      <c r="N25" s="142">
        <f>SUM(N16:N24)</f>
        <v>1014.63552</v>
      </c>
      <c r="O25" s="143">
        <f>SUM(O16:O24)</f>
        <v>31.804697600000004</v>
      </c>
      <c r="P25" s="144">
        <f>SUM(P16:P24)</f>
        <v>6392.7442176000004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1014.63552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6360.9395200000008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31.804697600000004</v>
      </c>
    </row>
    <row r="35" spans="2:16" ht="15.75" customHeight="1" thickBot="1" x14ac:dyDescent="0.4">
      <c r="N35" s="203" t="s">
        <v>92</v>
      </c>
      <c r="O35" s="204"/>
      <c r="P35" s="160">
        <f>P33+P34</f>
        <v>6392.7442176000004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3520222472755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1067.8749400000002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400.32800000000003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4603.7719999999999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1067.8749400000002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5671.6469400000005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03" t="s">
        <v>92</v>
      </c>
      <c r="O35" s="204"/>
      <c r="P35" s="160">
        <f>P33+P34</f>
        <v>5700.0051747000007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">
        <f t="shared" si="3"/>
        <v>0</v>
      </c>
      <c r="L19" s="105">
        <f t="shared" si="4"/>
        <v>46.489600000000003</v>
      </c>
      <c r="M19" s="118">
        <f t="shared" si="5"/>
        <v>534.63040000000001</v>
      </c>
      <c r="N19" s="118">
        <f t="shared" si="0"/>
        <v>117.61868800000001</v>
      </c>
      <c r="O19" s="119">
        <f t="shared" si="6"/>
        <v>16.306227200000002</v>
      </c>
      <c r="P19" s="120">
        <f t="shared" si="1"/>
        <v>668.5553152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104.194816</v>
      </c>
      <c r="O20" s="119">
        <f t="shared" si="6"/>
        <v>12.629190400000001</v>
      </c>
      <c r="P20" s="120">
        <f t="shared" si="1"/>
        <v>517.79680640000004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2"/>
        <v>508.48</v>
      </c>
      <c r="J21" s="117"/>
      <c r="K21" s="1">
        <f t="shared" si="3"/>
        <v>0</v>
      </c>
      <c r="L21" s="105">
        <f t="shared" si="4"/>
        <v>40.678400000000003</v>
      </c>
      <c r="M21" s="118">
        <f t="shared" si="5"/>
        <v>467.80160000000001</v>
      </c>
      <c r="N21" s="118">
        <f t="shared" si="0"/>
        <v>102.916352</v>
      </c>
      <c r="O21" s="119">
        <f t="shared" si="6"/>
        <v>14.267948799999999</v>
      </c>
      <c r="P21" s="120">
        <f t="shared" si="1"/>
        <v>584.98590079999997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33</v>
      </c>
      <c r="I25" s="137">
        <f t="shared" si="9"/>
        <v>1996.2</v>
      </c>
      <c r="J25" s="138"/>
      <c r="K25" s="139">
        <f t="shared" si="9"/>
        <v>16.476600000000005</v>
      </c>
      <c r="L25" s="140">
        <f t="shared" si="9"/>
        <v>145.57320000000001</v>
      </c>
      <c r="M25" s="141">
        <f t="shared" si="9"/>
        <v>1834.1502</v>
      </c>
      <c r="N25" s="142">
        <f>SUM(N16:N24)</f>
        <v>419.49384400000002</v>
      </c>
      <c r="O25" s="143">
        <f>SUM(O16:O24)</f>
        <v>56.341101100000003</v>
      </c>
      <c r="P25" s="144">
        <f>SUM(P16:P24)</f>
        <v>2309.9851451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1996.2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145.57320000000001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1834.1502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419.49384400000002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2253.6440440000001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56.341101100000003</v>
      </c>
    </row>
    <row r="35" spans="2:16" ht="15.75" customHeight="1" thickBot="1" x14ac:dyDescent="0.4">
      <c r="N35" s="203" t="s">
        <v>92</v>
      </c>
      <c r="O35" s="204"/>
      <c r="P35" s="160">
        <f>P33+P34</f>
        <v>2309.9851451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30.973695999999997</v>
      </c>
      <c r="P19" s="120">
        <f t="shared" si="1"/>
        <v>1269.9215359999998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3520129259503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1</v>
      </c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163.00415999999998</v>
      </c>
      <c r="O21" s="119">
        <f t="shared" si="6"/>
        <v>4.1564607999999996</v>
      </c>
      <c r="P21" s="120">
        <f t="shared" si="1"/>
        <v>835.44862079999996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6.5688673500000014</v>
      </c>
      <c r="P25" s="144">
        <f>SUM(P16:P24)</f>
        <v>269.32356135000003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235.38000000000002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11.769000000000002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8.2383000000000024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215.37270000000001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262.75469400000003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6.5688673500000014</v>
      </c>
    </row>
    <row r="35" spans="2:16" ht="15.75" customHeight="1" thickBot="1" x14ac:dyDescent="0.4">
      <c r="N35" s="203" t="s">
        <v>92</v>
      </c>
      <c r="O35" s="204"/>
      <c r="P35" s="160">
        <f>P33+P34</f>
        <v>269.32356135000003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123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6.5688673500000014</v>
      </c>
      <c r="P25" s="144">
        <f>SUM(P16:P24)</f>
        <v>269.32356135000003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235.38000000000002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11.769000000000002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8.2383000000000024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215.37270000000001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262.75469400000003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6.5688673500000014</v>
      </c>
    </row>
    <row r="35" spans="2:16" ht="15.75" customHeight="1" thickBot="1" x14ac:dyDescent="0.4">
      <c r="N35" s="203" t="s">
        <v>92</v>
      </c>
      <c r="O35" s="204"/>
      <c r="P35" s="160">
        <f>P33+P34</f>
        <v>269.32356135000003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2026-06-15T13:06:21Z</dcterms:modified>
</cp:coreProperties>
</file>