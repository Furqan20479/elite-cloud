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7638EF1-4F0F-4237-A5ED-746027569DC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P16" i="18" s="1"/>
  <c r="P25" i="18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<sst xmlns="http://schemas.openxmlformats.org/spreadsheetml/2006/main" count="1581" uniqueCount="116">
  <si>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</si>
  <si>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</si>
  <si>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</si>
  <si>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</si>
  <si>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</si>
  <si>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</si>
  <si>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</si>
  <si>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</si>
  <si>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</si>
  <si>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</si>
  <si>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</si>
  <si>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</si>
  <si>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</si>
  <si>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</si>
  <si>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</si>
  <si>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</si>
  <si>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</si>
  <si>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</si>
  <si>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</si>
  <si>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</si>
  <si>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</si>
  <si>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</si>
  <si>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</si>
  <si>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</si>
  <si>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</si>
  <si>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</si>
  <si>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</si>
  <si>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</si>
  <si>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</si>
  <si>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</si>
  <si>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</si>
  <si>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</si>
  <si>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</si>
  <si>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</si>
  <si>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</si>
  <si>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</si>
  <si>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</si>
  <si>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</si>
  <si>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</si>
  <si>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</si>
  <si>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</si>
  <si>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</si>
  <si>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</si>
  <si>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</si>
  <si>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</si>
  <si>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</si>
  <si>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</si>
  <si>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</si>
  <si>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</si>
  <si>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</si>
  <si>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</si>
  <si>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</si>
  <si>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</si>
  <si>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</si>
  <si>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</si>
  <si>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</si>
  <si>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</si>
  <si>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</si>
  <si>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</si>
  <si>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</si>
  <si>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</si>
  <si>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</si>
  <si>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</si>
  <si>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</si>
  <si>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</si>
  <si>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</si>
  <si>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</si>
  <si>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</si>
  <si>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</si>
  <si>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</si>
  <si>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</si>
  <si>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</si>
  <si>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</si>
  <si>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</si>
  <si>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</si>
  <si>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</si>
  <si>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</si>
  <si>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</si>
  <si>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</si>
  <si>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</si>
  <si>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</si>
  <si>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</si>
  <si>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</si>
  <si>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</si>
  <si>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</si>
  <si>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</si>
  <si>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</si>
  <si>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</si>
  <si>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</si>
  <si>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</si>
  <si>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</si>
  <si>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</si>
  <si>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</si>
  <si>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</si>
  <si>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</si>
  <si>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</si>
  <si>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</si>
  <si>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</si>
  <si>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</si>
  <si>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</si>
  <si>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</si>
  <si>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</si>
  <si>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</si>
  <si>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</si>
  <si>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Salman </t>
  </si>
  <si>
    <t>Shop Bill Summary (Salman)</t>
  </si>
  <si>
    <t xml:space="preserve">Customer Name : Khan Store </t>
  </si>
  <si>
    <t>Address: Makkah Colony</t>
  </si>
  <si>
    <t xml:space="preserve">Customer Name : My Store Falcon Society </t>
  </si>
  <si>
    <t xml:space="preserve">Customer Name : Bakhtawer Sweet </t>
  </si>
  <si>
    <t>Customer Name : Shaheen Store</t>
  </si>
  <si>
    <t xml:space="preserve">Address: Falcon society </t>
  </si>
  <si>
    <t>Customer Name : Lala Gee Super Store</t>
  </si>
  <si>
    <t xml:space="preserve">Address: Falcon Society </t>
  </si>
  <si>
    <t>3255339-7</t>
  </si>
  <si>
    <t>1436856-7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</si>
</sst>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1" zoomScale="70" zoomScaleNormal="70" workbookViewId="0">
      <selection activeCell="S25" sqref="S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Khan Store </v>
      </c>
      <c r="U14" s="164">
        <f>+'1'!P35</f>
        <v>13160.4667992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My Store Falcon Society </v>
      </c>
      <c r="U15" s="164">
        <f>+'2'!P35</f>
        <v>11922.102057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70</v>
      </c>
      <c r="I16" s="1">
        <f>(G16*D16)*F16+H16*F16</f>
        <v>3672.375</v>
      </c>
      <c r="J16" s="172">
        <f>+'1'!J16+'2'!J16+'4'!J16+'3'!J16+'5'!J16+'6'!J16+'7'!J16+'8'!J16+'9'!J16+'10'!J16+'11'!J16+'12'!J16+'13'!J16+'14'!J16+'15'!J16+'16'!J16+'17'!J16+'18'!J16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293.78999999999996</v>
      </c>
      <c r="M16" s="106">
        <f>I16-K16-L16</f>
        <v>3378.585</v>
      </c>
      <c r="N16" s="101">
        <f>+'1'!N16+'2'!N16+'4'!N16+'3'!N16+'5'!N16+'6'!N16+'7'!N16+'8'!N16+'9'!N16+'10'!N16</f>
        <v>789.45569999999998</v>
      </c>
      <c r="O16" s="101">
        <f>+'1'!O16+'2'!O16+'4'!O16+'3'!O16+'5'!O16+'6'!O16+'7'!O16+'8'!O16+'9'!O16+'10'!O16</f>
        <v>32.847820500000005</v>
      </c>
      <c r="P16" s="105">
        <f t="shared" ref="P16:P24" si="0">M16+N16+O16</f>
        <v>4200.8885204999997</v>
      </c>
      <c r="Q16" s="108"/>
      <c r="T16" s="163" t="str">
        <f>+'4'!A5</f>
        <v>Customer Name : Shaheen Store</v>
      </c>
      <c r="U16" s="164">
        <f>+'4'!P35</f>
        <v>2437.9008974999997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70</v>
      </c>
      <c r="I17" s="1">
        <f t="shared" ref="I17:I23" si="1">(G17*D17)*F17+H17*F17</f>
        <v>3672.375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293.78999999999996</v>
      </c>
      <c r="M17" s="118">
        <f t="shared" ref="M17:M23" si="2">I17-K17-L17</f>
        <v>3378.585</v>
      </c>
      <c r="N17" s="101">
        <f>+'1'!N17+'2'!N17+'4'!N17+'3'!N17+'5'!N17+'6'!N17+'7'!N17+'8'!N17+'9'!N17+'10'!N17</f>
        <v>777.91395</v>
      </c>
      <c r="O17" s="101">
        <f>+'1'!O17+'2'!O17+'4'!O17+'3'!O17+'5'!O17+'6'!O17+'7'!O17+'8'!O17+'9'!O17+'10'!O17</f>
        <v>32.559276750000002</v>
      </c>
      <c r="P17" s="120">
        <f t="shared" si="0"/>
        <v>4189.0582267500004</v>
      </c>
      <c r="S17" s="64"/>
      <c r="T17" s="163" t="str">
        <f>+'3'!A5</f>
        <v xml:space="preserve">Customer Name : Bakhtawer Sweet </v>
      </c>
      <c r="U17" s="164">
        <f>+'3'!P35</f>
        <v>4150.7885492999994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20</v>
      </c>
      <c r="I18" s="1">
        <f t="shared" si="1"/>
        <v>1049.25</v>
      </c>
      <c r="J18" s="172">
        <f>+'1'!J18+'2'!J18+'4'!J18+'3'!J18+'5'!J18+'6'!J18+'7'!J18+'8'!J18+'9'!J18+'10'!J18+'11'!J18+'12'!J18+'13'!J18+'14'!J18+'15'!J18+'16'!J18+'17'!J18+'18'!J18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83.94</v>
      </c>
      <c r="M18" s="118">
        <f t="shared" si="2"/>
        <v>965.31</v>
      </c>
      <c r="N18" s="101">
        <f>+'1'!N18+'2'!N18+'4'!N18+'3'!N18+'5'!N18+'6'!N18+'7'!N18+'8'!N18+'9'!N18+'10'!N18</f>
        <v>223.90995000000001</v>
      </c>
      <c r="O18" s="101">
        <f>+'1'!O18+'2'!O18+'4'!O18+'3'!O18+'5'!O18+'6'!O18+'7'!O18+'8'!O18+'9'!O18+'10'!O18</f>
        <v>29.730498749999999</v>
      </c>
      <c r="P18" s="120">
        <f t="shared" si="0"/>
        <v>1218.9504487499999</v>
      </c>
      <c r="T18" s="163" t="str">
        <f>+'5'!A5</f>
        <v>Customer Name : Lala Gee Super Store</v>
      </c>
      <c r="U18" s="164">
        <f>+'5'!P35</f>
        <v>4452.8314614000001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95</v>
      </c>
      <c r="I19" s="1">
        <f t="shared" si="1"/>
        <v>6900.8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552.06399999999996</v>
      </c>
      <c r="M19" s="118">
        <f t="shared" si="2"/>
        <v>6348.7359999999999</v>
      </c>
      <c r="N19" s="101">
        <f>+'1'!N19+'2'!N19+'4'!N19+'3'!N19+'5'!N19+'6'!N19+'7'!N19+'8'!N19+'9'!N19+'10'!N19</f>
        <v>1460.6451199999999</v>
      </c>
      <c r="O19" s="101">
        <f>+'1'!O19+'2'!O19+'4'!O19+'3'!O19+'5'!O19+'6'!O19+'7'!O19+'8'!O19+'9'!O19+'10'!O19</f>
        <v>129.37038720000001</v>
      </c>
      <c r="P19" s="120">
        <f t="shared" si="0"/>
        <v>7938.7515071999997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70</v>
      </c>
      <c r="I20" s="1">
        <f t="shared" si="1"/>
        <v>5084.8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406.78400000000005</v>
      </c>
      <c r="M20" s="118">
        <f t="shared" si="2"/>
        <v>4678.0160000000005</v>
      </c>
      <c r="N20" s="101">
        <f>+'1'!N20+'2'!N20+'4'!N20+'3'!N20+'5'!N20+'6'!N20+'7'!N20+'8'!N20+'9'!N20+'10'!N20</f>
        <v>1109.0675200000001</v>
      </c>
      <c r="O20" s="101">
        <f>+'1'!O20+'2'!O20+'4'!O20+'3'!O20+'5'!O20+'6'!O20+'7'!O20+'8'!O20+'9'!O20+'10'!O20</f>
        <v>111.74501760000001</v>
      </c>
      <c r="P20" s="120">
        <f t="shared" si="0"/>
        <v>5898.8285376000003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75</v>
      </c>
      <c r="I21" s="1">
        <f t="shared" si="1"/>
        <v>5448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435.84000000000003</v>
      </c>
      <c r="M21" s="118">
        <f t="shared" si="2"/>
        <v>5012.16</v>
      </c>
      <c r="N21" s="101">
        <f>+'1'!N21+'2'!N21+'4'!N21+'3'!N21+'5'!N21+'6'!N21+'7'!N21+'8'!N21+'9'!N21+'10'!N21</f>
        <v>1150.6176</v>
      </c>
      <c r="O21" s="101">
        <f>+'1'!O21+'2'!O21+'4'!O21+'3'!O21+'5'!O21+'6'!O21+'7'!O21+'8'!O21+'9'!O21+'10'!O21</f>
        <v>121.1373696</v>
      </c>
      <c r="P21" s="120">
        <f t="shared" si="0"/>
        <v>6283.9149695999995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144</v>
      </c>
      <c r="I22" s="1">
        <f t="shared" si="1"/>
        <v>5649.1200000000008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197.71920000000003</v>
      </c>
      <c r="L22" s="175">
        <f>+'1'!L22+'2'!L22+'4'!L22+'3'!L22+'5'!L22+'6'!L22+'7'!L22+'8'!L22+'9'!L22+'10'!L22</f>
        <v>282.45600000000007</v>
      </c>
      <c r="M22" s="118">
        <f t="shared" si="2"/>
        <v>5168.9448000000002</v>
      </c>
      <c r="N22" s="101">
        <f>+'1'!N22+'2'!N22+'4'!N22+'3'!N22+'5'!N22+'6'!N22+'7'!N22+'8'!N22+'9'!N22+'10'!N22</f>
        <v>1137.1678560000003</v>
      </c>
      <c r="O22" s="101">
        <f>+'1'!O22+'2'!O22+'4'!O22+'3'!O22+'5'!O22+'6'!O22+'7'!O22+'8'!O22+'9'!O22+'10'!O22</f>
        <v>87.58489800000001</v>
      </c>
      <c r="P22" s="120">
        <f t="shared" si="0"/>
        <v>6393.6975540000003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13.6</v>
      </c>
      <c r="D25" s="205"/>
      <c r="E25" s="205"/>
      <c r="F25" s="205"/>
      <c r="G25" s="176">
        <f t="shared" ref="G25:M25" si="3">SUM(G16:G24)</f>
        <v>0</v>
      </c>
      <c r="H25" s="177">
        <f t="shared" si="3"/>
        <v>544</v>
      </c>
      <c r="I25" s="178">
        <f t="shared" si="3"/>
        <v>31476.720000000001</v>
      </c>
      <c r="J25" s="177">
        <f t="shared" si="3"/>
        <v>20</v>
      </c>
      <c r="K25" s="178">
        <f t="shared" si="3"/>
        <v>197.71920000000003</v>
      </c>
      <c r="L25" s="179">
        <f t="shared" si="3"/>
        <v>2348.6640000000002</v>
      </c>
      <c r="M25" s="141">
        <f t="shared" si="3"/>
        <v>28930.336800000001</v>
      </c>
      <c r="N25" s="142">
        <f>SUM(N16:N24)</f>
        <v>6648.7776959999992</v>
      </c>
      <c r="O25" s="143">
        <f>SUM(O16:O24)</f>
        <v>544.9752684</v>
      </c>
      <c r="P25" s="144">
        <f>SUM(P16:P24)</f>
        <v>36124.0897644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36124.0897644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31476.720000000001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2348.6640000000002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197.71920000000003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28930.336800000001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6648.7776959999992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35579.114496000002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889.47786240000005</v>
      </c>
    </row>
    <row r="39" spans="2:16" ht="15.75" customHeight="1" thickBot="1" x14ac:dyDescent="0.4">
      <c r="N39" s="203" t="s">
        <v>92</v>
      </c>
      <c r="O39" s="204"/>
      <c r="P39" s="160">
        <f>P37+P38</f>
        <v>36468.592358400005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3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8.2330176000000002</v>
      </c>
      <c r="P20" s="120">
        <f t="shared" si="2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</v>
      </c>
      <c r="J25" s="138"/>
      <c r="K25" s="139">
        <f t="shared" si="9"/>
        <v>54.922000000000011</v>
      </c>
      <c r="L25" s="140">
        <f t="shared" si="9"/>
        <v>879.1160000000001</v>
      </c>
      <c r="M25" s="141">
        <f t="shared" si="9"/>
        <v>10643.362000000001</v>
      </c>
      <c r="N25" s="142">
        <f>SUM(N16:N24)</f>
        <v>2451.6298400000005</v>
      </c>
      <c r="O25" s="143">
        <f>SUM(O16:O24)</f>
        <v>65.474959200000001</v>
      </c>
      <c r="P25" s="144">
        <f>SUM(P16:P24)</f>
        <v>13160.4667992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11577.4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879.1160000000001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10643.361999999999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2451.6298400000005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13094.991839999999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65.474959200000001</v>
      </c>
    </row>
    <row r="35" spans="2:16" ht="15.75" customHeight="1" thickBot="1" x14ac:dyDescent="0.4">
      <c r="N35" s="203" t="s">
        <v>92</v>
      </c>
      <c r="O35" s="204"/>
      <c r="P35" s="160">
        <f>P33+P34</f>
        <v>13160.4667992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54.922000000000011</v>
      </c>
      <c r="L25" s="140">
        <f t="shared" si="9"/>
        <v>775.80400000000009</v>
      </c>
      <c r="M25" s="141">
        <f t="shared" si="9"/>
        <v>9455.2740000000013</v>
      </c>
      <c r="N25" s="142">
        <f>SUM(N16:N24)</f>
        <v>2176.0450799999999</v>
      </c>
      <c r="O25" s="143">
        <f>SUM(O16:O24)</f>
        <v>290.78297700000007</v>
      </c>
      <c r="P25" s="144">
        <f>SUM(P16:P24)</f>
        <v>11922.102057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10286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775.80400000000009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9455.2739999999994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2176.0450799999999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11631.319079999999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290.78297700000002</v>
      </c>
    </row>
    <row r="35" spans="2:16" ht="15.75" customHeight="1" thickBot="1" x14ac:dyDescent="0.4">
      <c r="N35" s="203" t="s">
        <v>92</v>
      </c>
      <c r="O35" s="204"/>
      <c r="P35" s="160">
        <f>P33+P34</f>
        <v>11922.102057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763.69986000000006</v>
      </c>
      <c r="O25" s="143">
        <f>SUM(O16:O24)</f>
        <v>20.650689300000003</v>
      </c>
      <c r="P25" s="144">
        <f>SUM(P16:P24)</f>
        <v>4150.7885493000003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3667.7000000000003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246.34000000000003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3366.4380000000001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763.69986000000006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4130.1378599999998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20.6506893</v>
      </c>
    </row>
    <row r="35" spans="2:16" ht="15.75" customHeight="1" thickBot="1" x14ac:dyDescent="0.4">
      <c r="N35" s="203" t="s">
        <v>92</v>
      </c>
      <c r="O35" s="204"/>
      <c r="P35" s="160">
        <f>P33+P34</f>
        <v>4150.7885492999994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15.009521250000001</v>
      </c>
      <c r="P16" s="105">
        <f t="shared" ref="P16:P24" si="1">M16+N16+O16</f>
        <v>615.39037125000004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3" t="s">
        <v>92</v>
      </c>
      <c r="O35" s="204"/>
      <c r="P35" s="160">
        <f>P33+P34</f>
        <v>2437.9008974999997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26.275469400000006</v>
      </c>
      <c r="P22" s="120">
        <f t="shared" si="1"/>
        <v>1077.2942454000001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64</v>
      </c>
      <c r="I25" s="137">
        <f t="shared" si="9"/>
        <v>3847.12</v>
      </c>
      <c r="J25" s="138"/>
      <c r="K25" s="139">
        <f t="shared" si="9"/>
        <v>32.95320000000001</v>
      </c>
      <c r="L25" s="140">
        <f t="shared" si="9"/>
        <v>279.524</v>
      </c>
      <c r="M25" s="141">
        <f t="shared" si="9"/>
        <v>3534.6427999999996</v>
      </c>
      <c r="N25" s="142">
        <f>SUM(N16:N24)</f>
        <v>809.58301599999993</v>
      </c>
      <c r="O25" s="143">
        <f>SUM(O16:O24)</f>
        <v>108.6056454</v>
      </c>
      <c r="P25" s="144">
        <f>SUM(P16:P24)</f>
        <v>4452.8314614000001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3847.12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279.524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32.95320000000001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3534.6428000000001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809.58301599999993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4344.2258160000001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108.60564540000001</v>
      </c>
    </row>
    <row r="35" spans="2:16" ht="15.75" customHeight="1" thickBot="1" x14ac:dyDescent="0.4">
      <c r="N35" s="203" t="s">
        <v>92</v>
      </c>
      <c r="O35" s="204"/>
      <c r="P35" s="160">
        <f>P33+P34</f>
        <v>4452.8314614000001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2026-06-16T12:45:01Z</dcterms:modified>
</cp:coreProperties>
</file>