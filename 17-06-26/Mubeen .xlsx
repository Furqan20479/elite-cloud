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DEE4FDB4-907A-43D9-901C-6391B45C5F8F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L17" i="20" l="1"/>
  <c r="L18" i="20"/>
  <c r="L19" i="20"/>
  <c r="L20" i="20"/>
  <c r="L21" i="20"/>
  <c r="L16" i="20"/>
  <c r="J17" i="15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I19" i="31"/>
  <c r="K19" i="31" s="1"/>
  <c r="I20" i="31"/>
  <c r="I21" i="31"/>
  <c r="I22" i="31"/>
  <c r="I23" i="31"/>
  <c r="K23" i="31" s="1"/>
  <c r="I24" i="31"/>
  <c r="I23" i="32"/>
  <c r="I22" i="33"/>
  <c r="I16" i="34"/>
  <c r="I25" i="34" s="1"/>
  <c r="P28" i="34" s="1"/>
  <c r="I17" i="34"/>
  <c r="I18" i="34"/>
  <c r="I19" i="34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I23" i="29"/>
  <c r="L23" i="29" s="1"/>
  <c r="I24" i="29"/>
  <c r="I24" i="32"/>
  <c r="I19" i="33"/>
  <c r="I23" i="33"/>
  <c r="L23" i="33" s="1"/>
  <c r="L17" i="33"/>
  <c r="L18" i="33"/>
  <c r="I25" i="35"/>
  <c r="P28" i="35" s="1"/>
  <c r="K16" i="35"/>
  <c r="L16" i="35"/>
  <c r="K17" i="35"/>
  <c r="M17" i="35"/>
  <c r="L17" i="35"/>
  <c r="K18" i="35"/>
  <c r="L18" i="35"/>
  <c r="M18" i="35" s="1"/>
  <c r="K19" i="35"/>
  <c r="L19" i="35"/>
  <c r="K20" i="35"/>
  <c r="L20" i="35"/>
  <c r="K21" i="35"/>
  <c r="M21" i="35" s="1"/>
  <c r="L21" i="35"/>
  <c r="K22" i="35"/>
  <c r="L22" i="35"/>
  <c r="M22" i="35"/>
  <c r="K23" i="35"/>
  <c r="L23" i="35"/>
  <c r="M23" i="35" s="1"/>
  <c r="K24" i="35"/>
  <c r="M24" i="35" s="1"/>
  <c r="L24" i="35"/>
  <c r="L16" i="34"/>
  <c r="K17" i="34"/>
  <c r="L17" i="34"/>
  <c r="K18" i="34"/>
  <c r="L18" i="34"/>
  <c r="K19" i="34"/>
  <c r="L19" i="34"/>
  <c r="L20" i="34"/>
  <c r="K21" i="34"/>
  <c r="L21" i="34"/>
  <c r="K22" i="34"/>
  <c r="L22" i="34"/>
  <c r="K23" i="34"/>
  <c r="M23" i="34"/>
  <c r="L23" i="34"/>
  <c r="K24" i="34"/>
  <c r="K21" i="33"/>
  <c r="L21" i="33"/>
  <c r="K22" i="33"/>
  <c r="M22" i="33" s="1"/>
  <c r="L22" i="33"/>
  <c r="K19" i="33"/>
  <c r="L19" i="33"/>
  <c r="K23" i="33"/>
  <c r="K20" i="33"/>
  <c r="L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L16" i="32"/>
  <c r="K17" i="32"/>
  <c r="L17" i="32"/>
  <c r="K18" i="32"/>
  <c r="L18" i="32"/>
  <c r="K19" i="32"/>
  <c r="L19" i="32"/>
  <c r="K20" i="32"/>
  <c r="L20" i="32"/>
  <c r="K21" i="32"/>
  <c r="L21" i="32"/>
  <c r="K23" i="32"/>
  <c r="L23" i="32"/>
  <c r="M23" i="32" s="1"/>
  <c r="K22" i="32"/>
  <c r="L22" i="32"/>
  <c r="K17" i="31"/>
  <c r="L17" i="31"/>
  <c r="M17" i="31" s="1"/>
  <c r="L19" i="31"/>
  <c r="K21" i="31"/>
  <c r="L21" i="31"/>
  <c r="K22" i="31"/>
  <c r="L22" i="31"/>
  <c r="M22" i="31" s="1"/>
  <c r="K24" i="31"/>
  <c r="L24" i="31"/>
  <c r="M24" i="31" s="1"/>
  <c r="K16" i="31"/>
  <c r="L16" i="31"/>
  <c r="K18" i="31"/>
  <c r="L18" i="31"/>
  <c r="K20" i="31"/>
  <c r="L20" i="31"/>
  <c r="L23" i="31"/>
  <c r="K18" i="30"/>
  <c r="L18" i="30"/>
  <c r="K20" i="30"/>
  <c r="L20" i="30"/>
  <c r="K21" i="30"/>
  <c r="L21" i="30"/>
  <c r="M21" i="30" s="1"/>
  <c r="K23" i="30"/>
  <c r="M23" i="30" s="1"/>
  <c r="L23" i="30"/>
  <c r="I25" i="30"/>
  <c r="P28" i="30" s="1"/>
  <c r="K16" i="30"/>
  <c r="L16" i="30"/>
  <c r="K17" i="30"/>
  <c r="L17" i="30"/>
  <c r="K19" i="30"/>
  <c r="L19" i="30"/>
  <c r="K22" i="30"/>
  <c r="L22" i="30"/>
  <c r="K24" i="30"/>
  <c r="M24" i="30" s="1"/>
  <c r="L24" i="30"/>
  <c r="K16" i="29"/>
  <c r="L16" i="29"/>
  <c r="K21" i="29"/>
  <c r="L21" i="29"/>
  <c r="K24" i="29"/>
  <c r="M24" i="29"/>
  <c r="L24" i="29"/>
  <c r="K17" i="29"/>
  <c r="L17" i="29"/>
  <c r="K20" i="29"/>
  <c r="L20" i="29"/>
  <c r="K22" i="29"/>
  <c r="M22" i="29" s="1"/>
  <c r="L22" i="29"/>
  <c r="K18" i="29"/>
  <c r="L18" i="29"/>
  <c r="K23" i="29"/>
  <c r="I25" i="28"/>
  <c r="P28" i="28" s="1"/>
  <c r="K16" i="28"/>
  <c r="L16" i="28"/>
  <c r="K17" i="28"/>
  <c r="L17" i="28"/>
  <c r="M17" i="28" s="1"/>
  <c r="K18" i="28"/>
  <c r="L18" i="28"/>
  <c r="K19" i="28"/>
  <c r="L19" i="28"/>
  <c r="K20" i="28"/>
  <c r="L20" i="28"/>
  <c r="K21" i="28"/>
  <c r="L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3" i="33" l="1"/>
  <c r="I16" i="26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K16" i="34"/>
  <c r="M16" i="34" s="1"/>
  <c r="I25" i="33"/>
  <c r="P28" i="33" s="1"/>
  <c r="L19" i="29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K25" i="34"/>
  <c r="P30" i="34" s="1"/>
  <c r="N23" i="34"/>
  <c r="O23" i="34" s="1"/>
  <c r="P23" i="34" s="1"/>
  <c r="N19" i="34"/>
  <c r="O19" i="34" s="1"/>
  <c r="N16" i="34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P24" i="3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L23" i="27"/>
  <c r="K24" i="27"/>
  <c r="L24" i="27"/>
  <c r="K19" i="27"/>
  <c r="L19" i="27"/>
  <c r="K18" i="27"/>
  <c r="L18" i="27"/>
  <c r="K17" i="26"/>
  <c r="L17" i="26"/>
  <c r="K19" i="26"/>
  <c r="L19" i="26"/>
  <c r="L22" i="26"/>
  <c r="K23" i="26"/>
  <c r="L23" i="26"/>
  <c r="L18" i="26"/>
  <c r="K20" i="26"/>
  <c r="L20" i="26"/>
  <c r="K21" i="26"/>
  <c r="L21" i="26"/>
  <c r="K24" i="26"/>
  <c r="L24" i="26"/>
  <c r="M24" i="26" s="1"/>
  <c r="K16" i="26"/>
  <c r="L16" i="26"/>
  <c r="T23" i="15"/>
  <c r="T22" i="15"/>
  <c r="T21" i="15"/>
  <c r="T20" i="15"/>
  <c r="T19" i="15"/>
  <c r="T18" i="15"/>
  <c r="T17" i="15"/>
  <c r="T16" i="15"/>
  <c r="T15" i="15"/>
  <c r="T14" i="15"/>
  <c r="I25" i="26" l="1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I18" i="25"/>
  <c r="I19" i="25"/>
  <c r="I25" i="25" s="1"/>
  <c r="P28" i="25" s="1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L19" i="19" s="1"/>
  <c r="I20" i="19"/>
  <c r="K20" i="19" s="1"/>
  <c r="I21" i="19"/>
  <c r="I22" i="19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I18" i="20"/>
  <c r="K18" i="20" s="1"/>
  <c r="I20" i="20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K16" i="25"/>
  <c r="L16" i="25"/>
  <c r="K24" i="25"/>
  <c r="L22" i="25"/>
  <c r="L17" i="25"/>
  <c r="K17" i="25"/>
  <c r="L23" i="25"/>
  <c r="K23" i="25"/>
  <c r="K17" i="24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4" i="20"/>
  <c r="K23" i="20"/>
  <c r="L20" i="19"/>
  <c r="K18" i="19"/>
  <c r="K24" i="19"/>
  <c r="L24" i="19"/>
  <c r="K22" i="19"/>
  <c r="L22" i="19"/>
  <c r="L21" i="19"/>
  <c r="K21" i="19"/>
  <c r="L21" i="18"/>
  <c r="K21" i="18"/>
  <c r="K22" i="18"/>
  <c r="M22" i="18" s="1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18" i="17" l="1"/>
  <c r="K23" i="19"/>
  <c r="M23" i="19" s="1"/>
  <c r="N23" i="19" s="1"/>
  <c r="O23" i="19" s="1"/>
  <c r="K19" i="19"/>
  <c r="M19" i="19" s="1"/>
  <c r="N19" i="19" s="1"/>
  <c r="O19" i="19" s="1"/>
  <c r="L23" i="22"/>
  <c r="L25" i="22" s="1"/>
  <c r="P29" i="22" s="1"/>
  <c r="K19" i="25"/>
  <c r="L19" i="25"/>
  <c r="L25" i="25" s="1"/>
  <c r="P29" i="25" s="1"/>
  <c r="K21" i="25"/>
  <c r="K16" i="24"/>
  <c r="K18" i="18"/>
  <c r="M18" i="18" s="1"/>
  <c r="K21" i="20"/>
  <c r="M21" i="20" s="1"/>
  <c r="N21" i="20" s="1"/>
  <c r="O21" i="20" s="1"/>
  <c r="L21" i="2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L20" i="24"/>
  <c r="K19" i="24"/>
  <c r="M19" i="24" s="1"/>
  <c r="N19" i="24" s="1"/>
  <c r="O19" i="24" s="1"/>
  <c r="P19" i="24" s="1"/>
  <c r="L24" i="21"/>
  <c r="M17" i="20"/>
  <c r="N17" i="20" s="1"/>
  <c r="O17" i="20" s="1"/>
  <c r="K17" i="19"/>
  <c r="L16" i="17"/>
  <c r="K20" i="18"/>
  <c r="M20" i="18" s="1"/>
  <c r="N20" i="18" s="1"/>
  <c r="O20" i="18" s="1"/>
  <c r="L17" i="17"/>
  <c r="M17" i="17" s="1"/>
  <c r="N17" i="17" s="1"/>
  <c r="O17" i="17" s="1"/>
  <c r="M19" i="20"/>
  <c r="N19" i="20" s="1"/>
  <c r="O19" i="20" s="1"/>
  <c r="K16" i="23"/>
  <c r="M16" i="23" s="1"/>
  <c r="N16" i="23" s="1"/>
  <c r="L24" i="24"/>
  <c r="L18" i="24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M21" i="23" s="1"/>
  <c r="N21" i="23" s="1"/>
  <c r="O21" i="23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M17" i="18" s="1"/>
  <c r="N17" i="18" s="1"/>
  <c r="O17" i="18" s="1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M18" i="20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I19" i="16"/>
  <c r="L19" i="16" s="1"/>
  <c r="I20" i="16"/>
  <c r="K20" i="16" s="1"/>
  <c r="I21" i="16"/>
  <c r="L21" i="16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N17" i="25"/>
  <c r="O17" i="25" s="1"/>
  <c r="K25" i="25"/>
  <c r="P30" i="25" s="1"/>
  <c r="M16" i="25"/>
  <c r="N23" i="25"/>
  <c r="O23" i="25" s="1"/>
  <c r="P23" i="25" s="1"/>
  <c r="N19" i="25"/>
  <c r="O19" i="25" s="1"/>
  <c r="N23" i="24"/>
  <c r="O23" i="24" s="1"/>
  <c r="N24" i="24"/>
  <c r="O24" i="24" s="1"/>
  <c r="K25" i="24"/>
  <c r="P30" i="24" s="1"/>
  <c r="N18" i="22"/>
  <c r="O18" i="22" s="1"/>
  <c r="M16" i="22"/>
  <c r="M21" i="21"/>
  <c r="N21" i="21" s="1"/>
  <c r="M17" i="19"/>
  <c r="N17" i="19" s="1"/>
  <c r="O17" i="19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M16" i="17"/>
  <c r="I23" i="15"/>
  <c r="L21" i="15" l="1"/>
  <c r="K25" i="19"/>
  <c r="P30" i="19" s="1"/>
  <c r="K22" i="15"/>
  <c r="M19" i="18"/>
  <c r="N19" i="18" s="1"/>
  <c r="O19" i="18" s="1"/>
  <c r="P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16" i="15" s="1"/>
  <c r="L22" i="16"/>
  <c r="L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2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22" i="15" l="1"/>
  <c r="M18" i="15"/>
  <c r="N16" i="18"/>
  <c r="N16" i="15" s="1"/>
  <c r="M18" i="16"/>
  <c r="N18" i="16" s="1"/>
  <c r="M22" i="16"/>
  <c r="N22" i="16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O22" i="16"/>
  <c r="O22" i="15" s="1"/>
  <c r="N22" i="15"/>
  <c r="O18" i="16"/>
  <c r="O18" i="15" s="1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N20" i="15" l="1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16" i="16"/>
  <c r="P22" i="15"/>
  <c r="P33" i="16" l="1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<sst xmlns="http://schemas.openxmlformats.org/spreadsheetml/2006/main" count="1584" uniqueCount="124">
  <si>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</si>
  <si>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</si>
  <si>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</si>
  <si>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</si>
  <si>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</si>
  <si>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</si>
  <si>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</si>
  <si>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</si>
  <si>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</si>
  <si>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</si>
  <si>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</si>
  <si>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</si>
  <si>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</si>
  <si>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</si>
  <si>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</si>
  <si>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</si>
  <si>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</si>
  <si>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</si>
  <si>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</si>
  <si>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</si>
  <si>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</si>
  <si>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</si>
  <si>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</si>
  <si>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</si>
  <si>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</si>
  <si>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</si>
  <si>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</si>
  <si>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</si>
  <si>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</si>
  <si>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</si>
  <si>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</si>
  <si>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</si>
  <si>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</si>
  <si>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</si>
  <si>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</si>
  <si>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</si>
  <si>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</si>
  <si>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</si>
  <si>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</si>
  <si>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</si>
  <si>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</si>
  <si>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</si>
  <si>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</si>
  <si>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</si>
  <si>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</si>
  <si>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</si>
  <si>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</si>
  <si>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</si>
  <si>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</si>
  <si>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</si>
  <si>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</si>
  <si>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</si>
  <si>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</si>
  <si>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</si>
  <si>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</si>
  <si>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</si>
  <si>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</si>
  <si>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</si>
  <si>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</si>
  <si>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</si>
  <si>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</si>
  <si>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</si>
  <si>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</si>
  <si>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</si>
  <si>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</si>
  <si>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</si>
  <si>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</si>
  <si>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</si>
  <si>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</si>
  <si>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</si>
  <si>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</si>
  <si>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</si>
  <si>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</si>
  <si>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</si>
  <si>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</si>
  <si>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</si>
  <si>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</si>
  <si>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</si>
  <si>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</si>
  <si>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</si>
  <si>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</si>
  <si>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</si>
  <si>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</si>
  <si>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</si>
  <si>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</si>
  <si>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</si>
  <si>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</si>
  <si>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</si>
  <si>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</si>
  <si>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</si>
  <si>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</si>
  <si>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</si>
  <si>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</si>
  <si>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</si>
  <si>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</si>
  <si>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</si>
  <si>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</si>
  <si>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</si>
  <si>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</si>
  <si>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</si>
  <si>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</si>
  <si>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</si>
  <si>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</si>
  <si>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</si>
  <si>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 xml:space="preserve">Mubeen </t>
  </si>
  <si>
    <t>Shop Bill Summary (Mubeen )</t>
  </si>
  <si>
    <t xml:space="preserve">Customer Name : Smart Pharmacy </t>
  </si>
  <si>
    <t>Address: Askari 9</t>
  </si>
  <si>
    <t>352011313092-3</t>
  </si>
  <si>
    <t>Customer Name : Askari Store</t>
  </si>
  <si>
    <t>352016804447-1</t>
  </si>
  <si>
    <t>Customer Name : Clasic Store</t>
  </si>
  <si>
    <t>331054413451-5</t>
  </si>
  <si>
    <t>Customer Name : United Store</t>
  </si>
  <si>
    <t>3255339-7</t>
  </si>
  <si>
    <t xml:space="preserve">Customer Name : Bin Doud </t>
  </si>
  <si>
    <t>Address: Pepsi Road Harbanspura</t>
  </si>
  <si>
    <t xml:space="preserve">Customer Name : Fresh Bakers </t>
  </si>
  <si>
    <t>Address: Pepsi Road Harbans pura</t>
  </si>
  <si>
    <t>F2378171</t>
  </si>
  <si>
    <t>Customer Name : Garizan Store</t>
  </si>
  <si>
    <t>Customer Name : Bismillah Store</t>
  </si>
  <si>
    <t>Address: Mughalpura</t>
  </si>
  <si>
    <t>Customer Name : Irfan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</si>
</sst>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J19" sqref="J19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J19" sqref="J19"/>
      <selection pane="topRight" activeCell="J19" sqref="J19"/>
      <selection pane="bottomLeft" activeCell="J19" sqref="J19"/>
      <selection pane="bottomRight" activeCell="J19" sqref="J19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3"/>
      <c r="B3" s="183"/>
      <c r="C3" s="183"/>
      <c r="D3" s="183"/>
      <c r="E3" s="183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</row>
    <row r="4" spans="1:29" x14ac:dyDescent="0.35">
      <c r="A4" s="185" t="s">
        <v>6</v>
      </c>
      <c r="B4" s="5" t="s">
        <v>7</v>
      </c>
      <c r="C4" s="5"/>
      <c r="D4" s="187" t="s">
        <v>8</v>
      </c>
      <c r="E4" s="189" t="s">
        <v>9</v>
      </c>
      <c r="F4" s="191" t="s">
        <v>3</v>
      </c>
      <c r="G4" s="191"/>
      <c r="H4" s="192" t="s">
        <v>10</v>
      </c>
      <c r="I4" s="192"/>
      <c r="J4" s="193" t="s">
        <v>11</v>
      </c>
      <c r="K4" s="194"/>
      <c r="L4" s="193" t="s">
        <v>12</v>
      </c>
      <c r="M4" s="194"/>
      <c r="N4" s="195" t="s">
        <v>13</v>
      </c>
      <c r="O4" s="195"/>
      <c r="P4" s="193" t="s">
        <v>4</v>
      </c>
      <c r="Q4" s="194"/>
      <c r="R4" s="193" t="s">
        <v>14</v>
      </c>
      <c r="S4" s="194"/>
      <c r="T4" s="196" t="s">
        <v>15</v>
      </c>
      <c r="U4" s="196"/>
      <c r="V4" s="197" t="s">
        <v>16</v>
      </c>
      <c r="W4" s="198"/>
      <c r="X4" s="197" t="s">
        <v>17</v>
      </c>
      <c r="Y4" s="198"/>
    </row>
    <row r="5" spans="1:29" ht="26.25" customHeight="1" thickBot="1" x14ac:dyDescent="0.4">
      <c r="A5" s="186"/>
      <c r="B5" s="7" t="s">
        <v>18</v>
      </c>
      <c r="C5" s="7" t="s">
        <v>8</v>
      </c>
      <c r="D5" s="188"/>
      <c r="E5" s="19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tabSelected="1" zoomScale="85" zoomScaleNormal="85" workbookViewId="0">
      <selection activeCell="S21" sqref="S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199" t="s">
        <v>45</v>
      </c>
      <c r="B2" s="199"/>
      <c r="C2" s="199"/>
    </row>
    <row r="3" spans="1:21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04" t="s">
        <v>104</v>
      </c>
      <c r="B5" s="204"/>
      <c r="C5" s="204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21 16383:16384" ht="15" customHeight="1" x14ac:dyDescent="0.35">
      <c r="A6" s="204"/>
      <c r="B6" s="204"/>
      <c r="C6" s="204"/>
      <c r="F6" s="70"/>
      <c r="G6" s="74"/>
      <c r="K6" s="201" t="s">
        <v>52</v>
      </c>
      <c r="L6" s="201"/>
      <c r="M6" s="201"/>
      <c r="N6" s="203" t="s">
        <v>42</v>
      </c>
      <c r="O6" s="203"/>
      <c r="P6" s="20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21 16383:16384" hidden="1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21 16383:16384" x14ac:dyDescent="0.35">
      <c r="A10" s="206"/>
      <c r="B10" s="75"/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21 16383:16384" ht="15" thickBot="1" x14ac:dyDescent="0.4">
      <c r="A11" s="206"/>
      <c r="B11" s="76"/>
      <c r="C11" s="77"/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21 16383:16384" ht="14.65" customHeight="1" x14ac:dyDescent="0.35">
      <c r="A12" s="206"/>
      <c r="B12" s="76"/>
      <c r="C12" s="77"/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T12" s="215" t="s">
        <v>105</v>
      </c>
      <c r="U12" s="216"/>
      <c r="XFD12" t="s">
        <v>62</v>
      </c>
    </row>
    <row r="13" spans="1:21 16383:16384" ht="15" thickBot="1" x14ac:dyDescent="0.4">
      <c r="A13" s="243"/>
      <c r="J13" s="78"/>
      <c r="K13" s="78"/>
      <c r="L13" s="79">
        <v>0.05</v>
      </c>
      <c r="T13" s="217"/>
      <c r="U13" s="218"/>
      <c r="XFD13" t="s">
        <v>63</v>
      </c>
    </row>
    <row r="14" spans="1:21 16383:16384" ht="29.25" customHeight="1" x14ac:dyDescent="0.6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09" t="s">
        <v>68</v>
      </c>
      <c r="H14" s="210"/>
      <c r="I14" s="210" t="s">
        <v>69</v>
      </c>
      <c r="J14" s="210" t="s">
        <v>70</v>
      </c>
      <c r="K14" s="210"/>
      <c r="L14" s="212"/>
      <c r="M14" s="213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 xml:space="preserve">Customer Name : Smart Pharmacy </v>
      </c>
      <c r="U14" s="164">
        <f>+'1'!P35</f>
        <v>1736.7753292800003</v>
      </c>
      <c r="XFD14" t="s">
        <v>75</v>
      </c>
    </row>
    <row r="15" spans="1:21 16383:16384" ht="29.25" customHeight="1" thickBot="1" x14ac:dyDescent="0.65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11"/>
      <c r="J15" s="171" t="s">
        <v>78</v>
      </c>
      <c r="K15" s="171" t="s">
        <v>79</v>
      </c>
      <c r="L15" s="174" t="s">
        <v>80</v>
      </c>
      <c r="M15" s="21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Askari Store</v>
      </c>
      <c r="U15" s="164">
        <f>+'2'!P35</f>
        <v>2142.0193225499997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</f>
        <v>12</v>
      </c>
      <c r="I16" s="1">
        <f>(G16*D16)*F16+H16*F16</f>
        <v>629.54999999999995</v>
      </c>
      <c r="J16" s="172">
        <f>+'1'!J16+'2'!J16+'4'!J16+'3'!J16+'5'!J16+'6'!J16+'7'!J16+'8'!J16+'9'!J16+'10'!J16+'11'!J16+'12'!J16+'13'!J16+'14'!J16+'15'!J16+'16'!J16+'17'!J16+'18'!J16</f>
        <v>0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50.363999999999997</v>
      </c>
      <c r="M16" s="106">
        <f>I16-K16-L16</f>
        <v>579.18599999999992</v>
      </c>
      <c r="N16" s="101">
        <f>+'1'!N16+'2'!N16+'4'!N16+'3'!N16+'5'!N16+'6'!N16+'7'!N16+'8'!N16+'9'!N16+'10'!N16</f>
        <v>127.42091999999998</v>
      </c>
      <c r="O16" s="101">
        <f>+'1'!O16+'2'!O16+'4'!O16+'3'!O16+'5'!O16+'6'!O16+'7'!O16+'8'!O16+'9'!O16+'10'!O16</f>
        <v>3.5330345999999997</v>
      </c>
      <c r="P16" s="105">
        <f t="shared" ref="P16:P24" si="0">M16+N16+O16</f>
        <v>710.1399545999999</v>
      </c>
      <c r="Q16" s="108"/>
      <c r="T16" s="163" t="str">
        <f>+'4'!A5</f>
        <v>Customer Name : United Store</v>
      </c>
      <c r="U16" s="164">
        <f>+'4'!P35</f>
        <v>0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</f>
        <v>12</v>
      </c>
      <c r="I17" s="1">
        <f t="shared" ref="I17:I23" si="1">(G17*D17)*F17+H17*F17</f>
        <v>629.54999999999995</v>
      </c>
      <c r="J17" s="172">
        <f>+'1'!J17+'2'!J17+'4'!J17+'3'!J17+'5'!J17+'6'!J17+'7'!J17+'8'!J17+'9'!J17+'10'!J17+'11'!J17+'12'!J17+'13'!J17+'14'!J17+'15'!J17+'16'!J17+'17'!J17+'18'!J17</f>
        <v>0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50.363999999999997</v>
      </c>
      <c r="M17" s="118">
        <f t="shared" ref="M17:M23" si="2">I17-K17-L17</f>
        <v>579.18599999999992</v>
      </c>
      <c r="N17" s="101">
        <f>+'1'!N17+'2'!N17+'4'!N17+'3'!N17+'5'!N17+'6'!N17+'7'!N17+'8'!N17+'9'!N17+'10'!N17</f>
        <v>127.42091999999998</v>
      </c>
      <c r="O17" s="101">
        <f>+'1'!O17+'2'!O17+'4'!O17+'3'!O17+'5'!O17+'6'!O17+'7'!O17+'8'!O17+'9'!O17+'10'!O17</f>
        <v>3.5330345999999997</v>
      </c>
      <c r="P17" s="120">
        <f t="shared" si="0"/>
        <v>710.1399545999999</v>
      </c>
      <c r="S17" s="64"/>
      <c r="T17" s="163" t="str">
        <f>+'3'!A5</f>
        <v>Customer Name : Clasic Store</v>
      </c>
      <c r="U17" s="164">
        <f>+'3'!P35</f>
        <v>3473.5506585600001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</f>
        <v>12</v>
      </c>
      <c r="I18" s="1">
        <f t="shared" si="1"/>
        <v>629.54999999999995</v>
      </c>
      <c r="J18" s="172">
        <f>+'1'!J18+'2'!J18+'4'!J18+'3'!J18+'5'!J18+'6'!J18+'7'!J18+'8'!J18+'9'!J18+'10'!J18+'11'!J18+'12'!J18+'13'!J18+'14'!J18+'15'!J18+'16'!J18+'17'!J18+'18'!J18</f>
        <v>1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50.363999999999997</v>
      </c>
      <c r="M18" s="118">
        <f t="shared" si="2"/>
        <v>579.18599999999992</v>
      </c>
      <c r="N18" s="101">
        <f>+'1'!N18+'2'!N18+'4'!N18+'3'!N18+'5'!N18+'6'!N18+'7'!N18+'8'!N18+'9'!N18+'10'!N18</f>
        <v>138.96266999999997</v>
      </c>
      <c r="O18" s="101">
        <f>+'1'!O18+'2'!O18+'4'!O18+'3'!O18+'5'!O18+'6'!O18+'7'!O18+'8'!O18+'9'!O18+'10'!O18</f>
        <v>3.5907433499999999</v>
      </c>
      <c r="P18" s="120">
        <f t="shared" si="0"/>
        <v>721.73941334999995</v>
      </c>
      <c r="T18" s="163" t="str">
        <f>+'5'!A5</f>
        <v xml:space="preserve">Customer Name : Bin Doud </v>
      </c>
      <c r="U18" s="164">
        <f>+'5'!P35</f>
        <v>3230.1991039999998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</f>
        <v>14</v>
      </c>
      <c r="I19" s="1">
        <f t="shared" si="1"/>
        <v>1016.96</v>
      </c>
      <c r="J19" s="172">
        <f>+'1'!J19+'2'!J19+'4'!J19+'3'!J19+'5'!J19+'6'!J19+'7'!J19+'8'!J19+'9'!J19+'10'!J19+'11'!J19+'12'!J19+'13'!J19+'14'!J19+'15'!J19+'16'!J19+'17'!J19+'18'!J19</f>
        <v>0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81.356800000000007</v>
      </c>
      <c r="M19" s="118">
        <f t="shared" si="2"/>
        <v>935.60320000000002</v>
      </c>
      <c r="N19" s="101">
        <f>+'1'!N19+'2'!N19+'4'!N19+'3'!N19+'5'!N19+'6'!N19+'7'!N19+'8'!N19+'9'!N19+'10'!N19</f>
        <v>205.83270400000001</v>
      </c>
      <c r="O19" s="101">
        <f>+'1'!O19+'2'!O19+'4'!O19+'3'!O19+'5'!O19+'6'!O19+'7'!O19+'8'!O19+'9'!O19+'10'!O19</f>
        <v>12.229670400000002</v>
      </c>
      <c r="P19" s="120">
        <f t="shared" si="0"/>
        <v>1153.6655744</v>
      </c>
      <c r="T19" s="163" t="str">
        <f>+'6'!A5</f>
        <v xml:space="preserve">Customer Name : Fresh Bakers 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</f>
        <v>27</v>
      </c>
      <c r="I20" s="1">
        <f t="shared" si="1"/>
        <v>1961.28</v>
      </c>
      <c r="J20" s="172">
        <f>+'1'!J20+'2'!J20+'4'!J20+'3'!J20+'5'!J20+'6'!J20+'7'!J20+'8'!J20+'9'!J20+'10'!J20+'11'!J20+'12'!J20+'13'!J20+'14'!J20+'15'!J20+'16'!J20+'17'!J20+'18'!J20</f>
        <v>3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156.9024</v>
      </c>
      <c r="M20" s="118">
        <f t="shared" si="2"/>
        <v>1804.3776</v>
      </c>
      <c r="N20" s="101">
        <f>+'1'!N20+'2'!N20+'4'!N20+'3'!N20+'5'!N20+'6'!N20+'7'!N20+'8'!N20+'9'!N20+'10'!N20</f>
        <v>444.90547199999997</v>
      </c>
      <c r="O20" s="101">
        <f>+'1'!O20+'2'!O20+'4'!O20+'3'!O20+'5'!O20+'6'!O20+'7'!O20+'8'!O20+'9'!O20+'10'!O20</f>
        <v>17.76890624</v>
      </c>
      <c r="P20" s="120">
        <f t="shared" si="0"/>
        <v>2267.0519782400002</v>
      </c>
      <c r="T20" s="163" t="str">
        <f>+'7'!A5</f>
        <v>Customer Name : Garizan Store</v>
      </c>
      <c r="U20" s="164">
        <f>+'7'!P35</f>
        <v>1002.8329728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</f>
        <v>74</v>
      </c>
      <c r="I21" s="1">
        <f t="shared" si="1"/>
        <v>5375.36</v>
      </c>
      <c r="J21" s="172">
        <f>+'1'!J21+'2'!J21+'4'!J21+'3'!J21+'5'!J21+'6'!J21+'7'!J21+'8'!J21+'9'!J21+'10'!J21+'11'!J21+'12'!J21+'13'!J21+'14'!J21+'15'!J21+'16'!J21+'17'!J21+'18'!J21</f>
        <v>2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546.25280000000009</v>
      </c>
      <c r="M21" s="118">
        <f t="shared" si="2"/>
        <v>4829.1071999999995</v>
      </c>
      <c r="N21" s="101">
        <f>+'1'!N21+'2'!N21+'4'!N21+'3'!N21+'5'!N21+'6'!N21+'7'!N21+'8'!N21+'9'!N21+'10'!N21</f>
        <v>1094.365184</v>
      </c>
      <c r="O21" s="101">
        <f>+'1'!O21+'2'!O21+'4'!O21+'3'!O21+'5'!O21+'6'!O21+'7'!O21+'8'!O21+'9'!O21+'10'!O21</f>
        <v>99.16812800000001</v>
      </c>
      <c r="P21" s="120">
        <f t="shared" si="0"/>
        <v>6022.6405119999999</v>
      </c>
      <c r="T21" s="163" t="str">
        <f>+'8'!A5</f>
        <v>Customer Name : Bismillah Store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</f>
        <v>0</v>
      </c>
      <c r="I22" s="1">
        <f t="shared" si="1"/>
        <v>0</v>
      </c>
      <c r="J22" s="172">
        <f>+'1'!J22+'2'!J22+'4'!J22+'3'!J22+'5'!J22+'6'!J22+'7'!J22+'8'!J22+'9'!J22+'10'!J22+'11'!J22+'12'!J22+'13'!J22+'14'!J22+'15'!J22+'16'!J22+'17'!J22+'18'!J22</f>
        <v>0</v>
      </c>
      <c r="K22" s="172">
        <f>+'1'!K22+'2'!K22+'4'!K22+'3'!K22+'5'!K22+'6'!K22+'7'!K22+'8'!K22+'9'!K22+'10'!K22</f>
        <v>0</v>
      </c>
      <c r="L22" s="175">
        <f>+'1'!L22+'2'!L22+'4'!L22+'3'!L22+'5'!L22+'6'!L22+'7'!L22+'8'!L22+'9'!L22+'10'!L22</f>
        <v>0</v>
      </c>
      <c r="M22" s="118">
        <f t="shared" si="2"/>
        <v>0</v>
      </c>
      <c r="N22" s="101">
        <f>+'1'!N22+'2'!N22+'4'!N22+'3'!N22+'5'!N22+'6'!N22+'7'!N22+'8'!N22+'9'!N22+'10'!N22</f>
        <v>0</v>
      </c>
      <c r="O22" s="101">
        <f>+'1'!O22+'2'!O22+'4'!O22+'3'!O22+'5'!O22+'6'!O22+'7'!O22+'8'!O22+'9'!O22+'10'!O22</f>
        <v>0</v>
      </c>
      <c r="P22" s="120">
        <f t="shared" si="0"/>
        <v>0</v>
      </c>
      <c r="T22" s="163" t="str">
        <f>+'9'!A5</f>
        <v>Customer Name : Irfan Store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25" t="s">
        <v>84</v>
      </c>
      <c r="B25" s="226"/>
      <c r="C25" s="227">
        <f>H25/40</f>
        <v>3.7749999999999999</v>
      </c>
      <c r="D25" s="221"/>
      <c r="E25" s="221"/>
      <c r="F25" s="221"/>
      <c r="G25" s="176">
        <f t="shared" ref="G25:M25" si="3">SUM(G16:G24)</f>
        <v>0</v>
      </c>
      <c r="H25" s="177">
        <f t="shared" si="3"/>
        <v>151</v>
      </c>
      <c r="I25" s="178">
        <f t="shared" si="3"/>
        <v>10242.25</v>
      </c>
      <c r="J25" s="177">
        <f t="shared" si="3"/>
        <v>6</v>
      </c>
      <c r="K25" s="178">
        <f t="shared" si="3"/>
        <v>0</v>
      </c>
      <c r="L25" s="179">
        <f t="shared" si="3"/>
        <v>935.60400000000004</v>
      </c>
      <c r="M25" s="141">
        <f t="shared" si="3"/>
        <v>9306.6459999999988</v>
      </c>
      <c r="N25" s="142">
        <f>SUM(N16:N24)</f>
        <v>2138.90787</v>
      </c>
      <c r="O25" s="143">
        <f>SUM(O16:O24)</f>
        <v>139.82351719000002</v>
      </c>
      <c r="P25" s="144">
        <f>SUM(P16:P24)</f>
        <v>11585.377387189999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/>
      <c r="U29" s="182"/>
    </row>
    <row r="30" spans="1:21 16384:16384" ht="26.5" thickBot="1" x14ac:dyDescent="0.65">
      <c r="A30" s="145"/>
      <c r="B30" s="145"/>
      <c r="C30" s="145"/>
      <c r="D30" s="145"/>
      <c r="E30" s="145"/>
      <c r="F30" s="145"/>
      <c r="G30" s="146"/>
      <c r="H30" s="146"/>
      <c r="I30" s="147"/>
      <c r="K30" s="148"/>
      <c r="L30" s="148"/>
      <c r="M30" s="148"/>
      <c r="N30" s="148"/>
      <c r="O30" s="149"/>
      <c r="P30" s="148"/>
      <c r="T30" s="166" t="s">
        <v>84</v>
      </c>
      <c r="U30" s="165">
        <f>SUM(U14:U28)</f>
        <v>11585.377387190001</v>
      </c>
    </row>
    <row r="31" spans="1:21 16384:16384" ht="15" thickBot="1" x14ac:dyDescent="0.4">
      <c r="A31" s="69"/>
      <c r="B31" s="69"/>
      <c r="C31" s="150"/>
      <c r="D31" s="150"/>
      <c r="E31" s="150"/>
      <c r="F31" s="150"/>
      <c r="G31" s="151"/>
      <c r="H31" s="151"/>
    </row>
    <row r="32" spans="1:21 16384:16384" x14ac:dyDescent="0.35">
      <c r="B32" s="228" t="s">
        <v>85</v>
      </c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N32" s="237" t="s">
        <v>86</v>
      </c>
      <c r="O32" s="238"/>
      <c r="P32" s="152">
        <f>I25</f>
        <v>10242.25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N33" s="239" t="s">
        <v>87</v>
      </c>
      <c r="O33" s="240"/>
      <c r="P33" s="153">
        <f>L25</f>
        <v>935.60400000000004</v>
      </c>
    </row>
    <row r="34" spans="2:16" ht="15" customHeight="1" x14ac:dyDescent="0.35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N34" s="239" t="s">
        <v>4</v>
      </c>
      <c r="O34" s="240"/>
      <c r="P34" s="154">
        <f>K25</f>
        <v>0</v>
      </c>
    </row>
    <row r="35" spans="2:16" ht="15" customHeight="1" x14ac:dyDescent="0.35">
      <c r="B35" s="231"/>
      <c r="C35" s="232"/>
      <c r="D35" s="232"/>
      <c r="E35" s="232"/>
      <c r="F35" s="232"/>
      <c r="G35" s="232"/>
      <c r="H35" s="232"/>
      <c r="I35" s="232"/>
      <c r="J35" s="232"/>
      <c r="K35" s="232"/>
      <c r="L35" s="233"/>
      <c r="M35" s="2"/>
      <c r="N35" s="239" t="s">
        <v>88</v>
      </c>
      <c r="O35" s="240"/>
      <c r="P35" s="153">
        <f>P32-P33-P34</f>
        <v>9306.6460000000006</v>
      </c>
    </row>
    <row r="36" spans="2:16" ht="15" customHeight="1" x14ac:dyDescent="0.35">
      <c r="B36" s="231"/>
      <c r="C36" s="232"/>
      <c r="D36" s="232"/>
      <c r="E36" s="232"/>
      <c r="F36" s="232"/>
      <c r="G36" s="232"/>
      <c r="H36" s="232"/>
      <c r="I36" s="232"/>
      <c r="J36" s="232"/>
      <c r="K36" s="232"/>
      <c r="L36" s="233"/>
      <c r="M36" s="2"/>
      <c r="N36" s="155" t="s">
        <v>89</v>
      </c>
      <c r="O36" s="156">
        <f>IF(B12="Registered",18%,22%)</f>
        <v>0.22</v>
      </c>
      <c r="P36" s="153">
        <f>N25</f>
        <v>2138.90787</v>
      </c>
    </row>
    <row r="37" spans="2:16" ht="15" customHeight="1" x14ac:dyDescent="0.35">
      <c r="B37" s="231"/>
      <c r="C37" s="232"/>
      <c r="D37" s="232"/>
      <c r="E37" s="232"/>
      <c r="F37" s="232"/>
      <c r="G37" s="232"/>
      <c r="H37" s="232"/>
      <c r="I37" s="232"/>
      <c r="J37" s="232"/>
      <c r="K37" s="232"/>
      <c r="L37" s="233"/>
      <c r="M37" s="2"/>
      <c r="N37" s="241" t="s">
        <v>90</v>
      </c>
      <c r="O37" s="242"/>
      <c r="P37" s="153">
        <f>P35+P36</f>
        <v>11445.55387</v>
      </c>
    </row>
    <row r="38" spans="2:16" ht="15" customHeight="1" thickBot="1" x14ac:dyDescent="0.4">
      <c r="B38" s="234"/>
      <c r="C38" s="235"/>
      <c r="D38" s="235"/>
      <c r="E38" s="235"/>
      <c r="F38" s="235"/>
      <c r="G38" s="235"/>
      <c r="H38" s="235"/>
      <c r="I38" s="235"/>
      <c r="J38" s="235"/>
      <c r="K38" s="235"/>
      <c r="L38" s="236"/>
      <c r="M38" s="157"/>
      <c r="N38" s="158" t="s">
        <v>91</v>
      </c>
      <c r="O38" s="159">
        <f>IF(B11="Filer",0.5%,2.5%)</f>
        <v>2.5000000000000001E-2</v>
      </c>
      <c r="P38" s="153">
        <f>O38*P37</f>
        <v>286.13884675000003</v>
      </c>
    </row>
    <row r="39" spans="2:16" ht="15.75" customHeight="1" thickBot="1" x14ac:dyDescent="0.4">
      <c r="N39" s="219" t="s">
        <v>92</v>
      </c>
      <c r="O39" s="220"/>
      <c r="P39" s="160">
        <f>P37+P38</f>
        <v>11731.69271675</v>
      </c>
    </row>
    <row r="40" spans="2:16" ht="15" thickBot="1" x14ac:dyDescent="0.4">
      <c r="B40" s="161" t="s">
        <v>93</v>
      </c>
      <c r="C40" s="221"/>
      <c r="D40" s="221"/>
      <c r="E40" s="221"/>
      <c r="F40" s="221"/>
      <c r="G40" s="221"/>
      <c r="H40" s="221"/>
      <c r="I40" s="222"/>
      <c r="J40" s="223"/>
      <c r="K40" s="224"/>
    </row>
    <row r="41" spans="2:16" ht="15.75" customHeight="1" x14ac:dyDescent="0.35"/>
  </sheetData>
  <mergeCells count="47"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workbookViewId="0">
      <selection sqref="A1:Q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106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107</v>
      </c>
      <c r="B6" s="201"/>
      <c r="C6" s="201"/>
      <c r="F6" s="70"/>
      <c r="G6" s="74"/>
      <c r="K6" s="201" t="s">
        <v>52</v>
      </c>
      <c r="L6" s="201"/>
      <c r="M6" s="201"/>
      <c r="N6" s="203" t="s">
        <v>99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108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">
        <f t="shared" ref="K17:K21" si="4">I17*$K$13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</v>
      </c>
      <c r="I19" s="116">
        <f t="shared" si="3"/>
        <v>290.56</v>
      </c>
      <c r="J19" s="117"/>
      <c r="K19" s="1">
        <f t="shared" si="4"/>
        <v>0</v>
      </c>
      <c r="L19" s="105">
        <f t="shared" si="5"/>
        <v>23.244800000000001</v>
      </c>
      <c r="M19" s="118">
        <f t="shared" si="6"/>
        <v>267.3152</v>
      </c>
      <c r="N19" s="118">
        <f t="shared" si="0"/>
        <v>58.809344000000003</v>
      </c>
      <c r="O19" s="119">
        <f t="shared" si="1"/>
        <v>1.6306227200000001</v>
      </c>
      <c r="P19" s="120">
        <f t="shared" si="2"/>
        <v>327.75516672000003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5</v>
      </c>
      <c r="I20" s="116">
        <f t="shared" si="3"/>
        <v>363.2</v>
      </c>
      <c r="J20" s="117">
        <v>1</v>
      </c>
      <c r="K20" s="1">
        <f t="shared" si="4"/>
        <v>0</v>
      </c>
      <c r="L20" s="105">
        <f t="shared" si="5"/>
        <v>29.056000000000001</v>
      </c>
      <c r="M20" s="118">
        <f t="shared" si="6"/>
        <v>334.14400000000001</v>
      </c>
      <c r="N20" s="118">
        <f t="shared" si="0"/>
        <v>89.49248</v>
      </c>
      <c r="O20" s="119">
        <f t="shared" si="1"/>
        <v>2.1181824000000002</v>
      </c>
      <c r="P20" s="120">
        <f t="shared" si="2"/>
        <v>425.75466240000003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12</v>
      </c>
      <c r="I21" s="116">
        <f t="shared" si="3"/>
        <v>871.68000000000006</v>
      </c>
      <c r="J21" s="117"/>
      <c r="K21" s="1">
        <f t="shared" si="4"/>
        <v>0</v>
      </c>
      <c r="L21" s="105">
        <f t="shared" si="5"/>
        <v>69.734400000000008</v>
      </c>
      <c r="M21" s="118">
        <f t="shared" si="6"/>
        <v>801.94560000000001</v>
      </c>
      <c r="N21" s="118">
        <f t="shared" si="0"/>
        <v>176.428032</v>
      </c>
      <c r="O21" s="119">
        <f t="shared" si="1"/>
        <v>4.8918681600000005</v>
      </c>
      <c r="P21" s="120">
        <f t="shared" si="2"/>
        <v>983.26550015999999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21</v>
      </c>
      <c r="I25" s="137">
        <f t="shared" si="9"/>
        <v>1525.44</v>
      </c>
      <c r="J25" s="138"/>
      <c r="K25" s="139">
        <f t="shared" si="9"/>
        <v>0</v>
      </c>
      <c r="L25" s="140">
        <f t="shared" si="9"/>
        <v>122.0352</v>
      </c>
      <c r="M25" s="141">
        <f t="shared" si="9"/>
        <v>1403.4048</v>
      </c>
      <c r="N25" s="142">
        <f>SUM(N16:N24)</f>
        <v>324.72985600000004</v>
      </c>
      <c r="O25" s="143">
        <f>SUM(O16:O24)</f>
        <v>8.6406732800000015</v>
      </c>
      <c r="P25" s="144">
        <f>SUM(P16:P24)</f>
        <v>1736.7753292800001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1525.44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122.0352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1403.4048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324.72985600000004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1728.1346560000002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8.6406732800000015</v>
      </c>
    </row>
    <row r="35" spans="2:16" ht="15.75" customHeight="1" thickBot="1" x14ac:dyDescent="0.4">
      <c r="N35" s="219" t="s">
        <v>92</v>
      </c>
      <c r="O35" s="220"/>
      <c r="P35" s="160">
        <f>P33+P34</f>
        <v>1736.7753292800003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workbookViewId="0">
      <selection sqref="A1:Q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2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109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107</v>
      </c>
      <c r="B6" s="201"/>
      <c r="C6" s="201"/>
      <c r="F6" s="70"/>
      <c r="G6" s="74"/>
      <c r="K6" s="201" t="s">
        <v>52</v>
      </c>
      <c r="L6" s="201"/>
      <c r="M6" s="201"/>
      <c r="N6" s="203" t="s">
        <v>99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110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12</v>
      </c>
      <c r="I16" s="102">
        <f>(G16*D16)*F16+H16*F16</f>
        <v>629.54999999999995</v>
      </c>
      <c r="J16" s="103"/>
      <c r="K16" s="104">
        <f>I16*$K$13</f>
        <v>0</v>
      </c>
      <c r="L16" s="105">
        <f>I16*8%</f>
        <v>50.363999999999997</v>
      </c>
      <c r="M16" s="106">
        <f>I16-K16-L16</f>
        <v>579.18599999999992</v>
      </c>
      <c r="N16" s="106">
        <f t="shared" ref="N16:N24" si="0">(M16*$N$15)+(J16*F16)*$N$15</f>
        <v>127.42091999999998</v>
      </c>
      <c r="O16" s="107">
        <f>(N16+M16)*$O$15</f>
        <v>3.5330345999999997</v>
      </c>
      <c r="P16" s="105">
        <f t="shared" ref="P16:P24" si="1">M16+N16+O16</f>
        <v>710.1399545999999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12</v>
      </c>
      <c r="I17" s="116">
        <f t="shared" ref="I17:I23" si="2">(G17*D17)*F17+H17*F17</f>
        <v>629.54999999999995</v>
      </c>
      <c r="J17" s="117"/>
      <c r="K17" s="1">
        <f t="shared" ref="K17:K21" si="3">I17*$K$13</f>
        <v>0</v>
      </c>
      <c r="L17" s="105">
        <f t="shared" ref="L17:L21" si="4">I17*8%</f>
        <v>50.363999999999997</v>
      </c>
      <c r="M17" s="118">
        <f t="shared" ref="M17:M23" si="5">I17-K17-L17</f>
        <v>579.18599999999992</v>
      </c>
      <c r="N17" s="118">
        <f t="shared" si="0"/>
        <v>127.42091999999998</v>
      </c>
      <c r="O17" s="119">
        <f t="shared" ref="O17:O24" si="6">(N17+M17)*$O$15</f>
        <v>3.5330345999999997</v>
      </c>
      <c r="P17" s="120">
        <f t="shared" si="1"/>
        <v>710.1399545999999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12</v>
      </c>
      <c r="I18" s="116">
        <f t="shared" si="2"/>
        <v>629.54999999999995</v>
      </c>
      <c r="J18" s="117">
        <v>1</v>
      </c>
      <c r="K18" s="1">
        <f t="shared" si="3"/>
        <v>0</v>
      </c>
      <c r="L18" s="105">
        <f t="shared" si="4"/>
        <v>50.363999999999997</v>
      </c>
      <c r="M18" s="118">
        <f t="shared" si="5"/>
        <v>579.18599999999992</v>
      </c>
      <c r="N18" s="118">
        <f t="shared" si="0"/>
        <v>138.96266999999997</v>
      </c>
      <c r="O18" s="119">
        <f t="shared" si="6"/>
        <v>3.5907433499999999</v>
      </c>
      <c r="P18" s="120">
        <f t="shared" si="1"/>
        <v>721.73941334999995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36</v>
      </c>
      <c r="I25" s="137">
        <f t="shared" si="9"/>
        <v>1888.6499999999999</v>
      </c>
      <c r="J25" s="138"/>
      <c r="K25" s="139">
        <f t="shared" si="9"/>
        <v>0</v>
      </c>
      <c r="L25" s="140">
        <f t="shared" si="9"/>
        <v>151.09199999999998</v>
      </c>
      <c r="M25" s="141">
        <f t="shared" si="9"/>
        <v>1737.5579999999998</v>
      </c>
      <c r="N25" s="142">
        <f>SUM(N16:N24)</f>
        <v>393.80450999999994</v>
      </c>
      <c r="O25" s="143">
        <f>SUM(O16:O24)</f>
        <v>10.65681255</v>
      </c>
      <c r="P25" s="144">
        <f>SUM(P16:P24)</f>
        <v>2142.0193225499997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1888.6499999999999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151.09199999999998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1737.558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393.80450999999994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2131.3625099999999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10.65681255</v>
      </c>
    </row>
    <row r="35" spans="2:16" ht="15.75" customHeight="1" thickBot="1" x14ac:dyDescent="0.4">
      <c r="N35" s="219" t="s">
        <v>92</v>
      </c>
      <c r="O35" s="220"/>
      <c r="P35" s="160">
        <f>P33+P34</f>
        <v>2142.0193225499997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4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111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107</v>
      </c>
      <c r="B6" s="201"/>
      <c r="C6" s="201"/>
      <c r="F6" s="70"/>
      <c r="G6" s="74"/>
      <c r="K6" s="201" t="s">
        <v>52</v>
      </c>
      <c r="L6" s="201"/>
      <c r="M6" s="201"/>
      <c r="N6" s="203" t="s">
        <v>99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 t="s">
        <v>112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6</v>
      </c>
      <c r="I19" s="116">
        <f t="shared" si="2"/>
        <v>435.84000000000003</v>
      </c>
      <c r="J19" s="117"/>
      <c r="K19" s="1">
        <f t="shared" si="3"/>
        <v>0</v>
      </c>
      <c r="L19" s="105">
        <f t="shared" si="4"/>
        <v>34.867200000000004</v>
      </c>
      <c r="M19" s="118">
        <f t="shared" si="5"/>
        <v>400.97280000000001</v>
      </c>
      <c r="N19" s="118">
        <f t="shared" si="0"/>
        <v>88.214016000000001</v>
      </c>
      <c r="O19" s="119">
        <f t="shared" si="6"/>
        <v>2.4459340800000002</v>
      </c>
      <c r="P19" s="120">
        <f t="shared" si="1"/>
        <v>491.63275007999999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18</v>
      </c>
      <c r="I20" s="116">
        <f t="shared" si="2"/>
        <v>1307.52</v>
      </c>
      <c r="J20" s="117">
        <v>2</v>
      </c>
      <c r="K20" s="1">
        <f t="shared" si="3"/>
        <v>0</v>
      </c>
      <c r="L20" s="105">
        <f t="shared" si="4"/>
        <v>104.6016</v>
      </c>
      <c r="M20" s="118">
        <f t="shared" si="5"/>
        <v>1202.9184</v>
      </c>
      <c r="N20" s="118">
        <f t="shared" si="0"/>
        <v>296.60364799999996</v>
      </c>
      <c r="O20" s="119">
        <f t="shared" si="6"/>
        <v>7.4976102400000002</v>
      </c>
      <c r="P20" s="120">
        <f t="shared" si="1"/>
        <v>1507.0196582400001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18</v>
      </c>
      <c r="I21" s="116">
        <f t="shared" si="2"/>
        <v>1307.52</v>
      </c>
      <c r="J21" s="117"/>
      <c r="K21" s="1">
        <f t="shared" si="3"/>
        <v>0</v>
      </c>
      <c r="L21" s="105">
        <f t="shared" si="4"/>
        <v>104.6016</v>
      </c>
      <c r="M21" s="118">
        <f t="shared" si="5"/>
        <v>1202.9184</v>
      </c>
      <c r="N21" s="118">
        <f t="shared" si="0"/>
        <v>264.64204799999999</v>
      </c>
      <c r="O21" s="119">
        <f t="shared" si="6"/>
        <v>7.3378022400000003</v>
      </c>
      <c r="P21" s="120">
        <f t="shared" si="1"/>
        <v>1474.8982502399999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42</v>
      </c>
      <c r="I25" s="137">
        <f t="shared" si="9"/>
        <v>3050.88</v>
      </c>
      <c r="J25" s="138"/>
      <c r="K25" s="139">
        <f t="shared" si="9"/>
        <v>0</v>
      </c>
      <c r="L25" s="140">
        <f t="shared" si="9"/>
        <v>244.07040000000001</v>
      </c>
      <c r="M25" s="141">
        <f t="shared" si="9"/>
        <v>2806.8096</v>
      </c>
      <c r="N25" s="142">
        <f>SUM(N16:N24)</f>
        <v>649.45971199999997</v>
      </c>
      <c r="O25" s="143">
        <f>SUM(O16:O24)</f>
        <v>17.281346560000003</v>
      </c>
      <c r="P25" s="144">
        <f>SUM(P16:P24)</f>
        <v>3473.5506585600001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3050.88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244.07040000000001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2806.8096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649.45971199999997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3456.2693119999999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17.281346559999999</v>
      </c>
    </row>
    <row r="35" spans="2:16" ht="15.75" customHeight="1" thickBot="1" x14ac:dyDescent="0.4">
      <c r="N35" s="219" t="s">
        <v>92</v>
      </c>
      <c r="O35" s="220"/>
      <c r="P35" s="160">
        <f>P33+P34</f>
        <v>3473.5506585600001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5" workbookViewId="0">
      <selection activeCell="J19" sqref="J1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3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113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107</v>
      </c>
      <c r="B6" s="201"/>
      <c r="C6" s="201"/>
      <c r="F6" s="70"/>
      <c r="G6" s="74"/>
      <c r="K6" s="201" t="s">
        <v>52</v>
      </c>
      <c r="L6" s="201"/>
      <c r="M6" s="201"/>
      <c r="N6" s="203" t="s">
        <v>99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114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6" workbookViewId="0">
      <selection activeCell="L24" sqref="L2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5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116</v>
      </c>
      <c r="B6" s="201"/>
      <c r="C6" s="201"/>
      <c r="F6" s="70"/>
      <c r="G6" s="74"/>
      <c r="K6" s="201" t="s">
        <v>52</v>
      </c>
      <c r="L6" s="201"/>
      <c r="M6" s="201"/>
      <c r="N6" s="203" t="s">
        <v>99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I16*12%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I17*12%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>
        <v>2</v>
      </c>
      <c r="K21" s="1">
        <f t="shared" si="3"/>
        <v>0</v>
      </c>
      <c r="L21" s="105">
        <f t="shared" si="4"/>
        <v>348.67199999999997</v>
      </c>
      <c r="M21" s="118">
        <f t="shared" si="5"/>
        <v>2556.9279999999999</v>
      </c>
      <c r="N21" s="118">
        <f t="shared" si="0"/>
        <v>594.48575999999991</v>
      </c>
      <c r="O21" s="119">
        <f t="shared" si="6"/>
        <v>78.785344000000009</v>
      </c>
      <c r="P21" s="120">
        <f t="shared" si="1"/>
        <v>3230.1991039999998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0</v>
      </c>
      <c r="L25" s="140">
        <f t="shared" si="9"/>
        <v>348.67199999999997</v>
      </c>
      <c r="M25" s="141">
        <f t="shared" si="9"/>
        <v>2556.9279999999999</v>
      </c>
      <c r="N25" s="142">
        <f>SUM(N16:N24)</f>
        <v>594.48575999999991</v>
      </c>
      <c r="O25" s="143">
        <f>SUM(O16:O24)</f>
        <v>78.785344000000009</v>
      </c>
      <c r="P25" s="144">
        <f>SUM(P16:P24)</f>
        <v>3230.1991039999998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2905.6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348.67199999999997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2556.9279999999999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594.48575999999991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3151.4137599999999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78.785344000000009</v>
      </c>
    </row>
    <row r="35" spans="2:16" ht="15.75" customHeight="1" thickBot="1" x14ac:dyDescent="0.4">
      <c r="N35" s="219" t="s">
        <v>92</v>
      </c>
      <c r="O35" s="220"/>
      <c r="P35" s="160">
        <f>P33+P34</f>
        <v>3230.1991039999998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6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6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117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118</v>
      </c>
      <c r="B6" s="201"/>
      <c r="C6" s="201"/>
      <c r="F6" s="70"/>
      <c r="G6" s="74"/>
      <c r="K6" s="201" t="s">
        <v>52</v>
      </c>
      <c r="L6" s="201"/>
      <c r="M6" s="201"/>
      <c r="N6" s="203" t="s">
        <v>99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119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19" workbookViewId="0">
      <selection sqref="A1:P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7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120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116</v>
      </c>
      <c r="B6" s="201"/>
      <c r="C6" s="201"/>
      <c r="F6" s="70"/>
      <c r="G6" s="74"/>
      <c r="K6" s="201" t="s">
        <v>52</v>
      </c>
      <c r="L6" s="201"/>
      <c r="M6" s="201"/>
      <c r="N6" s="203" t="s">
        <v>99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</v>
      </c>
      <c r="I19" s="116">
        <f t="shared" si="2"/>
        <v>290.56</v>
      </c>
      <c r="J19" s="117"/>
      <c r="K19" s="1">
        <f t="shared" si="3"/>
        <v>0</v>
      </c>
      <c r="L19" s="105">
        <f t="shared" si="4"/>
        <v>23.244800000000001</v>
      </c>
      <c r="M19" s="118">
        <f t="shared" si="5"/>
        <v>267.3152</v>
      </c>
      <c r="N19" s="118">
        <f t="shared" si="0"/>
        <v>58.809344000000003</v>
      </c>
      <c r="O19" s="119">
        <f t="shared" si="6"/>
        <v>8.1531136000000011</v>
      </c>
      <c r="P19" s="120">
        <f t="shared" si="1"/>
        <v>334.2776576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</v>
      </c>
      <c r="I20" s="116">
        <f t="shared" si="2"/>
        <v>290.56</v>
      </c>
      <c r="J20" s="117"/>
      <c r="K20" s="1">
        <f t="shared" si="3"/>
        <v>0</v>
      </c>
      <c r="L20" s="105">
        <f t="shared" si="4"/>
        <v>23.244800000000001</v>
      </c>
      <c r="M20" s="118">
        <f t="shared" si="5"/>
        <v>267.3152</v>
      </c>
      <c r="N20" s="118">
        <f t="shared" si="0"/>
        <v>58.809344000000003</v>
      </c>
      <c r="O20" s="119">
        <f t="shared" si="6"/>
        <v>8.1531136000000011</v>
      </c>
      <c r="P20" s="120">
        <f t="shared" si="1"/>
        <v>334.2776576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</v>
      </c>
      <c r="I21" s="116">
        <f t="shared" si="2"/>
        <v>290.56</v>
      </c>
      <c r="J21" s="117"/>
      <c r="K21" s="1">
        <f t="shared" si="3"/>
        <v>0</v>
      </c>
      <c r="L21" s="105">
        <f t="shared" si="4"/>
        <v>23.244800000000001</v>
      </c>
      <c r="M21" s="118">
        <f t="shared" si="5"/>
        <v>267.3152</v>
      </c>
      <c r="N21" s="118">
        <f t="shared" si="0"/>
        <v>58.809344000000003</v>
      </c>
      <c r="O21" s="119">
        <f t="shared" si="6"/>
        <v>8.1531136000000011</v>
      </c>
      <c r="P21" s="120">
        <f t="shared" si="1"/>
        <v>334.2776576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12</v>
      </c>
      <c r="I25" s="137">
        <f t="shared" si="9"/>
        <v>871.68000000000006</v>
      </c>
      <c r="J25" s="138"/>
      <c r="K25" s="139">
        <f t="shared" si="9"/>
        <v>0</v>
      </c>
      <c r="L25" s="140">
        <f t="shared" si="9"/>
        <v>69.734400000000008</v>
      </c>
      <c r="M25" s="141">
        <f t="shared" si="9"/>
        <v>801.94560000000001</v>
      </c>
      <c r="N25" s="142">
        <f>SUM(N16:N24)</f>
        <v>176.428032</v>
      </c>
      <c r="O25" s="143">
        <f>SUM(O16:O24)</f>
        <v>24.459340800000003</v>
      </c>
      <c r="P25" s="144">
        <f>SUM(P16:P24)</f>
        <v>1002.8329728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871.68000000000006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69.734400000000008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801.94560000000001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176.428032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978.37363200000004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24.459340800000003</v>
      </c>
    </row>
    <row r="35" spans="2:16" ht="15.75" customHeight="1" thickBot="1" x14ac:dyDescent="0.4">
      <c r="N35" s="219" t="s">
        <v>92</v>
      </c>
      <c r="O35" s="220"/>
      <c r="P35" s="160">
        <f>P33+P34</f>
        <v>1002.8329728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7" workbookViewId="0">
      <selection activeCell="J21" sqref="J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8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121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122</v>
      </c>
      <c r="B6" s="201"/>
      <c r="C6" s="201"/>
      <c r="F6" s="70"/>
      <c r="G6" s="74"/>
      <c r="K6" s="201" t="s">
        <v>52</v>
      </c>
      <c r="L6" s="201"/>
      <c r="M6" s="201"/>
      <c r="N6" s="203" t="s">
        <v>99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6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9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123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122</v>
      </c>
      <c r="B6" s="201"/>
      <c r="C6" s="201"/>
      <c r="F6" s="70"/>
      <c r="G6" s="74"/>
      <c r="K6" s="201" t="s">
        <v>52</v>
      </c>
      <c r="L6" s="201"/>
      <c r="M6" s="201"/>
      <c r="N6" s="203" t="s">
        <v>99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7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13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C11" sqref="C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B11" sqref="B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80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I11" sqref="I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2026-06-19T08:45:40Z</dcterms:modified>
</cp:coreProperties>
</file>