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EE096B0-947C-42F8-A40D-8297E28AA864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L21" i="15" l="1"/>
  <c r="K25" i="19"/>
  <c r="P30" i="19" s="1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18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<sst xmlns="http://schemas.openxmlformats.org/spreadsheetml/2006/main" count="1584" uniqueCount="124">
  <si>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</si>
  <si>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</si>
  <si>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</si>
  <si>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</si>
  <si>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</si>
  <si>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</si>
  <si>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</si>
  <si>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</si>
  <si>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</si>
  <si>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</si>
  <si>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</si>
  <si>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</si>
  <si>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</si>
  <si>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</si>
  <si>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</si>
  <si>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</si>
  <si>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</si>
  <si>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</si>
  <si>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</si>
  <si>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</si>
  <si>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</si>
  <si>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</si>
  <si>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</si>
  <si>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</si>
  <si>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</si>
  <si>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</si>
  <si>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</si>
  <si>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</si>
  <si>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</si>
  <si>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</si>
  <si>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</si>
  <si>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</si>
  <si>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</si>
  <si>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</si>
  <si>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</si>
  <si>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</si>
  <si>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</si>
  <si>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</si>
  <si>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</si>
  <si>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</si>
  <si>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</si>
  <si>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</si>
  <si>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</si>
  <si>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</si>
  <si>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</si>
  <si>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</si>
  <si>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</si>
  <si>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</si>
  <si>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</si>
  <si>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</si>
  <si>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</si>
  <si>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</si>
  <si>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</si>
  <si>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</si>
  <si>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</si>
  <si>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</si>
  <si>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</si>
  <si>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</si>
  <si>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</si>
  <si>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</si>
  <si>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</si>
  <si>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</si>
  <si>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</si>
  <si>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</si>
  <si>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</si>
  <si>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</si>
  <si>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</si>
  <si>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</si>
  <si>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</si>
  <si>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</si>
  <si>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</si>
  <si>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</si>
  <si>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</si>
  <si>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</si>
  <si>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</si>
  <si>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</si>
  <si>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</si>
  <si>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</si>
  <si>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</si>
  <si>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</si>
  <si>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</si>
  <si>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</si>
  <si>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</si>
  <si>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</si>
  <si>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</si>
  <si>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</si>
  <si>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</si>
  <si>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</si>
  <si>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</si>
  <si>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</si>
  <si>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</si>
  <si>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</si>
  <si>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</si>
  <si>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</si>
  <si>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</si>
  <si>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</si>
  <si>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</si>
  <si>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</si>
  <si>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</si>
  <si>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</si>
  <si>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</si>
  <si>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</si>
  <si>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</si>
  <si>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</si>
  <si>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Mubeen </t>
  </si>
  <si>
    <t>Shop Bill Summary (Mubeen )</t>
  </si>
  <si>
    <t xml:space="preserve">Customer Name : Smart Pharmacy </t>
  </si>
  <si>
    <t>Address: Askari 9</t>
  </si>
  <si>
    <t>352011313092-3</t>
  </si>
  <si>
    <t>Customer Name : Askari Store</t>
  </si>
  <si>
    <t>352016804447-1</t>
  </si>
  <si>
    <t>Customer Name : Clasic Store</t>
  </si>
  <si>
    <t>331054413451-5</t>
  </si>
  <si>
    <t>Customer Name : United Store</t>
  </si>
  <si>
    <t>3255339-7</t>
  </si>
  <si>
    <t xml:space="preserve">Customer Name : Bin Doud </t>
  </si>
  <si>
    <t>Address: Pepsi Road Harbanspura</t>
  </si>
  <si>
    <t xml:space="preserve">Customer Name : Fresh Bakers </t>
  </si>
  <si>
    <t>Address: Pepsi Road Harbans pura</t>
  </si>
  <si>
    <t>F2378171</t>
  </si>
  <si>
    <t>Customer Name : Garizan Store</t>
  </si>
  <si>
    <t>Customer Name : Bismillah Store</t>
  </si>
  <si>
    <t>Address: Mughalpura</t>
  </si>
  <si>
    <t>Customer Name : Irfan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</si>
</sst>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24" zoomScale="85" zoomScaleNormal="85" workbookViewId="0">
      <selection activeCell="S28" sqref="S2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Smart Pharmacy </v>
      </c>
      <c r="U14" s="164">
        <f>+'1'!P35</f>
        <v>1736.7753292800003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Askari Store</v>
      </c>
      <c r="U15" s="164">
        <f>+'2'!P35</f>
        <v>2142.0193225499997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52</v>
      </c>
      <c r="I16" s="1">
        <f>(G16*D16)*F16+H16*F16</f>
        <v>2728.0499999999997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218.244</v>
      </c>
      <c r="M16" s="106">
        <f>I16-K16-L16</f>
        <v>2509.8059999999996</v>
      </c>
      <c r="N16" s="101">
        <f>+'1'!N16+'2'!N16+'4'!N16+'3'!N16+'5'!N16+'6'!N16+'7'!N16+'8'!N16+'9'!N16+'10'!N16</f>
        <v>575.24081999999999</v>
      </c>
      <c r="O16" s="101">
        <f>+'1'!O16+'2'!O16+'4'!O16+'3'!O16+'5'!O16+'6'!O16+'7'!O16+'8'!O16+'9'!O16+'10'!O16</f>
        <v>15.425234100000001</v>
      </c>
      <c r="P16" s="105">
        <f t="shared" ref="P16:P24" si="0">M16+N16+O16</f>
        <v>3100.4720540999997</v>
      </c>
      <c r="Q16" s="108"/>
      <c r="T16" s="163" t="str">
        <f>+'4'!A5</f>
        <v>Customer Name : United Store</v>
      </c>
      <c r="U16" s="164">
        <f>+'4'!P35</f>
        <v>2850.0025873500003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62</v>
      </c>
      <c r="I17" s="1">
        <f t="shared" ref="I17:I23" si="1">(G17*D17)*F17+H17*F17</f>
        <v>3252.6749999999997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260.214</v>
      </c>
      <c r="M17" s="118">
        <f t="shared" ref="M17:M23" si="2">I17-K17-L17</f>
        <v>2992.4609999999998</v>
      </c>
      <c r="N17" s="101">
        <f>+'1'!N17+'2'!N17+'4'!N17+'3'!N17+'5'!N17+'6'!N17+'7'!N17+'8'!N17+'9'!N17+'10'!N17</f>
        <v>681.42491999999993</v>
      </c>
      <c r="O17" s="101">
        <f>+'1'!O17+'2'!O17+'4'!O17+'3'!O17+'5'!O17+'6'!O17+'7'!O17+'8'!O17+'9'!O17+'10'!O17</f>
        <v>18.3694296</v>
      </c>
      <c r="P17" s="120">
        <f t="shared" si="0"/>
        <v>3692.2553495999996</v>
      </c>
      <c r="S17" s="64"/>
      <c r="T17" s="163" t="str">
        <f>+'3'!A5</f>
        <v>Customer Name : Clasic Store</v>
      </c>
      <c r="U17" s="164">
        <f>+'3'!P35</f>
        <v>3473.5506585600001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62</v>
      </c>
      <c r="I18" s="1">
        <f t="shared" si="1"/>
        <v>3252.6749999999997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260.214</v>
      </c>
      <c r="M18" s="118">
        <f t="shared" si="2"/>
        <v>2992.4609999999998</v>
      </c>
      <c r="N18" s="101">
        <f>+'1'!N18+'2'!N18+'4'!N18+'3'!N18+'5'!N18+'6'!N18+'7'!N18+'8'!N18+'9'!N18+'10'!N18</f>
        <v>704.50842</v>
      </c>
      <c r="O18" s="101">
        <f>+'1'!O18+'2'!O18+'4'!O18+'3'!O18+'5'!O18+'6'!O18+'7'!O18+'8'!O18+'9'!O18+'10'!O18</f>
        <v>18.4848471</v>
      </c>
      <c r="P18" s="120">
        <f t="shared" si="0"/>
        <v>3715.4542670999999</v>
      </c>
      <c r="T18" s="163" t="str">
        <f>+'5'!A5</f>
        <v xml:space="preserve">Customer Name : Bin Doud </v>
      </c>
      <c r="U18" s="164">
        <f>+'5'!P35</f>
        <v>3375.5372160000002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22</v>
      </c>
      <c r="I19" s="1">
        <f t="shared" si="1"/>
        <v>1598.08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127.84640000000002</v>
      </c>
      <c r="M19" s="118">
        <f t="shared" si="2"/>
        <v>1470.2336</v>
      </c>
      <c r="N19" s="101">
        <f>+'1'!N19+'2'!N19+'4'!N19+'3'!N19+'5'!N19+'6'!N19+'7'!N19+'8'!N19+'9'!N19+'10'!N19</f>
        <v>323.451392</v>
      </c>
      <c r="O19" s="101">
        <f>+'1'!O19+'2'!O19+'4'!O19+'3'!O19+'5'!O19+'6'!O19+'7'!O19+'8'!O19+'9'!O19+'10'!O19</f>
        <v>28.535897600000006</v>
      </c>
      <c r="P19" s="120">
        <f t="shared" si="0"/>
        <v>1822.2208896</v>
      </c>
      <c r="T19" s="163" t="str">
        <f>+'6'!A5</f>
        <v xml:space="preserve">Customer Name : Fresh Bakers </v>
      </c>
      <c r="U19" s="164">
        <f>+'6'!P35</f>
        <v>7170.9962985000002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43</v>
      </c>
      <c r="I20" s="1">
        <f t="shared" si="1"/>
        <v>3123.52</v>
      </c>
      <c r="J20" s="172">
        <f>+'1'!J20+'2'!J20+'4'!J20+'3'!J20+'5'!J20+'6'!J20+'7'!J20+'8'!J20+'9'!J20+'10'!J20+'11'!J20+'12'!J20+'13'!J20+'14'!J20+'15'!J20+'16'!J20+'17'!J20+'18'!J20</f>
        <v>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249.88160000000002</v>
      </c>
      <c r="M20" s="118">
        <f t="shared" si="2"/>
        <v>2873.6383999999998</v>
      </c>
      <c r="N20" s="101">
        <f>+'1'!N20+'2'!N20+'4'!N20+'3'!N20+'5'!N20+'6'!N20+'7'!N20+'8'!N20+'9'!N20+'10'!N20</f>
        <v>696.123648</v>
      </c>
      <c r="O20" s="101">
        <f>+'1'!O20+'2'!O20+'4'!O20+'3'!O20+'5'!O20+'6'!O20+'7'!O20+'8'!O20+'9'!O20+'10'!O20</f>
        <v>34.474653440000004</v>
      </c>
      <c r="P20" s="120">
        <f t="shared" si="0"/>
        <v>3604.2367014399997</v>
      </c>
      <c r="T20" s="163" t="str">
        <f>+'7'!A5</f>
        <v>Customer Name : Garizan Store</v>
      </c>
      <c r="U20" s="164">
        <f>+'7'!P35</f>
        <v>1002.8329728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91</v>
      </c>
      <c r="I21" s="1">
        <f t="shared" si="1"/>
        <v>6610.24</v>
      </c>
      <c r="J21" s="172">
        <f>+'1'!J21+'2'!J21+'4'!J21+'3'!J21+'5'!J21+'6'!J21+'7'!J21+'8'!J21+'9'!J21+'10'!J21+'11'!J21+'12'!J21+'13'!J21+'14'!J21+'15'!J21+'16'!J21+'17'!J21+'18'!J21</f>
        <v>3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528.81920000000002</v>
      </c>
      <c r="M21" s="118">
        <f t="shared" si="2"/>
        <v>6081.4207999999999</v>
      </c>
      <c r="N21" s="101">
        <f>+'1'!N21+'2'!N21+'4'!N21+'3'!N21+'5'!N21+'6'!N21+'7'!N21+'8'!N21+'9'!N21+'10'!N21</f>
        <v>1385.8549759999999</v>
      </c>
      <c r="O21" s="101">
        <f>+'1'!O21+'2'!O21+'4'!O21+'3'!O21+'5'!O21+'6'!O21+'7'!O21+'8'!O21+'9'!O21+'10'!O21</f>
        <v>121.13736960000001</v>
      </c>
      <c r="P21" s="120">
        <f t="shared" si="0"/>
        <v>7588.4131455999996</v>
      </c>
      <c r="T21" s="163" t="str">
        <f>+'8'!A5</f>
        <v>Customer Name : Bismillah Store</v>
      </c>
      <c r="U21" s="164">
        <f>+'8'!P35</f>
        <v>2309.9851451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24</v>
      </c>
      <c r="I22" s="1">
        <f t="shared" si="1"/>
        <v>941.5200000000001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32.95320000000001</v>
      </c>
      <c r="L22" s="175">
        <f>+'1'!L22+'2'!L22+'4'!L22+'3'!L22+'5'!L22+'6'!L22+'7'!L22+'8'!L22+'9'!L22+'10'!L22</f>
        <v>47.076000000000008</v>
      </c>
      <c r="M22" s="118">
        <f t="shared" si="2"/>
        <v>861.49080000000004</v>
      </c>
      <c r="N22" s="101">
        <f>+'1'!N22+'2'!N22+'4'!N22+'3'!N22+'5'!N22+'6'!N22+'7'!N22+'8'!N22+'9'!N22+'10'!N22</f>
        <v>189.527976</v>
      </c>
      <c r="O22" s="101">
        <f>+'1'!O22+'2'!O22+'4'!O22+'3'!O22+'5'!O22+'6'!O22+'7'!O22+'8'!O22+'9'!O22+'10'!O22</f>
        <v>26.275469400000006</v>
      </c>
      <c r="P22" s="120">
        <f t="shared" si="0"/>
        <v>1077.2942454000001</v>
      </c>
      <c r="T22" s="163" t="str">
        <f>+'9'!A5</f>
        <v>Customer Name : Irfan Store</v>
      </c>
      <c r="U22" s="164">
        <f>+'9'!P35</f>
        <v>538.64712270000007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8.9</v>
      </c>
      <c r="D25" s="221"/>
      <c r="E25" s="221"/>
      <c r="F25" s="221"/>
      <c r="G25" s="176">
        <f t="shared" ref="G25:M25" si="3">SUM(G16:G24)</f>
        <v>0</v>
      </c>
      <c r="H25" s="177">
        <f t="shared" si="3"/>
        <v>356</v>
      </c>
      <c r="I25" s="178">
        <f t="shared" si="3"/>
        <v>21506.76</v>
      </c>
      <c r="J25" s="177">
        <f t="shared" si="3"/>
        <v>15</v>
      </c>
      <c r="K25" s="178">
        <f t="shared" si="3"/>
        <v>32.95320000000001</v>
      </c>
      <c r="L25" s="179">
        <f t="shared" si="3"/>
        <v>1692.2952</v>
      </c>
      <c r="M25" s="141">
        <f t="shared" si="3"/>
        <v>19781.511599999998</v>
      </c>
      <c r="N25" s="142">
        <f>SUM(N16:N24)</f>
        <v>4556.1321520000001</v>
      </c>
      <c r="O25" s="143">
        <f>SUM(O16:O24)</f>
        <v>262.70290084000004</v>
      </c>
      <c r="P25" s="144">
        <f>SUM(P16:P24)</f>
        <v>24600.346652839999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24600.346652839999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21506.76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1692.2952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32.95320000000001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19781.511599999998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4556.1321520000001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24337.643751999996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608.44109379999998</v>
      </c>
    </row>
    <row r="39" spans="2:16" ht="15.75" customHeight="1" thickBot="1" x14ac:dyDescent="0.4">
      <c r="N39" s="219" t="s">
        <v>92</v>
      </c>
      <c r="O39" s="220"/>
      <c r="P39" s="160">
        <f>P37+P38</f>
        <v>24946.084845799996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</v>
      </c>
      <c r="I19" s="116">
        <f t="shared" si="3"/>
        <v>290.56</v>
      </c>
      <c r="J19" s="117"/>
      <c r="K19" s="1">
        <f t="shared" si="4"/>
        <v>0</v>
      </c>
      <c r="L19" s="105">
        <f t="shared" si="5"/>
        <v>23.244800000000001</v>
      </c>
      <c r="M19" s="118">
        <f t="shared" si="6"/>
        <v>267.3152</v>
      </c>
      <c r="N19" s="118">
        <f t="shared" si="0"/>
        <v>58.809344000000003</v>
      </c>
      <c r="O19" s="119">
        <f t="shared" si="1"/>
        <v>1.6306227200000001</v>
      </c>
      <c r="P19" s="120">
        <f t="shared" si="2"/>
        <v>327.75516672000003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3"/>
        <v>363.2</v>
      </c>
      <c r="J20" s="117">
        <v>1</v>
      </c>
      <c r="K20" s="1">
        <f t="shared" si="4"/>
        <v>0</v>
      </c>
      <c r="L20" s="105">
        <f t="shared" si="5"/>
        <v>29.056000000000001</v>
      </c>
      <c r="M20" s="118">
        <f t="shared" si="6"/>
        <v>334.14400000000001</v>
      </c>
      <c r="N20" s="118">
        <f t="shared" si="0"/>
        <v>89.49248</v>
      </c>
      <c r="O20" s="119">
        <f t="shared" si="1"/>
        <v>2.1181824000000002</v>
      </c>
      <c r="P20" s="120">
        <f t="shared" si="2"/>
        <v>425.75466240000003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3"/>
        <v>871.68000000000006</v>
      </c>
      <c r="J21" s="117"/>
      <c r="K21" s="1">
        <f t="shared" si="4"/>
        <v>0</v>
      </c>
      <c r="L21" s="105">
        <f t="shared" si="5"/>
        <v>69.734400000000008</v>
      </c>
      <c r="M21" s="118">
        <f t="shared" si="6"/>
        <v>801.94560000000001</v>
      </c>
      <c r="N21" s="118">
        <f t="shared" si="0"/>
        <v>176.428032</v>
      </c>
      <c r="O21" s="119">
        <f t="shared" si="1"/>
        <v>4.8918681600000005</v>
      </c>
      <c r="P21" s="120">
        <f t="shared" si="2"/>
        <v>983.26550015999999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21</v>
      </c>
      <c r="I25" s="137">
        <f t="shared" si="9"/>
        <v>1525.44</v>
      </c>
      <c r="J25" s="138"/>
      <c r="K25" s="139">
        <f t="shared" si="9"/>
        <v>0</v>
      </c>
      <c r="L25" s="140">
        <f t="shared" si="9"/>
        <v>122.0352</v>
      </c>
      <c r="M25" s="141">
        <f t="shared" si="9"/>
        <v>1403.4048</v>
      </c>
      <c r="N25" s="142">
        <f>SUM(N16:N24)</f>
        <v>324.72985600000004</v>
      </c>
      <c r="O25" s="143">
        <f>SUM(O16:O24)</f>
        <v>8.6406732800000015</v>
      </c>
      <c r="P25" s="144">
        <f>SUM(P16:P24)</f>
        <v>1736.7753292800001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1525.44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122.0352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1403.4048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324.72985600000004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1728.1346560000002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8.6406732800000015</v>
      </c>
    </row>
    <row r="35" spans="2:16" ht="15.75" customHeight="1" thickBot="1" x14ac:dyDescent="0.4">
      <c r="N35" s="219" t="s">
        <v>92</v>
      </c>
      <c r="O35" s="220"/>
      <c r="P35" s="160">
        <f>P33+P34</f>
        <v>1736.7753292800003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/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127.42091999999998</v>
      </c>
      <c r="O16" s="107">
        <f>(N16+M16)*$O$15</f>
        <v>3.5330345999999997</v>
      </c>
      <c r="P16" s="105">
        <f t="shared" ref="P16:P24" si="1">M16+N16+O16</f>
        <v>710.1399545999999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/>
      <c r="K17" s="1">
        <f t="shared" ref="K17:K21" si="3">I17*$K$13</f>
        <v>0</v>
      </c>
      <c r="L17" s="105">
        <f t="shared" ref="L17:L21" si="4">I17*8%</f>
        <v>50.363999999999997</v>
      </c>
      <c r="M17" s="118">
        <f t="shared" ref="M17:M23" si="5">I17-K17-L17</f>
        <v>579.18599999999992</v>
      </c>
      <c r="N17" s="118">
        <f t="shared" si="0"/>
        <v>127.42091999999998</v>
      </c>
      <c r="O17" s="119">
        <f t="shared" ref="O17:O24" si="6">(N17+M17)*$O$15</f>
        <v>3.5330345999999997</v>
      </c>
      <c r="P17" s="120">
        <f t="shared" si="1"/>
        <v>710.1399545999999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</v>
      </c>
      <c r="I18" s="116">
        <f t="shared" si="2"/>
        <v>629.54999999999995</v>
      </c>
      <c r="J18" s="117">
        <v>1</v>
      </c>
      <c r="K18" s="1">
        <f t="shared" si="3"/>
        <v>0</v>
      </c>
      <c r="L18" s="105">
        <f t="shared" si="4"/>
        <v>50.363999999999997</v>
      </c>
      <c r="M18" s="118">
        <f t="shared" si="5"/>
        <v>579.18599999999992</v>
      </c>
      <c r="N18" s="118">
        <f t="shared" si="0"/>
        <v>138.96266999999997</v>
      </c>
      <c r="O18" s="119">
        <f t="shared" si="6"/>
        <v>3.5907433499999999</v>
      </c>
      <c r="P18" s="120">
        <f t="shared" si="1"/>
        <v>721.73941334999995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36</v>
      </c>
      <c r="I25" s="137">
        <f t="shared" si="9"/>
        <v>1888.6499999999999</v>
      </c>
      <c r="J25" s="138"/>
      <c r="K25" s="139">
        <f t="shared" si="9"/>
        <v>0</v>
      </c>
      <c r="L25" s="140">
        <f t="shared" si="9"/>
        <v>151.09199999999998</v>
      </c>
      <c r="M25" s="141">
        <f t="shared" si="9"/>
        <v>1737.5579999999998</v>
      </c>
      <c r="N25" s="142">
        <f>SUM(N16:N24)</f>
        <v>393.80450999999994</v>
      </c>
      <c r="O25" s="143">
        <f>SUM(O16:O24)</f>
        <v>10.65681255</v>
      </c>
      <c r="P25" s="144">
        <f>SUM(P16:P24)</f>
        <v>2142.0193225499997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1888.6499999999999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151.09199999999998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1737.558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393.80450999999994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2131.3625099999999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10.65681255</v>
      </c>
    </row>
    <row r="35" spans="2:16" ht="15.75" customHeight="1" thickBot="1" x14ac:dyDescent="0.4">
      <c r="N35" s="219" t="s">
        <v>92</v>
      </c>
      <c r="O35" s="220"/>
      <c r="P35" s="160">
        <f>P33+P34</f>
        <v>2142.0193225499997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2"/>
        <v>435.84000000000003</v>
      </c>
      <c r="J19" s="117"/>
      <c r="K19" s="1">
        <f t="shared" si="3"/>
        <v>0</v>
      </c>
      <c r="L19" s="105">
        <f t="shared" si="4"/>
        <v>34.867200000000004</v>
      </c>
      <c r="M19" s="118">
        <f t="shared" si="5"/>
        <v>400.97280000000001</v>
      </c>
      <c r="N19" s="118">
        <f t="shared" si="0"/>
        <v>88.214016000000001</v>
      </c>
      <c r="O19" s="119">
        <f t="shared" si="6"/>
        <v>2.4459340800000002</v>
      </c>
      <c r="P19" s="120">
        <f t="shared" si="1"/>
        <v>491.63275007999999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18</v>
      </c>
      <c r="I20" s="116">
        <f t="shared" si="2"/>
        <v>1307.52</v>
      </c>
      <c r="J20" s="117">
        <v>2</v>
      </c>
      <c r="K20" s="1">
        <f t="shared" si="3"/>
        <v>0</v>
      </c>
      <c r="L20" s="105">
        <f t="shared" si="4"/>
        <v>104.6016</v>
      </c>
      <c r="M20" s="118">
        <f t="shared" si="5"/>
        <v>1202.9184</v>
      </c>
      <c r="N20" s="118">
        <f t="shared" si="0"/>
        <v>296.60364799999996</v>
      </c>
      <c r="O20" s="119">
        <f t="shared" si="6"/>
        <v>7.4976102400000002</v>
      </c>
      <c r="P20" s="120">
        <f t="shared" si="1"/>
        <v>1507.0196582400001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18</v>
      </c>
      <c r="I21" s="116">
        <f t="shared" si="2"/>
        <v>1307.52</v>
      </c>
      <c r="J21" s="117"/>
      <c r="K21" s="1">
        <f t="shared" si="3"/>
        <v>0</v>
      </c>
      <c r="L21" s="105">
        <f t="shared" si="4"/>
        <v>104.6016</v>
      </c>
      <c r="M21" s="118">
        <f t="shared" si="5"/>
        <v>1202.9184</v>
      </c>
      <c r="N21" s="118">
        <f t="shared" si="0"/>
        <v>264.64204799999999</v>
      </c>
      <c r="O21" s="119">
        <f t="shared" si="6"/>
        <v>7.3378022400000003</v>
      </c>
      <c r="P21" s="120">
        <f t="shared" si="1"/>
        <v>1474.8982502399999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42</v>
      </c>
      <c r="I25" s="137">
        <f t="shared" si="9"/>
        <v>3050.88</v>
      </c>
      <c r="J25" s="138"/>
      <c r="K25" s="139">
        <f t="shared" si="9"/>
        <v>0</v>
      </c>
      <c r="L25" s="140">
        <f t="shared" si="9"/>
        <v>244.07040000000001</v>
      </c>
      <c r="M25" s="141">
        <f t="shared" si="9"/>
        <v>2806.8096</v>
      </c>
      <c r="N25" s="142">
        <f>SUM(N16:N24)</f>
        <v>649.45971199999997</v>
      </c>
      <c r="O25" s="143">
        <f>SUM(O16:O24)</f>
        <v>17.281346560000003</v>
      </c>
      <c r="P25" s="144">
        <f>SUM(P16:P24)</f>
        <v>3473.5506585600001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3050.88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244.07040000000001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2806.8096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649.45971199999997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3456.2693119999999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17.281346559999999</v>
      </c>
    </row>
    <row r="35" spans="2:16" ht="15.75" customHeight="1" thickBot="1" x14ac:dyDescent="0.4">
      <c r="N35" s="219" t="s">
        <v>92</v>
      </c>
      <c r="O35" s="220"/>
      <c r="P35" s="160">
        <f>P33+P34</f>
        <v>3473.5506585600001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106.1841</v>
      </c>
      <c r="O17" s="119">
        <f t="shared" ref="O17:O24" si="6">(N17+M17)*$O$15</f>
        <v>2.9441954999999997</v>
      </c>
      <c r="P17" s="120">
        <f t="shared" si="1"/>
        <v>591.78329549999989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</v>
      </c>
      <c r="I18" s="116">
        <f t="shared" si="2"/>
        <v>524.625</v>
      </c>
      <c r="J18" s="117">
        <v>1</v>
      </c>
      <c r="K18" s="1">
        <f t="shared" si="3"/>
        <v>0</v>
      </c>
      <c r="L18" s="105">
        <f t="shared" si="4"/>
        <v>41.97</v>
      </c>
      <c r="M18" s="118">
        <f t="shared" si="5"/>
        <v>482.65499999999997</v>
      </c>
      <c r="N18" s="118">
        <f t="shared" si="0"/>
        <v>117.72585000000001</v>
      </c>
      <c r="O18" s="119">
        <f t="shared" si="6"/>
        <v>3.0019042499999999</v>
      </c>
      <c r="P18" s="120">
        <f t="shared" si="1"/>
        <v>603.38275425000006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4.0765568000000005</v>
      </c>
      <c r="P20" s="120">
        <f t="shared" si="1"/>
        <v>819.38791680000008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>
        <v>1</v>
      </c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163.00415999999998</v>
      </c>
      <c r="O21" s="119">
        <f t="shared" si="6"/>
        <v>4.1564607999999996</v>
      </c>
      <c r="P21" s="120">
        <f t="shared" si="1"/>
        <v>835.44862079999996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2502.0500000000002</v>
      </c>
      <c r="J25" s="138"/>
      <c r="K25" s="139">
        <f t="shared" si="9"/>
        <v>0</v>
      </c>
      <c r="L25" s="140">
        <f t="shared" si="9"/>
        <v>200.16399999999999</v>
      </c>
      <c r="M25" s="141">
        <f t="shared" si="9"/>
        <v>2301.886</v>
      </c>
      <c r="N25" s="142">
        <f>SUM(N16:N24)</f>
        <v>533.93746999999996</v>
      </c>
      <c r="O25" s="143">
        <f>SUM(O16:O24)</f>
        <v>14.17911735</v>
      </c>
      <c r="P25" s="144">
        <f>SUM(P16:P24)</f>
        <v>2850.0025873499999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2502.0500000000002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200.16399999999999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2301.8860000000004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533.93746999999996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2835.8234700000003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14.179117350000002</v>
      </c>
    </row>
    <row r="35" spans="2:16" ht="15.75" customHeight="1" thickBot="1" x14ac:dyDescent="0.4">
      <c r="N35" s="219" t="s">
        <v>92</v>
      </c>
      <c r="O35" s="220"/>
      <c r="P35" s="160">
        <f>P33+P34</f>
        <v>2850.0025873500003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116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82.330176000000009</v>
      </c>
      <c r="P21" s="120">
        <f t="shared" si="1"/>
        <v>3375.5372160000002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620.05503999999996</v>
      </c>
      <c r="O25" s="143">
        <f>SUM(O16:O24)</f>
        <v>82.330176000000009</v>
      </c>
      <c r="P25" s="144">
        <f>SUM(P16:P24)</f>
        <v>3375.5372160000002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19" t="s">
        <v>92</v>
      </c>
      <c r="O35" s="220"/>
      <c r="P35" s="160">
        <f>P33+P34</f>
        <v>3375.5372160000002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118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119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>(N16+M16)*$O$15</f>
        <v>11.8921995</v>
      </c>
      <c r="P16" s="105">
        <f t="shared" ref="P16:P24" si="1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447.81990000000002</v>
      </c>
      <c r="O17" s="119">
        <f t="shared" ref="O17:O24" si="6">(N17+M17)*$O$15</f>
        <v>11.8921995</v>
      </c>
      <c r="P17" s="120">
        <f t="shared" si="1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>
        <v>2</v>
      </c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447.81990000000002</v>
      </c>
      <c r="O18" s="119">
        <f t="shared" si="6"/>
        <v>11.8921995</v>
      </c>
      <c r="P18" s="120">
        <f t="shared" si="1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120</v>
      </c>
      <c r="I25" s="137">
        <f t="shared" si="9"/>
        <v>6295.5</v>
      </c>
      <c r="J25" s="138"/>
      <c r="K25" s="139">
        <f t="shared" si="9"/>
        <v>0</v>
      </c>
      <c r="L25" s="140">
        <f t="shared" si="9"/>
        <v>503.64</v>
      </c>
      <c r="M25" s="141">
        <f t="shared" si="9"/>
        <v>5791.86</v>
      </c>
      <c r="N25" s="142">
        <f>SUM(N16:N24)</f>
        <v>1343.4597000000001</v>
      </c>
      <c r="O25" s="143">
        <f>SUM(O16:O24)</f>
        <v>35.676598499999997</v>
      </c>
      <c r="P25" s="144">
        <f>SUM(P16:P24)</f>
        <v>7170.9962985000002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6295.5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503.64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5791.86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1343.4597000000001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7135.3197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35.676598500000004</v>
      </c>
    </row>
    <row r="35" spans="2:16" ht="15.75" customHeight="1" thickBot="1" x14ac:dyDescent="0.4">
      <c r="N35" s="219" t="s">
        <v>92</v>
      </c>
      <c r="O35" s="220"/>
      <c r="P35" s="160">
        <f>P33+P34</f>
        <v>7170.9962985000002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116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</v>
      </c>
      <c r="I19" s="116">
        <f t="shared" si="2"/>
        <v>290.56</v>
      </c>
      <c r="J19" s="117"/>
      <c r="K19" s="1">
        <f t="shared" si="3"/>
        <v>0</v>
      </c>
      <c r="L19" s="105">
        <f t="shared" si="4"/>
        <v>23.244800000000001</v>
      </c>
      <c r="M19" s="118">
        <f t="shared" si="5"/>
        <v>267.3152</v>
      </c>
      <c r="N19" s="118">
        <f t="shared" si="0"/>
        <v>58.809344000000003</v>
      </c>
      <c r="O19" s="119">
        <f t="shared" si="6"/>
        <v>8.1531136000000011</v>
      </c>
      <c r="P19" s="120">
        <f t="shared" si="1"/>
        <v>334.2776576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</v>
      </c>
      <c r="I20" s="116">
        <f t="shared" si="2"/>
        <v>290.56</v>
      </c>
      <c r="J20" s="117"/>
      <c r="K20" s="1">
        <f t="shared" si="3"/>
        <v>0</v>
      </c>
      <c r="L20" s="105">
        <f t="shared" si="4"/>
        <v>23.244800000000001</v>
      </c>
      <c r="M20" s="118">
        <f t="shared" si="5"/>
        <v>267.3152</v>
      </c>
      <c r="N20" s="118">
        <f t="shared" si="0"/>
        <v>58.809344000000003</v>
      </c>
      <c r="O20" s="119">
        <f t="shared" si="6"/>
        <v>8.1531136000000011</v>
      </c>
      <c r="P20" s="120">
        <f t="shared" si="1"/>
        <v>334.2776576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</v>
      </c>
      <c r="I21" s="116">
        <f t="shared" si="2"/>
        <v>290.56</v>
      </c>
      <c r="J21" s="117"/>
      <c r="K21" s="1">
        <f t="shared" si="3"/>
        <v>0</v>
      </c>
      <c r="L21" s="105">
        <f t="shared" si="4"/>
        <v>23.244800000000001</v>
      </c>
      <c r="M21" s="118">
        <f t="shared" si="5"/>
        <v>267.3152</v>
      </c>
      <c r="N21" s="118">
        <f t="shared" si="0"/>
        <v>58.809344000000003</v>
      </c>
      <c r="O21" s="119">
        <f t="shared" si="6"/>
        <v>8.1531136000000011</v>
      </c>
      <c r="P21" s="120">
        <f t="shared" si="1"/>
        <v>334.2776576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</v>
      </c>
      <c r="I25" s="137">
        <f t="shared" si="9"/>
        <v>871.68000000000006</v>
      </c>
      <c r="J25" s="138"/>
      <c r="K25" s="139">
        <f t="shared" si="9"/>
        <v>0</v>
      </c>
      <c r="L25" s="140">
        <f t="shared" si="9"/>
        <v>69.734400000000008</v>
      </c>
      <c r="M25" s="141">
        <f t="shared" si="9"/>
        <v>801.94560000000001</v>
      </c>
      <c r="N25" s="142">
        <f>SUM(N16:N24)</f>
        <v>176.428032</v>
      </c>
      <c r="O25" s="143">
        <f>SUM(O16:O24)</f>
        <v>24.459340800000003</v>
      </c>
      <c r="P25" s="144">
        <f>SUM(P16:P24)</f>
        <v>1002.8329728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871.68000000000006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69.734400000000008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801.94560000000001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176.428032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978.37363200000004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24.459340800000003</v>
      </c>
    </row>
    <row r="35" spans="2:16" ht="15.75" customHeight="1" thickBot="1" x14ac:dyDescent="0.4">
      <c r="N35" s="219" t="s">
        <v>92</v>
      </c>
      <c r="O35" s="220"/>
      <c r="P35" s="160">
        <f>P33+P34</f>
        <v>1002.8329728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122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2"/>
        <v>581.12</v>
      </c>
      <c r="J19" s="117"/>
      <c r="K19" s="1">
        <f t="shared" si="3"/>
        <v>0</v>
      </c>
      <c r="L19" s="105">
        <f t="shared" si="4"/>
        <v>46.489600000000003</v>
      </c>
      <c r="M19" s="118">
        <f t="shared" si="5"/>
        <v>534.63040000000001</v>
      </c>
      <c r="N19" s="118">
        <f t="shared" si="0"/>
        <v>117.61868800000001</v>
      </c>
      <c r="O19" s="119">
        <f t="shared" si="6"/>
        <v>16.306227200000002</v>
      </c>
      <c r="P19" s="120">
        <f t="shared" si="1"/>
        <v>668.5553152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>
        <v>1</v>
      </c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104.194816</v>
      </c>
      <c r="O20" s="119">
        <f t="shared" si="6"/>
        <v>12.629190400000001</v>
      </c>
      <c r="P20" s="120">
        <f t="shared" si="1"/>
        <v>517.79680640000004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7</v>
      </c>
      <c r="I21" s="116">
        <f t="shared" si="2"/>
        <v>508.48</v>
      </c>
      <c r="J21" s="117"/>
      <c r="K21" s="1">
        <f t="shared" si="3"/>
        <v>0</v>
      </c>
      <c r="L21" s="105">
        <f t="shared" si="4"/>
        <v>40.678400000000003</v>
      </c>
      <c r="M21" s="118">
        <f t="shared" si="5"/>
        <v>467.80160000000001</v>
      </c>
      <c r="N21" s="118">
        <f t="shared" si="0"/>
        <v>102.916352</v>
      </c>
      <c r="O21" s="119">
        <f t="shared" si="6"/>
        <v>14.267948799999999</v>
      </c>
      <c r="P21" s="120">
        <f t="shared" si="1"/>
        <v>584.98590079999997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33</v>
      </c>
      <c r="I25" s="137">
        <f t="shared" si="9"/>
        <v>1996.2</v>
      </c>
      <c r="J25" s="138"/>
      <c r="K25" s="139">
        <f t="shared" si="9"/>
        <v>16.476600000000005</v>
      </c>
      <c r="L25" s="140">
        <f t="shared" si="9"/>
        <v>145.57320000000001</v>
      </c>
      <c r="M25" s="141">
        <f t="shared" si="9"/>
        <v>1834.1502</v>
      </c>
      <c r="N25" s="142">
        <f>SUM(N16:N24)</f>
        <v>419.49384400000002</v>
      </c>
      <c r="O25" s="143">
        <f>SUM(O16:O24)</f>
        <v>56.341101100000003</v>
      </c>
      <c r="P25" s="144">
        <f>SUM(P16:P24)</f>
        <v>2309.9851451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1996.2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145.57320000000001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1834.1502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419.49384400000002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2253.6440440000001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56.341101100000003</v>
      </c>
    </row>
    <row r="35" spans="2:16" ht="15.75" customHeight="1" thickBot="1" x14ac:dyDescent="0.4">
      <c r="N35" s="219" t="s">
        <v>92</v>
      </c>
      <c r="O35" s="220"/>
      <c r="P35" s="160">
        <f>P33+P34</f>
        <v>2309.9851451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122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13.137734700000003</v>
      </c>
      <c r="P25" s="144">
        <f>SUM(P16:P24)</f>
        <v>538.64712270000007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470.76000000000005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23.538000000000004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430.74540000000002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525.50938800000006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13.137734700000003</v>
      </c>
    </row>
    <row r="35" spans="2:16" ht="15.75" customHeight="1" thickBot="1" x14ac:dyDescent="0.4">
      <c r="N35" s="219" t="s">
        <v>92</v>
      </c>
      <c r="O35" s="220"/>
      <c r="P35" s="160">
        <f>P33+P34</f>
        <v>538.64712270000007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3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2026-06-16T12:50:43Z</dcterms:modified>
</cp:coreProperties>
</file>