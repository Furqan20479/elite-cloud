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D437042-4F93-4D8D-B1E6-8B3786D3BC5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<sst xmlns="http://schemas.openxmlformats.org/spreadsheetml/2006/main" count="1581" uniqueCount="119">
  <si>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</si>
  <si>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</si>
  <si>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</si>
  <si>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</si>
  <si>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</si>
  <si>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</si>
  <si>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</si>
  <si>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</si>
  <si>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</si>
  <si>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</si>
  <si>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</si>
  <si>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</si>
  <si>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</si>
  <si>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</si>
  <si>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</si>
  <si>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</si>
  <si>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</si>
  <si>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</si>
  <si>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</si>
  <si>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</si>
  <si>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</si>
  <si>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</si>
  <si>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</si>
  <si>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</si>
  <si>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</si>
  <si>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</si>
  <si>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</si>
  <si>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</si>
  <si>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</si>
  <si>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</si>
  <si>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</si>
  <si>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</si>
  <si>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</si>
  <si>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</si>
  <si>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</si>
  <si>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</si>
  <si>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</si>
  <si>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</si>
  <si>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</si>
  <si>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</si>
  <si>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</si>
  <si>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</si>
  <si>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</si>
  <si>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</si>
  <si>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</si>
  <si>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</si>
  <si>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</si>
  <si>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</si>
  <si>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</si>
  <si>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</si>
  <si>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</si>
  <si>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</si>
  <si>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</si>
  <si>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</si>
  <si>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</si>
  <si>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</si>
  <si>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</si>
  <si>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</si>
  <si>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</si>
  <si>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</si>
  <si>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</si>
  <si>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</si>
  <si>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</si>
  <si>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</si>
  <si>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</si>
  <si>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</si>
  <si>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</si>
  <si>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</si>
  <si>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</si>
  <si>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</si>
  <si>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</si>
  <si>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</si>
  <si>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</si>
  <si>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</si>
  <si>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</si>
  <si>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</si>
  <si>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</si>
  <si>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</si>
  <si>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</si>
  <si>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</si>
  <si>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</si>
  <si>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</si>
  <si>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</si>
  <si>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</si>
  <si>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</si>
  <si>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</si>
  <si>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</si>
  <si>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</si>
  <si>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</si>
  <si>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</si>
  <si>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</si>
  <si>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</si>
  <si>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</si>
  <si>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</si>
  <si>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</si>
  <si>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</si>
  <si>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</si>
  <si>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</si>
  <si>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</si>
  <si>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</si>
  <si>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</si>
  <si>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</si>
  <si>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</si>
  <si>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</si>
  <si>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</si>
  <si>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Quality G Store</t>
  </si>
  <si>
    <t xml:space="preserve">Address: Opposite Service Hospital </t>
  </si>
  <si>
    <t xml:space="preserve">Customer Name : Lawrance Bakery </t>
  </si>
  <si>
    <t>Address: Kacha Lawrance Road</t>
  </si>
  <si>
    <t>F310931-8</t>
  </si>
  <si>
    <t>Customer Name : Awan Store</t>
  </si>
  <si>
    <t>Address: Kacha lawrance Road</t>
  </si>
  <si>
    <t>G0858352</t>
  </si>
  <si>
    <t>Customer Name : Younas G Store</t>
  </si>
  <si>
    <t>Address: Devis Road</t>
  </si>
  <si>
    <t xml:space="preserve">Customer Name : Khan Nimko </t>
  </si>
  <si>
    <t>Address: Chirahg Din Road</t>
  </si>
  <si>
    <t>Customer Name : Makkah Dry Fruit</t>
  </si>
  <si>
    <t>Address: Chiragh din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</si>
</sst>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S27" sqref="S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Quality G Store</v>
      </c>
      <c r="U14" s="164">
        <f>+'1'!P35</f>
        <v>1742.4985896000003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Lawrance Bakery </v>
      </c>
      <c r="U15" s="164">
        <f>+'2'!P35</f>
        <v>7170.9962985000002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66</v>
      </c>
      <c r="I16" s="1">
        <f>(G16*D16)*F16+H16*F16</f>
        <v>3462.5250000000001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277.00199999999995</v>
      </c>
      <c r="M16" s="106">
        <f>I16-K16-L16</f>
        <v>3185.5230000000001</v>
      </c>
      <c r="N16" s="101">
        <f>+'1'!N16+'2'!N16+'4'!N16+'3'!N16+'5'!N16+'6'!N16+'7'!N16+'8'!N16+'9'!N16+'10'!N16</f>
        <v>723.85658999999998</v>
      </c>
      <c r="O16" s="101">
        <f>+'1'!O16+'2'!O16+'4'!O16+'3'!O16+'5'!O16+'6'!O16+'7'!O16+'8'!O16+'9'!O16+'10'!O16</f>
        <v>26.38129275</v>
      </c>
      <c r="P16" s="105">
        <f t="shared" ref="P16:P24" si="0">M16+N16+O16</f>
        <v>3935.7608827499998</v>
      </c>
      <c r="Q16" s="108"/>
      <c r="T16" s="163" t="str">
        <f>+'4'!A5</f>
        <v>Customer Name : Younas G Store</v>
      </c>
      <c r="U16" s="164">
        <f>+'4'!P35</f>
        <v>269.32356135000003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66</v>
      </c>
      <c r="I17" s="1">
        <f t="shared" ref="I17:I23" si="1">(G17*D17)*F17+H17*F17</f>
        <v>3462.5250000000001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277.00199999999995</v>
      </c>
      <c r="M17" s="118">
        <f t="shared" ref="M17:M23" si="2">I17-K17-L17</f>
        <v>3185.5230000000001</v>
      </c>
      <c r="N17" s="101">
        <f>+'1'!N17+'2'!N17+'4'!N17+'3'!N17+'5'!N17+'6'!N17+'7'!N17+'8'!N17+'9'!N17+'10'!N17</f>
        <v>723.85658999999998</v>
      </c>
      <c r="O17" s="101">
        <f>+'1'!O17+'2'!O17+'4'!O17+'3'!O17+'5'!O17+'6'!O17+'7'!O17+'8'!O17+'9'!O17+'10'!O17</f>
        <v>26.38129275</v>
      </c>
      <c r="P17" s="120">
        <f t="shared" si="0"/>
        <v>3935.7608827499998</v>
      </c>
      <c r="S17" s="64"/>
      <c r="T17" s="163" t="str">
        <f>+'3'!A5</f>
        <v>Customer Name : Awan Store</v>
      </c>
      <c r="U17" s="164">
        <f>+'3'!P35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40</v>
      </c>
      <c r="I18" s="1">
        <f t="shared" si="1"/>
        <v>2098.5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167.88</v>
      </c>
      <c r="M18" s="118">
        <f t="shared" si="2"/>
        <v>1930.62</v>
      </c>
      <c r="N18" s="101">
        <f>+'1'!N18+'2'!N18+'4'!N18+'3'!N18+'5'!N18+'6'!N18+'7'!N18+'8'!N18+'9'!N18+'10'!N18</f>
        <v>447.81990000000002</v>
      </c>
      <c r="O18" s="101">
        <f>+'1'!O18+'2'!O18+'4'!O18+'3'!O18+'5'!O18+'6'!O18+'7'!O18+'8'!O18+'9'!O18+'10'!O18</f>
        <v>11.8921995</v>
      </c>
      <c r="P18" s="120">
        <f t="shared" si="0"/>
        <v>2390.3320994999999</v>
      </c>
      <c r="T18" s="163" t="str">
        <f>+'5'!A5</f>
        <v xml:space="preserve">Customer Name : Khan Nimko </v>
      </c>
      <c r="U18" s="164">
        <f>+'5'!P35</f>
        <v>1687.7686080000001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48</v>
      </c>
      <c r="I19" s="1">
        <f t="shared" si="1"/>
        <v>3486.7200000000003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278.93760000000003</v>
      </c>
      <c r="M19" s="118">
        <f t="shared" si="2"/>
        <v>3207.7824000000001</v>
      </c>
      <c r="N19" s="101">
        <f>+'1'!N19+'2'!N19+'4'!N19+'3'!N19+'5'!N19+'6'!N19+'7'!N19+'8'!N19+'9'!N19+'10'!N19</f>
        <v>737.67372799999998</v>
      </c>
      <c r="O19" s="101">
        <f>+'1'!O19+'2'!O19+'4'!O19+'3'!O19+'5'!O19+'6'!O19+'7'!O19+'8'!O19+'9'!O19+'10'!O19</f>
        <v>98.636403200000018</v>
      </c>
      <c r="P19" s="120">
        <f t="shared" si="0"/>
        <v>4044.0925311999999</v>
      </c>
      <c r="T19" s="163" t="str">
        <f>+'6'!A5</f>
        <v>Customer Name : Makkah Dry Fruit</v>
      </c>
      <c r="U19" s="164">
        <f>+'6'!P35</f>
        <v>6751.0744320000003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</v>
      </c>
      <c r="I20" s="1">
        <f t="shared" si="1"/>
        <v>363.2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29.056000000000001</v>
      </c>
      <c r="M20" s="118">
        <f t="shared" si="2"/>
        <v>334.14400000000001</v>
      </c>
      <c r="N20" s="101">
        <f>+'1'!N20+'2'!N20+'4'!N20+'3'!N20+'5'!N20+'6'!N20+'7'!N20+'8'!N20+'9'!N20+'10'!N20</f>
        <v>89.49248</v>
      </c>
      <c r="O20" s="101">
        <f>+'1'!O20+'2'!O20+'4'!O20+'3'!O20+'5'!O20+'6'!O20+'7'!O20+'8'!O20+'9'!O20+'10'!O20</f>
        <v>10.590912000000001</v>
      </c>
      <c r="P20" s="120">
        <f t="shared" si="0"/>
        <v>434.22739200000001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47</v>
      </c>
      <c r="I21" s="1">
        <f t="shared" si="1"/>
        <v>3414.08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273.12639999999999</v>
      </c>
      <c r="M21" s="118">
        <f t="shared" si="2"/>
        <v>3140.9535999999998</v>
      </c>
      <c r="N21" s="101">
        <f>+'1'!N21+'2'!N21+'4'!N21+'3'!N21+'5'!N21+'6'!N21+'7'!N21+'8'!N21+'9'!N21+'10'!N21</f>
        <v>722.97139199999992</v>
      </c>
      <c r="O21" s="101">
        <f>+'1'!O21+'2'!O21+'4'!O21+'3'!O21+'5'!O21+'6'!O21+'7'!O21+'8'!O21+'9'!O21+'10'!O21</f>
        <v>96.598124800000008</v>
      </c>
      <c r="P21" s="120">
        <f t="shared" si="0"/>
        <v>3960.5231167999996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30</v>
      </c>
      <c r="I22" s="1">
        <f t="shared" si="1"/>
        <v>1176.9000000000001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41.191500000000012</v>
      </c>
      <c r="L22" s="175">
        <f>+'1'!L22+'2'!L22+'4'!L22+'3'!L22+'5'!L22+'6'!L22+'7'!L22+'8'!L22+'9'!L22+'10'!L22</f>
        <v>58.845000000000013</v>
      </c>
      <c r="M22" s="118">
        <f t="shared" si="2"/>
        <v>1076.8635000000002</v>
      </c>
      <c r="N22" s="101">
        <f>+'1'!N22+'2'!N22+'4'!N22+'3'!N22+'5'!N22+'6'!N22+'7'!N22+'8'!N22+'9'!N22+'10'!N22</f>
        <v>202.45033799999999</v>
      </c>
      <c r="O22" s="101">
        <f>+'1'!O22+'2'!O22+'4'!O22+'3'!O22+'5'!O22+'6'!O22+'7'!O22+'8'!O22+'9'!O22+'10'!O22</f>
        <v>31.982845950000005</v>
      </c>
      <c r="P22" s="120">
        <f t="shared" si="0"/>
        <v>1311.29668395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7.55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302</v>
      </c>
      <c r="I25" s="178">
        <f t="shared" si="3"/>
        <v>17464.45</v>
      </c>
      <c r="J25" s="177">
        <f t="shared" si="3"/>
        <v>13</v>
      </c>
      <c r="K25" s="178">
        <f t="shared" si="3"/>
        <v>41.191500000000012</v>
      </c>
      <c r="L25" s="179">
        <f t="shared" si="3"/>
        <v>1361.8489999999999</v>
      </c>
      <c r="M25" s="141">
        <f t="shared" si="3"/>
        <v>16061.409500000002</v>
      </c>
      <c r="N25" s="142">
        <f>SUM(N16:N24)</f>
        <v>3648.1210179999998</v>
      </c>
      <c r="O25" s="143">
        <f>SUM(O16:O24)</f>
        <v>302.46307095000003</v>
      </c>
      <c r="P25" s="144">
        <f>SUM(P16:P24)</f>
        <v>20011.993588950001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20011.993588950001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17464.45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1361.8489999999999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41.191500000000012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16061.4095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3648.1210179999998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19709.530518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492.73826295000003</v>
      </c>
    </row>
    <row r="39" spans="2:16" ht="15.75" customHeight="1" thickBot="1" x14ac:dyDescent="0.4">
      <c r="N39" s="219" t="s">
        <v>92</v>
      </c>
      <c r="O39" s="220"/>
      <c r="P39" s="160">
        <f>P37+P38</f>
        <v>20202.268780949998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32777876136186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52.126739999999991</v>
      </c>
      <c r="O16" s="107">
        <f t="shared" ref="O16:O24" si="1">(N16+M16)*$O$15</f>
        <v>8.5429934999999997</v>
      </c>
      <c r="P16" s="105">
        <f t="shared" ref="P16:P24" si="2">M16+N16+O16</f>
        <v>350.26273349999997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">
        <f t="shared" ref="K17:K21" si="4">I17*$K$13</f>
        <v>0</v>
      </c>
      <c r="L17" s="105">
        <f t="shared" ref="L17:L21" si="5">I17*8%</f>
        <v>25.181999999999999</v>
      </c>
      <c r="M17" s="118">
        <f t="shared" ref="M17:M23" si="6">I17-K17-L17</f>
        <v>289.59299999999996</v>
      </c>
      <c r="N17" s="118">
        <f t="shared" si="0"/>
        <v>52.126739999999991</v>
      </c>
      <c r="O17" s="119">
        <f t="shared" si="1"/>
        <v>8.5429934999999997</v>
      </c>
      <c r="P17" s="120">
        <f t="shared" si="2"/>
        <v>350.26273349999997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3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6"/>
        <v>861.49080000000004</v>
      </c>
      <c r="N22" s="118">
        <f t="shared" si="0"/>
        <v>155.068344</v>
      </c>
      <c r="O22" s="119">
        <f t="shared" si="1"/>
        <v>25.413978600000004</v>
      </c>
      <c r="P22" s="120">
        <f t="shared" si="2"/>
        <v>1041.9731226000001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36</v>
      </c>
      <c r="I25" s="137">
        <f t="shared" si="9"/>
        <v>1571.0700000000002</v>
      </c>
      <c r="J25" s="138"/>
      <c r="K25" s="139">
        <f t="shared" si="9"/>
        <v>32.95320000000001</v>
      </c>
      <c r="L25" s="140">
        <f t="shared" si="9"/>
        <v>97.44</v>
      </c>
      <c r="M25" s="141">
        <f t="shared" si="9"/>
        <v>1440.6768</v>
      </c>
      <c r="N25" s="142">
        <f>SUM(N16:N24)</f>
        <v>259.32182399999999</v>
      </c>
      <c r="O25" s="143">
        <f>SUM(O16:O24)</f>
        <v>42.499965600000003</v>
      </c>
      <c r="P25" s="144">
        <f>SUM(P16:P24)</f>
        <v>1742.4985896000001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1571.0700000000002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97.44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1440.6768000000002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259.32182399999999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1699.9986240000003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42.49996560000001</v>
      </c>
    </row>
    <row r="35" spans="2:16" ht="15.75" customHeight="1" thickBot="1" x14ac:dyDescent="0.4">
      <c r="N35" s="219" t="s">
        <v>92</v>
      </c>
      <c r="O35" s="220"/>
      <c r="P35" s="160">
        <f>P33+P34</f>
        <v>1742.4985896000003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J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11.8921995</v>
      </c>
      <c r="P16" s="105">
        <f t="shared" ref="P16:P24" si="1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503.64</v>
      </c>
      <c r="M25" s="141">
        <f t="shared" si="9"/>
        <v>5791.86</v>
      </c>
      <c r="N25" s="142">
        <f>SUM(N16:N24)</f>
        <v>1343.4597000000001</v>
      </c>
      <c r="O25" s="143">
        <f>SUM(O16:O24)</f>
        <v>35.676598499999997</v>
      </c>
      <c r="P25" s="144">
        <f>SUM(P16:P24)</f>
        <v>7170.9962985000002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6295.5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503.64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5791.86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1343.4597000000001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7135.3197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35.676598500000004</v>
      </c>
    </row>
    <row r="35" spans="2:16" ht="15.75" customHeight="1" thickBot="1" x14ac:dyDescent="0.4">
      <c r="N35" s="219" t="s">
        <v>92</v>
      </c>
      <c r="O35" s="220"/>
      <c r="P35" s="160">
        <f>P33+P34</f>
        <v>7170.9962985000002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235.38000000000002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11.769000000000002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215.37270000000001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262.75469400000003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19" t="s">
        <v>92</v>
      </c>
      <c r="O35" s="220"/>
      <c r="P35" s="160">
        <f>P33+P34</f>
        <v>269.32356135000003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117.61868800000001</v>
      </c>
      <c r="O19" s="119">
        <f t="shared" si="6"/>
        <v>16.306227200000002</v>
      </c>
      <c r="P19" s="120">
        <f t="shared" si="1"/>
        <v>668.5553152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10.590912000000001</v>
      </c>
      <c r="P20" s="120">
        <f t="shared" si="1"/>
        <v>434.22739200000001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/>
      <c r="K21" s="1">
        <f t="shared" si="3"/>
        <v>0</v>
      </c>
      <c r="L21" s="105">
        <f t="shared" si="4"/>
        <v>40.678400000000003</v>
      </c>
      <c r="M21" s="118">
        <f t="shared" si="5"/>
        <v>467.80160000000001</v>
      </c>
      <c r="N21" s="118">
        <f t="shared" si="0"/>
        <v>102.916352</v>
      </c>
      <c r="O21" s="119">
        <f t="shared" si="6"/>
        <v>14.267948799999999</v>
      </c>
      <c r="P21" s="120">
        <f t="shared" si="1"/>
        <v>584.98590079999997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2026-06-16T12:47:20Z</dcterms:modified>
</cp:coreProperties>
</file>