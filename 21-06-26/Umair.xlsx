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E8E179C-B525-400E-A557-32CA85FB7C97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K21" i="19"/>
  <c r="L21" i="18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3" l="1"/>
  <c r="K22" i="18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<sst xmlns="http://schemas.openxmlformats.org/spreadsheetml/2006/main" count="1580" uniqueCount="121">
  <si>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</si>
  <si>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</si>
  <si>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</si>
  <si>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</si>
  <si>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</si>
  <si>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</si>
  <si>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</si>
  <si>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</si>
  <si>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</si>
  <si>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</si>
  <si>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</si>
  <si>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</si>
  <si>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</si>
  <si>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</si>
  <si>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</si>
  <si>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</si>
  <si>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</si>
  <si>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</si>
  <si>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</si>
  <si>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</si>
  <si>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</si>
  <si>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</si>
  <si>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</si>
  <si>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</si>
  <si>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</si>
  <si>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</si>
  <si>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</si>
  <si>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</si>
  <si>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</si>
  <si>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</si>
  <si>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</si>
  <si>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</si>
  <si>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</si>
  <si>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</si>
  <si>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</si>
  <si>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</si>
  <si>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</si>
  <si>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</si>
  <si>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</si>
  <si>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</si>
  <si>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</si>
  <si>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</si>
  <si>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</si>
  <si>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</si>
  <si>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</si>
  <si>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</si>
  <si>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</si>
  <si>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</si>
  <si>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</si>
  <si>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</si>
  <si>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</si>
  <si>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</si>
  <si>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</si>
  <si>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</si>
  <si>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</si>
  <si>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</si>
  <si>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</si>
  <si>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</si>
  <si>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</si>
  <si>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</si>
  <si>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</si>
  <si>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</si>
  <si>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</si>
  <si>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</si>
  <si>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</si>
  <si>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</si>
  <si>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</si>
  <si>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</si>
  <si>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</si>
  <si>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</si>
  <si>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</si>
  <si>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</si>
  <si>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</si>
  <si>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</si>
  <si>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</si>
  <si>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</si>
  <si>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</si>
  <si>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</si>
  <si>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</si>
  <si>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</si>
  <si>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</si>
  <si>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</si>
  <si>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</si>
  <si>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</si>
  <si>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</si>
  <si>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</si>
  <si>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</si>
  <si>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</si>
  <si>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</si>
  <si>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</si>
  <si>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</si>
  <si>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</si>
  <si>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</si>
  <si>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</si>
  <si>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</si>
  <si>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</si>
  <si>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</si>
  <si>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</si>
  <si>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</si>
  <si>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</si>
  <si>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</si>
  <si>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</si>
  <si>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</si>
  <si>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</si>
  <si>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</si>
  <si>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Shop Bill Summary (Umair)</t>
  </si>
  <si>
    <t xml:space="preserve">Customer Name : Suyan Mart </t>
  </si>
  <si>
    <t>Address: Central Park Gate 2</t>
  </si>
  <si>
    <t>Customer Name : Saphair Store</t>
  </si>
  <si>
    <t>Address: Central Park Medical Girl Hostal</t>
  </si>
  <si>
    <t>Customer Name : AS Cash &amp; Carry</t>
  </si>
  <si>
    <t>Address: Central Park Gate 1</t>
  </si>
  <si>
    <t>Customer Name : Gujjar Mart</t>
  </si>
  <si>
    <t>Address: Central Park</t>
  </si>
  <si>
    <t>Customer Name : D Mart</t>
  </si>
  <si>
    <t xml:space="preserve">Address: Central Park </t>
  </si>
  <si>
    <t>Customer Name : SM Rise Mart</t>
  </si>
  <si>
    <t>Address: Central Park Behria Nashomi</t>
  </si>
  <si>
    <t>Customer Name : Bajwa Mart</t>
  </si>
  <si>
    <t xml:space="preserve">Customer Name : MA Mart </t>
  </si>
  <si>
    <t xml:space="preserve">Address: Behraia Nashomi Central Park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</si>
</sst>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5" sqref="B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4" zoomScale="70" zoomScaleNormal="70" workbookViewId="0">
      <selection activeCell="T34" sqref="T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Suyan Mart </v>
      </c>
      <c r="U14" s="164">
        <f>+'1'!P35</f>
        <v>6830.5859748000003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Saphair Store</v>
      </c>
      <c r="U15" s="164">
        <f>+'2'!P35</f>
        <v>448.87260225000006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42</v>
      </c>
      <c r="I16" s="1">
        <f>(G16*D16)*F16+H16*F16</f>
        <v>2203.4249999999997</v>
      </c>
      <c r="J16" s="172">
        <f>+'1'!J16+'2'!J16+'4'!J16+'3'!J16+'5'!J16+'6'!J16+'7'!J16+'8'!J16+'9'!J16+'10'!J16+'11'!J16+'12'!J16+'13'!J16+'14'!J16+'15'!J16+'16'!J16+'17'!J16+'18'!J16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176.274</v>
      </c>
      <c r="M16" s="106">
        <f>I16-K16-L16</f>
        <v>2027.1509999999998</v>
      </c>
      <c r="N16" s="101">
        <f>+'1'!N16+'2'!N16+'4'!N16+'3'!N16+'5'!N16+'6'!N16+'7'!N16+'8'!N16+'9'!N16+'10'!N16</f>
        <v>469.05672000000004</v>
      </c>
      <c r="O16" s="101">
        <f>+'1'!O16+'2'!O16+'4'!O16+'3'!O16+'5'!O16+'6'!O16+'7'!O16+'8'!O16+'9'!O16+'10'!O16</f>
        <v>62.405192999999997</v>
      </c>
      <c r="P16" s="105">
        <f t="shared" ref="P16:P24" si="0">M16+N16+O16</f>
        <v>2558.6129129999999</v>
      </c>
      <c r="Q16" s="108"/>
      <c r="T16" s="163" t="str">
        <f>+'4'!A5</f>
        <v>Customer Name : Gujjar Mart</v>
      </c>
      <c r="U16" s="164">
        <f>+'4'!P35</f>
        <v>897.74520450000011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32</v>
      </c>
      <c r="I17" s="1">
        <f t="shared" ref="I17:I23" si="1">(G17*D17)*F17+H17*F17</f>
        <v>1678.8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134.304</v>
      </c>
      <c r="M17" s="118">
        <f t="shared" ref="M17:M23" si="2">I17-K17-L17</f>
        <v>1544.4959999999999</v>
      </c>
      <c r="N17" s="101">
        <f>+'1'!N17+'2'!N17+'4'!N17+'3'!N17+'5'!N17+'6'!N17+'7'!N17+'8'!N17+'9'!N17+'10'!N17</f>
        <v>362.87261999999998</v>
      </c>
      <c r="O17" s="101">
        <f>+'1'!O17+'2'!O17+'4'!O17+'3'!O17+'5'!O17+'6'!O17+'7'!O17+'8'!O17+'9'!O17+'10'!O17</f>
        <v>47.684215499999993</v>
      </c>
      <c r="P17" s="120">
        <f t="shared" si="0"/>
        <v>1955.0528354999997</v>
      </c>
      <c r="S17" s="64"/>
      <c r="T17" s="163" t="str">
        <f>+'3'!A5</f>
        <v>Customer Name : AS Cash &amp; Carry</v>
      </c>
      <c r="U17" s="164">
        <f>+'3'!P35</f>
        <v>3014.4408577500003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22</v>
      </c>
      <c r="I18" s="1">
        <f t="shared" si="1"/>
        <v>1154.175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92.334000000000003</v>
      </c>
      <c r="M18" s="118">
        <f t="shared" si="2"/>
        <v>1061.8409999999999</v>
      </c>
      <c r="N18" s="101">
        <f>+'1'!N18+'2'!N18+'4'!N18+'3'!N18+'5'!N18+'6'!N18+'7'!N18+'8'!N18+'9'!N18+'10'!N18</f>
        <v>233.60501999999997</v>
      </c>
      <c r="O18" s="101">
        <f>+'1'!O18+'2'!O18+'4'!O18+'3'!O18+'5'!O18+'6'!O18+'7'!O18+'8'!O18+'9'!O18+'10'!O18</f>
        <v>32.386150499999999</v>
      </c>
      <c r="P18" s="120">
        <f t="shared" si="0"/>
        <v>1327.8321704999998</v>
      </c>
      <c r="T18" s="163" t="str">
        <f>+'5'!A5</f>
        <v>Customer Name : D Mart</v>
      </c>
      <c r="U18" s="164">
        <f>+'5'!P35</f>
        <v>10126.611648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66</v>
      </c>
      <c r="I19" s="1">
        <f t="shared" si="1"/>
        <v>4794.24</v>
      </c>
      <c r="J19" s="172">
        <f>+'1'!J19+'2'!J19+'4'!J19+'3'!J19+'5'!J19+'6'!J19+'7'!J19+'8'!J19+'9'!J19+'10'!J19+'11'!J19+'12'!J19+'13'!J19+'14'!J19+'15'!J19+'16'!J19+'17'!J19+'18'!J19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383.53919999999999</v>
      </c>
      <c r="M19" s="118">
        <f t="shared" si="2"/>
        <v>4410.7007999999996</v>
      </c>
      <c r="N19" s="101">
        <f>+'1'!N19+'2'!N19+'4'!N19+'3'!N19+'5'!N19+'6'!N19+'7'!N19+'8'!N19+'9'!N19+'10'!N19</f>
        <v>1002.315776</v>
      </c>
      <c r="O19" s="101">
        <f>+'1'!O19+'2'!O19+'4'!O19+'3'!O19+'5'!O19+'6'!O19+'7'!O19+'8'!O19+'9'!O19+'10'!O19</f>
        <v>112.49669632000001</v>
      </c>
      <c r="P19" s="120">
        <f t="shared" si="0"/>
        <v>5525.5132723200004</v>
      </c>
      <c r="T19" s="163" t="str">
        <f>+'6'!A5</f>
        <v>Customer Name : SM Rise Mart</v>
      </c>
      <c r="U19" s="164">
        <f>+'6'!P35</f>
        <v>897.74520450000011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66</v>
      </c>
      <c r="I20" s="1">
        <f t="shared" si="1"/>
        <v>4794.24</v>
      </c>
      <c r="J20" s="172">
        <f>+'1'!J20+'2'!J20+'4'!J20+'3'!J20+'5'!J20+'6'!J20+'7'!J20+'8'!J20+'9'!J20+'10'!J20+'11'!J20+'12'!J20+'13'!J20+'14'!J20+'15'!J20+'16'!J20+'17'!J20+'18'!J20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383.53919999999999</v>
      </c>
      <c r="M20" s="118">
        <f t="shared" si="2"/>
        <v>4410.7007999999996</v>
      </c>
      <c r="N20" s="101">
        <f>+'1'!N20+'2'!N20+'4'!N20+'3'!N20+'5'!N20+'6'!N20+'7'!N20+'8'!N20+'9'!N20+'10'!N20</f>
        <v>1050.258176</v>
      </c>
      <c r="O20" s="101">
        <f>+'1'!O20+'2'!O20+'4'!O20+'3'!O20+'5'!O20+'6'!O20+'7'!O20+'8'!O20+'9'!O20+'10'!O20</f>
        <v>113.05602432000001</v>
      </c>
      <c r="P20" s="120">
        <f t="shared" si="0"/>
        <v>5574.0150003199997</v>
      </c>
      <c r="T20" s="163" t="str">
        <f>+'7'!A5</f>
        <v>Customer Name : Bajwa Mart</v>
      </c>
      <c r="U20" s="164">
        <f>+'7'!P35</f>
        <v>5748.1729338500008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64</v>
      </c>
      <c r="I21" s="1">
        <f t="shared" si="1"/>
        <v>4648.96</v>
      </c>
      <c r="J21" s="172">
        <f>+'1'!J21+'2'!J21+'4'!J21+'3'!J21+'5'!J21+'6'!J21+'7'!J21+'8'!J21+'9'!J21+'10'!J21+'11'!J21+'12'!J21+'13'!J21+'14'!J21+'15'!J21+'16'!J21+'17'!J21+'18'!J21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371.91680000000002</v>
      </c>
      <c r="M21" s="118">
        <f t="shared" si="2"/>
        <v>4277.0432000000001</v>
      </c>
      <c r="N21" s="101">
        <f>+'1'!N21+'2'!N21+'4'!N21+'3'!N21+'5'!N21+'6'!N21+'7'!N21+'8'!N21+'9'!N21+'10'!N21</f>
        <v>972.91110400000002</v>
      </c>
      <c r="O21" s="101">
        <f>+'1'!O21+'2'!O21+'4'!O21+'3'!O21+'5'!O21+'6'!O21+'7'!O21+'8'!O21+'9'!O21+'10'!O21</f>
        <v>111.68138496000002</v>
      </c>
      <c r="P21" s="120">
        <f t="shared" si="0"/>
        <v>5361.6356889600002</v>
      </c>
      <c r="T21" s="163" t="str">
        <f>+'8'!A5</f>
        <v xml:space="preserve">Customer Name : MA Mart </v>
      </c>
      <c r="U21" s="164">
        <f>+'8'!P35</f>
        <v>4233.3913064999997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222</v>
      </c>
      <c r="I22" s="1">
        <f t="shared" si="1"/>
        <v>8709.0600000000013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304.8171000000001</v>
      </c>
      <c r="L22" s="175">
        <f>+'1'!L22+'2'!L22+'4'!L22+'3'!L22+'5'!L22+'6'!L22+'7'!L22+'8'!L22+'9'!L22+'10'!L22</f>
        <v>435.45300000000015</v>
      </c>
      <c r="M22" s="118">
        <f t="shared" si="2"/>
        <v>7968.7899000000007</v>
      </c>
      <c r="N22" s="101">
        <f>+'1'!N22+'2'!N22+'4'!N22+'3'!N22+'5'!N22+'6'!N22+'7'!N22+'8'!N22+'9'!N22+'10'!N22</f>
        <v>1753.1337780000001</v>
      </c>
      <c r="O22" s="101">
        <f>+'1'!O22+'2'!O22+'4'!O22+'3'!O22+'5'!O22+'6'!O22+'7'!O22+'8'!O22+'9'!O22+'10'!O22</f>
        <v>172.98017355000002</v>
      </c>
      <c r="P22" s="120">
        <f t="shared" si="0"/>
        <v>9894.9038515500015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12.85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514</v>
      </c>
      <c r="I25" s="178">
        <f t="shared" si="3"/>
        <v>27982.9</v>
      </c>
      <c r="J25" s="177">
        <f t="shared" si="3"/>
        <v>13</v>
      </c>
      <c r="K25" s="178">
        <f t="shared" si="3"/>
        <v>304.8171000000001</v>
      </c>
      <c r="L25" s="179">
        <f t="shared" si="3"/>
        <v>1977.3602000000001</v>
      </c>
      <c r="M25" s="141">
        <f t="shared" si="3"/>
        <v>25700.722699999998</v>
      </c>
      <c r="N25" s="142">
        <f>SUM(N16:N24)</f>
        <v>5844.1531940000004</v>
      </c>
      <c r="O25" s="143">
        <f>SUM(O16:O24)</f>
        <v>652.68983815000001</v>
      </c>
      <c r="P25" s="144">
        <f>SUM(P16:P24)</f>
        <v>32197.565732149997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32197.565732149997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27982.9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1977.3602000000001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304.8171000000001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25700.722700000002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5844.1531940000004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31544.875894000004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788.62189735000015</v>
      </c>
    </row>
    <row r="39" spans="2:16" ht="15.75" customHeight="1" thickBot="1" x14ac:dyDescent="0.4">
      <c r="N39" s="219" t="s">
        <v>92</v>
      </c>
      <c r="O39" s="220"/>
      <c r="P39" s="160">
        <f>P37+P38</f>
        <v>32333.497791350004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3520194542009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14</v>
      </c>
      <c r="I19" s="116">
        <f t="shared" si="3"/>
        <v>1016.96</v>
      </c>
      <c r="J19" s="117"/>
      <c r="K19" s="1">
        <f t="shared" si="4"/>
        <v>0</v>
      </c>
      <c r="L19" s="105">
        <f t="shared" si="5"/>
        <v>81.356800000000007</v>
      </c>
      <c r="M19" s="118">
        <f t="shared" si="6"/>
        <v>935.60320000000002</v>
      </c>
      <c r="N19" s="118">
        <f t="shared" si="0"/>
        <v>205.83270400000001</v>
      </c>
      <c r="O19" s="119">
        <f t="shared" si="1"/>
        <v>5.7071795199999995</v>
      </c>
      <c r="P19" s="120">
        <f t="shared" si="2"/>
        <v>1147.1430835199999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14</v>
      </c>
      <c r="I20" s="116">
        <f t="shared" si="3"/>
        <v>1016.96</v>
      </c>
      <c r="J20" s="117">
        <v>2</v>
      </c>
      <c r="K20" s="1">
        <f t="shared" si="4"/>
        <v>0</v>
      </c>
      <c r="L20" s="105">
        <f t="shared" si="5"/>
        <v>81.356800000000007</v>
      </c>
      <c r="M20" s="118">
        <f t="shared" si="6"/>
        <v>935.60320000000002</v>
      </c>
      <c r="N20" s="118">
        <f t="shared" si="0"/>
        <v>237.79430400000001</v>
      </c>
      <c r="O20" s="119">
        <f t="shared" si="1"/>
        <v>5.8669875200000003</v>
      </c>
      <c r="P20" s="120">
        <f t="shared" si="2"/>
        <v>1179.2644915200001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3"/>
        <v>871.68000000000006</v>
      </c>
      <c r="J21" s="117"/>
      <c r="K21" s="1">
        <f t="shared" si="4"/>
        <v>0</v>
      </c>
      <c r="L21" s="105">
        <f t="shared" si="5"/>
        <v>69.734400000000008</v>
      </c>
      <c r="M21" s="118">
        <f t="shared" si="6"/>
        <v>801.94560000000001</v>
      </c>
      <c r="N21" s="118">
        <f t="shared" si="0"/>
        <v>176.428032</v>
      </c>
      <c r="O21" s="119">
        <f t="shared" si="1"/>
        <v>4.8918681600000005</v>
      </c>
      <c r="P21" s="120">
        <f t="shared" si="2"/>
        <v>983.26550015999999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3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6"/>
        <v>2871.6360000000004</v>
      </c>
      <c r="N22" s="118">
        <f t="shared" si="0"/>
        <v>631.75992000000008</v>
      </c>
      <c r="O22" s="119">
        <f t="shared" si="1"/>
        <v>17.516979600000003</v>
      </c>
      <c r="P22" s="120">
        <f t="shared" si="2"/>
        <v>3520.9128996000004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6044.0000000000009</v>
      </c>
      <c r="J25" s="138"/>
      <c r="K25" s="139">
        <f t="shared" si="9"/>
        <v>109.84400000000002</v>
      </c>
      <c r="L25" s="140">
        <f t="shared" si="9"/>
        <v>389.36800000000005</v>
      </c>
      <c r="M25" s="141">
        <f t="shared" si="9"/>
        <v>5544.7880000000005</v>
      </c>
      <c r="N25" s="142">
        <f>SUM(N16:N24)</f>
        <v>1251.8149600000002</v>
      </c>
      <c r="O25" s="143">
        <f>SUM(O16:O24)</f>
        <v>33.983014800000007</v>
      </c>
      <c r="P25" s="144">
        <f>SUM(P16:P24)</f>
        <v>6830.5859748000003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6044.0000000000009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389.36800000000005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109.84400000000002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5544.7880000000005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1251.8149600000002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6796.6029600000002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33.983014799999999</v>
      </c>
    </row>
    <row r="35" spans="2:16" ht="15.75" customHeight="1" thickBot="1" x14ac:dyDescent="0.4">
      <c r="N35" s="219" t="s">
        <v>92</v>
      </c>
      <c r="O35" s="220"/>
      <c r="P35" s="160">
        <f>P33+P34</f>
        <v>6830.5859748000003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1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1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117.72585000000001</v>
      </c>
      <c r="O16" s="107">
        <f>(N16+M16)*$O$15</f>
        <v>15.009521250000001</v>
      </c>
      <c r="P16" s="105">
        <f t="shared" ref="P16:P24" si="1">M16+N16+O16</f>
        <v>615.39037125000004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106.1841</v>
      </c>
      <c r="O18" s="119">
        <f t="shared" si="6"/>
        <v>14.720977499999998</v>
      </c>
      <c r="P18" s="120">
        <f t="shared" si="1"/>
        <v>603.56007749999992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60</v>
      </c>
      <c r="I25" s="137">
        <f t="shared" si="9"/>
        <v>2618.4500000000003</v>
      </c>
      <c r="J25" s="138"/>
      <c r="K25" s="139">
        <f t="shared" si="9"/>
        <v>54.922000000000011</v>
      </c>
      <c r="L25" s="140">
        <f t="shared" si="9"/>
        <v>162.40000000000003</v>
      </c>
      <c r="M25" s="141">
        <f t="shared" si="9"/>
        <v>2401.1280000000002</v>
      </c>
      <c r="N25" s="142">
        <f>SUM(N16:N24)</f>
        <v>539.78991000000008</v>
      </c>
      <c r="O25" s="143">
        <f>SUM(O16:O24)</f>
        <v>73.52294775</v>
      </c>
      <c r="P25" s="144">
        <f>SUM(P16:P24)</f>
        <v>3014.4408577499999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2618.4500000000003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162.40000000000003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2401.1280000000002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539.78991000000008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2940.9179100000001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73.52294775</v>
      </c>
    </row>
    <row r="35" spans="2:16" ht="15.75" customHeight="1" thickBot="1" x14ac:dyDescent="0.4">
      <c r="N35" s="219" t="s">
        <v>92</v>
      </c>
      <c r="O35" s="220"/>
      <c r="P35" s="160">
        <f>P33+P34</f>
        <v>3014.4408577500003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39.230000000000011</v>
      </c>
      <c r="M25" s="141">
        <f t="shared" si="9"/>
        <v>717.90900000000011</v>
      </c>
      <c r="N25" s="142">
        <f>SUM(N16:N24)</f>
        <v>157.93998000000002</v>
      </c>
      <c r="O25" s="143">
        <f>SUM(O16:O24)</f>
        <v>21.896224500000002</v>
      </c>
      <c r="P25" s="144">
        <f>SUM(P16:P24)</f>
        <v>897.74520450000011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784.60000000000014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39.230000000000011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27.461000000000006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717.90900000000011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157.93998000000002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875.8489800000001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21.896224500000002</v>
      </c>
    </row>
    <row r="35" spans="2:16" ht="15.75" customHeight="1" thickBot="1" x14ac:dyDescent="0.4">
      <c r="N35" s="219" t="s">
        <v>92</v>
      </c>
      <c r="O35" s="220"/>
      <c r="P35" s="160">
        <f>P33+P34</f>
        <v>897.74520450000011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1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82.330176000000009</v>
      </c>
      <c r="P20" s="120">
        <f t="shared" si="1"/>
        <v>3375.5372160000002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246.99052800000004</v>
      </c>
      <c r="P25" s="144">
        <f>SUM(P16:P24)</f>
        <v>10126.611648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8716.7999999999993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697.34400000000005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8019.4559999999992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9879.6211199999998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246.99052800000001</v>
      </c>
    </row>
    <row r="35" spans="2:16" ht="15.75" customHeight="1" thickBot="1" x14ac:dyDescent="0.4">
      <c r="N35" s="219" t="s">
        <v>92</v>
      </c>
      <c r="O35" s="220"/>
      <c r="P35" s="160">
        <f>P33+P34</f>
        <v>10126.611648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1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39.230000000000011</v>
      </c>
      <c r="M25" s="141">
        <f t="shared" si="9"/>
        <v>717.90900000000011</v>
      </c>
      <c r="N25" s="142">
        <f>SUM(N16:N24)</f>
        <v>157.93998000000002</v>
      </c>
      <c r="O25" s="143">
        <f>SUM(O16:O24)</f>
        <v>21.896224500000002</v>
      </c>
      <c r="P25" s="144">
        <f>SUM(P16:P24)</f>
        <v>897.74520450000011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784.60000000000014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39.230000000000011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27.461000000000006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717.90900000000011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157.93998000000002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875.8489800000001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21.896224500000002</v>
      </c>
    </row>
    <row r="35" spans="2:16" ht="15.75" customHeight="1" thickBot="1" x14ac:dyDescent="0.4">
      <c r="N35" s="219" t="s">
        <v>92</v>
      </c>
      <c r="O35" s="220"/>
      <c r="P35" s="160">
        <f>P33+P34</f>
        <v>897.74520450000011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1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17.665172999999999</v>
      </c>
      <c r="P16" s="105">
        <f t="shared" ref="P16:P24" si="1">M16+N16+O16</f>
        <v>724.27209299999993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>
        <v>1</v>
      </c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138.96266999999997</v>
      </c>
      <c r="O17" s="119">
        <f t="shared" ref="O17:O24" si="6">(N17+M17)*$O$15</f>
        <v>17.953716749999998</v>
      </c>
      <c r="P17" s="120">
        <f t="shared" si="1"/>
        <v>736.10238674999994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</v>
      </c>
      <c r="I18" s="116">
        <f t="shared" si="2"/>
        <v>629.54999999999995</v>
      </c>
      <c r="J18" s="117"/>
      <c r="K18" s="1">
        <f t="shared" si="3"/>
        <v>0</v>
      </c>
      <c r="L18" s="105">
        <f t="shared" si="4"/>
        <v>50.363999999999997</v>
      </c>
      <c r="M18" s="118">
        <f t="shared" si="5"/>
        <v>579.18599999999992</v>
      </c>
      <c r="N18" s="118">
        <f t="shared" si="0"/>
        <v>127.42091999999998</v>
      </c>
      <c r="O18" s="119">
        <f t="shared" si="6"/>
        <v>17.665172999999999</v>
      </c>
      <c r="P18" s="120">
        <f t="shared" si="1"/>
        <v>724.27209299999993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">
        <f t="shared" si="3"/>
        <v>0</v>
      </c>
      <c r="L19" s="105">
        <f t="shared" si="4"/>
        <v>69.734400000000008</v>
      </c>
      <c r="M19" s="118">
        <f t="shared" si="5"/>
        <v>801.94560000000001</v>
      </c>
      <c r="N19" s="118">
        <f t="shared" si="0"/>
        <v>176.428032</v>
      </c>
      <c r="O19" s="119">
        <f t="shared" si="6"/>
        <v>24.459340800000003</v>
      </c>
      <c r="P19" s="120">
        <f t="shared" si="1"/>
        <v>1002.8329728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>
        <v>1</v>
      </c>
      <c r="K20" s="1">
        <f t="shared" si="3"/>
        <v>0</v>
      </c>
      <c r="L20" s="105">
        <f t="shared" si="4"/>
        <v>69.734400000000008</v>
      </c>
      <c r="M20" s="118">
        <f t="shared" si="5"/>
        <v>801.94560000000001</v>
      </c>
      <c r="N20" s="118">
        <f t="shared" si="0"/>
        <v>192.40883199999999</v>
      </c>
      <c r="O20" s="119">
        <f t="shared" si="6"/>
        <v>24.858860800000002</v>
      </c>
      <c r="P20" s="120">
        <f t="shared" si="1"/>
        <v>1019.2132928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176.428032</v>
      </c>
      <c r="O21" s="119">
        <f t="shared" si="6"/>
        <v>24.459340800000003</v>
      </c>
      <c r="P21" s="120">
        <f t="shared" si="1"/>
        <v>1002.8329728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84</v>
      </c>
      <c r="I25" s="137">
        <f t="shared" si="9"/>
        <v>4974.4500000000007</v>
      </c>
      <c r="J25" s="138"/>
      <c r="K25" s="139">
        <f t="shared" si="9"/>
        <v>16.476600000000005</v>
      </c>
      <c r="L25" s="140">
        <f t="shared" si="9"/>
        <v>383.83319999999998</v>
      </c>
      <c r="M25" s="141">
        <f t="shared" si="9"/>
        <v>4574.1401999999998</v>
      </c>
      <c r="N25" s="142">
        <f>SUM(N16:N24)</f>
        <v>1033.833394</v>
      </c>
      <c r="O25" s="143">
        <f>SUM(O16:O24)</f>
        <v>140.19933985</v>
      </c>
      <c r="P25" s="144">
        <f>SUM(P16:P24)</f>
        <v>5748.1729338499999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4974.4500000000007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383.83319999999998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4574.1402000000007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1033.833394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5607.973594000001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140.19933985000003</v>
      </c>
    </row>
    <row r="35" spans="2:16" ht="15.75" customHeight="1" thickBot="1" x14ac:dyDescent="0.4">
      <c r="N35" s="219" t="s">
        <v>92</v>
      </c>
      <c r="O35" s="220"/>
      <c r="P35" s="160">
        <f>P33+P34</f>
        <v>5748.1729338500008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1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120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3667.7000000000003</v>
      </c>
      <c r="J25" s="138"/>
      <c r="K25" s="139">
        <f t="shared" si="9"/>
        <v>54.922000000000011</v>
      </c>
      <c r="L25" s="140">
        <f t="shared" si="9"/>
        <v>246.34000000000003</v>
      </c>
      <c r="M25" s="141">
        <f t="shared" si="9"/>
        <v>3366.4380000000001</v>
      </c>
      <c r="N25" s="142">
        <f>SUM(N16:N24)</f>
        <v>763.69986000000006</v>
      </c>
      <c r="O25" s="143">
        <f>SUM(O16:O24)</f>
        <v>103.2534465</v>
      </c>
      <c r="P25" s="144">
        <f>SUM(P16:P24)</f>
        <v>4233.3913064999997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3667.7000000000003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246.34000000000003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3366.4380000000001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763.69986000000006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4130.1378599999998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103.2534465</v>
      </c>
    </row>
    <row r="35" spans="2:16" ht="15.75" customHeight="1" thickBot="1" x14ac:dyDescent="0.4">
      <c r="N35" s="219" t="s">
        <v>92</v>
      </c>
      <c r="O35" s="220"/>
      <c r="P35" s="160">
        <f>P33+P34</f>
        <v>4233.3913064999997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2026-06-20T12:42:43Z</dcterms:modified>
</cp:coreProperties>
</file>