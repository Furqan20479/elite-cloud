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F80FB2E-7F73-494C-B52B-D5D5881C7CCE}" xr6:coauthVersionLast="47" xr6:coauthVersionMax="47" xr10:uidLastSave="{00000000-0000-0000-0000-000000000000}"/>
  <bookViews>
    <workbookView xWindow="-110" yWindow="-110" windowWidth="19420" windowHeight="10420" tabRatio="949" activeTab="10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3" l="1"/>
  <c r="L18" i="23"/>
  <c r="L19" i="23"/>
  <c r="L20" i="23"/>
  <c r="L21" i="23"/>
  <c r="L16" i="23"/>
  <c r="I17" i="21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L17" i="2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25" i="18"/>
  <c r="M16" i="15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<sst xmlns="http://schemas.openxmlformats.org/spreadsheetml/2006/main" count="1580" uniqueCount="119">
  <si>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</si>
  <si>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</si>
  <si>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</si>
  <si>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</si>
  <si>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</si>
  <si>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</si>
  <si>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</si>
  <si>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</si>
  <si>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</si>
  <si>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</si>
  <si>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</si>
  <si>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</si>
  <si>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</si>
  <si>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</si>
  <si>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</si>
  <si>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</si>
  <si>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</si>
  <si>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</si>
  <si>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</si>
  <si>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</si>
  <si>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</si>
  <si>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</si>
  <si>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</si>
  <si>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</si>
  <si>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</si>
  <si>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</si>
  <si>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</si>
  <si>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</si>
  <si>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</si>
  <si>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</si>
  <si>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</si>
  <si>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</si>
  <si>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</si>
  <si>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</si>
  <si>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</si>
  <si>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</si>
  <si>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</si>
  <si>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</si>
  <si>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</si>
  <si>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</si>
  <si>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</si>
  <si>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</si>
  <si>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</si>
  <si>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</si>
  <si>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</si>
  <si>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</si>
  <si>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</si>
  <si>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</si>
  <si>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</si>
  <si>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</si>
  <si>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</si>
  <si>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</si>
  <si>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</si>
  <si>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</si>
  <si>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</si>
  <si>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</si>
  <si>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</si>
  <si>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</si>
  <si>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</si>
  <si>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</si>
  <si>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</si>
  <si>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</si>
  <si>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</si>
  <si>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</si>
  <si>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</si>
  <si>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</si>
  <si>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</si>
  <si>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</si>
  <si>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</si>
  <si>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</si>
  <si>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</si>
  <si>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</si>
  <si>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</si>
  <si>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</si>
  <si>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</si>
  <si>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</si>
  <si>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</si>
  <si>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</si>
  <si>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</si>
  <si>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</si>
  <si>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</si>
  <si>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</si>
  <si>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</si>
  <si>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</si>
  <si>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</si>
  <si>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</si>
  <si>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</si>
  <si>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</si>
  <si>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</si>
  <si>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</si>
  <si>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</si>
  <si>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</si>
  <si>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</si>
  <si>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</si>
  <si>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</si>
  <si>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</si>
  <si>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</si>
  <si>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</si>
  <si>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</si>
  <si>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</si>
  <si>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</si>
  <si>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</si>
  <si>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</si>
  <si>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</si>
  <si>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(Salman)</t>
  </si>
  <si>
    <t>Salman</t>
  </si>
  <si>
    <t>Customer Name : Wali Super Store</t>
  </si>
  <si>
    <t>Address: calevary Ground</t>
  </si>
  <si>
    <t>Customer Name : Alfatah Super Store</t>
  </si>
  <si>
    <t>Address: Calvery Ground</t>
  </si>
  <si>
    <t>Customer Name : Ali General Store</t>
  </si>
  <si>
    <t>7401062-2</t>
  </si>
  <si>
    <t>Customer Name : Khurram Super Store</t>
  </si>
  <si>
    <t>Customer Name : Ashiana Store</t>
  </si>
  <si>
    <t>Address: Calevery Ground</t>
  </si>
  <si>
    <t>Customer Name : Sher Rubai Store</t>
  </si>
  <si>
    <t>Customer Name : Abdullah Super Store</t>
  </si>
  <si>
    <t>E389702-2</t>
  </si>
  <si>
    <t>Customer Name : Best Buy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</si>
</sst>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4" zoomScale="70" zoomScaleNormal="70" workbookViewId="0">
      <selection activeCell="T36" sqref="T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105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104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Wali Super Store</v>
      </c>
      <c r="U14" s="164">
        <f>+'1'!P35</f>
        <v>2437.9008974999997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Alfatah Super Store</v>
      </c>
      <c r="U15" s="164">
        <f>+'2'!P35</f>
        <v>2437.9008974999997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93</v>
      </c>
      <c r="I16" s="1">
        <f>(G16*D16)*F16+H16*F16</f>
        <v>4879.0124999999998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390.32099999999997</v>
      </c>
      <c r="M16" s="106">
        <f>I16-K16-L16</f>
        <v>4488.6914999999999</v>
      </c>
      <c r="N16" s="101">
        <f>+'1'!N16+'2'!N16+'4'!N16+'3'!N16+'5'!N16+'6'!N16+'7'!N16+'8'!N16+'9'!N16+'10'!N16</f>
        <v>999.05388000000005</v>
      </c>
      <c r="O16" s="101">
        <f>+'1'!O16+'2'!O16+'4'!O16+'3'!O16+'5'!O16+'6'!O16+'7'!O16+'8'!O16+'9'!O16+'10'!O16</f>
        <v>74.545854900000009</v>
      </c>
      <c r="P16" s="105">
        <f t="shared" ref="P16:P24" si="0">M16+N16+O16</f>
        <v>5562.2912349000007</v>
      </c>
      <c r="Q16" s="108"/>
      <c r="T16" s="163" t="str">
        <f>+'4'!A5</f>
        <v>Customer Name : Khurram Super Store</v>
      </c>
      <c r="U16" s="164">
        <f>+'4'!P35</f>
        <v>1002.8329728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93</v>
      </c>
      <c r="I17" s="1">
        <f t="shared" ref="I17:I23" si="1">(G17*D17)*F17+H17*F17</f>
        <v>4879.0124999999998</v>
      </c>
      <c r="J17" s="172">
        <f>+'1'!J17+'2'!J17+'4'!J17+'3'!J17+'5'!J17+'6'!J17+'7'!J17+'8'!J17+'9'!J17+'10'!J17+'11'!J17+'12'!J17+'13'!J17+'14'!J17+'15'!J17+'16'!J17+'17'!J17+'18'!J17</f>
        <v>11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390.32099999999997</v>
      </c>
      <c r="M17" s="118">
        <f t="shared" ref="M17:M23" si="2">I17-K17-L17</f>
        <v>4488.6914999999999</v>
      </c>
      <c r="N17" s="101">
        <f>+'1'!N17+'2'!N17+'4'!N17+'3'!N17+'5'!N17+'6'!N17+'7'!N17+'8'!N17+'9'!N17+'10'!N17</f>
        <v>1114.47138</v>
      </c>
      <c r="O17" s="101">
        <f>+'1'!O17+'2'!O17+'4'!O17+'3'!O17+'5'!O17+'6'!O17+'7'!O17+'8'!O17+'9'!O17+'10'!O17</f>
        <v>64.500335399999997</v>
      </c>
      <c r="P17" s="120">
        <f t="shared" si="0"/>
        <v>5667.6632153999999</v>
      </c>
      <c r="S17" s="64"/>
      <c r="T17" s="163" t="str">
        <f>+'3'!A5</f>
        <v>Customer Name : Ali General Store</v>
      </c>
      <c r="U17" s="164">
        <f>+'3'!P35</f>
        <v>2390.3320994999999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134</v>
      </c>
      <c r="I18" s="1">
        <f t="shared" si="1"/>
        <v>7029.9749999999995</v>
      </c>
      <c r="J18" s="172">
        <f>+'1'!J18+'2'!J18+'4'!J18+'3'!J18+'5'!J18+'6'!J18+'7'!J18+'8'!J18+'9'!J18+'10'!J18+'11'!J18+'12'!J18+'13'!J18+'14'!J18+'15'!J18+'16'!J18+'17'!J18+'18'!J18</f>
        <v>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646.33799999999997</v>
      </c>
      <c r="M18" s="118">
        <f t="shared" si="2"/>
        <v>6383.6369999999997</v>
      </c>
      <c r="N18" s="101">
        <f>+'1'!N18+'2'!N18+'4'!N18+'3'!N18+'5'!N18+'6'!N18+'7'!N18+'8'!N18+'9'!N18+'10'!N18</f>
        <v>1372.5029400000001</v>
      </c>
      <c r="O18" s="101">
        <f>+'1'!O18+'2'!O18+'4'!O18+'3'!O18+'5'!O18+'6'!O18+'7'!O18+'8'!O18+'9'!O18+'10'!O18</f>
        <v>74.111045700000005</v>
      </c>
      <c r="P18" s="120">
        <f t="shared" si="0"/>
        <v>7830.2509857000005</v>
      </c>
      <c r="T18" s="163" t="str">
        <f>+'5'!A5</f>
        <v>Customer Name : Ashiana Store</v>
      </c>
      <c r="U18" s="164">
        <f>+'5'!P35</f>
        <v>4594.4876647500005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41</v>
      </c>
      <c r="I19" s="1">
        <f t="shared" si="1"/>
        <v>2978.2400000000002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238.25920000000002</v>
      </c>
      <c r="M19" s="118">
        <f t="shared" si="2"/>
        <v>2739.9808000000003</v>
      </c>
      <c r="N19" s="101">
        <f>+'1'!N19+'2'!N19+'4'!N19+'3'!N19+'5'!N19+'6'!N19+'7'!N19+'8'!N19+'9'!N19+'10'!N19</f>
        <v>602.79577599999993</v>
      </c>
      <c r="O19" s="101">
        <f>+'1'!O19+'2'!O19+'4'!O19+'3'!O19+'5'!O19+'6'!O19+'7'!O19+'8'!O19+'9'!O19+'10'!O19</f>
        <v>59.110073600000007</v>
      </c>
      <c r="P19" s="120">
        <f t="shared" si="0"/>
        <v>3401.8866496000001</v>
      </c>
      <c r="T19" s="163" t="str">
        <f>+'6'!A5</f>
        <v>Customer Name : Sher Rubai Store</v>
      </c>
      <c r="U19" s="164">
        <f>+'6'!P35</f>
        <v>5700.0051746999998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63</v>
      </c>
      <c r="I20" s="1">
        <f t="shared" si="1"/>
        <v>4576.32</v>
      </c>
      <c r="J20" s="172">
        <f>+'1'!J20+'2'!J20+'4'!J20+'3'!J20+'5'!J20+'6'!J20+'7'!J20+'8'!J20+'9'!J20+'10'!J20+'11'!J20+'12'!J20+'13'!J20+'14'!J20+'15'!J20+'16'!J20+'17'!J20+'18'!J20</f>
        <v>6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482.32959999999997</v>
      </c>
      <c r="M20" s="118">
        <f t="shared" si="2"/>
        <v>4093.9903999999997</v>
      </c>
      <c r="N20" s="101">
        <f>+'1'!N20+'2'!N20+'4'!N20+'3'!N20+'5'!N20+'6'!N20+'7'!N20+'8'!N20+'9'!N20+'10'!N20</f>
        <v>888.47436799999991</v>
      </c>
      <c r="O20" s="101">
        <f>+'1'!O20+'2'!O20+'4'!O20+'3'!O20+'5'!O20+'6'!O20+'7'!O20+'8'!O20+'9'!O20+'10'!O20</f>
        <v>46.749651200000002</v>
      </c>
      <c r="P20" s="120">
        <f t="shared" si="0"/>
        <v>5029.2144191999996</v>
      </c>
      <c r="T20" s="163" t="str">
        <f>+'7'!A5</f>
        <v>Customer Name : Abdullah Super Store</v>
      </c>
      <c r="U20" s="164">
        <f>+'7'!P35</f>
        <v>5975.8302487500005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68</v>
      </c>
      <c r="I21" s="1">
        <f t="shared" si="1"/>
        <v>4939.5200000000004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511.38559999999995</v>
      </c>
      <c r="M21" s="118">
        <f t="shared" si="2"/>
        <v>4428.1344000000008</v>
      </c>
      <c r="N21" s="101">
        <f>+'1'!N21+'2'!N21+'4'!N21+'3'!N21+'5'!N21+'6'!N21+'7'!N21+'8'!N21+'9'!N21+'10'!N21</f>
        <v>898.06284799999992</v>
      </c>
      <c r="O21" s="101">
        <f>+'1'!O21+'2'!O21+'4'!O21+'3'!O21+'5'!O21+'6'!O21+'7'!O21+'8'!O21+'9'!O21+'10'!O21</f>
        <v>47.829081600000002</v>
      </c>
      <c r="P21" s="120">
        <f t="shared" si="0"/>
        <v>5374.0263296000003</v>
      </c>
      <c r="T21" s="163" t="str">
        <f>+'8'!A5</f>
        <v>Customer Name : Best Buy Super store</v>
      </c>
      <c r="U21" s="164">
        <f>+'8'!P35</f>
        <v>10028.779445100001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258.44724000000002</v>
      </c>
      <c r="O22" s="101">
        <f>+'1'!O22+'2'!O22+'4'!O22+'3'!O22+'5'!O22+'6'!O22+'7'!O22+'8'!O22+'9'!O22+'10'!O22</f>
        <v>8.4713262000000018</v>
      </c>
      <c r="P22" s="120">
        <f t="shared" si="0"/>
        <v>1702.7365662000002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13.3</v>
      </c>
      <c r="D25" s="222"/>
      <c r="E25" s="222"/>
      <c r="F25" s="222"/>
      <c r="G25" s="176">
        <f t="shared" ref="G25:M25" si="3">SUM(G16:G24)</f>
        <v>0</v>
      </c>
      <c r="H25" s="177">
        <f t="shared" si="3"/>
        <v>532</v>
      </c>
      <c r="I25" s="178">
        <f t="shared" si="3"/>
        <v>30851.280000000002</v>
      </c>
      <c r="J25" s="177">
        <f t="shared" si="3"/>
        <v>24</v>
      </c>
      <c r="K25" s="178">
        <f t="shared" si="3"/>
        <v>54.922000000000011</v>
      </c>
      <c r="L25" s="179">
        <f t="shared" si="3"/>
        <v>2737.4144000000001</v>
      </c>
      <c r="M25" s="141">
        <f t="shared" si="3"/>
        <v>28058.943599999999</v>
      </c>
      <c r="N25" s="142">
        <f>SUM(N16:N24)</f>
        <v>6133.8084319999998</v>
      </c>
      <c r="O25" s="143">
        <f>SUM(O16:O24)</f>
        <v>375.31736860000007</v>
      </c>
      <c r="P25" s="144">
        <f>SUM(P16:P24)</f>
        <v>34568.069400599998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34568.069400599998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9" t="s">
        <v>85</v>
      </c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N32" s="238" t="s">
        <v>86</v>
      </c>
      <c r="O32" s="239"/>
      <c r="P32" s="152">
        <f>I25</f>
        <v>30851.280000000002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N33" s="240" t="s">
        <v>87</v>
      </c>
      <c r="O33" s="241"/>
      <c r="P33" s="153">
        <f>L25</f>
        <v>2737.4144000000001</v>
      </c>
    </row>
    <row r="34" spans="2:16" ht="15" customHeight="1" x14ac:dyDescent="0.35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N34" s="240" t="s">
        <v>4</v>
      </c>
      <c r="O34" s="241"/>
      <c r="P34" s="154">
        <f>K25</f>
        <v>54.922000000000011</v>
      </c>
    </row>
    <row r="35" spans="2:16" ht="15" customHeight="1" x14ac:dyDescent="0.35">
      <c r="B35" s="232"/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"/>
      <c r="N35" s="240" t="s">
        <v>88</v>
      </c>
      <c r="O35" s="241"/>
      <c r="P35" s="153">
        <f>P32-P33-P34</f>
        <v>28058.943600000002</v>
      </c>
    </row>
    <row r="36" spans="2:16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"/>
      <c r="N36" s="155" t="s">
        <v>89</v>
      </c>
      <c r="O36" s="156">
        <f>IF(B12="Registered",18%,22%)</f>
        <v>0.22</v>
      </c>
      <c r="P36" s="153">
        <f>N25</f>
        <v>6133.8084319999998</v>
      </c>
    </row>
    <row r="37" spans="2:16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"/>
      <c r="N37" s="242" t="s">
        <v>90</v>
      </c>
      <c r="O37" s="243"/>
      <c r="P37" s="153">
        <f>P35+P36</f>
        <v>34192.752032000004</v>
      </c>
    </row>
    <row r="38" spans="2:16" ht="15" customHeight="1" thickBot="1" x14ac:dyDescent="0.4"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37"/>
      <c r="M38" s="157"/>
      <c r="N38" s="158" t="s">
        <v>91</v>
      </c>
      <c r="O38" s="159">
        <f>IF(B11="Filer",0.5%,2.5%)</f>
        <v>2.5000000000000001E-2</v>
      </c>
      <c r="P38" s="153">
        <f>O38*P37</f>
        <v>854.81880080000019</v>
      </c>
    </row>
    <row r="39" spans="2:16" ht="15.75" customHeight="1" thickBot="1" x14ac:dyDescent="0.4">
      <c r="N39" s="220" t="s">
        <v>92</v>
      </c>
      <c r="O39" s="221"/>
      <c r="P39" s="160">
        <f>P37+P38</f>
        <v>35047.570832800004</v>
      </c>
    </row>
    <row r="40" spans="2:16" ht="15" thickBot="1" x14ac:dyDescent="0.4">
      <c r="B40" s="161" t="s">
        <v>93</v>
      </c>
      <c r="C40" s="222"/>
      <c r="D40" s="222"/>
      <c r="E40" s="222"/>
      <c r="F40" s="222"/>
      <c r="G40" s="222"/>
      <c r="H40" s="222"/>
      <c r="I40" s="223"/>
      <c r="J40" s="224"/>
      <c r="K40" s="225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98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 t="shared" ref="O16:O24" si="1">(N16+M16)*$O$15</f>
        <v>22.081466250000002</v>
      </c>
      <c r="P16" s="105">
        <f t="shared" ref="P16:P24" si="2">M16+N16+O16</f>
        <v>905.34011624999994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>
        <v>2</v>
      </c>
      <c r="K17" s="1">
        <f t="shared" ref="K17:K21" si="4">I17*$K$13</f>
        <v>0</v>
      </c>
      <c r="L17" s="105">
        <f t="shared" ref="L17:L21" si="5">I17*8%</f>
        <v>41.97</v>
      </c>
      <c r="M17" s="118">
        <f t="shared" ref="M17:M23" si="6">I17-K17-L17</f>
        <v>482.65499999999997</v>
      </c>
      <c r="N17" s="118">
        <f t="shared" si="0"/>
        <v>129.26760000000002</v>
      </c>
      <c r="O17" s="119">
        <f t="shared" si="1"/>
        <v>15.298065000000001</v>
      </c>
      <c r="P17" s="120">
        <f t="shared" si="2"/>
        <v>627.22066499999994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3"/>
        <v>786.9375</v>
      </c>
      <c r="J18" s="117"/>
      <c r="K18" s="1">
        <f t="shared" si="4"/>
        <v>0</v>
      </c>
      <c r="L18" s="105">
        <f t="shared" si="5"/>
        <v>62.954999999999998</v>
      </c>
      <c r="M18" s="118">
        <f t="shared" si="6"/>
        <v>723.98249999999996</v>
      </c>
      <c r="N18" s="118">
        <f t="shared" si="0"/>
        <v>159.27615</v>
      </c>
      <c r="O18" s="119">
        <f t="shared" si="1"/>
        <v>22.081466250000002</v>
      </c>
      <c r="P18" s="120">
        <f t="shared" si="2"/>
        <v>905.34011624999994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447.81990000000008</v>
      </c>
      <c r="O25" s="143">
        <f>SUM(O16:O24)</f>
        <v>59.460997500000005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2098.5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167.88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1930.62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447.81990000000008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2378.4398999999999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20" t="s">
        <v>92</v>
      </c>
      <c r="O35" s="221"/>
      <c r="P35" s="160">
        <f>P33+P34</f>
        <v>2437.9008974999997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108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109</v>
      </c>
      <c r="B6" s="202"/>
      <c r="C6" s="202"/>
      <c r="F6" s="70"/>
      <c r="G6" s="74"/>
      <c r="K6" s="202" t="s">
        <v>52</v>
      </c>
      <c r="L6" s="202"/>
      <c r="M6" s="202"/>
      <c r="N6" s="204" t="s">
        <v>98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22.081466250000002</v>
      </c>
      <c r="P16" s="105">
        <f t="shared" ref="P16:P24" si="1">M16+N16+O16</f>
        <v>905.34011624999994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129.26760000000002</v>
      </c>
      <c r="O17" s="119">
        <f t="shared" ref="O17:O24" si="6">(N17+M17)*$O$15</f>
        <v>15.298065000000001</v>
      </c>
      <c r="P17" s="120">
        <f t="shared" si="1"/>
        <v>627.22066499999994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22.081466250000002</v>
      </c>
      <c r="P18" s="120">
        <f t="shared" si="1"/>
        <v>905.34011624999994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447.81990000000008</v>
      </c>
      <c r="O25" s="143">
        <f>SUM(O16:O24)</f>
        <v>59.460997500000005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2098.5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167.88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1930.62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447.81990000000008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2378.4398999999999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20" t="s">
        <v>92</v>
      </c>
      <c r="O35" s="221"/>
      <c r="P35" s="160">
        <f>P33+P34</f>
        <v>2437.9008974999997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110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109</v>
      </c>
      <c r="B6" s="202"/>
      <c r="C6" s="202"/>
      <c r="F6" s="70"/>
      <c r="G6" s="74"/>
      <c r="K6" s="202" t="s">
        <v>52</v>
      </c>
      <c r="L6" s="202"/>
      <c r="M6" s="202"/>
      <c r="N6" s="204" t="s">
        <v>98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111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13</v>
      </c>
      <c r="I16" s="102">
        <f>(G16*D16)*F16+H16*F16</f>
        <v>682.01249999999993</v>
      </c>
      <c r="J16" s="103"/>
      <c r="K16" s="104">
        <f>I16*$K$13</f>
        <v>0</v>
      </c>
      <c r="L16" s="105">
        <f>I16*8%</f>
        <v>54.560999999999993</v>
      </c>
      <c r="M16" s="106">
        <f>I16-K16-L16</f>
        <v>627.4514999999999</v>
      </c>
      <c r="N16" s="106">
        <f t="shared" ref="N16:N24" si="0">(M16*$N$15)+(J16*F16)*$N$15</f>
        <v>138.03932999999998</v>
      </c>
      <c r="O16" s="107">
        <f>(N16+M16)*$O$15</f>
        <v>3.8274541499999994</v>
      </c>
      <c r="P16" s="105">
        <f t="shared" ref="P16:P24" si="1">M16+N16+O16</f>
        <v>769.31828414999984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13</v>
      </c>
      <c r="I17" s="116">
        <f t="shared" ref="I17:I23" si="2">(G17*D17)*F17+H17*F17</f>
        <v>682.01249999999993</v>
      </c>
      <c r="J17" s="117">
        <v>2</v>
      </c>
      <c r="K17" s="1">
        <f t="shared" ref="K17:K21" si="3">I17*$K$13</f>
        <v>0</v>
      </c>
      <c r="L17" s="105">
        <f t="shared" ref="L17:L21" si="4">I17*8%</f>
        <v>54.560999999999993</v>
      </c>
      <c r="M17" s="118">
        <f t="shared" ref="M17:M23" si="5">I17-K17-L17</f>
        <v>627.4514999999999</v>
      </c>
      <c r="N17" s="118">
        <f t="shared" si="0"/>
        <v>161.12282999999996</v>
      </c>
      <c r="O17" s="119">
        <f t="shared" ref="O17:O24" si="6">(N17+M17)*$O$15</f>
        <v>3.9428716499999998</v>
      </c>
      <c r="P17" s="120">
        <f t="shared" si="1"/>
        <v>792.51720164999995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14</v>
      </c>
      <c r="I18" s="116">
        <f t="shared" si="2"/>
        <v>734.47500000000002</v>
      </c>
      <c r="J18" s="117"/>
      <c r="K18" s="1">
        <f t="shared" si="3"/>
        <v>0</v>
      </c>
      <c r="L18" s="105">
        <f t="shared" si="4"/>
        <v>58.758000000000003</v>
      </c>
      <c r="M18" s="118">
        <f t="shared" si="5"/>
        <v>675.71699999999998</v>
      </c>
      <c r="N18" s="118">
        <f t="shared" si="0"/>
        <v>148.65773999999999</v>
      </c>
      <c r="O18" s="119">
        <f t="shared" si="6"/>
        <v>4.1218737000000001</v>
      </c>
      <c r="P18" s="120">
        <f t="shared" si="1"/>
        <v>828.49661370000001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447.81989999999996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2098.5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167.88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1930.62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447.81989999999996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2378.4398999999999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20" t="s">
        <v>92</v>
      </c>
      <c r="O35" s="221"/>
      <c r="P35" s="160">
        <f>P33+P34</f>
        <v>2390.3320994999999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27" sqref="K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109</v>
      </c>
      <c r="B6" s="202"/>
      <c r="C6" s="202"/>
      <c r="F6" s="70"/>
      <c r="G6" s="74"/>
      <c r="K6" s="202" t="s">
        <v>52</v>
      </c>
      <c r="L6" s="202"/>
      <c r="M6" s="202"/>
      <c r="N6" s="204" t="s">
        <v>98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">
        <f t="shared" si="3"/>
        <v>0</v>
      </c>
      <c r="L19" s="105">
        <f t="shared" si="4"/>
        <v>69.734400000000008</v>
      </c>
      <c r="M19" s="118">
        <f t="shared" si="5"/>
        <v>801.94560000000001</v>
      </c>
      <c r="N19" s="118">
        <f t="shared" si="0"/>
        <v>176.428032</v>
      </c>
      <c r="O19" s="119">
        <f t="shared" si="6"/>
        <v>24.459340800000003</v>
      </c>
      <c r="P19" s="120">
        <f t="shared" si="1"/>
        <v>1002.8329728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12</v>
      </c>
      <c r="I25" s="137">
        <f t="shared" si="9"/>
        <v>871.68000000000006</v>
      </c>
      <c r="J25" s="138"/>
      <c r="K25" s="139">
        <f t="shared" si="9"/>
        <v>0</v>
      </c>
      <c r="L25" s="140">
        <f t="shared" si="9"/>
        <v>69.734400000000008</v>
      </c>
      <c r="M25" s="141">
        <f t="shared" si="9"/>
        <v>801.94560000000001</v>
      </c>
      <c r="N25" s="142">
        <f>SUM(N16:N24)</f>
        <v>176.428032</v>
      </c>
      <c r="O25" s="143">
        <f>SUM(O16:O24)</f>
        <v>24.459340800000003</v>
      </c>
      <c r="P25" s="144">
        <f>SUM(P16:P24)</f>
        <v>1002.8329728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871.68000000000006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69.734400000000008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801.94560000000001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176.428032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978.37363200000004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24.459340800000003</v>
      </c>
    </row>
    <row r="35" spans="2:16" ht="15.75" customHeight="1" thickBot="1" x14ac:dyDescent="0.4">
      <c r="N35" s="220" t="s">
        <v>92</v>
      </c>
      <c r="O35" s="221"/>
      <c r="P35" s="160">
        <f>P33+P34</f>
        <v>1002.8329728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F8" sqref="F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114</v>
      </c>
      <c r="B6" s="202"/>
      <c r="C6" s="202"/>
      <c r="F6" s="70"/>
      <c r="G6" s="74"/>
      <c r="K6" s="202" t="s">
        <v>52</v>
      </c>
      <c r="L6" s="202"/>
      <c r="M6" s="202"/>
      <c r="N6" s="204" t="s">
        <v>98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14.720977499999998</v>
      </c>
      <c r="P16" s="105">
        <f t="shared" ref="P16:P24" si="1">M16+N16+O16</f>
        <v>603.56007749999992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15.009521250000001</v>
      </c>
      <c r="P17" s="120">
        <f t="shared" si="1"/>
        <v>615.39037125000004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14</v>
      </c>
      <c r="I19" s="116">
        <f t="shared" si="2"/>
        <v>1016.96</v>
      </c>
      <c r="J19" s="117"/>
      <c r="K19" s="1">
        <f t="shared" si="3"/>
        <v>0</v>
      </c>
      <c r="L19" s="105">
        <f t="shared" si="4"/>
        <v>81.356800000000007</v>
      </c>
      <c r="M19" s="118">
        <f t="shared" si="5"/>
        <v>935.60320000000002</v>
      </c>
      <c r="N19" s="118">
        <f t="shared" si="0"/>
        <v>205.83270400000001</v>
      </c>
      <c r="O19" s="119">
        <f t="shared" si="6"/>
        <v>28.535897599999998</v>
      </c>
      <c r="P19" s="120">
        <f t="shared" si="1"/>
        <v>1169.9718015999999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>
        <v>2</v>
      </c>
      <c r="K20" s="1">
        <f t="shared" si="3"/>
        <v>0</v>
      </c>
      <c r="L20" s="105">
        <f t="shared" si="4"/>
        <v>75.545600000000007</v>
      </c>
      <c r="M20" s="118">
        <f t="shared" si="5"/>
        <v>868.77440000000001</v>
      </c>
      <c r="N20" s="118">
        <f t="shared" si="0"/>
        <v>223.09196800000001</v>
      </c>
      <c r="O20" s="119">
        <f t="shared" si="6"/>
        <v>27.296659200000001</v>
      </c>
      <c r="P20" s="120">
        <f t="shared" si="1"/>
        <v>1119.1630272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13</v>
      </c>
      <c r="I21" s="116">
        <f t="shared" si="2"/>
        <v>944.32</v>
      </c>
      <c r="J21" s="117"/>
      <c r="K21" s="1">
        <f t="shared" si="3"/>
        <v>0</v>
      </c>
      <c r="L21" s="105">
        <f t="shared" si="4"/>
        <v>75.545600000000007</v>
      </c>
      <c r="M21" s="118">
        <f t="shared" si="5"/>
        <v>868.77440000000001</v>
      </c>
      <c r="N21" s="118">
        <f t="shared" si="0"/>
        <v>191.130368</v>
      </c>
      <c r="O21" s="119">
        <f t="shared" si="6"/>
        <v>26.497619200000003</v>
      </c>
      <c r="P21" s="120">
        <f t="shared" si="1"/>
        <v>1086.4023872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60</v>
      </c>
      <c r="I25" s="137">
        <f t="shared" si="9"/>
        <v>3954.8500000000004</v>
      </c>
      <c r="J25" s="138"/>
      <c r="K25" s="139">
        <f t="shared" si="9"/>
        <v>0</v>
      </c>
      <c r="L25" s="140">
        <f t="shared" si="9"/>
        <v>316.38800000000003</v>
      </c>
      <c r="M25" s="141">
        <f t="shared" si="9"/>
        <v>3638.4620000000004</v>
      </c>
      <c r="N25" s="142">
        <f>SUM(N16:N24)</f>
        <v>843.96499000000006</v>
      </c>
      <c r="O25" s="143">
        <f>SUM(O16:O24)</f>
        <v>112.06067475</v>
      </c>
      <c r="P25" s="144">
        <f>SUM(P16:P24)</f>
        <v>4594.4876647499996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3954.8500000000004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316.38800000000003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3638.4620000000004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843.96499000000006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4482.4269900000008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112.06067475000003</v>
      </c>
    </row>
    <row r="35" spans="2:16" ht="15.75" customHeight="1" thickBot="1" x14ac:dyDescent="0.4">
      <c r="N35" s="220" t="s">
        <v>92</v>
      </c>
      <c r="O35" s="221"/>
      <c r="P35" s="160">
        <f>P33+P34</f>
        <v>4594.4876647500005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G12" sqref="G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109</v>
      </c>
      <c r="B6" s="202"/>
      <c r="C6" s="202"/>
      <c r="F6" s="70"/>
      <c r="G6" s="74"/>
      <c r="K6" s="202" t="s">
        <v>52</v>
      </c>
      <c r="L6" s="202"/>
      <c r="M6" s="202"/>
      <c r="N6" s="204" t="s">
        <v>98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>
        <v>3520145889633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212.3682</v>
      </c>
      <c r="O16" s="107">
        <f>(N16+M16)*$O$15</f>
        <v>5.8883909999999995</v>
      </c>
      <c r="P16" s="105">
        <f t="shared" ref="P16:P24" si="1">M16+N16+O16</f>
        <v>1183.5665909999998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129.26760000000002</v>
      </c>
      <c r="O17" s="119">
        <f t="shared" ref="O17:O24" si="6">(N17+M17)*$O$15</f>
        <v>3.0596130000000001</v>
      </c>
      <c r="P17" s="120">
        <f t="shared" si="1"/>
        <v>614.982213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2.9441954999999997</v>
      </c>
      <c r="P18" s="120">
        <f t="shared" si="1"/>
        <v>591.78329549999989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4603.7719999999999</v>
      </c>
      <c r="N25" s="142">
        <f>SUM(N16:N24)</f>
        <v>1067.8749399999999</v>
      </c>
      <c r="O25" s="143">
        <f>SUM(O16:O24)</f>
        <v>28.358234699999997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5004.1000000000004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400.32800000000003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4603.7719999999999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5671.6469399999996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28.358234699999997</v>
      </c>
    </row>
    <row r="35" spans="2:16" ht="15.75" customHeight="1" thickBot="1" x14ac:dyDescent="0.4">
      <c r="N35" s="220" t="s">
        <v>92</v>
      </c>
      <c r="O35" s="221"/>
      <c r="P35" s="160">
        <f>P33+P34</f>
        <v>5700.0051746999998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114</v>
      </c>
      <c r="B6" s="202"/>
      <c r="C6" s="202"/>
      <c r="F6" s="70"/>
      <c r="G6" s="74"/>
      <c r="K6" s="202" t="s">
        <v>52</v>
      </c>
      <c r="L6" s="202"/>
      <c r="M6" s="202"/>
      <c r="N6" s="204" t="s">
        <v>98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117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447.81990000000002</v>
      </c>
      <c r="O18" s="119">
        <f t="shared" si="6"/>
        <v>11.8921995</v>
      </c>
      <c r="P18" s="120">
        <f t="shared" si="1"/>
        <v>2390.3320994999999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100</v>
      </c>
      <c r="I25" s="137">
        <f t="shared" si="9"/>
        <v>5246.25</v>
      </c>
      <c r="J25" s="138"/>
      <c r="K25" s="139">
        <f t="shared" si="9"/>
        <v>0</v>
      </c>
      <c r="L25" s="140">
        <f t="shared" si="9"/>
        <v>419.7</v>
      </c>
      <c r="M25" s="141">
        <f t="shared" si="9"/>
        <v>4826.5499999999993</v>
      </c>
      <c r="N25" s="142">
        <f>SUM(N16:N24)</f>
        <v>1119.5497500000001</v>
      </c>
      <c r="O25" s="143">
        <f>SUM(O16:O24)</f>
        <v>29.730498749999999</v>
      </c>
      <c r="P25" s="144">
        <f>SUM(P16:P24)</f>
        <v>5975.8302487500005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5246.25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419.7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4826.55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1119.5497500000001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5946.0997500000003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29.730498750000002</v>
      </c>
    </row>
    <row r="35" spans="2:16" ht="15.75" customHeight="1" thickBot="1" x14ac:dyDescent="0.4">
      <c r="N35" s="220" t="s">
        <v>92</v>
      </c>
      <c r="O35" s="221"/>
      <c r="P35" s="160">
        <f>P33+P34</f>
        <v>5975.8302487500005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abSelected="1" workbookViewId="0">
      <selection activeCell="I3" sqref="I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118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109</v>
      </c>
      <c r="B6" s="202"/>
      <c r="C6" s="202"/>
      <c r="F6" s="70"/>
      <c r="G6" s="74"/>
      <c r="K6" s="202" t="s">
        <v>52</v>
      </c>
      <c r="L6" s="202"/>
      <c r="M6" s="202"/>
      <c r="N6" s="204" t="s">
        <v>98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841315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251.82</v>
      </c>
      <c r="M18" s="118">
        <f t="shared" si="5"/>
        <v>1846.68</v>
      </c>
      <c r="N18" s="118">
        <f t="shared" si="0"/>
        <v>351.28890000000001</v>
      </c>
      <c r="O18" s="119">
        <f t="shared" si="6"/>
        <v>10.9898445</v>
      </c>
      <c r="P18" s="120">
        <f t="shared" si="1"/>
        <v>2208.9587444999997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348.67199999999997</v>
      </c>
      <c r="M20" s="118">
        <f t="shared" si="5"/>
        <v>2556.9279999999999</v>
      </c>
      <c r="N20" s="118">
        <f t="shared" si="0"/>
        <v>486.39743999999996</v>
      </c>
      <c r="O20" s="119">
        <f t="shared" si="6"/>
        <v>15.216627199999998</v>
      </c>
      <c r="P20" s="120">
        <f t="shared" si="1"/>
        <v>3058.5420671999996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348.67199999999997</v>
      </c>
      <c r="M21" s="118">
        <f t="shared" si="5"/>
        <v>2556.9279999999999</v>
      </c>
      <c r="N21" s="118">
        <f t="shared" si="0"/>
        <v>486.39743999999996</v>
      </c>
      <c r="O21" s="119">
        <f t="shared" si="6"/>
        <v>15.216627199999998</v>
      </c>
      <c r="P21" s="120">
        <f t="shared" si="1"/>
        <v>3058.5420671999996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</v>
      </c>
      <c r="I25" s="137">
        <f t="shared" si="9"/>
        <v>9478.9000000000015</v>
      </c>
      <c r="J25" s="138"/>
      <c r="K25" s="139">
        <f t="shared" si="9"/>
        <v>54.922000000000011</v>
      </c>
      <c r="L25" s="140">
        <f t="shared" si="9"/>
        <v>1027.624</v>
      </c>
      <c r="M25" s="141">
        <f t="shared" si="9"/>
        <v>8396.3539999999994</v>
      </c>
      <c r="N25" s="142">
        <f>SUM(N16:N24)</f>
        <v>1582.5310199999999</v>
      </c>
      <c r="O25" s="143">
        <f>SUM(O16:O24)</f>
        <v>49.894425099999999</v>
      </c>
      <c r="P25" s="144">
        <f>SUM(P16:P24)</f>
        <v>10028.779445100001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9478.9000000000015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1027.624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54.922000000000011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8396.3540000000012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1582.5310199999999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9978.8850200000015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49.894425100000007</v>
      </c>
    </row>
    <row r="35" spans="2:16" ht="15.75" customHeight="1" thickBot="1" x14ac:dyDescent="0.4">
      <c r="N35" s="220" t="s">
        <v>92</v>
      </c>
      <c r="O35" s="221"/>
      <c r="P35" s="160">
        <f>P33+P34</f>
        <v>10028.779445100001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E5" sqref="E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2026-06-22T09:22:17Z</dcterms:modified>
</cp:coreProperties>
</file>