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1D581D3E-7E6E-40F0-A1A5-0D6AA771D6D8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P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P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M18" i="15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<sst xmlns="http://schemas.openxmlformats.org/spreadsheetml/2006/main" count="1583" uniqueCount="123">
  <si>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</si>
  <si>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</si>
  <si>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</si>
  <si>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</si>
  <si>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</si>
  <si>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</si>
  <si>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</si>
  <si>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</si>
  <si>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</si>
  <si>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</si>
  <si>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</si>
  <si>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</si>
  <si>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</si>
  <si>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</si>
  <si>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</si>
  <si>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</si>
  <si>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</si>
  <si>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</si>
  <si>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</si>
  <si>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</si>
  <si>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</si>
  <si>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</si>
  <si>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</si>
  <si>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</si>
  <si>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</si>
  <si>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</si>
  <si>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</si>
  <si>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</si>
  <si>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</si>
  <si>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</si>
  <si>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</si>
  <si>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</si>
  <si>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</si>
  <si>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</si>
  <si>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</si>
  <si>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</si>
  <si>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</si>
  <si>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</si>
  <si>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</si>
  <si>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</si>
  <si>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</si>
  <si>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</si>
  <si>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</si>
  <si>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</si>
  <si>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</si>
  <si>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</si>
  <si>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</si>
  <si>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</si>
  <si>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</si>
  <si>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</si>
  <si>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</si>
  <si>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</si>
  <si>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</si>
  <si>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</si>
  <si>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</si>
  <si>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</si>
  <si>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</si>
  <si>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</si>
  <si>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</si>
  <si>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</si>
  <si>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</si>
  <si>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</si>
  <si>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</si>
  <si>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</si>
  <si>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</si>
  <si>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</si>
  <si>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</si>
  <si>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</si>
  <si>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</si>
  <si>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</si>
  <si>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</si>
  <si>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</si>
  <si>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</si>
  <si>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</si>
  <si>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</si>
  <si>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</si>
  <si>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</si>
  <si>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</si>
  <si>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</si>
  <si>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</si>
  <si>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</si>
  <si>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</si>
  <si>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</si>
  <si>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</si>
  <si>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</si>
  <si>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</si>
  <si>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</si>
  <si>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</si>
  <si>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</si>
  <si>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</si>
  <si>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</si>
  <si>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</si>
  <si>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</si>
  <si>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</si>
  <si>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</si>
  <si>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</si>
  <si>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</si>
  <si>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</si>
  <si>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</si>
  <si>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</si>
  <si>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</si>
  <si>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</si>
  <si>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</si>
  <si>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</si>
  <si>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Shop Bill Summary (Furqan)</t>
  </si>
  <si>
    <t xml:space="preserve">Furqan </t>
  </si>
  <si>
    <t>Customer Name : Barkat Store</t>
  </si>
  <si>
    <t>Address: Near Rehman Store</t>
  </si>
  <si>
    <t>Customer Name : Arif Store</t>
  </si>
  <si>
    <t xml:space="preserve">Address: Gawal Mandi </t>
  </si>
  <si>
    <t>Customer Name : Mehboob Store</t>
  </si>
  <si>
    <t>Customer Name : Mairaj din Bakers</t>
  </si>
  <si>
    <t>Address: Nisbat Road</t>
  </si>
  <si>
    <t>1446856-7</t>
  </si>
  <si>
    <t>Customer Name : ASB Super store</t>
  </si>
  <si>
    <t>Address: Rabbani Road</t>
  </si>
  <si>
    <t>2506537-8</t>
  </si>
  <si>
    <t>Customer Name : Zeenat Store</t>
  </si>
  <si>
    <t>Address: Rabani Road</t>
  </si>
  <si>
    <t>C257014-1</t>
  </si>
  <si>
    <t>Customer Name : Chaudary General Store</t>
  </si>
  <si>
    <t xml:space="preserve">Address: Main Anarkali </t>
  </si>
  <si>
    <t>792884-8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</si>
</sst>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10" zoomScale="70" zoomScaleNormal="70" workbookViewId="0">
      <selection activeCell="T34" sqref="T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105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104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Barkat Store</v>
      </c>
      <c r="U14" s="164">
        <f>+'1'!P35</f>
        <v>5700.0051746999998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Arif Store</v>
      </c>
      <c r="U15" s="164">
        <f>+'2'!P35</f>
        <v>3309.6730752000003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31</v>
      </c>
      <c r="I16" s="1">
        <f>(G16*D16)*F16+H16*F16</f>
        <v>1626.3374999999999</v>
      </c>
      <c r="J16" s="172">
        <f>+'1'!J16+'2'!J16+'4'!J16+'3'!J16+'5'!J16+'6'!J16+'7'!J16+'8'!J16+'9'!J16+'10'!J16+'11'!J16+'12'!J16+'13'!J16+'14'!J16+'15'!J16+'16'!J16+'17'!J16+'18'!J16</f>
        <v>3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130.107</v>
      </c>
      <c r="M16" s="106">
        <f>I16-K16-L16</f>
        <v>1496.2304999999999</v>
      </c>
      <c r="N16" s="101">
        <f>+'1'!N16+'2'!N16+'4'!N16+'3'!N16+'5'!N16+'6'!N16+'7'!N16+'8'!N16+'9'!N16+'10'!N16</f>
        <v>363.79595999999998</v>
      </c>
      <c r="O16" s="101">
        <f>+'1'!O16+'2'!O16+'4'!O16+'3'!O16+'5'!O16+'6'!O16+'7'!O16+'8'!O16+'9'!O16+'10'!O16</f>
        <v>9.3001323000000014</v>
      </c>
      <c r="P16" s="105">
        <f t="shared" ref="P16:P24" si="0">M16+N16+O16</f>
        <v>1869.3265922999999</v>
      </c>
      <c r="Q16" s="108"/>
      <c r="T16" s="163" t="str">
        <f>+'4'!A5</f>
        <v>Customer Name : Mairaj din Bakers</v>
      </c>
      <c r="U16" s="164">
        <f>+'4'!P35</f>
        <v>1593.3468668400001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26</v>
      </c>
      <c r="I17" s="1">
        <f t="shared" ref="I17:I23" si="1">(G17*D17)*F17+H17*F17</f>
        <v>1364.0249999999999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109.122</v>
      </c>
      <c r="M17" s="118">
        <f t="shared" ref="M17:M23" si="2">I17-K17-L17</f>
        <v>1254.9029999999998</v>
      </c>
      <c r="N17" s="101">
        <f>+'1'!N17+'2'!N17+'4'!N17+'3'!N17+'5'!N17+'6'!N17+'7'!N17+'8'!N17+'9'!N17+'10'!N17</f>
        <v>276.07866000000001</v>
      </c>
      <c r="O17" s="101">
        <f>+'1'!O17+'2'!O17+'4'!O17+'3'!O17+'5'!O17+'6'!O17+'7'!O17+'8'!O17+'9'!O17+'10'!O17</f>
        <v>7.6549082999999989</v>
      </c>
      <c r="P17" s="120">
        <f t="shared" si="0"/>
        <v>1538.6365682999999</v>
      </c>
      <c r="S17" s="64"/>
      <c r="T17" s="163" t="str">
        <f>+'3'!A5</f>
        <v>Customer Name : Mehboob Store</v>
      </c>
      <c r="U17" s="164">
        <f>+'3'!P35</f>
        <v>3309.6730752000003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31</v>
      </c>
      <c r="I18" s="1">
        <f t="shared" si="1"/>
        <v>1626.3374999999999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130.107</v>
      </c>
      <c r="M18" s="118">
        <f t="shared" si="2"/>
        <v>1496.2304999999999</v>
      </c>
      <c r="N18" s="101">
        <f>+'1'!N18+'2'!N18+'4'!N18+'3'!N18+'5'!N18+'6'!N18+'7'!N18+'8'!N18+'9'!N18+'10'!N18</f>
        <v>329.17070999999999</v>
      </c>
      <c r="O18" s="101">
        <f>+'1'!O18+'2'!O18+'4'!O18+'3'!O18+'5'!O18+'6'!O18+'7'!O18+'8'!O18+'9'!O18+'10'!O18</f>
        <v>9.1270060499999985</v>
      </c>
      <c r="P18" s="120">
        <f t="shared" si="0"/>
        <v>1834.5282160500001</v>
      </c>
      <c r="T18" s="163" t="str">
        <f>+'5'!A5</f>
        <v>Customer Name : ASB Super store</v>
      </c>
      <c r="U18" s="164">
        <f>+'5'!P35</f>
        <v>6619.3461504000006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150</v>
      </c>
      <c r="I19" s="1">
        <f t="shared" si="1"/>
        <v>10896</v>
      </c>
      <c r="J19" s="172">
        <f>+'1'!J19+'2'!J19+'4'!J19+'3'!J19+'5'!J19+'6'!J19+'7'!J19+'8'!J19+'9'!J19+'10'!J19+'11'!J19+'12'!J19+'13'!J19+'14'!J19+'15'!J19+'16'!J19+'17'!J19+'18'!J19</f>
        <v>6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871.68000000000006</v>
      </c>
      <c r="M19" s="118">
        <f t="shared" si="2"/>
        <v>10024.32</v>
      </c>
      <c r="N19" s="101">
        <f>+'1'!N19+'2'!N19+'4'!N19+'3'!N19+'5'!N19+'6'!N19+'7'!N19+'8'!N19+'9'!N19+'10'!N19</f>
        <v>2301.2352000000001</v>
      </c>
      <c r="O19" s="101">
        <f>+'1'!O19+'2'!O19+'4'!O19+'3'!O19+'5'!O19+'6'!O19+'7'!O19+'8'!O19+'9'!O19+'10'!O19</f>
        <v>61.627776000000004</v>
      </c>
      <c r="P19" s="120">
        <f t="shared" si="0"/>
        <v>12387.182975999998</v>
      </c>
      <c r="T19" s="163" t="str">
        <f>+'6'!A5</f>
        <v>Customer Name : Zeenat Store</v>
      </c>
      <c r="U19" s="164">
        <f>+'6'!P35</f>
        <v>5536.7365329000004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70</v>
      </c>
      <c r="I20" s="1">
        <f t="shared" si="1"/>
        <v>5084.8</v>
      </c>
      <c r="J20" s="172">
        <f>+'1'!J20+'2'!J20+'4'!J20+'3'!J20+'5'!J20+'6'!J20+'7'!J20+'8'!J20+'9'!J20+'10'!J20+'11'!J20+'12'!J20+'13'!J20+'14'!J20+'15'!J20+'16'!J20+'17'!J20+'18'!J20</f>
        <v>7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406.78399999999999</v>
      </c>
      <c r="M20" s="118">
        <f t="shared" si="2"/>
        <v>4678.0160000000005</v>
      </c>
      <c r="N20" s="101">
        <f>+'1'!N20+'2'!N20+'4'!N20+'3'!N20+'5'!N20+'6'!N20+'7'!N20+'8'!N20+'9'!N20+'10'!N20</f>
        <v>1141.0291199999999</v>
      </c>
      <c r="O20" s="101">
        <f>+'1'!O20+'2'!O20+'4'!O20+'3'!O20+'5'!O20+'6'!O20+'7'!O20+'8'!O20+'9'!O20+'10'!O20</f>
        <v>29.095225599999999</v>
      </c>
      <c r="P20" s="120">
        <f t="shared" si="0"/>
        <v>5848.1403456000007</v>
      </c>
      <c r="T20" s="163" t="str">
        <f>+'7'!A5</f>
        <v>Customer Name : Chaudary General Store</v>
      </c>
      <c r="U20" s="164">
        <f>+'7'!P35</f>
        <v>9929.0192255999991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140</v>
      </c>
      <c r="I21" s="1">
        <f t="shared" si="1"/>
        <v>10169.6</v>
      </c>
      <c r="J21" s="172">
        <f>+'1'!J21+'2'!J21+'4'!J21+'3'!J21+'5'!J21+'6'!J21+'7'!J21+'8'!J21+'9'!J21+'10'!J21+'11'!J21+'12'!J21+'13'!J21+'14'!J21+'15'!J21+'16'!J21+'17'!J21+'18'!J21</f>
        <v>5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813.56799999999998</v>
      </c>
      <c r="M21" s="118">
        <f t="shared" si="2"/>
        <v>9356.0320000000011</v>
      </c>
      <c r="N21" s="101">
        <f>+'1'!N21+'2'!N21+'4'!N21+'3'!N21+'5'!N21+'6'!N21+'7'!N21+'8'!N21+'9'!N21+'10'!N21</f>
        <v>2138.2310399999997</v>
      </c>
      <c r="O21" s="101">
        <f>+'1'!O21+'2'!O21+'4'!O21+'3'!O21+'5'!O21+'6'!O21+'7'!O21+'8'!O21+'9'!O21+'10'!O21</f>
        <v>57.471315199999999</v>
      </c>
      <c r="P21" s="120">
        <f t="shared" si="0"/>
        <v>11551.734355200002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22</v>
      </c>
      <c r="I22" s="1">
        <f t="shared" si="1"/>
        <v>863.06000000000006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30.207100000000008</v>
      </c>
      <c r="L22" s="175">
        <f>+'1'!L22+'2'!L22+'4'!L22+'3'!L22+'5'!L22+'6'!L22+'7'!L22+'8'!L22+'9'!L22+'10'!L22</f>
        <v>43.153000000000006</v>
      </c>
      <c r="M22" s="118">
        <f t="shared" si="2"/>
        <v>789.69990000000007</v>
      </c>
      <c r="N22" s="101">
        <f>+'1'!N22+'2'!N22+'4'!N22+'3'!N22+'5'!N22+'6'!N22+'7'!N22+'8'!N22+'9'!N22+'10'!N22</f>
        <v>173.73397800000001</v>
      </c>
      <c r="O22" s="101">
        <f>+'1'!O22+'2'!O22+'4'!O22+'3'!O22+'5'!O22+'6'!O22+'7'!O22+'8'!O22+'9'!O22+'10'!O22</f>
        <v>4.8171693900000001</v>
      </c>
      <c r="P22" s="120">
        <f t="shared" si="0"/>
        <v>968.25104739000005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11.75</v>
      </c>
      <c r="D25" s="221"/>
      <c r="E25" s="221"/>
      <c r="F25" s="221"/>
      <c r="G25" s="176">
        <f t="shared" ref="G25:M25" si="3">SUM(G16:G24)</f>
        <v>0</v>
      </c>
      <c r="H25" s="177">
        <f t="shared" si="3"/>
        <v>470</v>
      </c>
      <c r="I25" s="178">
        <f t="shared" si="3"/>
        <v>31630.16</v>
      </c>
      <c r="J25" s="177">
        <f t="shared" si="3"/>
        <v>21</v>
      </c>
      <c r="K25" s="178">
        <f t="shared" si="3"/>
        <v>30.207100000000008</v>
      </c>
      <c r="L25" s="179">
        <f t="shared" si="3"/>
        <v>2504.5210000000002</v>
      </c>
      <c r="M25" s="141">
        <f t="shared" si="3"/>
        <v>29095.431900000003</v>
      </c>
      <c r="N25" s="142">
        <f>SUM(N16:N24)</f>
        <v>6723.274668</v>
      </c>
      <c r="O25" s="143">
        <f>SUM(O16:O24)</f>
        <v>179.09353283999999</v>
      </c>
      <c r="P25" s="144">
        <f>SUM(P16:P24)</f>
        <v>35997.800100839995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35997.800100840002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31630.16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2504.5210000000002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30.207100000000008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29095.4319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6723.274668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35818.706568000001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895.46766420000006</v>
      </c>
    </row>
    <row r="39" spans="2:16" ht="15.75" customHeight="1" thickBot="1" x14ac:dyDescent="0.4">
      <c r="N39" s="219" t="s">
        <v>92</v>
      </c>
      <c r="O39" s="220"/>
      <c r="P39" s="160">
        <f>P37+P38</f>
        <v>36714.174232199999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9" workbookViewId="0">
      <selection activeCell="B28" sqref="B28:L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3520114212677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>
        <v>2</v>
      </c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182.35964999999999</v>
      </c>
      <c r="O16" s="107">
        <f t="shared" ref="O16:O24" si="1">(N16+M16)*$O$15</f>
        <v>4.5317107500000002</v>
      </c>
      <c r="P16" s="105">
        <f t="shared" ref="P16:P24" si="2">M16+N16+O16</f>
        <v>910.87386074999995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3">(G17*D17)*F17+H17*F17</f>
        <v>524.625</v>
      </c>
      <c r="J17" s="117"/>
      <c r="K17" s="1">
        <f t="shared" ref="K17:K21" si="4">I17*$K$13</f>
        <v>0</v>
      </c>
      <c r="L17" s="105">
        <f t="shared" ref="L17:L21" si="5">I17*8%</f>
        <v>41.97</v>
      </c>
      <c r="M17" s="118">
        <f t="shared" ref="M17:M23" si="6">I17-K17-L17</f>
        <v>482.65499999999997</v>
      </c>
      <c r="N17" s="118">
        <f t="shared" si="0"/>
        <v>106.1841</v>
      </c>
      <c r="O17" s="119">
        <f t="shared" si="1"/>
        <v>2.9441954999999997</v>
      </c>
      <c r="P17" s="120">
        <f t="shared" si="2"/>
        <v>591.78329549999989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3"/>
        <v>786.9375</v>
      </c>
      <c r="J18" s="117"/>
      <c r="K18" s="1">
        <f t="shared" si="4"/>
        <v>0</v>
      </c>
      <c r="L18" s="105">
        <f t="shared" si="5"/>
        <v>62.954999999999998</v>
      </c>
      <c r="M18" s="118">
        <f t="shared" si="6"/>
        <v>723.98249999999996</v>
      </c>
      <c r="N18" s="118">
        <f t="shared" si="0"/>
        <v>159.27615</v>
      </c>
      <c r="O18" s="119">
        <f t="shared" si="1"/>
        <v>4.4162932499999998</v>
      </c>
      <c r="P18" s="120">
        <f t="shared" si="2"/>
        <v>887.67494324999996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3"/>
        <v>1089.5999999999999</v>
      </c>
      <c r="J19" s="117"/>
      <c r="K19" s="1">
        <f t="shared" si="4"/>
        <v>0</v>
      </c>
      <c r="L19" s="105">
        <f t="shared" si="5"/>
        <v>87.167999999999992</v>
      </c>
      <c r="M19" s="118">
        <f t="shared" si="6"/>
        <v>1002.4319999999999</v>
      </c>
      <c r="N19" s="118">
        <f t="shared" si="0"/>
        <v>220.53503999999998</v>
      </c>
      <c r="O19" s="119">
        <f t="shared" si="1"/>
        <v>6.1148351999999999</v>
      </c>
      <c r="P19" s="120">
        <f t="shared" si="2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3"/>
        <v>726.4</v>
      </c>
      <c r="J20" s="117">
        <v>2</v>
      </c>
      <c r="K20" s="1">
        <f t="shared" si="4"/>
        <v>0</v>
      </c>
      <c r="L20" s="105">
        <f t="shared" si="5"/>
        <v>58.112000000000002</v>
      </c>
      <c r="M20" s="118">
        <f t="shared" si="6"/>
        <v>668.28800000000001</v>
      </c>
      <c r="N20" s="118">
        <f t="shared" si="0"/>
        <v>178.98496</v>
      </c>
      <c r="O20" s="119">
        <f t="shared" si="1"/>
        <v>4.2363648000000005</v>
      </c>
      <c r="P20" s="120">
        <f t="shared" si="2"/>
        <v>851.50932480000006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3"/>
        <v>1089.5999999999999</v>
      </c>
      <c r="J21" s="117"/>
      <c r="K21" s="1">
        <f t="shared" si="4"/>
        <v>0</v>
      </c>
      <c r="L21" s="105">
        <f t="shared" si="5"/>
        <v>87.167999999999992</v>
      </c>
      <c r="M21" s="118">
        <f t="shared" si="6"/>
        <v>1002.4319999999999</v>
      </c>
      <c r="N21" s="118">
        <f t="shared" si="0"/>
        <v>220.53503999999998</v>
      </c>
      <c r="O21" s="119">
        <f t="shared" si="1"/>
        <v>6.1148351999999999</v>
      </c>
      <c r="P21" s="120">
        <f t="shared" si="2"/>
        <v>1229.0818752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80</v>
      </c>
      <c r="I25" s="137">
        <f t="shared" si="9"/>
        <v>5004.1000000000004</v>
      </c>
      <c r="J25" s="138"/>
      <c r="K25" s="139">
        <f t="shared" si="9"/>
        <v>0</v>
      </c>
      <c r="L25" s="140">
        <f t="shared" si="9"/>
        <v>400.32800000000003</v>
      </c>
      <c r="M25" s="141">
        <f t="shared" si="9"/>
        <v>4603.7719999999999</v>
      </c>
      <c r="N25" s="142">
        <f>SUM(N16:N24)</f>
        <v>1067.8749399999999</v>
      </c>
      <c r="O25" s="143">
        <f>SUM(O16:O24)</f>
        <v>28.358234699999997</v>
      </c>
      <c r="P25" s="144">
        <f>SUM(P16:P24)</f>
        <v>5700.0051746999998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5004.1000000000004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400.32800000000003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4603.7719999999999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1067.8749399999999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5671.6469399999996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28.358234699999997</v>
      </c>
    </row>
    <row r="35" spans="2:16" ht="15.75" customHeight="1" thickBot="1" x14ac:dyDescent="0.4">
      <c r="N35" s="219" t="s">
        <v>92</v>
      </c>
      <c r="O35" s="220"/>
      <c r="P35" s="160">
        <f>P33+P34</f>
        <v>5700.0051746999998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22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3520262710933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6.1148351999999999</v>
      </c>
      <c r="P19" s="120">
        <f t="shared" si="1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178.98496</v>
      </c>
      <c r="O20" s="119">
        <f t="shared" si="6"/>
        <v>4.2363648000000005</v>
      </c>
      <c r="P20" s="120">
        <f t="shared" si="1"/>
        <v>851.50932480000006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2905.6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232.44799999999998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2673.152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3293.2070400000002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19" t="s">
        <v>92</v>
      </c>
      <c r="O35" s="220"/>
      <c r="P35" s="160">
        <f>P33+P34</f>
        <v>3309.6730752000003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1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3277876196185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8.2330176000000002</v>
      </c>
      <c r="P19" s="120">
        <f t="shared" si="1"/>
        <v>1654.8365376000002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8.2330176000000002</v>
      </c>
      <c r="P21" s="120">
        <f t="shared" si="1"/>
        <v>1654.8365376000002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3309.6730752000003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2905.6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232.44800000000001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2673.152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3293.2070400000002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19" t="s">
        <v>92</v>
      </c>
      <c r="O35" s="220"/>
      <c r="P35" s="160">
        <f>P33+P34</f>
        <v>3309.6730752000003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9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112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113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I16*$K$13</f>
        <v>0</v>
      </c>
      <c r="L16" s="105">
        <f>I16*8%</f>
        <v>25.181999999999999</v>
      </c>
      <c r="M16" s="106">
        <f>I16-K16-L16</f>
        <v>289.59299999999996</v>
      </c>
      <c r="N16" s="106">
        <f t="shared" ref="N16:N24" si="0">(M16*$N$15)+(J16*F16)*$N$15</f>
        <v>63.710459999999991</v>
      </c>
      <c r="O16" s="107">
        <f>(N16+M16)*$O$15</f>
        <v>1.7665172999999998</v>
      </c>
      <c r="P16" s="105">
        <f t="shared" ref="P16:P24" si="1">M16+N16+O16</f>
        <v>355.06997729999995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">
        <f t="shared" ref="K17:K21" si="3">I17*$K$13</f>
        <v>0</v>
      </c>
      <c r="L17" s="105">
        <f t="shared" ref="L17:L21" si="4">I17*8%</f>
        <v>25.181999999999999</v>
      </c>
      <c r="M17" s="118">
        <f t="shared" ref="M17:M23" si="5">I17-K17-L17</f>
        <v>289.59299999999996</v>
      </c>
      <c r="N17" s="118">
        <f t="shared" si="0"/>
        <v>63.710459999999991</v>
      </c>
      <c r="O17" s="119">
        <f t="shared" ref="O17:O24" si="6">(N17+M17)*$O$15</f>
        <v>1.7665172999999998</v>
      </c>
      <c r="P17" s="120">
        <f t="shared" si="1"/>
        <v>355.06997729999995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6</v>
      </c>
      <c r="I18" s="116">
        <f t="shared" si="2"/>
        <v>314.77499999999998</v>
      </c>
      <c r="J18" s="117"/>
      <c r="K18" s="1">
        <f t="shared" si="3"/>
        <v>0</v>
      </c>
      <c r="L18" s="105">
        <f t="shared" si="4"/>
        <v>25.181999999999999</v>
      </c>
      <c r="M18" s="118">
        <f t="shared" si="5"/>
        <v>289.59299999999996</v>
      </c>
      <c r="N18" s="118">
        <f t="shared" si="0"/>
        <v>63.710459999999991</v>
      </c>
      <c r="O18" s="119">
        <f t="shared" si="6"/>
        <v>1.7665172999999998</v>
      </c>
      <c r="P18" s="120">
        <f t="shared" si="1"/>
        <v>355.06997729999995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2.6275469400000002</v>
      </c>
      <c r="P22" s="120">
        <f t="shared" si="1"/>
        <v>528.13693494000006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30</v>
      </c>
      <c r="I25" s="137">
        <f t="shared" si="9"/>
        <v>1415.085</v>
      </c>
      <c r="J25" s="138"/>
      <c r="K25" s="139">
        <f t="shared" si="9"/>
        <v>16.476600000000005</v>
      </c>
      <c r="L25" s="140">
        <f t="shared" si="9"/>
        <v>99.084000000000003</v>
      </c>
      <c r="M25" s="141">
        <f t="shared" si="9"/>
        <v>1299.5243999999998</v>
      </c>
      <c r="N25" s="142">
        <f>SUM(N16:N24)</f>
        <v>285.89536799999996</v>
      </c>
      <c r="O25" s="143">
        <f>SUM(O16:O24)</f>
        <v>7.9270988399999993</v>
      </c>
      <c r="P25" s="144">
        <f>SUM(P16:P24)</f>
        <v>1593.3468668400001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1415.085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99.084000000000003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16.476600000000005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1299.5244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285.89536799999996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1585.419768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7.9270988400000002</v>
      </c>
    </row>
    <row r="35" spans="2:16" ht="15.75" customHeight="1" thickBot="1" x14ac:dyDescent="0.4">
      <c r="N35" s="219" t="s">
        <v>92</v>
      </c>
      <c r="O35" s="220"/>
      <c r="P35" s="160">
        <f>P33+P34</f>
        <v>1593.3468668400001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22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115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116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16.4660352</v>
      </c>
      <c r="P19" s="120">
        <f t="shared" si="1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16.4660352</v>
      </c>
      <c r="P21" s="120">
        <f t="shared" si="1"/>
        <v>3309.6730752000003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0</v>
      </c>
      <c r="L25" s="140">
        <f t="shared" si="9"/>
        <v>464.89600000000002</v>
      </c>
      <c r="M25" s="141">
        <f t="shared" si="9"/>
        <v>5346.3040000000001</v>
      </c>
      <c r="N25" s="142">
        <f>SUM(N16:N24)</f>
        <v>1240.1100799999999</v>
      </c>
      <c r="O25" s="143">
        <f>SUM(O16:O24)</f>
        <v>32.932070400000001</v>
      </c>
      <c r="P25" s="144">
        <f>SUM(P16:P24)</f>
        <v>6619.3461504000006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5811.2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464.89600000000002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5346.3040000000001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1240.1100799999999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6586.4140800000005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32.932070400000001</v>
      </c>
    </row>
    <row r="35" spans="2:16" ht="15.75" customHeight="1" thickBot="1" x14ac:dyDescent="0.4">
      <c r="N35" s="219" t="s">
        <v>92</v>
      </c>
      <c r="O35" s="220"/>
      <c r="P35" s="160">
        <f>P33+P34</f>
        <v>6619.3461504000006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21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118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119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>
        <v>1</v>
      </c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117.72585000000001</v>
      </c>
      <c r="O16" s="107">
        <f>(N16+M16)*$O$15</f>
        <v>3.0019042499999999</v>
      </c>
      <c r="P16" s="105">
        <f t="shared" ref="P16:P24" si="1">M16+N16+O16</f>
        <v>603.38275425000006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106.1841</v>
      </c>
      <c r="O17" s="119">
        <f t="shared" ref="O17:O24" si="6">(N17+M17)*$O$15</f>
        <v>2.9441954999999997</v>
      </c>
      <c r="P17" s="120">
        <f t="shared" si="1"/>
        <v>591.78329549999989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10</v>
      </c>
      <c r="I18" s="116">
        <f t="shared" si="2"/>
        <v>524.625</v>
      </c>
      <c r="J18" s="117"/>
      <c r="K18" s="1">
        <f t="shared" si="3"/>
        <v>0</v>
      </c>
      <c r="L18" s="105">
        <f t="shared" si="4"/>
        <v>41.97</v>
      </c>
      <c r="M18" s="118">
        <f t="shared" si="5"/>
        <v>482.65499999999997</v>
      </c>
      <c r="N18" s="118">
        <f t="shared" si="0"/>
        <v>106.1841</v>
      </c>
      <c r="O18" s="119">
        <f t="shared" si="6"/>
        <v>2.9441954999999997</v>
      </c>
      <c r="P18" s="120">
        <f t="shared" si="1"/>
        <v>591.78329549999989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8.2330176000000002</v>
      </c>
      <c r="P19" s="120">
        <f t="shared" si="1"/>
        <v>1654.8365376000002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4.1564607999999996</v>
      </c>
      <c r="P20" s="120">
        <f t="shared" si="1"/>
        <v>835.44862079999996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4.0765568000000005</v>
      </c>
      <c r="P21" s="120">
        <f t="shared" si="1"/>
        <v>819.38791680000008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2.1896224500000003</v>
      </c>
      <c r="P22" s="120">
        <f t="shared" si="1"/>
        <v>440.11411245000005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80</v>
      </c>
      <c r="I25" s="137">
        <f t="shared" si="9"/>
        <v>4871.7750000000005</v>
      </c>
      <c r="J25" s="138"/>
      <c r="K25" s="139">
        <f t="shared" si="9"/>
        <v>13.730500000000003</v>
      </c>
      <c r="L25" s="140">
        <f t="shared" si="9"/>
        <v>377.97300000000007</v>
      </c>
      <c r="M25" s="141">
        <f t="shared" si="9"/>
        <v>4480.0715</v>
      </c>
      <c r="N25" s="142">
        <f>SUM(N16:N24)</f>
        <v>1029.1190799999999</v>
      </c>
      <c r="O25" s="143">
        <f>SUM(O16:O24)</f>
        <v>27.545952899999996</v>
      </c>
      <c r="P25" s="144">
        <f>SUM(P16:P24)</f>
        <v>5536.7365329000004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4871.7750000000005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377.97300000000007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4480.0715000000009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1029.1190799999999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5509.1905800000004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27.545952900000003</v>
      </c>
    </row>
    <row r="35" spans="2:16" ht="15.75" customHeight="1" thickBot="1" x14ac:dyDescent="0.4">
      <c r="N35" s="219" t="s">
        <v>92</v>
      </c>
      <c r="O35" s="220"/>
      <c r="P35" s="160">
        <f>P33+P34</f>
        <v>5536.7365329000004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1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121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122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16.4660352</v>
      </c>
      <c r="P19" s="120">
        <f t="shared" si="1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16.4660352</v>
      </c>
      <c r="P20" s="120">
        <f t="shared" si="1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16.4660352</v>
      </c>
      <c r="P21" s="120">
        <f t="shared" si="1"/>
        <v>3309.6730752000003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0</v>
      </c>
      <c r="L25" s="140">
        <f t="shared" si="9"/>
        <v>697.34400000000005</v>
      </c>
      <c r="M25" s="141">
        <f t="shared" si="9"/>
        <v>8019.4560000000001</v>
      </c>
      <c r="N25" s="142">
        <f>SUM(N16:N24)</f>
        <v>1860.1651199999999</v>
      </c>
      <c r="O25" s="143">
        <f>SUM(O16:O24)</f>
        <v>49.398105600000001</v>
      </c>
      <c r="P25" s="144">
        <f>SUM(P16:P24)</f>
        <v>9929.0192256000009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8716.7999999999993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697.34400000000005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8019.4559999999992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1860.1651199999999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9879.6211199999998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49.398105600000001</v>
      </c>
    </row>
    <row r="35" spans="2:16" ht="15.75" customHeight="1" thickBot="1" x14ac:dyDescent="0.4">
      <c r="N35" s="219" t="s">
        <v>92</v>
      </c>
      <c r="O35" s="220"/>
      <c r="P35" s="160">
        <f>P33+P34</f>
        <v>9929.0192255999991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1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2026-06-22T08:12:55Z</dcterms:modified>
</cp:coreProperties>
</file>