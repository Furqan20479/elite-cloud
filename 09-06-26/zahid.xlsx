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E60888EE-6A81-4191-A1C4-A8D3F5D51BDA}" xr6:coauthVersionLast="47" xr6:coauthVersionMax="47" xr10:uidLastSave="{00000000-0000-0000-0000-000000000000}"/>
  <bookViews>
    <workbookView xWindow="-110" yWindow="-110" windowWidth="19420" windowHeight="10420" tabRatio="949" activeTab="5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  <sheet name="Sheet1" sheetId="36" r:id="rId24"/>
  </sheets>
  <externalReferences>
    <externalReference r:id="rId25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24" l="1"/>
  <c r="L18" i="24"/>
  <c r="L19" i="24"/>
  <c r="L20" i="24"/>
  <c r="L21" i="24"/>
  <c r="L22" i="24"/>
  <c r="L23" i="24"/>
  <c r="L24" i="24"/>
  <c r="L16" i="24" l="1"/>
  <c r="I37" i="36"/>
  <c r="E37" i="36"/>
  <c r="L34" i="36"/>
  <c r="L37" i="36" s="1"/>
  <c r="K34" i="36"/>
  <c r="K37" i="36" s="1"/>
  <c r="J34" i="36"/>
  <c r="J37" i="36" s="1"/>
  <c r="I34" i="36"/>
  <c r="H34" i="36"/>
  <c r="H37" i="36" s="1"/>
  <c r="G34" i="36"/>
  <c r="G37" i="36" s="1"/>
  <c r="F34" i="36"/>
  <c r="F37" i="36" s="1"/>
  <c r="E34" i="36"/>
  <c r="D34" i="36"/>
  <c r="D37" i="36" s="1"/>
  <c r="O34" i="35" l="1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I24" i="34" s="1"/>
  <c r="B24" i="34"/>
  <c r="C24" i="34" s="1"/>
  <c r="F23" i="34"/>
  <c r="E23" i="34"/>
  <c r="D23" i="34"/>
  <c r="I23" i="34" s="1"/>
  <c r="B23" i="34"/>
  <c r="C23" i="34" s="1"/>
  <c r="F22" i="34"/>
  <c r="E22" i="34"/>
  <c r="D22" i="34"/>
  <c r="I22" i="34" s="1"/>
  <c r="B22" i="34"/>
  <c r="C22" i="34" s="1"/>
  <c r="F21" i="34"/>
  <c r="E21" i="34"/>
  <c r="D21" i="34"/>
  <c r="I21" i="34" s="1"/>
  <c r="B21" i="34"/>
  <c r="C21" i="34" s="1"/>
  <c r="F20" i="34"/>
  <c r="E20" i="34"/>
  <c r="D20" i="34"/>
  <c r="I20" i="34" s="1"/>
  <c r="B20" i="34"/>
  <c r="C20" i="34" s="1"/>
  <c r="F19" i="34"/>
  <c r="E19" i="34"/>
  <c r="D19" i="34"/>
  <c r="I19" i="34" s="1"/>
  <c r="B19" i="34"/>
  <c r="C19" i="34" s="1"/>
  <c r="F18" i="34"/>
  <c r="E18" i="34"/>
  <c r="D18" i="34"/>
  <c r="I18" i="34" s="1"/>
  <c r="B18" i="34"/>
  <c r="C18" i="34" s="1"/>
  <c r="F17" i="34"/>
  <c r="E17" i="34"/>
  <c r="D17" i="34"/>
  <c r="I17" i="34" s="1"/>
  <c r="B17" i="34"/>
  <c r="C17" i="34" s="1"/>
  <c r="F16" i="34"/>
  <c r="E16" i="34"/>
  <c r="D16" i="34"/>
  <c r="I16" i="34" s="1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C24" i="33"/>
  <c r="B24" i="33"/>
  <c r="F23" i="33"/>
  <c r="E23" i="33"/>
  <c r="D23" i="33"/>
  <c r="I23" i="33" s="1"/>
  <c r="C23" i="33"/>
  <c r="B23" i="33"/>
  <c r="F22" i="33"/>
  <c r="E22" i="33"/>
  <c r="D22" i="33"/>
  <c r="I22" i="33" s="1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C20" i="33"/>
  <c r="B20" i="33"/>
  <c r="F19" i="33"/>
  <c r="E19" i="33"/>
  <c r="D19" i="33"/>
  <c r="I19" i="33" s="1"/>
  <c r="C19" i="33"/>
  <c r="B19" i="33"/>
  <c r="L18" i="33"/>
  <c r="I18" i="33"/>
  <c r="K18" i="33" s="1"/>
  <c r="F18" i="33"/>
  <c r="E18" i="33"/>
  <c r="D18" i="33"/>
  <c r="C18" i="33"/>
  <c r="B18" i="33"/>
  <c r="L17" i="33"/>
  <c r="I17" i="33"/>
  <c r="K17" i="33" s="1"/>
  <c r="F17" i="33"/>
  <c r="E17" i="33"/>
  <c r="D17" i="33"/>
  <c r="C17" i="33"/>
  <c r="B17" i="33"/>
  <c r="L16" i="33"/>
  <c r="I16" i="33"/>
  <c r="I25" i="33" s="1"/>
  <c r="P28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I24" i="32" s="1"/>
  <c r="C24" i="32"/>
  <c r="B24" i="32"/>
  <c r="F23" i="32"/>
  <c r="E23" i="32"/>
  <c r="D23" i="32"/>
  <c r="I23" i="32" s="1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I24" i="31" s="1"/>
  <c r="B24" i="31"/>
  <c r="C24" i="31" s="1"/>
  <c r="F23" i="31"/>
  <c r="E23" i="31"/>
  <c r="D23" i="31"/>
  <c r="I23" i="31" s="1"/>
  <c r="B23" i="31"/>
  <c r="C23" i="31" s="1"/>
  <c r="F22" i="31"/>
  <c r="E22" i="31"/>
  <c r="D22" i="31"/>
  <c r="I22" i="31" s="1"/>
  <c r="B22" i="31"/>
  <c r="C22" i="31" s="1"/>
  <c r="F21" i="31"/>
  <c r="E21" i="31"/>
  <c r="D21" i="31"/>
  <c r="I21" i="31" s="1"/>
  <c r="B21" i="31"/>
  <c r="C21" i="31" s="1"/>
  <c r="F20" i="31"/>
  <c r="E20" i="31"/>
  <c r="D20" i="31"/>
  <c r="I20" i="31" s="1"/>
  <c r="B20" i="31"/>
  <c r="C20" i="31" s="1"/>
  <c r="F19" i="31"/>
  <c r="E19" i="31"/>
  <c r="D19" i="31"/>
  <c r="I19" i="31" s="1"/>
  <c r="B19" i="31"/>
  <c r="C19" i="31" s="1"/>
  <c r="F18" i="31"/>
  <c r="E18" i="31"/>
  <c r="D18" i="31"/>
  <c r="I18" i="31" s="1"/>
  <c r="B18" i="31"/>
  <c r="C18" i="31" s="1"/>
  <c r="F17" i="31"/>
  <c r="E17" i="31"/>
  <c r="D17" i="31"/>
  <c r="I17" i="31" s="1"/>
  <c r="B17" i="31"/>
  <c r="C17" i="31" s="1"/>
  <c r="F16" i="31"/>
  <c r="E16" i="31"/>
  <c r="D16" i="31"/>
  <c r="I16" i="31" s="1"/>
  <c r="C16" i="31"/>
  <c r="B16" i="31"/>
  <c r="O15" i="31"/>
  <c r="N15" i="31"/>
  <c r="C12" i="31"/>
  <c r="C11" i="31"/>
  <c r="N4" i="31"/>
  <c r="N5" i="31" s="1"/>
  <c r="O34" i="30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C11" i="30"/>
  <c r="N4" i="30"/>
  <c r="N5" i="30" s="1"/>
  <c r="O34" i="29"/>
  <c r="O32" i="29"/>
  <c r="H25" i="29"/>
  <c r="G25" i="29"/>
  <c r="F24" i="29"/>
  <c r="E24" i="29"/>
  <c r="D24" i="29"/>
  <c r="I24" i="29" s="1"/>
  <c r="B24" i="29"/>
  <c r="C24" i="29" s="1"/>
  <c r="F23" i="29"/>
  <c r="E23" i="29"/>
  <c r="D23" i="29"/>
  <c r="I23" i="29" s="1"/>
  <c r="B23" i="29"/>
  <c r="C23" i="29" s="1"/>
  <c r="F22" i="29"/>
  <c r="E22" i="29"/>
  <c r="D22" i="29"/>
  <c r="I22" i="29" s="1"/>
  <c r="B22" i="29"/>
  <c r="C22" i="29" s="1"/>
  <c r="F21" i="29"/>
  <c r="E21" i="29"/>
  <c r="D21" i="29"/>
  <c r="I21" i="29" s="1"/>
  <c r="B21" i="29"/>
  <c r="C21" i="29" s="1"/>
  <c r="F20" i="29"/>
  <c r="E20" i="29"/>
  <c r="D20" i="29"/>
  <c r="I20" i="29" s="1"/>
  <c r="B20" i="29"/>
  <c r="C20" i="29" s="1"/>
  <c r="F19" i="29"/>
  <c r="E19" i="29"/>
  <c r="D19" i="29"/>
  <c r="I19" i="29" s="1"/>
  <c r="B19" i="29"/>
  <c r="C19" i="29" s="1"/>
  <c r="F18" i="29"/>
  <c r="E18" i="29"/>
  <c r="D18" i="29"/>
  <c r="I18" i="29" s="1"/>
  <c r="B18" i="29"/>
  <c r="C18" i="29" s="1"/>
  <c r="F17" i="29"/>
  <c r="E17" i="29"/>
  <c r="D17" i="29"/>
  <c r="I17" i="29" s="1"/>
  <c r="B17" i="29"/>
  <c r="C17" i="29" s="1"/>
  <c r="F16" i="29"/>
  <c r="E16" i="29"/>
  <c r="D16" i="29"/>
  <c r="I16" i="29" s="1"/>
  <c r="C16" i="29"/>
  <c r="B16" i="29"/>
  <c r="O15" i="29"/>
  <c r="N15" i="29"/>
  <c r="C12" i="29"/>
  <c r="C11" i="29"/>
  <c r="N4" i="29"/>
  <c r="N5" i="29" s="1"/>
  <c r="O34" i="28"/>
  <c r="O32" i="28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C12" i="28"/>
  <c r="C11" i="28"/>
  <c r="N4" i="28"/>
  <c r="N5" i="28" s="1"/>
  <c r="I25" i="35" l="1"/>
  <c r="P28" i="35" s="1"/>
  <c r="K16" i="35"/>
  <c r="L16" i="35"/>
  <c r="K17" i="35"/>
  <c r="M17" i="35"/>
  <c r="L17" i="35"/>
  <c r="K18" i="35"/>
  <c r="L18" i="35"/>
  <c r="M18" i="35" s="1"/>
  <c r="K19" i="35"/>
  <c r="L19" i="35"/>
  <c r="M19" i="35"/>
  <c r="K20" i="35"/>
  <c r="M20" i="35" s="1"/>
  <c r="L20" i="35"/>
  <c r="K21" i="35"/>
  <c r="M21" i="35"/>
  <c r="L21" i="35"/>
  <c r="K22" i="35"/>
  <c r="L22" i="35"/>
  <c r="M22" i="35"/>
  <c r="K23" i="35"/>
  <c r="L23" i="35"/>
  <c r="M23" i="35"/>
  <c r="K24" i="35"/>
  <c r="M24" i="35" s="1"/>
  <c r="L24" i="35"/>
  <c r="I25" i="34"/>
  <c r="P28" i="34" s="1"/>
  <c r="K16" i="34"/>
  <c r="L16" i="34"/>
  <c r="M16" i="34"/>
  <c r="K17" i="34"/>
  <c r="M17" i="34" s="1"/>
  <c r="L17" i="34"/>
  <c r="K18" i="34"/>
  <c r="M18" i="34" s="1"/>
  <c r="L18" i="34"/>
  <c r="K19" i="34"/>
  <c r="M19" i="34"/>
  <c r="L19" i="34"/>
  <c r="K20" i="34"/>
  <c r="L20" i="34"/>
  <c r="M20" i="34" s="1"/>
  <c r="K21" i="34"/>
  <c r="L21" i="34"/>
  <c r="M21" i="34"/>
  <c r="K22" i="34"/>
  <c r="M22" i="34" s="1"/>
  <c r="L22" i="34"/>
  <c r="K23" i="34"/>
  <c r="M23" i="34"/>
  <c r="L23" i="34"/>
  <c r="K24" i="34"/>
  <c r="L24" i="34"/>
  <c r="M24" i="34" s="1"/>
  <c r="K21" i="33"/>
  <c r="L21" i="33"/>
  <c r="M21" i="33"/>
  <c r="K22" i="33"/>
  <c r="L22" i="33"/>
  <c r="M22" i="33"/>
  <c r="K19" i="33"/>
  <c r="M19" i="33" s="1"/>
  <c r="L19" i="33"/>
  <c r="L25" i="33" s="1"/>
  <c r="P29" i="33" s="1"/>
  <c r="P31" i="33" s="1"/>
  <c r="K23" i="33"/>
  <c r="M23" i="33" s="1"/>
  <c r="L23" i="33"/>
  <c r="K20" i="33"/>
  <c r="L20" i="33"/>
  <c r="M20" i="33" s="1"/>
  <c r="K24" i="33"/>
  <c r="L24" i="33"/>
  <c r="M24" i="33"/>
  <c r="M17" i="33"/>
  <c r="M18" i="33"/>
  <c r="K16" i="33"/>
  <c r="K25" i="33" s="1"/>
  <c r="P30" i="33" s="1"/>
  <c r="K24" i="32"/>
  <c r="M24" i="32" s="1"/>
  <c r="L24" i="32"/>
  <c r="I25" i="32"/>
  <c r="P28" i="32" s="1"/>
  <c r="K16" i="32"/>
  <c r="M16" i="32" s="1"/>
  <c r="L16" i="32"/>
  <c r="K17" i="32"/>
  <c r="M17" i="32" s="1"/>
  <c r="L17" i="32"/>
  <c r="K18" i="32"/>
  <c r="L18" i="32"/>
  <c r="M18" i="32" s="1"/>
  <c r="K19" i="32"/>
  <c r="M19" i="32" s="1"/>
  <c r="L19" i="32"/>
  <c r="K20" i="32"/>
  <c r="M20" i="32" s="1"/>
  <c r="L20" i="32"/>
  <c r="K21" i="32"/>
  <c r="M21" i="32" s="1"/>
  <c r="L21" i="32"/>
  <c r="K23" i="32"/>
  <c r="L23" i="32"/>
  <c r="M23" i="32" s="1"/>
  <c r="K22" i="32"/>
  <c r="L22" i="32"/>
  <c r="M22" i="32"/>
  <c r="K17" i="31"/>
  <c r="L17" i="31"/>
  <c r="M17" i="31"/>
  <c r="K19" i="31"/>
  <c r="L19" i="31"/>
  <c r="M19" i="31"/>
  <c r="K21" i="31"/>
  <c r="M21" i="31" s="1"/>
  <c r="L21" i="31"/>
  <c r="K22" i="31"/>
  <c r="M22" i="31"/>
  <c r="L22" i="31"/>
  <c r="K24" i="31"/>
  <c r="L24" i="31"/>
  <c r="M24" i="31" s="1"/>
  <c r="I25" i="31"/>
  <c r="P28" i="31" s="1"/>
  <c r="K16" i="31"/>
  <c r="L16" i="31"/>
  <c r="L25" i="31" s="1"/>
  <c r="P29" i="31" s="1"/>
  <c r="K18" i="31"/>
  <c r="L18" i="31"/>
  <c r="M18" i="31" s="1"/>
  <c r="K20" i="31"/>
  <c r="M20" i="31" s="1"/>
  <c r="L20" i="31"/>
  <c r="K23" i="31"/>
  <c r="M23" i="31"/>
  <c r="L23" i="31"/>
  <c r="K18" i="30"/>
  <c r="M18" i="30" s="1"/>
  <c r="L18" i="30"/>
  <c r="K20" i="30"/>
  <c r="M20" i="30" s="1"/>
  <c r="L20" i="30"/>
  <c r="K21" i="30"/>
  <c r="L21" i="30"/>
  <c r="M21" i="30" s="1"/>
  <c r="K23" i="30"/>
  <c r="L23" i="30"/>
  <c r="M23" i="30"/>
  <c r="I25" i="30"/>
  <c r="P28" i="30" s="1"/>
  <c r="K16" i="30"/>
  <c r="M16" i="30" s="1"/>
  <c r="L16" i="30"/>
  <c r="L25" i="30" s="1"/>
  <c r="P29" i="30" s="1"/>
  <c r="K17" i="30"/>
  <c r="M17" i="30" s="1"/>
  <c r="L17" i="30"/>
  <c r="K19" i="30"/>
  <c r="M19" i="30" s="1"/>
  <c r="L19" i="30"/>
  <c r="K22" i="30"/>
  <c r="M22" i="30"/>
  <c r="L22" i="30"/>
  <c r="K24" i="30"/>
  <c r="L24" i="30"/>
  <c r="M24" i="30"/>
  <c r="I25" i="29"/>
  <c r="P28" i="29" s="1"/>
  <c r="K16" i="29"/>
  <c r="L16" i="29"/>
  <c r="M16" i="29" s="1"/>
  <c r="K19" i="29"/>
  <c r="L19" i="29"/>
  <c r="M19" i="29" s="1"/>
  <c r="K21" i="29"/>
  <c r="M21" i="29" s="1"/>
  <c r="L21" i="29"/>
  <c r="K24" i="29"/>
  <c r="M24" i="29"/>
  <c r="L24" i="29"/>
  <c r="K17" i="29"/>
  <c r="M17" i="29" s="1"/>
  <c r="L17" i="29"/>
  <c r="K20" i="29"/>
  <c r="L20" i="29"/>
  <c r="M20" i="29" s="1"/>
  <c r="K22" i="29"/>
  <c r="M22" i="29" s="1"/>
  <c r="L22" i="29"/>
  <c r="K18" i="29"/>
  <c r="M18" i="29" s="1"/>
  <c r="L18" i="29"/>
  <c r="K23" i="29"/>
  <c r="M23" i="29" s="1"/>
  <c r="L23" i="29"/>
  <c r="I25" i="28"/>
  <c r="P28" i="28" s="1"/>
  <c r="K16" i="28"/>
  <c r="L16" i="28"/>
  <c r="K17" i="28"/>
  <c r="M17" i="28"/>
  <c r="L17" i="28"/>
  <c r="K18" i="28"/>
  <c r="L18" i="28"/>
  <c r="M18" i="28"/>
  <c r="K19" i="28"/>
  <c r="M19" i="28"/>
  <c r="L19" i="28"/>
  <c r="K20" i="28"/>
  <c r="M20" i="28" s="1"/>
  <c r="L20" i="28"/>
  <c r="K21" i="28"/>
  <c r="M21" i="28"/>
  <c r="L21" i="28"/>
  <c r="K22" i="28"/>
  <c r="L22" i="28"/>
  <c r="M22" i="28"/>
  <c r="K23" i="28"/>
  <c r="M23" i="28"/>
  <c r="L23" i="28"/>
  <c r="K24" i="28"/>
  <c r="M24" i="28" s="1"/>
  <c r="L24" i="28"/>
  <c r="T25" i="15"/>
  <c r="T24" i="15"/>
  <c r="J24" i="15"/>
  <c r="J23" i="15"/>
  <c r="J22" i="15"/>
  <c r="J21" i="15"/>
  <c r="J20" i="15"/>
  <c r="J19" i="15"/>
  <c r="J18" i="15"/>
  <c r="J17" i="15"/>
  <c r="J16" i="15"/>
  <c r="H24" i="15"/>
  <c r="H23" i="15"/>
  <c r="H22" i="15"/>
  <c r="H21" i="15"/>
  <c r="H20" i="15"/>
  <c r="H19" i="15"/>
  <c r="H18" i="15"/>
  <c r="H17" i="15"/>
  <c r="H16" i="15"/>
  <c r="O34" i="27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I21" i="27" s="1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C11" i="27"/>
  <c r="N4" i="27"/>
  <c r="N5" i="27" s="1"/>
  <c r="O34" i="26"/>
  <c r="C11" i="26" s="1"/>
  <c r="O32" i="26"/>
  <c r="H25" i="26"/>
  <c r="G25" i="26"/>
  <c r="F24" i="26"/>
  <c r="E24" i="26"/>
  <c r="D24" i="26"/>
  <c r="I24" i="26" s="1"/>
  <c r="B24" i="26"/>
  <c r="C24" i="26" s="1"/>
  <c r="F23" i="26"/>
  <c r="E23" i="26"/>
  <c r="D23" i="26"/>
  <c r="I23" i="26" s="1"/>
  <c r="B23" i="26"/>
  <c r="C23" i="26" s="1"/>
  <c r="F22" i="26"/>
  <c r="E22" i="26"/>
  <c r="D22" i="26"/>
  <c r="I22" i="26" s="1"/>
  <c r="B22" i="26"/>
  <c r="C22" i="26" s="1"/>
  <c r="F21" i="26"/>
  <c r="E21" i="26"/>
  <c r="D21" i="26"/>
  <c r="I21" i="26" s="1"/>
  <c r="B21" i="26"/>
  <c r="C21" i="26" s="1"/>
  <c r="F20" i="26"/>
  <c r="E20" i="26"/>
  <c r="D20" i="26"/>
  <c r="I20" i="26" s="1"/>
  <c r="B20" i="26"/>
  <c r="C20" i="26" s="1"/>
  <c r="F19" i="26"/>
  <c r="E19" i="26"/>
  <c r="D19" i="26"/>
  <c r="I19" i="26" s="1"/>
  <c r="B19" i="26"/>
  <c r="C19" i="26" s="1"/>
  <c r="F18" i="26"/>
  <c r="E18" i="26"/>
  <c r="D18" i="26"/>
  <c r="I18" i="26" s="1"/>
  <c r="B18" i="26"/>
  <c r="C18" i="26" s="1"/>
  <c r="F17" i="26"/>
  <c r="E17" i="26"/>
  <c r="D17" i="26"/>
  <c r="I17" i="26" s="1"/>
  <c r="B17" i="26"/>
  <c r="C17" i="26" s="1"/>
  <c r="F16" i="26"/>
  <c r="E16" i="26"/>
  <c r="D16" i="26"/>
  <c r="I16" i="26" s="1"/>
  <c r="C16" i="26"/>
  <c r="B16" i="26"/>
  <c r="O15" i="26"/>
  <c r="N15" i="26"/>
  <c r="C12" i="26"/>
  <c r="N4" i="26"/>
  <c r="N5" i="26" s="1"/>
  <c r="N20" i="35" l="1"/>
  <c r="O20" i="35" s="1"/>
  <c r="P20" i="35" s="1"/>
  <c r="N24" i="35"/>
  <c r="O24" i="35" s="1"/>
  <c r="P24" i="35"/>
  <c r="N18" i="35"/>
  <c r="O18" i="35" s="1"/>
  <c r="N22" i="35"/>
  <c r="O22" i="35" s="1"/>
  <c r="P22" i="35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P31" i="35" s="1"/>
  <c r="M16" i="35"/>
  <c r="N22" i="34"/>
  <c r="O22" i="34" s="1"/>
  <c r="N20" i="34"/>
  <c r="O20" i="34" s="1"/>
  <c r="P20" i="34"/>
  <c r="N17" i="34"/>
  <c r="O17" i="34" s="1"/>
  <c r="N24" i="34"/>
  <c r="O24" i="34" s="1"/>
  <c r="P24" i="34"/>
  <c r="N18" i="34"/>
  <c r="O18" i="34" s="1"/>
  <c r="P18" i="34" s="1"/>
  <c r="N21" i="34"/>
  <c r="O21" i="34" s="1"/>
  <c r="L25" i="34"/>
  <c r="P29" i="34" s="1"/>
  <c r="K25" i="34"/>
  <c r="P30" i="34" s="1"/>
  <c r="N23" i="34"/>
  <c r="O23" i="34" s="1"/>
  <c r="P23" i="34"/>
  <c r="N19" i="34"/>
  <c r="O19" i="34" s="1"/>
  <c r="M25" i="34"/>
  <c r="N16" i="34"/>
  <c r="P31" i="34"/>
  <c r="N23" i="33"/>
  <c r="O23" i="33" s="1"/>
  <c r="N20" i="33"/>
  <c r="O20" i="33" s="1"/>
  <c r="N19" i="33"/>
  <c r="O19" i="33" s="1"/>
  <c r="N24" i="33"/>
  <c r="O24" i="33" s="1"/>
  <c r="N18" i="33"/>
  <c r="O18" i="33" s="1"/>
  <c r="N21" i="33"/>
  <c r="O21" i="33" s="1"/>
  <c r="P17" i="33"/>
  <c r="N17" i="33"/>
  <c r="O17" i="33" s="1"/>
  <c r="N22" i="33"/>
  <c r="O22" i="33" s="1"/>
  <c r="M16" i="33"/>
  <c r="N21" i="32"/>
  <c r="O21" i="32" s="1"/>
  <c r="N19" i="32"/>
  <c r="O19" i="32" s="1"/>
  <c r="P19" i="32"/>
  <c r="N17" i="32"/>
  <c r="O17" i="32" s="1"/>
  <c r="P17" i="32"/>
  <c r="N23" i="32"/>
  <c r="O23" i="32" s="1"/>
  <c r="P23" i="32"/>
  <c r="N18" i="32"/>
  <c r="O18" i="32" s="1"/>
  <c r="N24" i="32"/>
  <c r="O24" i="32" s="1"/>
  <c r="P24" i="32"/>
  <c r="N20" i="32"/>
  <c r="O20" i="32" s="1"/>
  <c r="M25" i="32"/>
  <c r="N16" i="32"/>
  <c r="L25" i="32"/>
  <c r="P29" i="32" s="1"/>
  <c r="P31" i="32" s="1"/>
  <c r="N22" i="32"/>
  <c r="O22" i="32" s="1"/>
  <c r="P22" i="32"/>
  <c r="K25" i="32"/>
  <c r="P30" i="32" s="1"/>
  <c r="N21" i="31"/>
  <c r="O21" i="31" s="1"/>
  <c r="P21" i="31"/>
  <c r="N18" i="31"/>
  <c r="O18" i="31" s="1"/>
  <c r="P18" i="31"/>
  <c r="N20" i="31"/>
  <c r="O20" i="31" s="1"/>
  <c r="P20" i="31"/>
  <c r="N24" i="31"/>
  <c r="O24" i="31" s="1"/>
  <c r="P24" i="31"/>
  <c r="N23" i="31"/>
  <c r="O23" i="31" s="1"/>
  <c r="P23" i="31"/>
  <c r="N17" i="31"/>
  <c r="O17" i="31" s="1"/>
  <c r="P17" i="31"/>
  <c r="M16" i="31"/>
  <c r="N19" i="31"/>
  <c r="O19" i="31" s="1"/>
  <c r="K25" i="31"/>
  <c r="P30" i="31" s="1"/>
  <c r="P31" i="31" s="1"/>
  <c r="N22" i="31"/>
  <c r="O22" i="31" s="1"/>
  <c r="P22" i="31"/>
  <c r="N19" i="30"/>
  <c r="O19" i="30" s="1"/>
  <c r="P19" i="30" s="1"/>
  <c r="M25" i="30"/>
  <c r="N16" i="30"/>
  <c r="N20" i="30"/>
  <c r="O20" i="30" s="1"/>
  <c r="P21" i="30"/>
  <c r="N21" i="30"/>
  <c r="O21" i="30" s="1"/>
  <c r="N17" i="30"/>
  <c r="O17" i="30" s="1"/>
  <c r="P18" i="30"/>
  <c r="N18" i="30"/>
  <c r="O18" i="30" s="1"/>
  <c r="K25" i="30"/>
  <c r="P30" i="30" s="1"/>
  <c r="P31" i="30" s="1"/>
  <c r="N24" i="30"/>
  <c r="O24" i="30" s="1"/>
  <c r="P24" i="30"/>
  <c r="N22" i="30"/>
  <c r="O22" i="30" s="1"/>
  <c r="P22" i="30"/>
  <c r="N23" i="30"/>
  <c r="O23" i="30" s="1"/>
  <c r="N22" i="29"/>
  <c r="O22" i="29" s="1"/>
  <c r="N21" i="29"/>
  <c r="O21" i="29" s="1"/>
  <c r="P21" i="29"/>
  <c r="N23" i="29"/>
  <c r="O23" i="29" s="1"/>
  <c r="N17" i="29"/>
  <c r="O17" i="29" s="1"/>
  <c r="P17" i="29"/>
  <c r="M25" i="29"/>
  <c r="N16" i="29"/>
  <c r="N20" i="29"/>
  <c r="O20" i="29" s="1"/>
  <c r="N18" i="29"/>
  <c r="O18" i="29" s="1"/>
  <c r="P18" i="29"/>
  <c r="N19" i="29"/>
  <c r="O19" i="29" s="1"/>
  <c r="N24" i="29"/>
  <c r="O24" i="29" s="1"/>
  <c r="P24" i="29"/>
  <c r="L25" i="29"/>
  <c r="P29" i="29" s="1"/>
  <c r="P31" i="29" s="1"/>
  <c r="K25" i="29"/>
  <c r="P30" i="29" s="1"/>
  <c r="N24" i="28"/>
  <c r="O24" i="28" s="1"/>
  <c r="P24" i="28"/>
  <c r="N20" i="28"/>
  <c r="O20" i="28" s="1"/>
  <c r="P20" i="28"/>
  <c r="N22" i="28"/>
  <c r="O22" i="28" s="1"/>
  <c r="P22" i="28"/>
  <c r="K25" i="28"/>
  <c r="P30" i="28" s="1"/>
  <c r="N23" i="28"/>
  <c r="O23" i="28" s="1"/>
  <c r="P23" i="28"/>
  <c r="N19" i="28"/>
  <c r="O19" i="28" s="1"/>
  <c r="L25" i="28"/>
  <c r="P29" i="28" s="1"/>
  <c r="M16" i="28"/>
  <c r="N21" i="28"/>
  <c r="O21" i="28" s="1"/>
  <c r="N18" i="28"/>
  <c r="O18" i="28" s="1"/>
  <c r="P18" i="28"/>
  <c r="N17" i="28"/>
  <c r="O17" i="28" s="1"/>
  <c r="P31" i="28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M23" i="27" s="1"/>
  <c r="L23" i="27"/>
  <c r="K24" i="27"/>
  <c r="L24" i="27"/>
  <c r="K19" i="27"/>
  <c r="L19" i="27"/>
  <c r="K18" i="27"/>
  <c r="L18" i="27"/>
  <c r="K17" i="26"/>
  <c r="L17" i="26"/>
  <c r="K19" i="26"/>
  <c r="L19" i="26"/>
  <c r="K22" i="26"/>
  <c r="L22" i="26"/>
  <c r="K23" i="26"/>
  <c r="L23" i="26"/>
  <c r="K18" i="26"/>
  <c r="L18" i="26"/>
  <c r="K20" i="26"/>
  <c r="L20" i="26"/>
  <c r="K21" i="26"/>
  <c r="L21" i="26"/>
  <c r="K24" i="26"/>
  <c r="L24" i="26"/>
  <c r="M24" i="26" s="1"/>
  <c r="I25" i="26"/>
  <c r="P28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M17" i="26" l="1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P33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16" i="32"/>
  <c r="P25" i="32" s="1"/>
  <c r="P20" i="32"/>
  <c r="P18" i="32"/>
  <c r="P21" i="32"/>
  <c r="P19" i="31"/>
  <c r="M25" i="31"/>
  <c r="N16" i="31"/>
  <c r="N25" i="30"/>
  <c r="P32" i="30" s="1"/>
  <c r="P33" i="30" s="1"/>
  <c r="O16" i="30"/>
  <c r="O25" i="30" s="1"/>
  <c r="P23" i="30"/>
  <c r="P17" i="30"/>
  <c r="P20" i="30"/>
  <c r="P16" i="30"/>
  <c r="N25" i="29"/>
  <c r="P32" i="29" s="1"/>
  <c r="P33" i="29" s="1"/>
  <c r="O16" i="29"/>
  <c r="P23" i="29"/>
  <c r="P22" i="29"/>
  <c r="P19" i="29"/>
  <c r="P20" i="29"/>
  <c r="M25" i="28"/>
  <c r="N16" i="28"/>
  <c r="P17" i="28"/>
  <c r="P21" i="28"/>
  <c r="P19" i="28"/>
  <c r="M17" i="27"/>
  <c r="M19" i="27"/>
  <c r="N19" i="27" s="1"/>
  <c r="O19" i="27" s="1"/>
  <c r="M20" i="26"/>
  <c r="M20" i="27"/>
  <c r="N20" i="27" s="1"/>
  <c r="O20" i="27" s="1"/>
  <c r="M23" i="26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M19" i="26"/>
  <c r="N19" i="26" s="1"/>
  <c r="O19" i="26" s="1"/>
  <c r="N23" i="27"/>
  <c r="O23" i="27" s="1"/>
  <c r="N17" i="27"/>
  <c r="O17" i="27" s="1"/>
  <c r="N24" i="27"/>
  <c r="O24" i="27" s="1"/>
  <c r="L25" i="27"/>
  <c r="P29" i="27" s="1"/>
  <c r="K25" i="27"/>
  <c r="P30" i="27" s="1"/>
  <c r="L25" i="26"/>
  <c r="P29" i="26" s="1"/>
  <c r="N20" i="26"/>
  <c r="O20" i="26" s="1"/>
  <c r="N22" i="26"/>
  <c r="O22" i="26" s="1"/>
  <c r="P22" i="26" s="1"/>
  <c r="N17" i="26"/>
  <c r="O17" i="26" s="1"/>
  <c r="P17" i="26" s="1"/>
  <c r="M16" i="26"/>
  <c r="N24" i="26"/>
  <c r="O24" i="26" s="1"/>
  <c r="N23" i="26"/>
  <c r="O23" i="26" s="1"/>
  <c r="P23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I24" i="25" s="1"/>
  <c r="B24" i="25"/>
  <c r="C24" i="25" s="1"/>
  <c r="F23" i="25"/>
  <c r="E23" i="25"/>
  <c r="D23" i="25"/>
  <c r="I23" i="25" s="1"/>
  <c r="B23" i="25"/>
  <c r="C23" i="25" s="1"/>
  <c r="F22" i="25"/>
  <c r="E22" i="25"/>
  <c r="D22" i="25"/>
  <c r="I22" i="25" s="1"/>
  <c r="K22" i="25" s="1"/>
  <c r="B22" i="25"/>
  <c r="C22" i="25" s="1"/>
  <c r="F21" i="25"/>
  <c r="E21" i="25"/>
  <c r="D21" i="25"/>
  <c r="B21" i="25"/>
  <c r="C21" i="25" s="1"/>
  <c r="F20" i="25"/>
  <c r="E20" i="25"/>
  <c r="D20" i="25"/>
  <c r="I20" i="25" s="1"/>
  <c r="B20" i="25"/>
  <c r="C20" i="25" s="1"/>
  <c r="F19" i="25"/>
  <c r="E19" i="25"/>
  <c r="D19" i="25"/>
  <c r="I19" i="25" s="1"/>
  <c r="B19" i="25"/>
  <c r="C19" i="25" s="1"/>
  <c r="F18" i="25"/>
  <c r="E18" i="25"/>
  <c r="D18" i="25"/>
  <c r="I18" i="25" s="1"/>
  <c r="B18" i="25"/>
  <c r="C18" i="25" s="1"/>
  <c r="F17" i="25"/>
  <c r="E17" i="25"/>
  <c r="D17" i="25"/>
  <c r="I17" i="25" s="1"/>
  <c r="B17" i="25"/>
  <c r="C17" i="25" s="1"/>
  <c r="F16" i="25"/>
  <c r="E16" i="25"/>
  <c r="D16" i="25"/>
  <c r="I16" i="25" s="1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I24" i="19" s="1"/>
  <c r="B24" i="19"/>
  <c r="C24" i="19" s="1"/>
  <c r="F23" i="19"/>
  <c r="E23" i="19"/>
  <c r="D23" i="19"/>
  <c r="I23" i="19" s="1"/>
  <c r="B23" i="19"/>
  <c r="C23" i="19" s="1"/>
  <c r="F22" i="19"/>
  <c r="E22" i="19"/>
  <c r="D22" i="19"/>
  <c r="I22" i="19" s="1"/>
  <c r="B22" i="19"/>
  <c r="C22" i="19" s="1"/>
  <c r="F21" i="19"/>
  <c r="E21" i="19"/>
  <c r="D21" i="19"/>
  <c r="I21" i="19" s="1"/>
  <c r="B21" i="19"/>
  <c r="C21" i="19" s="1"/>
  <c r="F20" i="19"/>
  <c r="E20" i="19"/>
  <c r="D20" i="19"/>
  <c r="I20" i="19" s="1"/>
  <c r="B20" i="19"/>
  <c r="C20" i="19" s="1"/>
  <c r="F19" i="19"/>
  <c r="E19" i="19"/>
  <c r="D19" i="19"/>
  <c r="I19" i="19" s="1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I24" i="18" s="1"/>
  <c r="L24" i="18" s="1"/>
  <c r="B24" i="18"/>
  <c r="C24" i="18" s="1"/>
  <c r="F23" i="18"/>
  <c r="E23" i="18"/>
  <c r="D23" i="18"/>
  <c r="B23" i="18"/>
  <c r="C23" i="18" s="1"/>
  <c r="F22" i="18"/>
  <c r="E22" i="18"/>
  <c r="D22" i="18"/>
  <c r="I22" i="18" s="1"/>
  <c r="L22" i="18" s="1"/>
  <c r="B22" i="18"/>
  <c r="C22" i="18" s="1"/>
  <c r="F21" i="18"/>
  <c r="E21" i="18"/>
  <c r="D21" i="18"/>
  <c r="I21" i="18" s="1"/>
  <c r="C21" i="18"/>
  <c r="B21" i="18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5" l="1"/>
  <c r="P32" i="35" s="1"/>
  <c r="P33" i="35" s="1"/>
  <c r="O16" i="35"/>
  <c r="P34" i="34"/>
  <c r="P35" i="34" s="1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P34" i="30"/>
  <c r="P35" i="30" s="1"/>
  <c r="P25" i="30"/>
  <c r="P34" i="29"/>
  <c r="P35" i="29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K21" i="20" s="1"/>
  <c r="I23" i="20"/>
  <c r="L23" i="20" s="1"/>
  <c r="M25" i="27"/>
  <c r="P24" i="27"/>
  <c r="P31" i="26"/>
  <c r="I16" i="24"/>
  <c r="K16" i="24" s="1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I25" i="25"/>
  <c r="P28" i="25" s="1"/>
  <c r="K16" i="25"/>
  <c r="L16" i="25"/>
  <c r="K24" i="25"/>
  <c r="L24" i="25"/>
  <c r="L22" i="25"/>
  <c r="L17" i="25"/>
  <c r="K17" i="25"/>
  <c r="L19" i="25"/>
  <c r="K19" i="25"/>
  <c r="L23" i="25"/>
  <c r="K23" i="25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3" i="22"/>
  <c r="K24" i="20"/>
  <c r="L24" i="20"/>
  <c r="L21" i="20"/>
  <c r="K23" i="20"/>
  <c r="K20" i="19"/>
  <c r="L20" i="19"/>
  <c r="K18" i="19"/>
  <c r="K24" i="19"/>
  <c r="L24" i="19"/>
  <c r="K22" i="19"/>
  <c r="L22" i="19"/>
  <c r="L19" i="19"/>
  <c r="K19" i="19"/>
  <c r="L21" i="19"/>
  <c r="K21" i="19"/>
  <c r="L23" i="19"/>
  <c r="K23" i="19"/>
  <c r="L21" i="18"/>
  <c r="K21" i="18"/>
  <c r="K22" i="18"/>
  <c r="M22" i="18" s="1"/>
  <c r="K24" i="18"/>
  <c r="M24" i="18" s="1"/>
  <c r="K18" i="18"/>
  <c r="M18" i="18" s="1"/>
  <c r="K18" i="17"/>
  <c r="L18" i="17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4" i="15"/>
  <c r="O32" i="15"/>
  <c r="H25" i="15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25" l="1"/>
  <c r="K17" i="24"/>
  <c r="K21" i="24"/>
  <c r="L21" i="21"/>
  <c r="M21" i="21" s="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5" i="31"/>
  <c r="P34" i="31"/>
  <c r="O25" i="28"/>
  <c r="P16" i="28"/>
  <c r="P25" i="28" s="1"/>
  <c r="P34" i="28"/>
  <c r="P35" i="28" s="1"/>
  <c r="M20" i="24"/>
  <c r="N20" i="24" s="1"/>
  <c r="O20" i="24" s="1"/>
  <c r="K19" i="24"/>
  <c r="K25" i="24" s="1"/>
  <c r="P30" i="24" s="1"/>
  <c r="L24" i="21"/>
  <c r="L17" i="20"/>
  <c r="K17" i="19"/>
  <c r="L16" i="17"/>
  <c r="K20" i="18"/>
  <c r="M20" i="18" s="1"/>
  <c r="N20" i="18" s="1"/>
  <c r="O20" i="18" s="1"/>
  <c r="L17" i="17"/>
  <c r="L19" i="20"/>
  <c r="K16" i="23"/>
  <c r="L22" i="21"/>
  <c r="L18" i="2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L19" i="17"/>
  <c r="M19" i="17" s="1"/>
  <c r="N19" i="17" s="1"/>
  <c r="O19" i="17" s="1"/>
  <c r="P19" i="17" s="1"/>
  <c r="L20" i="17"/>
  <c r="M20" i="17" s="1"/>
  <c r="N20" i="17" s="1"/>
  <c r="O20" i="17" s="1"/>
  <c r="K21" i="17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M16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M19" i="24"/>
  <c r="N19" i="24" s="1"/>
  <c r="O19" i="24" s="1"/>
  <c r="P19" i="24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21" i="20"/>
  <c r="N21" i="20" s="1"/>
  <c r="O21" i="20" s="1"/>
  <c r="M17" i="20"/>
  <c r="N17" i="20" s="1"/>
  <c r="O17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N24" i="24" s="1"/>
  <c r="O24" i="24" s="1"/>
  <c r="M17" i="24"/>
  <c r="M23" i="24"/>
  <c r="N23" i="24" s="1"/>
  <c r="O23" i="24" s="1"/>
  <c r="M18" i="23"/>
  <c r="N18" i="23" s="1"/>
  <c r="O18" i="23" s="1"/>
  <c r="I25" i="23"/>
  <c r="P28" i="23" s="1"/>
  <c r="M24" i="22"/>
  <c r="M19" i="22"/>
  <c r="N19" i="22" s="1"/>
  <c r="O19" i="22" s="1"/>
  <c r="M18" i="22"/>
  <c r="I25" i="21"/>
  <c r="P28" i="21" s="1"/>
  <c r="M22" i="21"/>
  <c r="N22" i="21" s="1"/>
  <c r="O22" i="21" s="1"/>
  <c r="K16" i="21"/>
  <c r="M16" i="21" s="1"/>
  <c r="L22" i="20"/>
  <c r="I25" i="20"/>
  <c r="P28" i="20" s="1"/>
  <c r="M20" i="19"/>
  <c r="M23" i="19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K18" i="15" s="1"/>
  <c r="I19" i="16"/>
  <c r="L19" i="16" s="1"/>
  <c r="I20" i="16"/>
  <c r="K20" i="16" s="1"/>
  <c r="I21" i="16"/>
  <c r="L21" i="16" s="1"/>
  <c r="I22" i="16"/>
  <c r="K22" i="16" s="1"/>
  <c r="K22" i="15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7" i="17"/>
  <c r="N17" i="17" s="1"/>
  <c r="O17" i="17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M18" i="21"/>
  <c r="N18" i="21" s="1"/>
  <c r="O18" i="21" s="1"/>
  <c r="K25" i="22"/>
  <c r="P30" i="22" s="1"/>
  <c r="L25" i="25"/>
  <c r="P29" i="25" s="1"/>
  <c r="M21" i="25"/>
  <c r="N21" i="25" s="1"/>
  <c r="O21" i="25" s="1"/>
  <c r="P21" i="25" s="1"/>
  <c r="N24" i="25"/>
  <c r="O24" i="25" s="1"/>
  <c r="N17" i="25"/>
  <c r="O17" i="25" s="1"/>
  <c r="K25" i="25"/>
  <c r="P30" i="25" s="1"/>
  <c r="M16" i="25"/>
  <c r="N23" i="25"/>
  <c r="O23" i="25" s="1"/>
  <c r="P23" i="25" s="1"/>
  <c r="N19" i="25"/>
  <c r="O19" i="25" s="1"/>
  <c r="N17" i="24"/>
  <c r="O17" i="24" s="1"/>
  <c r="N16" i="23"/>
  <c r="N24" i="22"/>
  <c r="O24" i="22" s="1"/>
  <c r="P24" i="22" s="1"/>
  <c r="N18" i="22"/>
  <c r="O18" i="22" s="1"/>
  <c r="L25" i="22"/>
  <c r="P29" i="22" s="1"/>
  <c r="M16" i="22"/>
  <c r="N16" i="21"/>
  <c r="M19" i="20"/>
  <c r="N19" i="20" s="1"/>
  <c r="O19" i="20" s="1"/>
  <c r="M17" i="19"/>
  <c r="N17" i="19" s="1"/>
  <c r="O17" i="19" s="1"/>
  <c r="M21" i="19"/>
  <c r="N23" i="19"/>
  <c r="O23" i="19" s="1"/>
  <c r="N24" i="19"/>
  <c r="O24" i="19" s="1"/>
  <c r="N20" i="19"/>
  <c r="O20" i="19" s="1"/>
  <c r="L25" i="19"/>
  <c r="P29" i="19" s="1"/>
  <c r="M19" i="18"/>
  <c r="N19" i="18" s="1"/>
  <c r="O19" i="18" s="1"/>
  <c r="N24" i="18"/>
  <c r="O24" i="18" s="1"/>
  <c r="N18" i="18"/>
  <c r="O18" i="18" s="1"/>
  <c r="N22" i="18"/>
  <c r="O22" i="18" s="1"/>
  <c r="M16" i="17"/>
  <c r="I23" i="15"/>
  <c r="L21" i="15" l="1"/>
  <c r="L25" i="24"/>
  <c r="P29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P31" i="21" s="1"/>
  <c r="K16" i="15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28" i="15" s="1"/>
  <c r="M24" i="16"/>
  <c r="N24" i="16" s="1"/>
  <c r="K23" i="16"/>
  <c r="K19" i="16"/>
  <c r="K19" i="15" s="1"/>
  <c r="O21" i="21"/>
  <c r="P21" i="21" s="1"/>
  <c r="M16" i="16"/>
  <c r="N16" i="16" s="1"/>
  <c r="P24" i="23"/>
  <c r="P31" i="24"/>
  <c r="M18" i="16"/>
  <c r="N18" i="16" s="1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M25" i="18"/>
  <c r="N16" i="18"/>
  <c r="P22" i="18"/>
  <c r="P18" i="18"/>
  <c r="P17" i="17"/>
  <c r="N16" i="17"/>
  <c r="P20" i="17"/>
  <c r="P24" i="17"/>
  <c r="P18" i="17"/>
  <c r="P22" i="17"/>
  <c r="M22" i="16"/>
  <c r="N22" i="16" s="1"/>
  <c r="M20" i="16"/>
  <c r="N20" i="16" s="1"/>
  <c r="L25" i="16"/>
  <c r="P29" i="16" s="1"/>
  <c r="M17" i="15" l="1"/>
  <c r="M24" i="15"/>
  <c r="M16" i="15"/>
  <c r="P31" i="17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29" i="15" s="1"/>
  <c r="N25" i="23"/>
  <c r="P32" i="23" s="1"/>
  <c r="P33" i="23" s="1"/>
  <c r="P34" i="23" s="1"/>
  <c r="P35" i="23" s="1"/>
  <c r="U21" i="15" s="1"/>
  <c r="P22" i="23"/>
  <c r="O25" i="23"/>
  <c r="M25" i="23"/>
  <c r="M19" i="15"/>
  <c r="N16" i="15"/>
  <c r="O20" i="16"/>
  <c r="O20" i="15" s="1"/>
  <c r="N20" i="15"/>
  <c r="O24" i="16"/>
  <c r="O24" i="15" s="1"/>
  <c r="N24" i="15"/>
  <c r="O22" i="16"/>
  <c r="O22" i="15" s="1"/>
  <c r="N22" i="15"/>
  <c r="O18" i="16"/>
  <c r="O18" i="15" s="1"/>
  <c r="N18" i="15"/>
  <c r="P33" i="21"/>
  <c r="P34" i="21" s="1"/>
  <c r="P35" i="21" s="1"/>
  <c r="U19" i="15" s="1"/>
  <c r="P33" i="24"/>
  <c r="P34" i="24" s="1"/>
  <c r="P35" i="24" s="1"/>
  <c r="U22" i="15" s="1"/>
  <c r="P16" i="23"/>
  <c r="P25" i="23" s="1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P31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P33" i="17" l="1"/>
  <c r="P34" i="17" s="1"/>
  <c r="P35" i="17" s="1"/>
  <c r="U15" i="15" s="1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P33" i="16" s="1"/>
  <c r="P34" i="16" s="1"/>
  <c r="P35" i="16" s="1"/>
  <c r="U14" i="15" s="1"/>
  <c r="M25" i="16"/>
  <c r="P25" i="19"/>
  <c r="M25" i="15"/>
  <c r="K25" i="15"/>
  <c r="P30" i="15" s="1"/>
  <c r="P31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N25" i="15" l="1"/>
  <c r="P32" i="15" s="1"/>
  <c r="P33" i="15" s="1"/>
  <c r="P34" i="15" s="1"/>
  <c r="P35" i="15" s="1"/>
  <c r="P23" i="15"/>
  <c r="O25" i="16"/>
  <c r="P23" i="16"/>
  <c r="P19" i="16"/>
  <c r="O19" i="15"/>
  <c r="O25" i="15" s="1"/>
  <c r="U26" i="15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<sst xmlns="http://schemas.openxmlformats.org/spreadsheetml/2006/main" count="1617" uniqueCount="139">
  <si>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</si>
  <si>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</si>
  <si>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</si>
  <si>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</si>
  <si>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</si>
  <si>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</si>
  <si>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</si>
  <si>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</si>
  <si>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</si>
  <si>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</si>
  <si>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</si>
  <si>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</si>
  <si>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</si>
  <si>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</si>
  <si>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</si>
  <si>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</si>
  <si>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</si>
  <si>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</si>
  <si>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</si>
  <si>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</si>
  <si>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</si>
  <si>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</si>
  <si>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</si>
  <si>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</si>
  <si>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</si>
  <si>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</si>
  <si>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</si>
  <si>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</si>
  <si>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</si>
  <si>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</si>
  <si>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</si>
  <si>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</si>
  <si>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</si>
  <si>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</si>
  <si>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</si>
  <si>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</si>
  <si>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</si>
  <si>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</si>
  <si>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</si>
  <si>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</si>
  <si>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</si>
  <si>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</si>
  <si>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</si>
  <si>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</si>
  <si>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</si>
  <si>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</si>
  <si>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</si>
  <si>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</si>
  <si>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</si>
  <si>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</si>
  <si>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</si>
  <si>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</si>
  <si>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</si>
  <si>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</si>
  <si>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</si>
  <si>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</si>
  <si>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</si>
  <si>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</si>
  <si>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</si>
  <si>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</si>
  <si>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</si>
  <si>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</si>
  <si>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</si>
  <si>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</si>
  <si>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</si>
  <si>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</si>
  <si>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</si>
  <si>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</si>
  <si>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</si>
  <si>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</si>
  <si>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</si>
  <si>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</si>
  <si>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</si>
  <si>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</si>
  <si>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</si>
  <si>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</si>
  <si>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</si>
  <si>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</si>
  <si>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</si>
  <si>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</si>
  <si>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</si>
  <si>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</si>
  <si>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</si>
  <si>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</si>
  <si>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</si>
  <si>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</si>
  <si>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</si>
  <si>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</si>
  <si>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</si>
  <si>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</si>
  <si>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</si>
  <si>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</si>
  <si>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</si>
  <si>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</si>
  <si>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</si>
  <si>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 xml:space="preserve">Customer Name : </t>
  </si>
  <si>
    <t>NTN/CNIC Number:</t>
  </si>
  <si>
    <t>Furqan</t>
  </si>
  <si>
    <t>Address: Nishat Colony</t>
  </si>
  <si>
    <t>8058676-4</t>
  </si>
  <si>
    <t>Furqan Ali</t>
  </si>
  <si>
    <t>Salman Butt</t>
  </si>
  <si>
    <t>Mobeen Ahmad</t>
  </si>
  <si>
    <t>Rana Bilal Tso</t>
  </si>
  <si>
    <t>Shakoor</t>
  </si>
  <si>
    <t>Customer Name : Rehman Store</t>
  </si>
  <si>
    <t>Gate Pass</t>
  </si>
  <si>
    <t>60gm</t>
  </si>
  <si>
    <t>70 Gmm</t>
  </si>
  <si>
    <t>120Gm</t>
  </si>
  <si>
    <t>Date</t>
  </si>
  <si>
    <t>Name</t>
  </si>
  <si>
    <t xml:space="preserve">Customer name </t>
  </si>
  <si>
    <t xml:space="preserve">CHK  </t>
  </si>
  <si>
    <t xml:space="preserve">CHk </t>
  </si>
  <si>
    <t xml:space="preserve">LEM </t>
  </si>
  <si>
    <t xml:space="preserve">Meat </t>
  </si>
  <si>
    <t>CHK FOC</t>
  </si>
  <si>
    <t>Total Issue</t>
  </si>
  <si>
    <t>Return</t>
  </si>
  <si>
    <t>Total Sold</t>
  </si>
  <si>
    <t>Customer Name : Bilal Book center</t>
  </si>
  <si>
    <t xml:space="preserve">Address: Shadman </t>
  </si>
  <si>
    <t>Customer Name : Hajveri sweet</t>
  </si>
  <si>
    <t>Address:  Fazlia Colony</t>
  </si>
  <si>
    <t>Customer Name : Data Sweets</t>
  </si>
  <si>
    <t>Customer Name : Mahmood HS</t>
  </si>
  <si>
    <t>Address: Fazlia Colony</t>
  </si>
  <si>
    <t>Customer Name : Azan Store</t>
  </si>
  <si>
    <t>Customer Name : Hafiz Store</t>
  </si>
  <si>
    <t>Customer Name : MD Store</t>
  </si>
  <si>
    <t>Customer Name : Ch Store</t>
  </si>
  <si>
    <t>Address: Fazlia colony</t>
  </si>
  <si>
    <t>Customer Name : Nawaz Store</t>
  </si>
  <si>
    <t>Customer Name : Haq Store</t>
  </si>
  <si>
    <t xml:space="preserve">Address:Shadman </t>
  </si>
  <si>
    <t>Shop Bill Summary (Zahid)</t>
  </si>
  <si>
    <t>Zahid</t>
  </si>
  <si>
    <t xml:space="preserve">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</si>
</sst>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48"/>
      <color theme="1"/>
      <name val="Arial Black"/>
      <family val="2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92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0" fontId="0" fillId="0" borderId="56" xfId="0" applyBorder="1"/>
    <xf numFmtId="0" fontId="0" fillId="0" borderId="57" xfId="0" applyBorder="1" applyAlignment="1">
      <alignment horizontal="left"/>
    </xf>
    <xf numFmtId="0" fontId="10" fillId="0" borderId="11" xfId="0" applyFont="1" applyBorder="1" applyAlignment="1">
      <alignment horizontal="center"/>
    </xf>
    <xf numFmtId="0" fontId="20" fillId="0" borderId="58" xfId="0" applyFont="1" applyBorder="1"/>
    <xf numFmtId="0" fontId="20" fillId="0" borderId="59" xfId="0" applyFont="1" applyBorder="1" applyAlignment="1">
      <alignment horizontal="left"/>
    </xf>
    <xf numFmtId="0" fontId="20" fillId="0" borderId="11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0" fontId="20" fillId="0" borderId="60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1" xfId="0" applyFont="1" applyBorder="1"/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 vertical="center"/>
    </xf>
    <xf numFmtId="0" fontId="0" fillId="0" borderId="1" xfId="0" applyBorder="1"/>
    <xf numFmtId="0" fontId="20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center"/>
    </xf>
    <xf numFmtId="0" fontId="20" fillId="0" borderId="61" xfId="0" applyFont="1" applyBorder="1"/>
    <xf numFmtId="0" fontId="20" fillId="2" borderId="23" xfId="0" applyFont="1" applyFill="1" applyBorder="1" applyAlignment="1">
      <alignment horizontal="left"/>
    </xf>
    <xf numFmtId="0" fontId="0" fillId="0" borderId="9" xfId="0" applyBorder="1"/>
    <xf numFmtId="0" fontId="0" fillId="0" borderId="12" xfId="0" applyBorder="1"/>
    <xf numFmtId="0" fontId="0" fillId="0" borderId="5" xfId="0" applyBorder="1"/>
    <xf numFmtId="0" fontId="0" fillId="0" borderId="13" xfId="0" applyBorder="1"/>
    <xf numFmtId="0" fontId="0" fillId="0" borderId="24" xfId="0" applyBorder="1"/>
    <xf numFmtId="0" fontId="20" fillId="2" borderId="2" xfId="0" applyFont="1" applyFill="1" applyBorder="1" applyAlignment="1">
      <alignment horizontal="left"/>
    </xf>
    <xf numFmtId="0" fontId="20" fillId="0" borderId="6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20" fillId="0" borderId="2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9" fillId="0" borderId="14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19" fillId="0" borderId="16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19" xfId="0" applyFont="1" applyBorder="1" applyAlignment="1">
      <alignment horizontal="center"/>
    </xf>
    <xf numFmtId="0" fontId="19" fillId="0" borderId="17" xfId="0" applyFont="1" applyBorder="1" applyAlignment="1">
      <alignment horizontal="center"/>
    </xf>
    <xf numFmtId="0" fontId="19" fillId="0" borderId="26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10" fillId="0" borderId="25" xfId="0" applyFont="1" applyBorder="1" applyAlignment="1">
      <alignment horizontal="center"/>
    </xf>
    <xf numFmtId="0" fontId="10" fillId="0" borderId="15" xfId="0" applyFont="1" applyBorder="1" applyAlignment="1">
      <alignment horizontal="center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C8" sqref="C8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101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102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97</v>
      </c>
    </row>
    <row r="12" spans="1:2" x14ac:dyDescent="0.35">
      <c r="A12">
        <v>7</v>
      </c>
      <c r="B12" t="s">
        <v>103</v>
      </c>
    </row>
    <row r="13" spans="1:2" x14ac:dyDescent="0.35">
      <c r="A13">
        <v>8</v>
      </c>
      <c r="B13" t="s">
        <v>104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pane="topRight" activeCell="L1" sqref="L1"/>
      <selection pane="bottomLeft" activeCell="A7" sqref="A7"/>
      <selection pane="bottomRight" activeCell="G11" sqref="G11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210"/>
      <c r="B3" s="210"/>
      <c r="C3" s="210"/>
      <c r="D3" s="210"/>
      <c r="E3" s="210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</row>
    <row r="4" spans="1:29" x14ac:dyDescent="0.35">
      <c r="A4" s="212" t="s">
        <v>6</v>
      </c>
      <c r="B4" s="5" t="s">
        <v>7</v>
      </c>
      <c r="C4" s="5"/>
      <c r="D4" s="214" t="s">
        <v>8</v>
      </c>
      <c r="E4" s="216" t="s">
        <v>9</v>
      </c>
      <c r="F4" s="218" t="s">
        <v>3</v>
      </c>
      <c r="G4" s="218"/>
      <c r="H4" s="219" t="s">
        <v>10</v>
      </c>
      <c r="I4" s="219"/>
      <c r="J4" s="220" t="s">
        <v>11</v>
      </c>
      <c r="K4" s="221"/>
      <c r="L4" s="220" t="s">
        <v>12</v>
      </c>
      <c r="M4" s="221"/>
      <c r="N4" s="222" t="s">
        <v>13</v>
      </c>
      <c r="O4" s="222"/>
      <c r="P4" s="220" t="s">
        <v>4</v>
      </c>
      <c r="Q4" s="221"/>
      <c r="R4" s="220" t="s">
        <v>14</v>
      </c>
      <c r="S4" s="221"/>
      <c r="T4" s="223" t="s">
        <v>15</v>
      </c>
      <c r="U4" s="223"/>
      <c r="V4" s="224" t="s">
        <v>16</v>
      </c>
      <c r="W4" s="225"/>
      <c r="X4" s="224" t="s">
        <v>17</v>
      </c>
      <c r="Y4" s="225"/>
    </row>
    <row r="5" spans="1:29" ht="26.25" customHeight="1" thickBot="1" x14ac:dyDescent="0.4">
      <c r="A5" s="213"/>
      <c r="B5" s="7" t="s">
        <v>18</v>
      </c>
      <c r="C5" s="7" t="s">
        <v>8</v>
      </c>
      <c r="D5" s="215"/>
      <c r="E5" s="217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37"/>
  <sheetViews>
    <sheetView topLeftCell="R11" zoomScaleNormal="100" workbookViewId="0">
      <selection activeCell="T15" sqref="T1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customWidth="1"/>
    <col min="6" max="6" width="6.54296875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customWidth="1"/>
    <col min="12" max="12" width="7.453125" customWidth="1"/>
    <col min="13" max="13" width="8" customWidth="1"/>
    <col min="14" max="14" width="10" style="69" customWidth="1"/>
    <col min="15" max="15" width="9.54296875" customWidth="1"/>
    <col min="16" max="16" width="9.7265625" customWidth="1"/>
    <col min="17" max="17" width="4.54296875" customWidth="1"/>
    <col min="18" max="18" width="7.26953125" customWidth="1"/>
    <col min="20" max="20" width="61.6328125" bestFit="1" customWidth="1"/>
    <col min="21" max="21" width="12.453125" bestFit="1" customWidth="1"/>
  </cols>
  <sheetData>
    <row r="2" spans="1:21 16383:16384" ht="21" x14ac:dyDescent="0.5">
      <c r="A2" s="226" t="s">
        <v>45</v>
      </c>
      <c r="B2" s="226"/>
      <c r="C2" s="226"/>
    </row>
    <row r="3" spans="1:21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31" t="s">
        <v>137</v>
      </c>
      <c r="B5" s="231"/>
      <c r="C5" s="231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21 16383:16384" ht="15" customHeight="1" x14ac:dyDescent="0.35">
      <c r="A6" s="231"/>
      <c r="B6" s="231"/>
      <c r="C6" s="231"/>
      <c r="F6" s="70"/>
      <c r="G6" s="74"/>
      <c r="K6" s="228" t="s">
        <v>52</v>
      </c>
      <c r="L6" s="228"/>
      <c r="M6" s="228"/>
      <c r="N6" s="230" t="s">
        <v>42</v>
      </c>
      <c r="O6" s="230"/>
      <c r="P6" s="230"/>
      <c r="R6" s="70"/>
      <c r="S6" s="74"/>
      <c r="XFC6" t="s">
        <v>53</v>
      </c>
      <c r="XFD6" s="2">
        <v>0.18</v>
      </c>
    </row>
    <row r="7" spans="1:21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21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21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21 16383:16384" x14ac:dyDescent="0.35">
      <c r="A10" s="233"/>
      <c r="B10" s="75"/>
      <c r="C10" s="75" t="s">
        <v>138</v>
      </c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21 16383:16384" ht="15" thickBot="1" x14ac:dyDescent="0.4">
      <c r="A11" s="233"/>
      <c r="B11" s="76"/>
      <c r="C11" s="77"/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21 16383:16384" ht="14.65" customHeight="1" x14ac:dyDescent="0.35">
      <c r="A12" s="233"/>
      <c r="B12" s="76"/>
      <c r="C12" s="77"/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T12" s="242" t="s">
        <v>136</v>
      </c>
      <c r="U12" s="243"/>
      <c r="XFD12" t="s">
        <v>62</v>
      </c>
    </row>
    <row r="13" spans="1:21 16383:16384" ht="15" thickBot="1" x14ac:dyDescent="0.4">
      <c r="A13" s="270"/>
      <c r="J13" s="78"/>
      <c r="K13" s="78"/>
      <c r="L13" s="79">
        <v>0.05</v>
      </c>
      <c r="T13" s="244"/>
      <c r="U13" s="245"/>
      <c r="XFD13" t="s">
        <v>63</v>
      </c>
    </row>
    <row r="14" spans="1:21 16383:16384" ht="29.25" customHeight="1" x14ac:dyDescent="0.6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36" t="s">
        <v>68</v>
      </c>
      <c r="H14" s="237"/>
      <c r="I14" s="237" t="s">
        <v>69</v>
      </c>
      <c r="J14" s="237" t="s">
        <v>70</v>
      </c>
      <c r="K14" s="237"/>
      <c r="L14" s="239"/>
      <c r="M14" s="240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Bilal Book center</v>
      </c>
      <c r="U14" s="164">
        <f>+'1'!P35</f>
        <v>1687.7686080000001</v>
      </c>
      <c r="XFD14" t="s">
        <v>75</v>
      </c>
    </row>
    <row r="15" spans="1:21 16383:16384" ht="29.25" customHeight="1" thickBot="1" x14ac:dyDescent="0.65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8"/>
      <c r="J15" s="171" t="s">
        <v>78</v>
      </c>
      <c r="K15" s="171" t="s">
        <v>79</v>
      </c>
      <c r="L15" s="174" t="s">
        <v>80</v>
      </c>
      <c r="M15" s="241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Hajveri sweet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</f>
        <v>10</v>
      </c>
      <c r="I16" s="1">
        <f>(G16*D16)*F16+H16*F16</f>
        <v>524.625</v>
      </c>
      <c r="J16" s="172">
        <f>+'1'!J16+'2'!J16+'4'!J16+'3'!J16+'5'!J16+'6'!J16+'7'!J16+'8'!J16+'9'!J16+'10'!J16+'11'!J16+'12'!J16</f>
        <v>1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62.954999999999998</v>
      </c>
      <c r="M16" s="106">
        <f>I16-K16-L16</f>
        <v>461.67</v>
      </c>
      <c r="N16" s="101">
        <f>+'1'!N16+'2'!N16+'4'!N16+'3'!N16+'5'!N16+'6'!N16+'7'!N16+'8'!N16+'9'!N16+'10'!N16</f>
        <v>113.10915</v>
      </c>
      <c r="O16" s="101">
        <f>+'1'!O16+'2'!O16+'4'!O16+'3'!O16+'5'!O16+'6'!O16+'7'!O16+'8'!O16+'9'!O16+'10'!O16</f>
        <v>2.8738957500000004</v>
      </c>
      <c r="P16" s="105">
        <f t="shared" ref="P16:P24" si="0">M16+N16+O16</f>
        <v>577.65304575000005</v>
      </c>
      <c r="Q16" s="108"/>
      <c r="T16" s="163" t="str">
        <f>+'4'!A5</f>
        <v>Customer Name : Mahmood HS</v>
      </c>
      <c r="U16" s="164">
        <f>+'4'!P35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</f>
        <v>10</v>
      </c>
      <c r="I17" s="1">
        <f t="shared" ref="I17:I23" si="1">(G17*D17)*F17+H17*F17</f>
        <v>524.625</v>
      </c>
      <c r="J17" s="172">
        <f>+'1'!J17+'2'!J17+'4'!J17+'3'!J17+'5'!J17+'6'!J17+'7'!J17+'8'!J17+'9'!J17+'10'!J17+'11'!J17+'12'!J17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62.954999999999998</v>
      </c>
      <c r="M17" s="118">
        <f t="shared" ref="M17:M23" si="2">I17-K17-L17</f>
        <v>461.67</v>
      </c>
      <c r="N17" s="101">
        <f>+'1'!N17+'2'!N17+'4'!N17+'3'!N17+'5'!N17+'6'!N17+'7'!N17+'8'!N17+'9'!N17+'10'!N17</f>
        <v>101.56740000000001</v>
      </c>
      <c r="O17" s="101">
        <f>+'1'!O17+'2'!O17+'4'!O17+'3'!O17+'5'!O17+'6'!O17+'7'!O17+'8'!O17+'9'!O17+'10'!O17</f>
        <v>2.8161869999999998</v>
      </c>
      <c r="P17" s="120">
        <f t="shared" si="0"/>
        <v>566.05358699999999</v>
      </c>
      <c r="S17" s="64"/>
      <c r="T17" s="163" t="str">
        <f>+'3'!A5</f>
        <v>Customer Name : Data Sweets</v>
      </c>
      <c r="U17" s="164">
        <f>+'3'!P35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</f>
        <v>0</v>
      </c>
      <c r="I18" s="1">
        <f t="shared" si="1"/>
        <v>0</v>
      </c>
      <c r="J18" s="172">
        <f>+'1'!J18+'2'!J18+'4'!J18+'3'!J18+'5'!J18+'6'!J18+'7'!J18+'8'!J18+'9'!J18+'10'!J18+'11'!J18+'12'!J18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Azan Store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</f>
        <v>35</v>
      </c>
      <c r="I19" s="1">
        <f t="shared" si="1"/>
        <v>2542.4</v>
      </c>
      <c r="J19" s="172">
        <f>+'1'!J19+'2'!J19+'4'!J19+'3'!J19+'5'!J19+'6'!J19+'7'!J19+'8'!J19+'9'!J19+'10'!J19+'11'!J19+'12'!J19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261.50400000000002</v>
      </c>
      <c r="M19" s="118">
        <f t="shared" si="2"/>
        <v>2280.8960000000002</v>
      </c>
      <c r="N19" s="101">
        <f>+'1'!N19+'2'!N19+'4'!N19+'3'!N19+'5'!N19+'6'!N19+'7'!N19+'8'!N19+'9'!N19+'10'!N19</f>
        <v>501.79711999999995</v>
      </c>
      <c r="O19" s="101">
        <f>+'1'!O19+'2'!O19+'4'!O19+'3'!O19+'5'!O19+'6'!O19+'7'!O19+'8'!O19+'9'!O19+'10'!O19</f>
        <v>38.372806400000002</v>
      </c>
      <c r="P19" s="120">
        <f t="shared" si="0"/>
        <v>2821.0659264000001</v>
      </c>
      <c r="T19" s="163" t="str">
        <f>+'6'!A5</f>
        <v>Customer Name : Rehman Store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</f>
        <v>25</v>
      </c>
      <c r="I20" s="1">
        <f t="shared" si="1"/>
        <v>1816</v>
      </c>
      <c r="J20" s="172">
        <f>+'1'!J20+'2'!J20+'4'!J20+'3'!J20+'5'!J20+'6'!J20+'7'!J20+'8'!J20+'9'!J20+'10'!J20+'11'!J20+'12'!J20</f>
        <v>2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174.33599999999998</v>
      </c>
      <c r="M20" s="118">
        <f t="shared" si="2"/>
        <v>1641.664</v>
      </c>
      <c r="N20" s="101">
        <f>+'1'!N20+'2'!N20+'4'!N20+'3'!N20+'5'!N20+'6'!N20+'7'!N20+'8'!N20+'9'!N20+'10'!N20</f>
        <v>393.12767999999994</v>
      </c>
      <c r="O20" s="101">
        <f>+'1'!O20+'2'!O20+'4'!O20+'3'!O20+'5'!O20+'6'!O20+'7'!O20+'8'!O20+'9'!O20+'10'!O20</f>
        <v>34.633299200000003</v>
      </c>
      <c r="P20" s="120">
        <f t="shared" si="0"/>
        <v>2069.4249791999996</v>
      </c>
      <c r="T20" s="163" t="str">
        <f>+'7'!A5</f>
        <v>Customer Name : Hafiz Store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</f>
        <v>40</v>
      </c>
      <c r="I21" s="1">
        <f t="shared" si="1"/>
        <v>2905.6</v>
      </c>
      <c r="J21" s="172">
        <f>+'1'!J21+'2'!J21+'4'!J21+'3'!J21+'5'!J21+'6'!J21+'7'!J21+'8'!J21+'9'!J21+'10'!J21+'11'!J21+'12'!J21</f>
        <v>1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261.50399999999996</v>
      </c>
      <c r="M21" s="118">
        <f t="shared" si="2"/>
        <v>2644.096</v>
      </c>
      <c r="N21" s="101">
        <f>+'1'!N21+'2'!N21+'4'!N21+'3'!N21+'5'!N21+'6'!N21+'7'!N21+'8'!N21+'9'!N21+'10'!N21</f>
        <v>597.68191999999999</v>
      </c>
      <c r="O21" s="101">
        <f>+'1'!O21+'2'!O21+'4'!O21+'3'!O21+'5'!O21+'6'!O21+'7'!O21+'8'!O21+'9'!O21+'10'!O21</f>
        <v>65.447187200000002</v>
      </c>
      <c r="P21" s="120">
        <f t="shared" si="0"/>
        <v>3307.2251071999999</v>
      </c>
      <c r="T21" s="163" t="str">
        <f>+'8'!A5</f>
        <v>Customer Name : MD Store</v>
      </c>
      <c r="U21" s="164">
        <f>+'8'!P35</f>
        <v>3342.7765760000002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</f>
        <v>0</v>
      </c>
      <c r="I22" s="1">
        <f t="shared" si="1"/>
        <v>0</v>
      </c>
      <c r="J22" s="172">
        <f>+'1'!J22+'2'!J22+'4'!J22+'3'!J22+'5'!J22+'6'!J22+'7'!J22+'8'!J22+'9'!J22+'10'!J22+'11'!J22+'12'!J22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>Customer Name : Ch Store</v>
      </c>
      <c r="U22" s="164">
        <f>+'9'!P35</f>
        <v>4310.8774615500006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</f>
        <v>0</v>
      </c>
      <c r="I23" s="1">
        <f t="shared" si="1"/>
        <v>0</v>
      </c>
      <c r="J23" s="172">
        <f>+'1'!J23+'2'!J23+'4'!J23+'3'!J23+'5'!J23+'6'!J23+'7'!J23+'8'!J23+'9'!J23+'10'!J23+'11'!J23+'12'!J23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>Customer Name : Nawaz Store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</f>
        <v>0</v>
      </c>
      <c r="I24" s="1">
        <f>(G24*D24)*F24+H24*F24</f>
        <v>0</v>
      </c>
      <c r="J24" s="172">
        <f>+'1'!J24+'2'!J24+'4'!J24+'3'!J24+'5'!J24+'6'!J24+'7'!J24+'8'!J24+'9'!J24+'10'!J24+'11'!J24+'12'!J24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>Customer Name : Haq Store</v>
      </c>
      <c r="U24" s="164">
        <f>+'11'!P35</f>
        <v>0</v>
      </c>
    </row>
    <row r="25" spans="1:21 16384:16384" ht="26.5" thickBot="1" x14ac:dyDescent="0.65">
      <c r="A25" s="252" t="s">
        <v>84</v>
      </c>
      <c r="B25" s="253"/>
      <c r="C25" s="254"/>
      <c r="D25" s="248"/>
      <c r="E25" s="248"/>
      <c r="F25" s="248"/>
      <c r="G25" s="176">
        <f t="shared" ref="G25:M25" si="3">SUM(G16:G24)</f>
        <v>0</v>
      </c>
      <c r="H25" s="177">
        <f t="shared" si="3"/>
        <v>120</v>
      </c>
      <c r="I25" s="178">
        <f t="shared" si="3"/>
        <v>8313.25</v>
      </c>
      <c r="J25" s="177">
        <f t="shared" si="3"/>
        <v>4</v>
      </c>
      <c r="K25" s="178">
        <f t="shared" si="3"/>
        <v>0</v>
      </c>
      <c r="L25" s="179">
        <f t="shared" si="3"/>
        <v>823.25399999999991</v>
      </c>
      <c r="M25" s="141">
        <f t="shared" si="3"/>
        <v>7489.996000000001</v>
      </c>
      <c r="N25" s="142">
        <f>SUM(N16:N24)</f>
        <v>1707.2832699999999</v>
      </c>
      <c r="O25" s="143">
        <f>SUM(O16:O24)</f>
        <v>144.14337555</v>
      </c>
      <c r="P25" s="144">
        <f>SUM(P16:P24)</f>
        <v>9341.4226455499993</v>
      </c>
      <c r="T25" s="163" t="str">
        <f>+'12'!A5</f>
        <v xml:space="preserve">Customer Name : </v>
      </c>
      <c r="U25" s="164">
        <f>+'12'!P35</f>
        <v>0</v>
      </c>
    </row>
    <row r="26" spans="1:21 16384:16384" ht="26.5" thickBot="1" x14ac:dyDescent="0.6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  <c r="T26" s="166" t="s">
        <v>84</v>
      </c>
      <c r="U26" s="165">
        <f>SUM(U14:U25)</f>
        <v>9341.4226455500011</v>
      </c>
    </row>
    <row r="27" spans="1:21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1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8313.25</v>
      </c>
    </row>
    <row r="29" spans="1:21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823.25399999999991</v>
      </c>
    </row>
    <row r="30" spans="1:21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21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7489.9960000000001</v>
      </c>
    </row>
    <row r="32" spans="1:21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1707.2832699999999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9197.2792699999991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2.5000000000000001E-2</v>
      </c>
      <c r="P34" s="153">
        <f>O34*P33</f>
        <v>229.93198174999998</v>
      </c>
    </row>
    <row r="35" spans="2:16" ht="15.75" customHeight="1" thickBot="1" x14ac:dyDescent="0.4">
      <c r="N35" s="246" t="s">
        <v>92</v>
      </c>
      <c r="O35" s="247"/>
      <c r="P35" s="160">
        <f>P33+P34</f>
        <v>9427.2112517499991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T12:U13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1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121</v>
      </c>
      <c r="B5" s="273"/>
      <c r="C5" s="273"/>
      <c r="F5" s="70"/>
      <c r="G5" s="71"/>
      <c r="K5" s="228" t="s">
        <v>51</v>
      </c>
      <c r="L5" s="228"/>
      <c r="M5" s="228"/>
      <c r="N5" s="229">
        <f ca="1">N4</f>
        <v>46189</v>
      </c>
      <c r="O5" s="227"/>
      <c r="P5" s="227"/>
      <c r="R5" s="70"/>
      <c r="S5" s="71"/>
    </row>
    <row r="6" spans="1:19 16383:16384" ht="15" customHeight="1" x14ac:dyDescent="0.35">
      <c r="A6" s="228" t="s">
        <v>122</v>
      </c>
      <c r="B6" s="228"/>
      <c r="C6" s="228"/>
      <c r="F6" s="70"/>
      <c r="G6" s="74"/>
      <c r="K6" s="228" t="s">
        <v>52</v>
      </c>
      <c r="L6" s="228"/>
      <c r="M6" s="228"/>
      <c r="N6" s="230" t="s">
        <v>44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75"/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5</v>
      </c>
      <c r="I19" s="116">
        <f t="shared" si="3"/>
        <v>363.2</v>
      </c>
      <c r="J19" s="117"/>
      <c r="K19" s="1">
        <f t="shared" si="4"/>
        <v>0</v>
      </c>
      <c r="L19" s="105">
        <f t="shared" si="5"/>
        <v>29.056000000000001</v>
      </c>
      <c r="M19" s="118">
        <f t="shared" si="6"/>
        <v>334.14400000000001</v>
      </c>
      <c r="N19" s="118">
        <f t="shared" si="0"/>
        <v>73.511679999999998</v>
      </c>
      <c r="O19" s="119">
        <f t="shared" si="1"/>
        <v>10.191392</v>
      </c>
      <c r="P19" s="120">
        <f t="shared" si="2"/>
        <v>417.84707200000003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3"/>
        <v>1089.5999999999999</v>
      </c>
      <c r="J21" s="117">
        <v>1</v>
      </c>
      <c r="K21" s="1">
        <f t="shared" si="4"/>
        <v>0</v>
      </c>
      <c r="L21" s="105">
        <f t="shared" si="5"/>
        <v>87.167999999999992</v>
      </c>
      <c r="M21" s="118">
        <f t="shared" si="6"/>
        <v>1002.4319999999999</v>
      </c>
      <c r="N21" s="118">
        <f t="shared" si="0"/>
        <v>236.51583999999997</v>
      </c>
      <c r="O21" s="119">
        <f t="shared" si="1"/>
        <v>30.973695999999997</v>
      </c>
      <c r="P21" s="120">
        <f t="shared" si="2"/>
        <v>1269.9215359999998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9">SUM(G16:G24)</f>
        <v>0</v>
      </c>
      <c r="H25" s="136">
        <f t="shared" si="9"/>
        <v>20</v>
      </c>
      <c r="I25" s="137">
        <f t="shared" si="9"/>
        <v>1452.8</v>
      </c>
      <c r="J25" s="138"/>
      <c r="K25" s="139">
        <f t="shared" si="9"/>
        <v>0</v>
      </c>
      <c r="L25" s="140">
        <f t="shared" si="9"/>
        <v>116.22399999999999</v>
      </c>
      <c r="M25" s="141">
        <f t="shared" si="9"/>
        <v>1336.576</v>
      </c>
      <c r="N25" s="142">
        <f>SUM(N16:N24)</f>
        <v>310.02751999999998</v>
      </c>
      <c r="O25" s="143">
        <f>SUM(O16:O24)</f>
        <v>41.165087999999997</v>
      </c>
      <c r="P25" s="144">
        <f>SUM(P16:P24)</f>
        <v>1687.7686079999999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1452.8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116.22399999999999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1336.576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310.02751999999998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1646.6035200000001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2.5000000000000001E-2</v>
      </c>
      <c r="P34" s="153">
        <f>O34*P33</f>
        <v>41.165088000000004</v>
      </c>
    </row>
    <row r="35" spans="2:16" ht="15.75" customHeight="1" thickBot="1" x14ac:dyDescent="0.4">
      <c r="N35" s="246" t="s">
        <v>92</v>
      </c>
      <c r="O35" s="247"/>
      <c r="P35" s="160">
        <f>P33+P34</f>
        <v>1687.7686080000001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5" workbookViewId="0">
      <selection activeCell="J35" sqref="J3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2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123</v>
      </c>
      <c r="B5" s="273"/>
      <c r="C5" s="273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8" t="s">
        <v>124</v>
      </c>
      <c r="B6" s="228"/>
      <c r="C6" s="228"/>
      <c r="F6" s="70"/>
      <c r="G6" s="74"/>
      <c r="K6" s="228" t="s">
        <v>52</v>
      </c>
      <c r="L6" s="228"/>
      <c r="M6" s="228"/>
      <c r="N6" s="230" t="s">
        <v>44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75"/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168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0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0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0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0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6" t="s">
        <v>92</v>
      </c>
      <c r="O35" s="247"/>
      <c r="P35" s="160">
        <f>P33+P34</f>
        <v>0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abSelected="1" topLeftCell="A4" workbookViewId="0">
      <selection activeCell="J9" sqref="J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4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125</v>
      </c>
      <c r="B5" s="273"/>
      <c r="C5" s="273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8" t="s">
        <v>124</v>
      </c>
      <c r="B6" s="228"/>
      <c r="C6" s="228"/>
      <c r="F6" s="70"/>
      <c r="G6" s="74"/>
      <c r="K6" s="228" t="s">
        <v>52</v>
      </c>
      <c r="L6" s="228"/>
      <c r="M6" s="228"/>
      <c r="N6" s="230" t="s">
        <v>44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169"/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0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0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0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0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6" t="s">
        <v>92</v>
      </c>
      <c r="O35" s="247"/>
      <c r="P35" s="160">
        <f>P33+P34</f>
        <v>0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J20" sqref="J20: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3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126</v>
      </c>
      <c r="B5" s="273"/>
      <c r="C5" s="273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8" t="s">
        <v>127</v>
      </c>
      <c r="B6" s="228"/>
      <c r="C6" s="228"/>
      <c r="F6" s="70"/>
      <c r="G6" s="74"/>
      <c r="K6" s="228" t="s">
        <v>52</v>
      </c>
      <c r="L6" s="228"/>
      <c r="M6" s="228"/>
      <c r="N6" s="230" t="s">
        <v>44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75"/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0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0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0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0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6" t="s">
        <v>92</v>
      </c>
      <c r="O35" s="247"/>
      <c r="P35" s="160">
        <f>P33+P34</f>
        <v>0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3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5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128</v>
      </c>
      <c r="B5" s="273"/>
      <c r="C5" s="273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8" t="s">
        <v>127</v>
      </c>
      <c r="B6" s="228"/>
      <c r="C6" s="228"/>
      <c r="F6" s="70"/>
      <c r="G6" s="74"/>
      <c r="K6" s="228" t="s">
        <v>52</v>
      </c>
      <c r="L6" s="228"/>
      <c r="M6" s="228"/>
      <c r="N6" s="230" t="s">
        <v>44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169"/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0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0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0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0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6" t="s">
        <v>92</v>
      </c>
      <c r="O35" s="247"/>
      <c r="P35" s="160">
        <f>P33+P34</f>
        <v>0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3" workbookViewId="0">
      <selection activeCell="J20" sqref="J20:J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6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105</v>
      </c>
      <c r="B5" s="273"/>
      <c r="C5" s="273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8" t="s">
        <v>127</v>
      </c>
      <c r="B6" s="228"/>
      <c r="C6" s="228"/>
      <c r="F6" s="70"/>
      <c r="G6" s="74"/>
      <c r="K6" s="228" t="s">
        <v>52</v>
      </c>
      <c r="L6" s="228"/>
      <c r="M6" s="228"/>
      <c r="N6" s="230" t="s">
        <v>44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75"/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0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0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0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0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6" t="s">
        <v>92</v>
      </c>
      <c r="O35" s="247"/>
      <c r="P35" s="160">
        <f>P33+P34</f>
        <v>0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4" workbookViewId="0">
      <selection activeCell="J20" sqref="J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7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129</v>
      </c>
      <c r="B5" s="273"/>
      <c r="C5" s="273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8" t="s">
        <v>127</v>
      </c>
      <c r="B6" s="228"/>
      <c r="C6" s="228"/>
      <c r="F6" s="70"/>
      <c r="G6" s="74"/>
      <c r="K6" s="228" t="s">
        <v>52</v>
      </c>
      <c r="L6" s="228"/>
      <c r="M6" s="228"/>
      <c r="N6" s="230" t="s">
        <v>44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169">
        <v>3520193545403</v>
      </c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0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0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0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0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46" t="s">
        <v>92</v>
      </c>
      <c r="O35" s="247"/>
      <c r="P35" s="160">
        <f>P33+P34</f>
        <v>0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2" workbookViewId="0">
      <selection activeCell="H19" sqref="H1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8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130</v>
      </c>
      <c r="B5" s="273"/>
      <c r="C5" s="273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8" t="s">
        <v>127</v>
      </c>
      <c r="B6" s="228"/>
      <c r="C6" s="228"/>
      <c r="F6" s="70"/>
      <c r="G6" s="74"/>
      <c r="K6" s="228" t="s">
        <v>52</v>
      </c>
      <c r="L6" s="228"/>
      <c r="M6" s="228"/>
      <c r="N6" s="230" t="s">
        <v>44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75"/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20.382784000000001</v>
      </c>
      <c r="P19" s="120">
        <f t="shared" si="1"/>
        <v>835.69414400000005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/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220.53503999999998</v>
      </c>
      <c r="O20" s="119">
        <f t="shared" si="6"/>
        <v>30.574176000000001</v>
      </c>
      <c r="P20" s="120">
        <f t="shared" si="1"/>
        <v>1253.5412160000001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30.574176000000001</v>
      </c>
      <c r="P21" s="120">
        <f t="shared" si="1"/>
        <v>1253.5412160000001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588.09343999999999</v>
      </c>
      <c r="O25" s="143">
        <f>SUM(O16:O24)</f>
        <v>81.531136000000004</v>
      </c>
      <c r="P25" s="144">
        <f>SUM(P16:P24)</f>
        <v>3342.7765760000002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2905.6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232.44799999999998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2673.152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588.09343999999999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3261.2454400000001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2.5000000000000001E-2</v>
      </c>
      <c r="P34" s="153">
        <f>O34*P33</f>
        <v>81.531136000000004</v>
      </c>
    </row>
    <row r="35" spans="2:16" ht="15.75" customHeight="1" thickBot="1" x14ac:dyDescent="0.4">
      <c r="N35" s="246" t="s">
        <v>92</v>
      </c>
      <c r="O35" s="247"/>
      <c r="P35" s="160">
        <f>P33+P34</f>
        <v>3342.7765760000002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workbookViewId="0">
      <selection activeCell="J16" sqref="J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9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131</v>
      </c>
      <c r="B5" s="273"/>
      <c r="C5" s="273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8" t="s">
        <v>132</v>
      </c>
      <c r="B6" s="228"/>
      <c r="C6" s="228"/>
      <c r="F6" s="70"/>
      <c r="G6" s="74"/>
      <c r="K6" s="228" t="s">
        <v>52</v>
      </c>
      <c r="L6" s="228"/>
      <c r="M6" s="228"/>
      <c r="N6" s="230" t="s">
        <v>44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167">
        <v>36102191688873</v>
      </c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10</v>
      </c>
      <c r="I16" s="102">
        <f>(G16*D16)*F16+H16*F16</f>
        <v>524.625</v>
      </c>
      <c r="J16" s="103">
        <v>1</v>
      </c>
      <c r="K16" s="104">
        <f>I16*$K$13</f>
        <v>0</v>
      </c>
      <c r="L16" s="105">
        <f>I16*12%</f>
        <v>62.954999999999998</v>
      </c>
      <c r="M16" s="106">
        <f>I16-K16-L16</f>
        <v>461.67</v>
      </c>
      <c r="N16" s="106">
        <f t="shared" ref="N16:N24" si="0">(M16*$N$15)+(J16*F16)*$N$15</f>
        <v>113.10915</v>
      </c>
      <c r="O16" s="107">
        <f>(N16+M16)*$O$15</f>
        <v>2.8738957500000004</v>
      </c>
      <c r="P16" s="105">
        <f t="shared" ref="P16:P24" si="1">M16+N16+O16</f>
        <v>577.65304575000005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4" si="4">I17*12%</f>
        <v>62.954999999999998</v>
      </c>
      <c r="M17" s="118">
        <f t="shared" ref="M17:M23" si="5">I17-K17-L17</f>
        <v>461.67</v>
      </c>
      <c r="N17" s="118">
        <f t="shared" si="0"/>
        <v>101.56740000000001</v>
      </c>
      <c r="O17" s="119">
        <f t="shared" ref="O17:O24" si="6">(N17+M17)*$O$15</f>
        <v>2.8161869999999998</v>
      </c>
      <c r="P17" s="120">
        <f t="shared" si="1"/>
        <v>566.05358699999999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20</v>
      </c>
      <c r="I19" s="116">
        <f t="shared" si="2"/>
        <v>1452.8</v>
      </c>
      <c r="J19" s="117"/>
      <c r="K19" s="1">
        <f t="shared" si="3"/>
        <v>0</v>
      </c>
      <c r="L19" s="105">
        <f t="shared" si="4"/>
        <v>174.33599999999998</v>
      </c>
      <c r="M19" s="118">
        <f t="shared" si="5"/>
        <v>1278.4639999999999</v>
      </c>
      <c r="N19" s="118">
        <f t="shared" si="0"/>
        <v>281.26207999999997</v>
      </c>
      <c r="O19" s="119">
        <f t="shared" si="6"/>
        <v>7.7986303999999995</v>
      </c>
      <c r="P19" s="120">
        <f t="shared" si="1"/>
        <v>1567.5247104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87.167999999999992</v>
      </c>
      <c r="M20" s="118">
        <f t="shared" si="5"/>
        <v>639.23199999999997</v>
      </c>
      <c r="N20" s="118">
        <f t="shared" si="0"/>
        <v>172.59263999999999</v>
      </c>
      <c r="O20" s="119">
        <f t="shared" si="6"/>
        <v>4.0591232000000002</v>
      </c>
      <c r="P20" s="120">
        <f t="shared" si="1"/>
        <v>815.88376319999998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639.23199999999997</v>
      </c>
      <c r="N21" s="118">
        <f t="shared" si="0"/>
        <v>140.63103999999998</v>
      </c>
      <c r="O21" s="119">
        <f t="shared" si="6"/>
        <v>3.8993151999999998</v>
      </c>
      <c r="P21" s="120">
        <f t="shared" si="1"/>
        <v>783.7623552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05">
        <f t="shared" si="4"/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05">
        <f t="shared" si="4"/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05">
        <f t="shared" si="4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8">SUM(G16:G24)</f>
        <v>0</v>
      </c>
      <c r="H25" s="136">
        <f t="shared" si="8"/>
        <v>60</v>
      </c>
      <c r="I25" s="137">
        <f t="shared" si="8"/>
        <v>3954.8500000000004</v>
      </c>
      <c r="J25" s="138"/>
      <c r="K25" s="139">
        <f t="shared" si="8"/>
        <v>0</v>
      </c>
      <c r="L25" s="140">
        <f t="shared" si="8"/>
        <v>474.58199999999999</v>
      </c>
      <c r="M25" s="141">
        <f t="shared" si="8"/>
        <v>3480.268</v>
      </c>
      <c r="N25" s="142">
        <f>SUM(N16:N24)</f>
        <v>809.16230999999993</v>
      </c>
      <c r="O25" s="143">
        <f>SUM(O16:O24)</f>
        <v>21.447151549999997</v>
      </c>
      <c r="P25" s="144">
        <f>SUM(P16:P24)</f>
        <v>4310.8774615500006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3954.8500000000004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474.58199999999999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3480.2680000000005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809.16230999999993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4289.4303100000006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5.0000000000000001E-3</v>
      </c>
      <c r="P34" s="153">
        <f>O34*P33</f>
        <v>21.447151550000005</v>
      </c>
    </row>
    <row r="35" spans="2:16" ht="15.75" customHeight="1" thickBot="1" x14ac:dyDescent="0.4">
      <c r="N35" s="246" t="s">
        <v>92</v>
      </c>
      <c r="O35" s="247"/>
      <c r="P35" s="160">
        <f>P33+P34</f>
        <v>4310.8774615500006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H19" sqref="H19: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133</v>
      </c>
      <c r="B5" s="273"/>
      <c r="C5" s="273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8" t="s">
        <v>122</v>
      </c>
      <c r="B6" s="228"/>
      <c r="C6" s="228"/>
      <c r="F6" s="70"/>
      <c r="G6" s="74"/>
      <c r="K6" s="228" t="s">
        <v>52</v>
      </c>
      <c r="L6" s="228"/>
      <c r="M6" s="228"/>
      <c r="N6" s="230" t="s">
        <v>44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75"/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0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0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0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0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6" t="s">
        <v>92</v>
      </c>
      <c r="O35" s="247"/>
      <c r="P35" s="160">
        <f>P33+P34</f>
        <v>0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6" workbookViewId="0">
      <selection activeCell="H17" sqref="H17:H1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134</v>
      </c>
      <c r="B5" s="273"/>
      <c r="C5" s="273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8" t="s">
        <v>135</v>
      </c>
      <c r="B6" s="228"/>
      <c r="C6" s="228"/>
      <c r="F6" s="70"/>
      <c r="G6" s="74"/>
      <c r="K6" s="228" t="s">
        <v>52</v>
      </c>
      <c r="L6" s="228"/>
      <c r="M6" s="228"/>
      <c r="N6" s="230" t="s">
        <v>44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75"/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50</v>
      </c>
      <c r="C11" s="77" t="str">
        <f>IF($O34&gt;2.49%,"No","Yes")</f>
        <v>No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0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0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0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0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46" t="s">
        <v>92</v>
      </c>
      <c r="O35" s="247"/>
      <c r="P35" s="160">
        <f>P33+P34</f>
        <v>0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6" workbookViewId="0">
      <selection activeCell="D16" sqref="D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95</v>
      </c>
      <c r="B5" s="273"/>
      <c r="C5" s="273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8" t="s">
        <v>98</v>
      </c>
      <c r="B6" s="228"/>
      <c r="C6" s="228"/>
      <c r="F6" s="70"/>
      <c r="G6" s="74"/>
      <c r="K6" s="228" t="s">
        <v>52</v>
      </c>
      <c r="L6" s="228"/>
      <c r="M6" s="228"/>
      <c r="N6" s="230" t="s">
        <v>100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75" t="s">
        <v>99</v>
      </c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0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0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0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0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46" t="s">
        <v>92</v>
      </c>
      <c r="O35" s="247"/>
      <c r="P35" s="160">
        <f>P33+P34</f>
        <v>0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workbookViewId="0">
      <selection activeCell="N8" sqref="A1:XFD104857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95</v>
      </c>
      <c r="B5" s="273"/>
      <c r="C5" s="273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8" t="s">
        <v>98</v>
      </c>
      <c r="B6" s="228"/>
      <c r="C6" s="228"/>
      <c r="F6" s="70"/>
      <c r="G6" s="74"/>
      <c r="K6" s="228" t="s">
        <v>52</v>
      </c>
      <c r="L6" s="228"/>
      <c r="M6" s="228"/>
      <c r="N6" s="230" t="s">
        <v>100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75" t="s">
        <v>99</v>
      </c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0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0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0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0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46" t="s">
        <v>92</v>
      </c>
      <c r="O35" s="247"/>
      <c r="P35" s="160">
        <f>P33+P34</f>
        <v>0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workbookViewId="0">
      <selection activeCell="K5" sqref="K5:M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95</v>
      </c>
      <c r="B5" s="273"/>
      <c r="C5" s="273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8" t="s">
        <v>98</v>
      </c>
      <c r="B6" s="228"/>
      <c r="C6" s="228"/>
      <c r="F6" s="70"/>
      <c r="G6" s="74"/>
      <c r="K6" s="228" t="s">
        <v>52</v>
      </c>
      <c r="L6" s="228"/>
      <c r="M6" s="228"/>
      <c r="N6" s="230" t="s">
        <v>100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75" t="s">
        <v>99</v>
      </c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0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0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0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0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46" t="s">
        <v>92</v>
      </c>
      <c r="O35" s="247"/>
      <c r="P35" s="160">
        <f>P33+P34</f>
        <v>0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workbookViewId="0">
      <selection activeCell="J11" sqref="J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95</v>
      </c>
      <c r="B5" s="273"/>
      <c r="C5" s="273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8" t="s">
        <v>98</v>
      </c>
      <c r="B6" s="228"/>
      <c r="C6" s="228"/>
      <c r="F6" s="70"/>
      <c r="G6" s="74"/>
      <c r="K6" s="228" t="s">
        <v>52</v>
      </c>
      <c r="L6" s="228"/>
      <c r="M6" s="228"/>
      <c r="N6" s="230" t="s">
        <v>100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75" t="s">
        <v>99</v>
      </c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0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0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0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0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46" t="s">
        <v>92</v>
      </c>
      <c r="O35" s="247"/>
      <c r="P35" s="160">
        <f>P33+P34</f>
        <v>0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95</v>
      </c>
      <c r="B5" s="273"/>
      <c r="C5" s="273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8" t="s">
        <v>98</v>
      </c>
      <c r="B6" s="228"/>
      <c r="C6" s="228"/>
      <c r="F6" s="70"/>
      <c r="G6" s="74"/>
      <c r="K6" s="228" t="s">
        <v>52</v>
      </c>
      <c r="L6" s="228"/>
      <c r="M6" s="228"/>
      <c r="N6" s="230" t="s">
        <v>100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75" t="s">
        <v>99</v>
      </c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0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0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0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0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46" t="s">
        <v>92</v>
      </c>
      <c r="O35" s="247"/>
      <c r="P35" s="160">
        <f>P33+P34</f>
        <v>0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K12" activeCellId="1" sqref="J14:L14 K12:M1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95</v>
      </c>
      <c r="B5" s="273"/>
      <c r="C5" s="273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8" t="s">
        <v>98</v>
      </c>
      <c r="B6" s="228"/>
      <c r="C6" s="228"/>
      <c r="F6" s="70"/>
      <c r="G6" s="74"/>
      <c r="K6" s="228" t="s">
        <v>52</v>
      </c>
      <c r="L6" s="228"/>
      <c r="M6" s="228"/>
      <c r="N6" s="230" t="s">
        <v>100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75" t="s">
        <v>99</v>
      </c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0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0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0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0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46" t="s">
        <v>92</v>
      </c>
      <c r="O35" s="247"/>
      <c r="P35" s="160">
        <f>P33+P34</f>
        <v>0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K11" sqref="K11:M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95</v>
      </c>
      <c r="B5" s="273"/>
      <c r="C5" s="273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8" t="s">
        <v>98</v>
      </c>
      <c r="B6" s="228"/>
      <c r="C6" s="228"/>
      <c r="F6" s="70"/>
      <c r="G6" s="74"/>
      <c r="K6" s="228" t="s">
        <v>52</v>
      </c>
      <c r="L6" s="228"/>
      <c r="M6" s="228"/>
      <c r="N6" s="230" t="s">
        <v>100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75" t="s">
        <v>99</v>
      </c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0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0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0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0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46" t="s">
        <v>92</v>
      </c>
      <c r="O35" s="247"/>
      <c r="P35" s="160">
        <f>P33+P34</f>
        <v>0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K10" sqref="K10:M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95</v>
      </c>
      <c r="B5" s="273"/>
      <c r="C5" s="273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8" t="s">
        <v>98</v>
      </c>
      <c r="B6" s="228"/>
      <c r="C6" s="228"/>
      <c r="F6" s="70"/>
      <c r="G6" s="74"/>
      <c r="K6" s="228" t="s">
        <v>52</v>
      </c>
      <c r="L6" s="228"/>
      <c r="M6" s="228"/>
      <c r="N6" s="230" t="s">
        <v>100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75" t="s">
        <v>99</v>
      </c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0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0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0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0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46" t="s">
        <v>92</v>
      </c>
      <c r="O35" s="247"/>
      <c r="P35" s="160">
        <f>P33+P34</f>
        <v>0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F8" sqref="F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26" t="s">
        <v>45</v>
      </c>
      <c r="B2" s="226"/>
      <c r="C2" s="226"/>
    </row>
    <row r="3" spans="1:19 16383:16384" ht="15" customHeight="1" x14ac:dyDescent="0.35">
      <c r="A3" s="227" t="s">
        <v>46</v>
      </c>
      <c r="B3" s="227"/>
      <c r="C3" s="227"/>
      <c r="F3" s="70"/>
      <c r="G3" s="71"/>
      <c r="K3" s="228" t="s">
        <v>47</v>
      </c>
      <c r="L3" s="228"/>
      <c r="M3" s="228"/>
      <c r="N3" s="227">
        <v>10</v>
      </c>
      <c r="O3" s="227"/>
      <c r="P3" s="227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27" t="s">
        <v>94</v>
      </c>
      <c r="B4" s="227"/>
      <c r="C4" s="227"/>
      <c r="F4" s="70"/>
      <c r="G4" s="71"/>
      <c r="K4" s="228" t="s">
        <v>49</v>
      </c>
      <c r="L4" s="228"/>
      <c r="M4" s="228"/>
      <c r="N4" s="229">
        <f ca="1">TODAY()</f>
        <v>46189</v>
      </c>
      <c r="O4" s="229"/>
      <c r="P4" s="229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73" t="s">
        <v>95</v>
      </c>
      <c r="B5" s="273"/>
      <c r="C5" s="273"/>
      <c r="F5" s="70"/>
      <c r="G5" s="71"/>
      <c r="K5" s="228" t="s">
        <v>51</v>
      </c>
      <c r="L5" s="228"/>
      <c r="M5" s="228"/>
      <c r="N5" s="229">
        <f ca="1">N4-1</f>
        <v>46188</v>
      </c>
      <c r="O5" s="227"/>
      <c r="P5" s="227"/>
      <c r="R5" s="70"/>
      <c r="S5" s="71"/>
    </row>
    <row r="6" spans="1:19 16383:16384" ht="15" customHeight="1" x14ac:dyDescent="0.35">
      <c r="A6" s="228" t="s">
        <v>98</v>
      </c>
      <c r="B6" s="228"/>
      <c r="C6" s="228"/>
      <c r="F6" s="70"/>
      <c r="G6" s="74"/>
      <c r="K6" s="228" t="s">
        <v>52</v>
      </c>
      <c r="L6" s="228"/>
      <c r="M6" s="228"/>
      <c r="N6" s="230" t="s">
        <v>100</v>
      </c>
      <c r="O6" s="230"/>
      <c r="P6" s="230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8"/>
      <c r="B7" s="228"/>
      <c r="C7" s="228"/>
      <c r="F7" s="70"/>
      <c r="G7" s="74"/>
      <c r="K7" s="228"/>
      <c r="L7" s="228"/>
      <c r="M7" s="228"/>
      <c r="N7" s="230"/>
      <c r="O7" s="230"/>
      <c r="P7" s="230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32"/>
      <c r="B8" s="232"/>
      <c r="C8" s="232"/>
      <c r="F8" s="70"/>
      <c r="G8" s="74"/>
      <c r="K8" s="228"/>
      <c r="L8" s="228"/>
      <c r="M8" s="228"/>
      <c r="N8" s="230"/>
      <c r="O8" s="230"/>
      <c r="P8" s="230"/>
      <c r="R8" s="70"/>
      <c r="S8" s="74"/>
    </row>
    <row r="9" spans="1:19 16383:16384" x14ac:dyDescent="0.35">
      <c r="A9" s="232"/>
      <c r="B9" s="232"/>
      <c r="C9" s="232"/>
      <c r="F9" s="70"/>
      <c r="G9" s="74"/>
      <c r="K9" s="228"/>
      <c r="L9" s="228"/>
      <c r="M9" s="228"/>
      <c r="N9" s="230"/>
      <c r="O9" s="230"/>
      <c r="P9" s="230"/>
      <c r="R9" s="70"/>
      <c r="S9" s="74"/>
      <c r="XFD9" t="s">
        <v>55</v>
      </c>
    </row>
    <row r="10" spans="1:19 16383:16384" x14ac:dyDescent="0.35">
      <c r="A10" s="233" t="s">
        <v>96</v>
      </c>
      <c r="B10" s="75" t="s">
        <v>99</v>
      </c>
      <c r="C10" s="75"/>
      <c r="F10" s="70"/>
      <c r="G10" s="71"/>
      <c r="K10" s="228" t="s">
        <v>56</v>
      </c>
      <c r="L10" s="228"/>
      <c r="M10" s="228"/>
      <c r="N10" s="227" t="s">
        <v>57</v>
      </c>
      <c r="O10" s="227"/>
      <c r="P10" s="227"/>
      <c r="R10" s="70"/>
      <c r="S10" s="71"/>
      <c r="XFD10" t="s">
        <v>58</v>
      </c>
    </row>
    <row r="11" spans="1:19 16383:16384" x14ac:dyDescent="0.35">
      <c r="A11" s="233"/>
      <c r="B11" s="76" t="s">
        <v>48</v>
      </c>
      <c r="C11" s="77" t="str">
        <f>IF($O34&gt;2.49%,"No","Yes")</f>
        <v>Yes</v>
      </c>
      <c r="F11" s="70"/>
      <c r="G11" s="71"/>
      <c r="K11" s="228" t="s">
        <v>59</v>
      </c>
      <c r="L11" s="228"/>
      <c r="M11" s="228"/>
      <c r="N11" s="227" t="s">
        <v>55</v>
      </c>
      <c r="O11" s="227"/>
      <c r="P11" s="227"/>
      <c r="R11" s="70"/>
      <c r="S11" s="71"/>
    </row>
    <row r="12" spans="1:19 16383:16384" ht="14.65" customHeight="1" x14ac:dyDescent="0.35">
      <c r="A12" s="233" t="s">
        <v>60</v>
      </c>
      <c r="B12" s="76" t="s">
        <v>54</v>
      </c>
      <c r="C12" s="77" t="str">
        <f>IF($O32&gt;21.99%,"No","Yes")</f>
        <v>No</v>
      </c>
      <c r="F12" s="70"/>
      <c r="G12" s="71"/>
      <c r="K12" s="228" t="s">
        <v>61</v>
      </c>
      <c r="L12" s="228"/>
      <c r="M12" s="228"/>
      <c r="N12" s="227"/>
      <c r="O12" s="227"/>
      <c r="P12" s="227"/>
      <c r="R12" s="70"/>
      <c r="S12" s="71"/>
      <c r="XFD12" t="s">
        <v>62</v>
      </c>
    </row>
    <row r="13" spans="1:19 16383:16384" ht="15" thickBot="1" x14ac:dyDescent="0.4">
      <c r="A13" s="270"/>
      <c r="B13" s="64" t="s">
        <v>99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71" t="s">
        <v>64</v>
      </c>
      <c r="B14" s="240"/>
      <c r="C14" s="234" t="s">
        <v>65</v>
      </c>
      <c r="D14" s="80" t="s">
        <v>2</v>
      </c>
      <c r="E14" s="81" t="s">
        <v>66</v>
      </c>
      <c r="F14" s="82" t="s">
        <v>67</v>
      </c>
      <c r="G14" s="274" t="s">
        <v>68</v>
      </c>
      <c r="H14" s="275"/>
      <c r="I14" s="276" t="s">
        <v>69</v>
      </c>
      <c r="J14" s="274" t="s">
        <v>70</v>
      </c>
      <c r="K14" s="278"/>
      <c r="L14" s="275"/>
      <c r="M14" s="276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72"/>
      <c r="B15" s="241"/>
      <c r="C15" s="235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77"/>
      <c r="J15" s="88" t="s">
        <v>78</v>
      </c>
      <c r="K15" s="90" t="s">
        <v>79</v>
      </c>
      <c r="L15" s="91" t="s">
        <v>80</v>
      </c>
      <c r="M15" s="277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52" t="s">
        <v>84</v>
      </c>
      <c r="B25" s="253"/>
      <c r="C25" s="254"/>
      <c r="D25" s="248"/>
      <c r="E25" s="248"/>
      <c r="F25" s="279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55" t="s">
        <v>85</v>
      </c>
      <c r="C28" s="256"/>
      <c r="D28" s="256"/>
      <c r="E28" s="256"/>
      <c r="F28" s="256"/>
      <c r="G28" s="256"/>
      <c r="H28" s="256"/>
      <c r="I28" s="256"/>
      <c r="J28" s="256"/>
      <c r="K28" s="256"/>
      <c r="L28" s="257"/>
      <c r="N28" s="264" t="s">
        <v>86</v>
      </c>
      <c r="O28" s="265"/>
      <c r="P28" s="152">
        <f>I25</f>
        <v>0</v>
      </c>
    </row>
    <row r="29" spans="1:19 16384:16384" ht="15" customHeight="1" x14ac:dyDescent="0.35">
      <c r="B29" s="258"/>
      <c r="C29" s="259"/>
      <c r="D29" s="259"/>
      <c r="E29" s="259"/>
      <c r="F29" s="259"/>
      <c r="G29" s="259"/>
      <c r="H29" s="259"/>
      <c r="I29" s="259"/>
      <c r="J29" s="259"/>
      <c r="K29" s="259"/>
      <c r="L29" s="260"/>
      <c r="N29" s="266" t="s">
        <v>87</v>
      </c>
      <c r="O29" s="267"/>
      <c r="P29" s="153">
        <f>L25</f>
        <v>0</v>
      </c>
    </row>
    <row r="30" spans="1:19 16384:16384" ht="15" customHeight="1" x14ac:dyDescent="0.35">
      <c r="B30" s="258"/>
      <c r="C30" s="259"/>
      <c r="D30" s="259"/>
      <c r="E30" s="259"/>
      <c r="F30" s="259"/>
      <c r="G30" s="259"/>
      <c r="H30" s="259"/>
      <c r="I30" s="259"/>
      <c r="J30" s="259"/>
      <c r="K30" s="259"/>
      <c r="L30" s="260"/>
      <c r="N30" s="266" t="s">
        <v>4</v>
      </c>
      <c r="O30" s="267"/>
      <c r="P30" s="154">
        <f>K25</f>
        <v>0</v>
      </c>
    </row>
    <row r="31" spans="1:19 16384:16384" ht="15" customHeight="1" x14ac:dyDescent="0.35">
      <c r="B31" s="258"/>
      <c r="C31" s="259"/>
      <c r="D31" s="259"/>
      <c r="E31" s="259"/>
      <c r="F31" s="259"/>
      <c r="G31" s="259"/>
      <c r="H31" s="259"/>
      <c r="I31" s="259"/>
      <c r="J31" s="259"/>
      <c r="K31" s="259"/>
      <c r="L31" s="260"/>
      <c r="M31" s="2"/>
      <c r="N31" s="266" t="s">
        <v>88</v>
      </c>
      <c r="O31" s="267"/>
      <c r="P31" s="153">
        <f>P28-P29-P30</f>
        <v>0</v>
      </c>
    </row>
    <row r="32" spans="1:19 16384:16384" ht="15" customHeight="1" x14ac:dyDescent="0.35">
      <c r="B32" s="258"/>
      <c r="C32" s="259"/>
      <c r="D32" s="259"/>
      <c r="E32" s="259"/>
      <c r="F32" s="259"/>
      <c r="G32" s="259"/>
      <c r="H32" s="259"/>
      <c r="I32" s="259"/>
      <c r="J32" s="259"/>
      <c r="K32" s="259"/>
      <c r="L32" s="260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58"/>
      <c r="C33" s="259"/>
      <c r="D33" s="259"/>
      <c r="E33" s="259"/>
      <c r="F33" s="259"/>
      <c r="G33" s="259"/>
      <c r="H33" s="259"/>
      <c r="I33" s="259"/>
      <c r="J33" s="259"/>
      <c r="K33" s="259"/>
      <c r="L33" s="260"/>
      <c r="M33" s="2"/>
      <c r="N33" s="268" t="s">
        <v>90</v>
      </c>
      <c r="O33" s="269"/>
      <c r="P33" s="153">
        <f>P31+P32</f>
        <v>0</v>
      </c>
    </row>
    <row r="34" spans="2:16" ht="15" customHeight="1" thickBot="1" x14ac:dyDescent="0.4">
      <c r="B34" s="261"/>
      <c r="C34" s="262"/>
      <c r="D34" s="262"/>
      <c r="E34" s="262"/>
      <c r="F34" s="262"/>
      <c r="G34" s="262"/>
      <c r="H34" s="262"/>
      <c r="I34" s="262"/>
      <c r="J34" s="262"/>
      <c r="K34" s="262"/>
      <c r="L34" s="263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46" t="s">
        <v>92</v>
      </c>
      <c r="O35" s="247"/>
      <c r="P35" s="160">
        <f>P33+P34</f>
        <v>0</v>
      </c>
    </row>
    <row r="36" spans="2:16" ht="15" thickBot="1" x14ac:dyDescent="0.4">
      <c r="B36" s="161" t="s">
        <v>93</v>
      </c>
      <c r="C36" s="248"/>
      <c r="D36" s="248"/>
      <c r="E36" s="248"/>
      <c r="F36" s="248"/>
      <c r="G36" s="248"/>
      <c r="H36" s="248"/>
      <c r="I36" s="249"/>
      <c r="J36" s="250"/>
      <c r="K36" s="251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8470F-B032-488C-B609-66B4C325A7F0}">
  <dimension ref="A3:L37"/>
  <sheetViews>
    <sheetView topLeftCell="A16" zoomScale="55" zoomScaleNormal="55" workbookViewId="0">
      <selection activeCell="L27" sqref="L27"/>
    </sheetView>
  </sheetViews>
  <sheetFormatPr defaultRowHeight="14.5" x14ac:dyDescent="0.35"/>
  <cols>
    <col min="1" max="1" width="7.1796875" bestFit="1" customWidth="1"/>
    <col min="2" max="2" width="8.81640625" bestFit="1" customWidth="1"/>
    <col min="3" max="3" width="22.36328125" style="55" bestFit="1" customWidth="1"/>
    <col min="4" max="4" width="9.6328125" bestFit="1" customWidth="1"/>
    <col min="5" max="5" width="7" bestFit="1" customWidth="1"/>
    <col min="6" max="6" width="7.54296875" bestFit="1" customWidth="1"/>
    <col min="7" max="7" width="8.7265625" bestFit="1" customWidth="1"/>
    <col min="8" max="8" width="12.1796875" bestFit="1" customWidth="1"/>
    <col min="9" max="9" width="7" bestFit="1" customWidth="1"/>
    <col min="10" max="10" width="7.54296875" bestFit="1" customWidth="1"/>
    <col min="11" max="11" width="8.7265625" bestFit="1" customWidth="1"/>
    <col min="12" max="12" width="12.1796875" bestFit="1" customWidth="1"/>
  </cols>
  <sheetData>
    <row r="3" spans="1:12" ht="15" thickBot="1" x14ac:dyDescent="0.4"/>
    <row r="4" spans="1:12" x14ac:dyDescent="0.35">
      <c r="B4" s="280" t="s">
        <v>106</v>
      </c>
      <c r="C4" s="281"/>
      <c r="D4" s="281"/>
      <c r="E4" s="281"/>
      <c r="F4" s="281"/>
      <c r="G4" s="281"/>
      <c r="H4" s="281"/>
      <c r="I4" s="281"/>
      <c r="J4" s="281"/>
      <c r="K4" s="281"/>
      <c r="L4" s="282"/>
    </row>
    <row r="5" spans="1:12" x14ac:dyDescent="0.35">
      <c r="B5" s="283"/>
      <c r="C5" s="284"/>
      <c r="D5" s="284"/>
      <c r="E5" s="284"/>
      <c r="F5" s="284"/>
      <c r="G5" s="284"/>
      <c r="H5" s="284"/>
      <c r="I5" s="284"/>
      <c r="J5" s="284"/>
      <c r="K5" s="284"/>
      <c r="L5" s="285"/>
    </row>
    <row r="6" spans="1:12" x14ac:dyDescent="0.35">
      <c r="B6" s="283"/>
      <c r="C6" s="284"/>
      <c r="D6" s="284"/>
      <c r="E6" s="284"/>
      <c r="F6" s="284"/>
      <c r="G6" s="284"/>
      <c r="H6" s="284"/>
      <c r="I6" s="284"/>
      <c r="J6" s="284"/>
      <c r="K6" s="284"/>
      <c r="L6" s="285"/>
    </row>
    <row r="7" spans="1:12" ht="15" thickBot="1" x14ac:dyDescent="0.4">
      <c r="B7" s="286"/>
      <c r="C7" s="287"/>
      <c r="D7" s="287"/>
      <c r="E7" s="287"/>
      <c r="F7" s="287"/>
      <c r="G7" s="287"/>
      <c r="H7" s="287"/>
      <c r="I7" s="287"/>
      <c r="J7" s="287"/>
      <c r="K7" s="287"/>
      <c r="L7" s="288"/>
    </row>
    <row r="8" spans="1:12" ht="26.5" thickBot="1" x14ac:dyDescent="0.65">
      <c r="B8" s="180"/>
      <c r="C8" s="181"/>
      <c r="D8" s="182" t="s">
        <v>107</v>
      </c>
      <c r="E8" s="289" t="s">
        <v>108</v>
      </c>
      <c r="F8" s="290"/>
      <c r="G8" s="290"/>
      <c r="H8" s="291"/>
      <c r="I8" s="290" t="s">
        <v>109</v>
      </c>
      <c r="J8" s="290"/>
      <c r="K8" s="290"/>
      <c r="L8" s="291"/>
    </row>
    <row r="9" spans="1:12" ht="21" x14ac:dyDescent="0.5">
      <c r="A9" s="183" t="s">
        <v>110</v>
      </c>
      <c r="B9" s="183" t="s">
        <v>111</v>
      </c>
      <c r="C9" s="184" t="s">
        <v>112</v>
      </c>
      <c r="D9" s="185" t="s">
        <v>113</v>
      </c>
      <c r="E9" s="186" t="s">
        <v>114</v>
      </c>
      <c r="F9" s="187" t="s">
        <v>115</v>
      </c>
      <c r="G9" s="187" t="s">
        <v>116</v>
      </c>
      <c r="H9" s="188" t="s">
        <v>117</v>
      </c>
      <c r="I9" s="189" t="s">
        <v>114</v>
      </c>
      <c r="J9" s="187" t="s">
        <v>115</v>
      </c>
      <c r="K9" s="187" t="s">
        <v>116</v>
      </c>
      <c r="L9" s="188" t="s">
        <v>117</v>
      </c>
    </row>
    <row r="10" spans="1:12" ht="21" x14ac:dyDescent="0.5">
      <c r="A10" s="190"/>
      <c r="B10" s="190"/>
      <c r="C10" s="191"/>
      <c r="D10" s="192"/>
      <c r="E10" s="192"/>
      <c r="F10" s="192"/>
      <c r="G10" s="192"/>
      <c r="H10" s="192"/>
      <c r="I10" s="192"/>
      <c r="J10" s="192"/>
      <c r="K10" s="192"/>
      <c r="L10" s="192"/>
    </row>
    <row r="11" spans="1:12" ht="21" x14ac:dyDescent="0.5">
      <c r="A11" s="190"/>
      <c r="B11" s="190"/>
      <c r="C11" s="191"/>
      <c r="D11" s="192"/>
      <c r="E11" s="192"/>
      <c r="F11" s="192"/>
      <c r="G11" s="192"/>
      <c r="H11" s="192"/>
      <c r="I11" s="192"/>
      <c r="J11" s="192"/>
      <c r="K11" s="192"/>
      <c r="L11" s="192"/>
    </row>
    <row r="12" spans="1:12" ht="21" x14ac:dyDescent="0.5">
      <c r="A12" s="190"/>
      <c r="B12" s="190"/>
      <c r="C12" s="191"/>
      <c r="D12" s="192"/>
      <c r="E12" s="192"/>
      <c r="F12" s="192"/>
      <c r="G12" s="192"/>
      <c r="H12" s="192"/>
      <c r="I12" s="192"/>
      <c r="J12" s="192"/>
      <c r="K12" s="192"/>
      <c r="L12" s="192"/>
    </row>
    <row r="13" spans="1:12" ht="21" x14ac:dyDescent="0.5">
      <c r="A13" s="190"/>
      <c r="B13" s="190"/>
      <c r="C13" s="191"/>
      <c r="D13" s="192"/>
      <c r="E13" s="192"/>
      <c r="F13" s="192"/>
      <c r="G13" s="192"/>
      <c r="H13" s="192"/>
      <c r="I13" s="192"/>
      <c r="J13" s="192"/>
      <c r="K13" s="192"/>
      <c r="L13" s="192"/>
    </row>
    <row r="14" spans="1:12" ht="21" x14ac:dyDescent="0.5">
      <c r="A14" s="190"/>
      <c r="B14" s="190"/>
      <c r="C14" s="191"/>
      <c r="D14" s="192"/>
      <c r="E14" s="192"/>
      <c r="F14" s="192"/>
      <c r="G14" s="192"/>
      <c r="H14" s="192"/>
      <c r="I14" s="192"/>
      <c r="J14" s="192"/>
      <c r="K14" s="192"/>
      <c r="L14" s="192"/>
    </row>
    <row r="15" spans="1:12" ht="21" x14ac:dyDescent="0.5">
      <c r="A15" s="191"/>
      <c r="B15" s="191"/>
      <c r="C15" s="191"/>
      <c r="D15" s="192"/>
      <c r="E15" s="192"/>
      <c r="F15" s="192"/>
      <c r="G15" s="192"/>
      <c r="H15" s="192"/>
      <c r="I15" s="192"/>
      <c r="J15" s="192"/>
      <c r="K15" s="192"/>
      <c r="L15" s="192"/>
    </row>
    <row r="16" spans="1:12" ht="21" x14ac:dyDescent="0.5">
      <c r="A16" s="191"/>
      <c r="B16" s="191"/>
      <c r="C16" s="191"/>
      <c r="D16" s="192"/>
      <c r="E16" s="192"/>
      <c r="F16" s="192"/>
      <c r="G16" s="192"/>
      <c r="H16" s="192"/>
      <c r="I16" s="192"/>
      <c r="J16" s="192"/>
      <c r="K16" s="192"/>
      <c r="L16" s="192"/>
    </row>
    <row r="17" spans="1:12" ht="21" x14ac:dyDescent="0.5">
      <c r="A17" s="191"/>
      <c r="B17" s="191"/>
      <c r="C17" s="191"/>
      <c r="D17" s="192"/>
      <c r="E17" s="192"/>
      <c r="F17" s="192"/>
      <c r="G17" s="192"/>
      <c r="H17" s="192"/>
      <c r="I17" s="192"/>
      <c r="J17" s="192"/>
      <c r="K17" s="192"/>
      <c r="L17" s="192"/>
    </row>
    <row r="18" spans="1:12" ht="21" x14ac:dyDescent="0.5">
      <c r="A18" s="193"/>
      <c r="B18" s="191"/>
      <c r="C18" s="191"/>
      <c r="D18" s="192"/>
      <c r="E18" s="192"/>
      <c r="F18" s="192"/>
      <c r="G18" s="192"/>
      <c r="H18" s="192"/>
      <c r="I18" s="192"/>
      <c r="J18" s="192"/>
      <c r="K18" s="192"/>
      <c r="L18" s="192"/>
    </row>
    <row r="19" spans="1:12" ht="21" x14ac:dyDescent="0.5">
      <c r="A19" s="193"/>
      <c r="B19" s="191"/>
      <c r="C19" s="191"/>
      <c r="D19" s="192"/>
      <c r="E19" s="192"/>
      <c r="F19" s="192"/>
      <c r="G19" s="192"/>
      <c r="H19" s="192"/>
      <c r="I19" s="192"/>
      <c r="J19" s="192"/>
      <c r="K19" s="192"/>
      <c r="L19" s="192"/>
    </row>
    <row r="20" spans="1:12" ht="21" x14ac:dyDescent="0.5">
      <c r="A20" s="193"/>
      <c r="B20" s="191"/>
      <c r="C20" s="191"/>
      <c r="D20" s="192"/>
      <c r="E20" s="192"/>
      <c r="F20" s="192"/>
      <c r="G20" s="192"/>
      <c r="H20" s="192"/>
      <c r="I20" s="192"/>
      <c r="J20" s="192"/>
      <c r="K20" s="192"/>
      <c r="L20" s="192"/>
    </row>
    <row r="21" spans="1:12" ht="21" x14ac:dyDescent="0.5">
      <c r="A21" s="193"/>
      <c r="B21" s="191"/>
      <c r="C21" s="191"/>
      <c r="D21" s="192"/>
      <c r="E21" s="192"/>
      <c r="F21" s="192"/>
      <c r="G21" s="192"/>
      <c r="H21" s="192"/>
      <c r="I21" s="192"/>
      <c r="J21" s="192"/>
      <c r="K21" s="192"/>
      <c r="L21" s="192"/>
    </row>
    <row r="22" spans="1:12" ht="21" x14ac:dyDescent="0.5">
      <c r="A22" s="193"/>
      <c r="B22" s="191"/>
      <c r="C22" s="191"/>
      <c r="D22" s="192"/>
      <c r="E22" s="192"/>
      <c r="F22" s="192"/>
      <c r="G22" s="192"/>
      <c r="H22" s="192"/>
      <c r="I22" s="192"/>
      <c r="J22" s="192"/>
      <c r="K22" s="192"/>
      <c r="L22" s="192"/>
    </row>
    <row r="23" spans="1:12" ht="21" x14ac:dyDescent="0.5">
      <c r="A23" s="193"/>
      <c r="B23" s="191"/>
      <c r="C23" s="191"/>
      <c r="D23" s="192"/>
      <c r="E23" s="192"/>
      <c r="F23" s="192"/>
      <c r="G23" s="192"/>
      <c r="H23" s="192"/>
      <c r="I23" s="192"/>
      <c r="J23" s="192"/>
      <c r="K23" s="192"/>
      <c r="L23" s="192"/>
    </row>
    <row r="24" spans="1:12" ht="21" x14ac:dyDescent="0.5">
      <c r="A24" s="193"/>
      <c r="B24" s="191"/>
      <c r="C24" s="191"/>
      <c r="D24" s="192"/>
      <c r="E24" s="192"/>
      <c r="F24" s="192"/>
      <c r="G24" s="192"/>
      <c r="H24" s="192"/>
      <c r="I24" s="192"/>
      <c r="J24" s="192"/>
      <c r="K24" s="192"/>
      <c r="L24" s="192"/>
    </row>
    <row r="25" spans="1:12" ht="21" x14ac:dyDescent="0.5">
      <c r="A25" s="193"/>
      <c r="B25" s="191"/>
      <c r="C25" s="191"/>
      <c r="D25" s="192"/>
      <c r="E25" s="192"/>
      <c r="F25" s="192"/>
      <c r="G25" s="192"/>
      <c r="H25" s="192"/>
      <c r="I25" s="192"/>
      <c r="J25" s="192"/>
      <c r="K25" s="192"/>
      <c r="L25" s="192"/>
    </row>
    <row r="26" spans="1:12" ht="21" x14ac:dyDescent="0.5">
      <c r="A26" s="193"/>
      <c r="B26" s="191"/>
      <c r="C26" s="191"/>
      <c r="D26" s="192"/>
      <c r="E26" s="192"/>
      <c r="F26" s="192"/>
      <c r="G26" s="192"/>
      <c r="H26" s="192"/>
      <c r="I26" s="192"/>
      <c r="J26" s="192"/>
      <c r="K26" s="192"/>
      <c r="L26" s="192"/>
    </row>
    <row r="27" spans="1:12" ht="21" x14ac:dyDescent="0.5">
      <c r="A27" s="193"/>
      <c r="B27" s="191"/>
      <c r="C27" s="191"/>
      <c r="D27" s="192"/>
      <c r="E27" s="192"/>
      <c r="F27" s="192"/>
      <c r="G27" s="192"/>
      <c r="H27" s="192"/>
      <c r="I27" s="192"/>
      <c r="J27" s="192"/>
      <c r="K27" s="192"/>
      <c r="L27" s="192"/>
    </row>
    <row r="28" spans="1:12" ht="21" x14ac:dyDescent="0.5">
      <c r="A28" s="193"/>
      <c r="B28" s="191"/>
      <c r="C28" s="191"/>
      <c r="D28" s="192"/>
      <c r="E28" s="192"/>
      <c r="F28" s="192"/>
      <c r="G28" s="192"/>
      <c r="H28" s="192"/>
      <c r="I28" s="192"/>
      <c r="J28" s="192"/>
      <c r="K28" s="192"/>
      <c r="L28" s="192"/>
    </row>
    <row r="29" spans="1:12" ht="21" x14ac:dyDescent="0.5">
      <c r="A29" s="193"/>
      <c r="B29" s="191"/>
      <c r="C29" s="191"/>
      <c r="D29" s="192"/>
      <c r="E29" s="192"/>
      <c r="F29" s="192"/>
      <c r="G29" s="192"/>
      <c r="H29" s="192"/>
      <c r="I29" s="192"/>
      <c r="J29" s="192"/>
      <c r="K29" s="192"/>
      <c r="L29" s="192"/>
    </row>
    <row r="30" spans="1:12" ht="21" x14ac:dyDescent="0.5">
      <c r="A30" s="193"/>
      <c r="B30" s="191"/>
      <c r="C30" s="191"/>
      <c r="D30" s="192"/>
      <c r="E30" s="192"/>
      <c r="F30" s="192"/>
      <c r="G30" s="192"/>
      <c r="H30" s="192"/>
      <c r="I30" s="192"/>
      <c r="J30" s="192"/>
      <c r="K30" s="192"/>
      <c r="L30" s="192"/>
    </row>
    <row r="31" spans="1:12" ht="21" x14ac:dyDescent="0.5">
      <c r="A31" s="193"/>
      <c r="B31" s="191"/>
      <c r="C31" s="191"/>
      <c r="D31" s="192"/>
      <c r="E31" s="192"/>
      <c r="F31" s="192"/>
      <c r="G31" s="192"/>
      <c r="H31" s="192"/>
      <c r="I31" s="192"/>
      <c r="J31" s="192"/>
      <c r="K31" s="192"/>
      <c r="L31" s="192"/>
    </row>
    <row r="32" spans="1:12" ht="21" x14ac:dyDescent="0.5">
      <c r="A32" s="193"/>
      <c r="B32" s="191"/>
      <c r="C32" s="191"/>
      <c r="D32" s="192"/>
      <c r="E32" s="192"/>
      <c r="F32" s="192"/>
      <c r="G32" s="192"/>
      <c r="H32" s="192"/>
      <c r="I32" s="192"/>
      <c r="J32" s="192"/>
      <c r="K32" s="192"/>
      <c r="L32" s="192"/>
    </row>
    <row r="33" spans="1:12" ht="21" x14ac:dyDescent="0.5">
      <c r="A33" s="193"/>
      <c r="B33" s="191"/>
      <c r="C33" s="191"/>
      <c r="D33" s="192"/>
      <c r="E33" s="192"/>
      <c r="F33" s="192"/>
      <c r="G33" s="192"/>
      <c r="H33" s="192"/>
      <c r="I33" s="192"/>
      <c r="J33" s="192"/>
      <c r="K33" s="192"/>
      <c r="L33" s="192"/>
    </row>
    <row r="34" spans="1:12" ht="21" x14ac:dyDescent="0.5">
      <c r="A34" s="193"/>
      <c r="B34" s="190"/>
      <c r="C34" s="194" t="s">
        <v>118</v>
      </c>
      <c r="D34" s="195">
        <f t="shared" ref="D34:L34" si="0">SUM(D10:D33)</f>
        <v>0</v>
      </c>
      <c r="E34" s="195">
        <f t="shared" si="0"/>
        <v>0</v>
      </c>
      <c r="F34" s="195">
        <f t="shared" si="0"/>
        <v>0</v>
      </c>
      <c r="G34" s="195">
        <f t="shared" si="0"/>
        <v>0</v>
      </c>
      <c r="H34" s="195">
        <f t="shared" si="0"/>
        <v>0</v>
      </c>
      <c r="I34" s="195">
        <f t="shared" si="0"/>
        <v>0</v>
      </c>
      <c r="J34" s="195">
        <f t="shared" si="0"/>
        <v>0</v>
      </c>
      <c r="K34" s="195">
        <f t="shared" si="0"/>
        <v>0</v>
      </c>
      <c r="L34" s="195">
        <f t="shared" si="0"/>
        <v>0</v>
      </c>
    </row>
    <row r="35" spans="1:12" ht="21" x14ac:dyDescent="0.5">
      <c r="B35" s="196"/>
      <c r="C35" s="197" t="s">
        <v>119</v>
      </c>
      <c r="D35" s="198"/>
      <c r="E35" s="199"/>
      <c r="F35" s="200"/>
      <c r="G35" s="200"/>
      <c r="H35" s="201"/>
      <c r="I35" s="202"/>
      <c r="J35" s="200"/>
      <c r="K35" s="200"/>
      <c r="L35" s="201"/>
    </row>
    <row r="36" spans="1:12" ht="21.5" thickBot="1" x14ac:dyDescent="0.55000000000000004">
      <c r="B36" s="196"/>
      <c r="C36" s="203" t="s">
        <v>120</v>
      </c>
      <c r="D36" s="204"/>
      <c r="E36" s="205"/>
      <c r="F36" s="206"/>
      <c r="G36" s="206"/>
      <c r="H36" s="207"/>
      <c r="I36" s="208"/>
      <c r="J36" s="206"/>
      <c r="K36" s="206"/>
      <c r="L36" s="207"/>
    </row>
    <row r="37" spans="1:12" x14ac:dyDescent="0.35">
      <c r="D37" s="209">
        <f>D34/40</f>
        <v>0</v>
      </c>
      <c r="E37" s="209">
        <f t="shared" ref="E37:L37" si="1">E34/40</f>
        <v>0</v>
      </c>
      <c r="F37" s="209">
        <f t="shared" si="1"/>
        <v>0</v>
      </c>
      <c r="G37" s="209">
        <f t="shared" si="1"/>
        <v>0</v>
      </c>
      <c r="H37" s="209">
        <f t="shared" si="1"/>
        <v>0</v>
      </c>
      <c r="I37" s="209">
        <f t="shared" si="1"/>
        <v>0</v>
      </c>
      <c r="J37" s="209">
        <f t="shared" si="1"/>
        <v>0</v>
      </c>
      <c r="K37" s="209">
        <f t="shared" si="1"/>
        <v>0</v>
      </c>
      <c r="L37" s="209">
        <f t="shared" si="1"/>
        <v>0</v>
      </c>
    </row>
  </sheetData>
  <mergeCells count="3">
    <mergeCell ref="B4:L7"/>
    <mergeCell ref="E8:H8"/>
    <mergeCell ref="I8:L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2026-06-16T09:17:09Z</dcterms:modified>
</cp:coreProperties>
</file>