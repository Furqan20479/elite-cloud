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DE966D28-8651-4D75-B722-9682C4040BA4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0" i="17" l="1"/>
  <c r="H21" i="17"/>
  <c r="H19" i="17"/>
  <c r="H26" i="16"/>
  <c r="L17" i="17" l="1"/>
  <c r="L18" i="17"/>
  <c r="L22" i="17"/>
  <c r="L23" i="17"/>
  <c r="L24" i="17"/>
  <c r="L16" i="17"/>
  <c r="L17" i="16" l="1"/>
  <c r="L18" i="16"/>
  <c r="L19" i="16"/>
  <c r="L20" i="16"/>
  <c r="L21" i="16"/>
  <c r="L22" i="16"/>
  <c r="L16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I20" i="17"/>
  <c r="I21" i="17"/>
  <c r="L21" i="17" s="1"/>
  <c r="I22" i="17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17" l="1"/>
  <c r="L20" i="17"/>
  <c r="K19" i="17"/>
  <c r="L19" i="17"/>
  <c r="M19" i="17" s="1"/>
  <c r="N19" i="17" s="1"/>
  <c r="O19" i="17" s="1"/>
  <c r="P19" i="17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K20" i="18"/>
  <c r="M20" i="18" s="1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20" i="17"/>
  <c r="N20" i="17" s="1"/>
  <c r="O20" i="17" s="1"/>
  <c r="K21" i="17"/>
  <c r="L22" i="24"/>
  <c r="M22" i="24" s="1"/>
  <c r="N22" i="24" s="1"/>
  <c r="O22" i="24" s="1"/>
  <c r="L21" i="23"/>
  <c r="M23" i="17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K18" i="15" s="1"/>
  <c r="I19" i="16"/>
  <c r="I20" i="16"/>
  <c r="K20" i="16" s="1"/>
  <c r="I21" i="16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P31" i="21" s="1"/>
  <c r="K16" i="15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P31" i="17" l="1"/>
  <c r="M17" i="15"/>
  <c r="M16" i="15"/>
  <c r="L25" i="16"/>
  <c r="P29" i="16" s="1"/>
  <c r="M22" i="16"/>
  <c r="N22" i="16" s="1"/>
  <c r="O22" i="16" s="1"/>
  <c r="O22" i="15" s="1"/>
  <c r="M18" i="16"/>
  <c r="N18" i="16" s="1"/>
  <c r="O18" i="16" s="1"/>
  <c r="O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17" l="1"/>
  <c r="N18" i="15"/>
  <c r="P18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<sst xmlns="http://schemas.openxmlformats.org/spreadsheetml/2006/main" count="1598" uniqueCount="127">
  <si>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</si>
  <si>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</si>
  <si>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</si>
  <si>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</si>
  <si>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</si>
  <si>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</si>
  <si>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</si>
  <si>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</si>
  <si>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</si>
  <si>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</si>
  <si>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</si>
  <si>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</si>
  <si>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</si>
  <si>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</si>
  <si>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</si>
  <si>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</si>
  <si>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</si>
  <si>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</si>
  <si>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</si>
  <si>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</si>
  <si>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</si>
  <si>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</si>
  <si>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</si>
  <si>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</si>
  <si>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</si>
  <si>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</si>
  <si>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</si>
  <si>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</si>
  <si>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</si>
  <si>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</si>
  <si>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</si>
  <si>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</si>
  <si>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</si>
  <si>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</si>
  <si>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</si>
  <si>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</si>
  <si>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</si>
  <si>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</si>
  <si>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</si>
  <si>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</si>
  <si>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</si>
  <si>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</si>
  <si>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</si>
  <si>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</si>
  <si>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</si>
  <si>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</si>
  <si>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</si>
  <si>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</si>
  <si>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</si>
  <si>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</si>
  <si>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</si>
  <si>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</si>
  <si>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</si>
  <si>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</si>
  <si>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</si>
  <si>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</si>
  <si>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</si>
  <si>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</si>
  <si>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</si>
  <si>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</si>
  <si>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</si>
  <si>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</si>
  <si>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</si>
  <si>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</si>
  <si>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</si>
  <si>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</si>
  <si>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</si>
  <si>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</si>
  <si>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</si>
  <si>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</si>
  <si>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</si>
  <si>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</si>
  <si>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</si>
  <si>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</si>
  <si>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</si>
  <si>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</si>
  <si>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</si>
  <si>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</si>
  <si>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</si>
  <si>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</si>
  <si>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</si>
  <si>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</si>
  <si>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</si>
  <si>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</si>
  <si>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</si>
  <si>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</si>
  <si>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</si>
  <si>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</si>
  <si>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</si>
  <si>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</si>
  <si>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</si>
  <si>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</si>
  <si>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</si>
  <si>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</si>
  <si>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</si>
  <si>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</si>
  <si>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</si>
  <si>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</si>
  <si>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</si>
  <si>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</si>
  <si>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</si>
  <si>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</si>
  <si>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</si>
  <si>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</si>
  <si>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</si>
  <si>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</si>
  <si>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</si>
  <si>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</si>
  <si>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</si>
  <si>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</si>
  <si>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</si>
  <si>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</si>
  <si>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</si>
  <si>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</si>
  <si>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</si>
  <si>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</si>
  <si>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</si>
  <si>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</si>
  <si>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</si>
  <si>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</si>
  <si>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</si>
  <si>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</si>
  <si>
    <t>Address: Main Market</t>
  </si>
  <si>
    <t>Customer Name : Jalal Sons</t>
  </si>
  <si>
    <t>1010737-1</t>
  </si>
  <si>
    <t xml:space="preserve">Customer Name : Asgher Butt </t>
  </si>
  <si>
    <t>Address:  Main Markit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</si>
</sst>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121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103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Jalal Sons</v>
      </c>
      <c r="U14" s="164">
        <f>+'1'!P35</f>
        <v>86195.943740999995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Asgher Butt </v>
      </c>
      <c r="U15" s="164">
        <f>+'2'!P35</f>
        <v>327010.75199999998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200</v>
      </c>
      <c r="I16" s="1">
        <f>(G16*D16)*F16+H16*F16</f>
        <v>10492.5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1259.0999999999999</v>
      </c>
      <c r="M16" s="106">
        <f>I16-K16-L16</f>
        <v>9233.4</v>
      </c>
      <c r="N16" s="101">
        <f>+'1'!N16+'2'!N16+'4'!N16+'3'!N16+'5'!N16+'6'!N16+'7'!N16+'8'!N16+'9'!N16+'10'!N16</f>
        <v>1662.0119999999999</v>
      </c>
      <c r="O16" s="101">
        <f>+'1'!O16+'2'!O16+'4'!O16+'3'!O16+'5'!O16+'6'!O16+'7'!O16+'8'!O16+'9'!O16+'10'!O16</f>
        <v>54.477060000000002</v>
      </c>
      <c r="P16" s="105">
        <f t="shared" ref="P16:P24" si="0">M16+N16+O16</f>
        <v>10949.88906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1259.0999999999999</v>
      </c>
      <c r="M17" s="118">
        <f t="shared" ref="M17:M23" si="2">I17-K17-L17</f>
        <v>9233.4</v>
      </c>
      <c r="N17" s="101">
        <f>+'1'!N17+'2'!N17+'4'!N17+'3'!N17+'5'!N17+'6'!N17+'7'!N17+'8'!N17+'9'!N17+'10'!N17</f>
        <v>1662.0119999999999</v>
      </c>
      <c r="O17" s="101">
        <f>+'1'!O17+'2'!O17+'4'!O17+'3'!O17+'5'!O17+'6'!O17+'7'!O17+'8'!O17+'9'!O17+'10'!O17</f>
        <v>54.477060000000002</v>
      </c>
      <c r="P17" s="120">
        <f t="shared" si="0"/>
        <v>10949.88906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200</v>
      </c>
      <c r="I18" s="1">
        <f t="shared" si="1"/>
        <v>10492.5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1259.0999999999999</v>
      </c>
      <c r="M18" s="118">
        <f t="shared" si="2"/>
        <v>9233.4</v>
      </c>
      <c r="N18" s="101">
        <f>+'1'!N18+'2'!N18+'4'!N18+'3'!N18+'5'!N18+'6'!N18+'7'!N18+'8'!N18+'9'!N18+'10'!N18</f>
        <v>1662.0119999999999</v>
      </c>
      <c r="O18" s="101">
        <f>+'1'!O18+'2'!O18+'4'!O18+'3'!O18+'5'!O18+'6'!O18+'7'!O18+'8'!O18+'9'!O18+'10'!O18</f>
        <v>54.477060000000002</v>
      </c>
      <c r="P18" s="120">
        <f t="shared" si="0"/>
        <v>10949.88906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760</v>
      </c>
      <c r="I19" s="1">
        <f t="shared" si="1"/>
        <v>55206.400000000001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9879.0400000000009</v>
      </c>
      <c r="M19" s="118">
        <f t="shared" si="2"/>
        <v>45327.360000000001</v>
      </c>
      <c r="N19" s="101">
        <f>+'1'!N19+'2'!N19+'4'!N19+'3'!N19+'5'!N19+'6'!N19+'7'!N19+'8'!N19+'9'!N19+'10'!N19</f>
        <v>18409.881600000001</v>
      </c>
      <c r="O19" s="101">
        <f>+'1'!O19+'2'!O19+'4'!O19+'3'!O19+'5'!O19+'6'!O19+'7'!O19+'8'!O19+'9'!O19+'10'!O19</f>
        <v>2308.6735359999998</v>
      </c>
      <c r="P19" s="120">
        <f t="shared" si="0"/>
        <v>66045.915135999996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760</v>
      </c>
      <c r="I20" s="1">
        <f t="shared" si="1"/>
        <v>55206.400000000001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9879.0400000000009</v>
      </c>
      <c r="M20" s="118">
        <f t="shared" si="2"/>
        <v>45327.360000000001</v>
      </c>
      <c r="N20" s="101">
        <f>+'1'!N20+'2'!N20+'4'!N20+'3'!N20+'5'!N20+'6'!N20+'7'!N20+'8'!N20+'9'!N20+'10'!N20</f>
        <v>18409.881600000001</v>
      </c>
      <c r="O20" s="101">
        <f>+'1'!O20+'2'!O20+'4'!O20+'3'!O20+'5'!O20+'6'!O20+'7'!O20+'8'!O20+'9'!O20+'10'!O20</f>
        <v>2308.6735359999998</v>
      </c>
      <c r="P20" s="120">
        <f t="shared" si="0"/>
        <v>66045.915135999996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1080</v>
      </c>
      <c r="I21" s="1">
        <f t="shared" si="1"/>
        <v>78451.199999999997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14528</v>
      </c>
      <c r="M21" s="118">
        <f t="shared" si="2"/>
        <v>63923.199999999997</v>
      </c>
      <c r="N21" s="101">
        <f>+'1'!N21+'2'!N21+'4'!N21+'3'!N21+'5'!N21+'6'!N21+'7'!N21+'8'!N21+'9'!N21+'10'!N21</f>
        <v>27614.822399999997</v>
      </c>
      <c r="O21" s="101">
        <f>+'1'!O21+'2'!O21+'4'!O21+'3'!O21+'5'!O21+'6'!O21+'7'!O21+'8'!O21+'9'!O21+'10'!O21</f>
        <v>3584.813056</v>
      </c>
      <c r="P21" s="120">
        <f t="shared" si="0"/>
        <v>95122.835455999986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200</v>
      </c>
      <c r="I22" s="1">
        <f t="shared" si="1"/>
        <v>7846.0000000000009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274.61000000000007</v>
      </c>
      <c r="L22" s="175">
        <f>+'1'!L22+'2'!L22+'4'!L22+'3'!L22+'5'!L22+'6'!L22+'7'!L22+'8'!L22+'9'!L22+'10'!L22</f>
        <v>941.5200000000001</v>
      </c>
      <c r="M22" s="118">
        <f t="shared" si="2"/>
        <v>6629.8700000000008</v>
      </c>
      <c r="N22" s="101">
        <f>+'1'!N22+'2'!N22+'4'!N22+'3'!N22+'5'!N22+'6'!N22+'7'!N22+'8'!N22+'9'!N22+'10'!N22</f>
        <v>1193.3766000000001</v>
      </c>
      <c r="O22" s="101">
        <f>+'1'!O22+'2'!O22+'4'!O22+'3'!O22+'5'!O22+'6'!O22+'7'!O22+'8'!O22+'9'!O22+'10'!O22</f>
        <v>39.116233000000001</v>
      </c>
      <c r="P22" s="120">
        <f t="shared" si="0"/>
        <v>7862.3628330000001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3400</v>
      </c>
      <c r="I25" s="178">
        <f t="shared" si="3"/>
        <v>228187.5</v>
      </c>
      <c r="J25" s="177">
        <f t="shared" si="3"/>
        <v>0</v>
      </c>
      <c r="K25" s="178">
        <f t="shared" si="3"/>
        <v>274.61000000000007</v>
      </c>
      <c r="L25" s="179">
        <f t="shared" si="3"/>
        <v>39004.9</v>
      </c>
      <c r="M25" s="141">
        <f t="shared" si="3"/>
        <v>188907.99</v>
      </c>
      <c r="N25" s="142">
        <f>SUM(N16:N24)</f>
        <v>70613.998200000002</v>
      </c>
      <c r="O25" s="143">
        <f>SUM(O16:O24)</f>
        <v>8404.7075409999998</v>
      </c>
      <c r="P25" s="144">
        <f>SUM(P16:P24)</f>
        <v>267926.695741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413206.695741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228187.5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39004.9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274.61000000000007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188907.99000000002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70613.998200000002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259521.98820000002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6488.0497050000013</v>
      </c>
    </row>
    <row r="35" spans="2:16" ht="15.75" customHeight="1" thickBot="1" x14ac:dyDescent="0.4">
      <c r="N35" s="223" t="s">
        <v>92</v>
      </c>
      <c r="O35" s="224"/>
      <c r="P35" s="160">
        <f>P33+P34</f>
        <v>266010.03790500003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123</v>
      </c>
      <c r="B5" s="250"/>
      <c r="C5" s="250"/>
      <c r="F5" s="70"/>
      <c r="G5" s="71"/>
      <c r="K5" s="205" t="s">
        <v>51</v>
      </c>
      <c r="L5" s="205"/>
      <c r="M5" s="205"/>
      <c r="N5" s="206">
        <f ca="1">N4</f>
        <v>46184</v>
      </c>
      <c r="O5" s="204"/>
      <c r="P5" s="204"/>
      <c r="R5" s="70"/>
      <c r="S5" s="71"/>
    </row>
    <row r="6" spans="1:19 16383:16384" ht="15" customHeight="1" x14ac:dyDescent="0.35">
      <c r="A6" s="205" t="s">
        <v>122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124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/>
      <c r="K16" s="104">
        <f>I16*$K$13</f>
        <v>0</v>
      </c>
      <c r="L16" s="105">
        <f>I16*12%</f>
        <v>1259.0999999999999</v>
      </c>
      <c r="M16" s="106">
        <f>I16-K16-L16</f>
        <v>9233.4</v>
      </c>
      <c r="N16" s="106">
        <f t="shared" ref="N16:N24" si="0">(M16*$N$15)+(J16*F16)*$N$15</f>
        <v>1662.0119999999999</v>
      </c>
      <c r="O16" s="107">
        <f t="shared" ref="O16:O24" si="1">(N16+M16)*$O$15</f>
        <v>54.477060000000002</v>
      </c>
      <c r="P16" s="105">
        <f t="shared" ref="P16:P24" si="2">M16+N16+O16</f>
        <v>10949.88906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/>
      <c r="K17" s="1">
        <f t="shared" ref="K17:K21" si="4">I17*$K$13</f>
        <v>0</v>
      </c>
      <c r="L17" s="105">
        <f t="shared" ref="L17:L22" si="5">I17*12%</f>
        <v>1259.0999999999999</v>
      </c>
      <c r="M17" s="118">
        <f t="shared" ref="M17:M23" si="6">I17-K17-L17</f>
        <v>9233.4</v>
      </c>
      <c r="N17" s="118">
        <f t="shared" si="0"/>
        <v>1662.0119999999999</v>
      </c>
      <c r="O17" s="119">
        <f t="shared" si="1"/>
        <v>54.477060000000002</v>
      </c>
      <c r="P17" s="120">
        <f t="shared" si="2"/>
        <v>10949.88906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200</v>
      </c>
      <c r="I18" s="116">
        <f t="shared" si="3"/>
        <v>10492.5</v>
      </c>
      <c r="J18" s="117"/>
      <c r="K18" s="1">
        <f t="shared" si="4"/>
        <v>0</v>
      </c>
      <c r="L18" s="105">
        <f t="shared" si="5"/>
        <v>1259.0999999999999</v>
      </c>
      <c r="M18" s="118">
        <f t="shared" si="6"/>
        <v>9233.4</v>
      </c>
      <c r="N18" s="118">
        <f t="shared" si="0"/>
        <v>1662.0119999999999</v>
      </c>
      <c r="O18" s="119">
        <f t="shared" si="1"/>
        <v>54.477060000000002</v>
      </c>
      <c r="P18" s="120">
        <f t="shared" si="2"/>
        <v>10949.88906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200</v>
      </c>
      <c r="I19" s="116">
        <f t="shared" si="3"/>
        <v>14528</v>
      </c>
      <c r="J19" s="117"/>
      <c r="K19" s="1">
        <f t="shared" si="4"/>
        <v>0</v>
      </c>
      <c r="L19" s="105">
        <f t="shared" si="5"/>
        <v>1743.36</v>
      </c>
      <c r="M19" s="118">
        <f t="shared" si="6"/>
        <v>12784.64</v>
      </c>
      <c r="N19" s="118">
        <f t="shared" si="0"/>
        <v>2301.2351999999996</v>
      </c>
      <c r="O19" s="119">
        <f t="shared" si="1"/>
        <v>75.429375999999991</v>
      </c>
      <c r="P19" s="120">
        <f t="shared" si="2"/>
        <v>15161.304575999999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200</v>
      </c>
      <c r="I20" s="116">
        <f t="shared" si="3"/>
        <v>14528</v>
      </c>
      <c r="J20" s="117"/>
      <c r="K20" s="1">
        <f t="shared" si="4"/>
        <v>0</v>
      </c>
      <c r="L20" s="105">
        <f t="shared" si="5"/>
        <v>1743.36</v>
      </c>
      <c r="M20" s="118">
        <f t="shared" si="6"/>
        <v>12784.64</v>
      </c>
      <c r="N20" s="118">
        <f t="shared" si="0"/>
        <v>2301.2351999999996</v>
      </c>
      <c r="O20" s="119">
        <f t="shared" si="1"/>
        <v>75.429375999999991</v>
      </c>
      <c r="P20" s="120">
        <f t="shared" si="2"/>
        <v>15161.304575999999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200</v>
      </c>
      <c r="I21" s="116">
        <f t="shared" si="3"/>
        <v>14528</v>
      </c>
      <c r="J21" s="117"/>
      <c r="K21" s="1">
        <f t="shared" si="4"/>
        <v>0</v>
      </c>
      <c r="L21" s="105">
        <f t="shared" si="5"/>
        <v>1743.36</v>
      </c>
      <c r="M21" s="118">
        <f t="shared" si="6"/>
        <v>12784.64</v>
      </c>
      <c r="N21" s="118">
        <f t="shared" si="0"/>
        <v>2301.2351999999996</v>
      </c>
      <c r="O21" s="119">
        <f t="shared" si="1"/>
        <v>75.429375999999991</v>
      </c>
      <c r="P21" s="120">
        <f t="shared" si="2"/>
        <v>15161.304575999999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200</v>
      </c>
      <c r="I22" s="116">
        <f t="shared" si="3"/>
        <v>7846.0000000000009</v>
      </c>
      <c r="J22" s="117"/>
      <c r="K22" s="1">
        <f>I22*3.5%</f>
        <v>274.61000000000007</v>
      </c>
      <c r="L22" s="105">
        <f t="shared" si="5"/>
        <v>941.5200000000001</v>
      </c>
      <c r="M22" s="118">
        <f t="shared" si="6"/>
        <v>6629.8700000000008</v>
      </c>
      <c r="N22" s="118">
        <f t="shared" si="0"/>
        <v>1193.3766000000001</v>
      </c>
      <c r="O22" s="119">
        <f t="shared" si="1"/>
        <v>39.116233000000001</v>
      </c>
      <c r="P22" s="120">
        <f t="shared" si="2"/>
        <v>7862.3628330000001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1400</v>
      </c>
      <c r="I25" s="137">
        <f t="shared" si="9"/>
        <v>82907.5</v>
      </c>
      <c r="J25" s="138"/>
      <c r="K25" s="139">
        <f t="shared" si="9"/>
        <v>274.61000000000007</v>
      </c>
      <c r="L25" s="140">
        <f t="shared" si="9"/>
        <v>9948.9</v>
      </c>
      <c r="M25" s="141">
        <f t="shared" si="9"/>
        <v>72683.989999999991</v>
      </c>
      <c r="N25" s="142">
        <f>SUM(N16:N24)</f>
        <v>13083.118199999997</v>
      </c>
      <c r="O25" s="143">
        <f>SUM(O16:O24)</f>
        <v>428.83554100000003</v>
      </c>
      <c r="P25" s="144">
        <f>SUM(P16:P24)</f>
        <v>86195.943740999995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35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82907.5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9948.9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274.61000000000007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72683.990000000005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13083.118199999997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85767.108200000002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428.83554100000003</v>
      </c>
    </row>
    <row r="35" spans="2:16" ht="15.75" customHeight="1" thickBot="1" x14ac:dyDescent="0.4">
      <c r="N35" s="223" t="s">
        <v>92</v>
      </c>
      <c r="O35" s="224"/>
      <c r="P35" s="160">
        <f>P33+P34</f>
        <v>86195.943740999995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126</v>
      </c>
      <c r="B6" s="205"/>
      <c r="C6" s="205"/>
      <c r="F6" s="70"/>
      <c r="G6" s="74"/>
      <c r="K6" s="205" t="s">
        <v>52</v>
      </c>
      <c r="L6" s="205"/>
      <c r="M6" s="205"/>
      <c r="N6" s="207" t="s">
        <v>106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I16*10%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4" si="4">I17*10%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>
        <v>14</v>
      </c>
      <c r="H19" s="115">
        <f>G19*40</f>
        <v>560</v>
      </c>
      <c r="I19" s="116">
        <f t="shared" si="2"/>
        <v>81356.800000000003</v>
      </c>
      <c r="J19" s="117"/>
      <c r="K19" s="1">
        <f t="shared" si="3"/>
        <v>0</v>
      </c>
      <c r="L19" s="105">
        <f t="shared" si="4"/>
        <v>8135.68</v>
      </c>
      <c r="M19" s="118">
        <f t="shared" si="5"/>
        <v>73221.119999999995</v>
      </c>
      <c r="N19" s="118">
        <f t="shared" si="0"/>
        <v>16108.6464</v>
      </c>
      <c r="O19" s="119">
        <f t="shared" si="6"/>
        <v>2233.2441599999997</v>
      </c>
      <c r="P19" s="120">
        <f t="shared" si="1"/>
        <v>91563.010559999995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>
        <v>14</v>
      </c>
      <c r="H20" s="115">
        <f t="shared" ref="H20:H21" si="7">G20*40</f>
        <v>560</v>
      </c>
      <c r="I20" s="116">
        <f t="shared" si="2"/>
        <v>81356.800000000003</v>
      </c>
      <c r="J20" s="117"/>
      <c r="K20" s="1">
        <f t="shared" si="3"/>
        <v>0</v>
      </c>
      <c r="L20" s="105">
        <f t="shared" si="4"/>
        <v>8135.68</v>
      </c>
      <c r="M20" s="118">
        <f t="shared" si="5"/>
        <v>73221.119999999995</v>
      </c>
      <c r="N20" s="118">
        <f t="shared" si="0"/>
        <v>16108.6464</v>
      </c>
      <c r="O20" s="119">
        <f t="shared" si="6"/>
        <v>2233.2441599999997</v>
      </c>
      <c r="P20" s="120">
        <f t="shared" si="1"/>
        <v>91563.010559999995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>
        <v>22</v>
      </c>
      <c r="H21" s="115">
        <f t="shared" si="7"/>
        <v>880</v>
      </c>
      <c r="I21" s="116">
        <f t="shared" si="2"/>
        <v>127846.39999999999</v>
      </c>
      <c r="J21" s="117"/>
      <c r="K21" s="1">
        <f t="shared" si="3"/>
        <v>0</v>
      </c>
      <c r="L21" s="105">
        <f t="shared" si="4"/>
        <v>12784.64</v>
      </c>
      <c r="M21" s="118">
        <f t="shared" si="5"/>
        <v>115061.75999999999</v>
      </c>
      <c r="N21" s="118">
        <f t="shared" si="0"/>
        <v>25313.587199999998</v>
      </c>
      <c r="O21" s="119">
        <f t="shared" si="6"/>
        <v>3509.3836799999999</v>
      </c>
      <c r="P21" s="120">
        <f t="shared" si="1"/>
        <v>143884.73087999999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8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8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50</v>
      </c>
      <c r="H25" s="136">
        <f t="shared" si="9"/>
        <v>2000</v>
      </c>
      <c r="I25" s="137">
        <f t="shared" si="9"/>
        <v>290560</v>
      </c>
      <c r="J25" s="138"/>
      <c r="K25" s="139">
        <f t="shared" si="9"/>
        <v>0</v>
      </c>
      <c r="L25" s="140">
        <f t="shared" si="9"/>
        <v>29056</v>
      </c>
      <c r="M25" s="141">
        <f t="shared" si="9"/>
        <v>261504</v>
      </c>
      <c r="N25" s="142">
        <f>SUM(N16:N24)</f>
        <v>57530.879999999997</v>
      </c>
      <c r="O25" s="143">
        <f>SUM(O16:O24)</f>
        <v>7975.8719999999994</v>
      </c>
      <c r="P25" s="144">
        <f>SUM(P16:P24)</f>
        <v>327010.75199999998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290560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29056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261504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57530.879999999997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319034.88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7975.8720000000003</v>
      </c>
    </row>
    <row r="35" spans="2:16" ht="15.75" customHeight="1" thickBot="1" x14ac:dyDescent="0.4">
      <c r="N35" s="223" t="s">
        <v>92</v>
      </c>
      <c r="O35" s="224"/>
      <c r="P35" s="160">
        <f>P33+P34</f>
        <v>327010.75199999998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107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112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114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>
        <v>3520242563059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120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2026-06-11T06:44:46Z</dcterms:modified>
</cp:coreProperties>
</file>