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ne 2026\"/>
    </mc:Choice>
  </mc:AlternateContent>
  <xr:revisionPtr revIDLastSave="0" documentId="13_ncr:1_{546F29D5-8F12-4B44-B0E5-B4758FCB0D79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99" i="1" l="1"/>
  <c r="S400" i="1"/>
  <c r="S401" i="1"/>
  <c r="S402" i="1"/>
  <c r="S403" i="1"/>
  <c r="S404" i="1"/>
  <c r="S405" i="1"/>
  <c r="Z424" i="1"/>
  <c r="Y424" i="1"/>
  <c r="X424" i="1"/>
  <c r="Z423" i="1"/>
  <c r="Y423" i="1"/>
  <c r="X423" i="1"/>
  <c r="Z422" i="1"/>
  <c r="Y422" i="1"/>
  <c r="X422" i="1"/>
  <c r="Z421" i="1"/>
  <c r="Y421" i="1"/>
  <c r="X421" i="1"/>
  <c r="Z420" i="1"/>
  <c r="Y420" i="1"/>
  <c r="X420" i="1"/>
  <c r="Z419" i="1"/>
  <c r="Y419" i="1"/>
  <c r="X419" i="1"/>
  <c r="Z418" i="1"/>
  <c r="Y418" i="1"/>
  <c r="X418" i="1"/>
  <c r="Z417" i="1"/>
  <c r="Y417" i="1"/>
  <c r="X417" i="1"/>
  <c r="Z416" i="1"/>
  <c r="Y416" i="1"/>
  <c r="X416" i="1"/>
  <c r="Z415" i="1"/>
  <c r="Y415" i="1"/>
  <c r="X415" i="1"/>
  <c r="Z414" i="1"/>
  <c r="Y414" i="1"/>
  <c r="X414" i="1"/>
  <c r="Z413" i="1"/>
  <c r="Y413" i="1"/>
  <c r="X413" i="1"/>
  <c r="Z412" i="1"/>
  <c r="Y412" i="1"/>
  <c r="X412" i="1"/>
  <c r="Z411" i="1"/>
  <c r="Y411" i="1"/>
  <c r="X411" i="1"/>
  <c r="Z410" i="1"/>
  <c r="Y410" i="1"/>
  <c r="X410" i="1"/>
  <c r="Z409" i="1"/>
  <c r="Y409" i="1"/>
  <c r="X409" i="1"/>
  <c r="AA409" i="1" s="1"/>
  <c r="Z408" i="1"/>
  <c r="Y408" i="1"/>
  <c r="X408" i="1"/>
  <c r="Z407" i="1"/>
  <c r="Y407" i="1"/>
  <c r="X407" i="1"/>
  <c r="Z406" i="1"/>
  <c r="Y406" i="1"/>
  <c r="X406" i="1"/>
  <c r="Z405" i="1"/>
  <c r="Y405" i="1"/>
  <c r="X405" i="1"/>
  <c r="AA405" i="1" s="1"/>
  <c r="Z404" i="1"/>
  <c r="Y404" i="1"/>
  <c r="X404" i="1"/>
  <c r="Z403" i="1"/>
  <c r="Y403" i="1"/>
  <c r="X403" i="1"/>
  <c r="Z402" i="1"/>
  <c r="Y402" i="1"/>
  <c r="X402" i="1"/>
  <c r="Z401" i="1"/>
  <c r="Y401" i="1"/>
  <c r="X401" i="1"/>
  <c r="AA401" i="1" s="1"/>
  <c r="Z400" i="1"/>
  <c r="Y400" i="1"/>
  <c r="X400" i="1"/>
  <c r="Z399" i="1"/>
  <c r="Y399" i="1"/>
  <c r="X399" i="1"/>
  <c r="Z398" i="1"/>
  <c r="Y398" i="1"/>
  <c r="X398" i="1"/>
  <c r="Z397" i="1"/>
  <c r="Y397" i="1"/>
  <c r="X397" i="1"/>
  <c r="AA397" i="1" s="1"/>
  <c r="Z396" i="1"/>
  <c r="Y396" i="1"/>
  <c r="X396" i="1"/>
  <c r="Z395" i="1"/>
  <c r="Y395" i="1"/>
  <c r="X395" i="1"/>
  <c r="Z394" i="1"/>
  <c r="Y394" i="1"/>
  <c r="X394" i="1"/>
  <c r="Z393" i="1"/>
  <c r="Y393" i="1"/>
  <c r="X393" i="1"/>
  <c r="AA393" i="1" s="1"/>
  <c r="Z392" i="1"/>
  <c r="Y392" i="1"/>
  <c r="X392" i="1"/>
  <c r="Z391" i="1"/>
  <c r="Y391" i="1"/>
  <c r="X391" i="1"/>
  <c r="Z390" i="1"/>
  <c r="Y390" i="1"/>
  <c r="X390" i="1"/>
  <c r="Z389" i="1"/>
  <c r="Y389" i="1"/>
  <c r="X389" i="1"/>
  <c r="AA389" i="1" s="1"/>
  <c r="Z388" i="1"/>
  <c r="Y388" i="1"/>
  <c r="X388" i="1"/>
  <c r="Z387" i="1"/>
  <c r="Y387" i="1"/>
  <c r="X387" i="1"/>
  <c r="Z386" i="1"/>
  <c r="Y386" i="1"/>
  <c r="X386" i="1"/>
  <c r="Z385" i="1"/>
  <c r="Y385" i="1"/>
  <c r="X385" i="1"/>
  <c r="Z384" i="1"/>
  <c r="Y384" i="1"/>
  <c r="X384" i="1"/>
  <c r="Z383" i="1"/>
  <c r="Y383" i="1"/>
  <c r="X383" i="1"/>
  <c r="Z382" i="1"/>
  <c r="Y382" i="1"/>
  <c r="X382" i="1"/>
  <c r="Z381" i="1"/>
  <c r="Y381" i="1"/>
  <c r="X381" i="1"/>
  <c r="AA381" i="1" s="1"/>
  <c r="Z380" i="1"/>
  <c r="Y380" i="1"/>
  <c r="X380" i="1"/>
  <c r="Z379" i="1"/>
  <c r="Y379" i="1"/>
  <c r="X379" i="1"/>
  <c r="Z378" i="1"/>
  <c r="Y378" i="1"/>
  <c r="X378" i="1"/>
  <c r="Z377" i="1"/>
  <c r="Y377" i="1"/>
  <c r="X377" i="1"/>
  <c r="AA377" i="1" s="1"/>
  <c r="Z376" i="1"/>
  <c r="Y376" i="1"/>
  <c r="X376" i="1"/>
  <c r="Z375" i="1"/>
  <c r="Y375" i="1"/>
  <c r="X375" i="1"/>
  <c r="Z374" i="1"/>
  <c r="Y374" i="1"/>
  <c r="X374" i="1"/>
  <c r="Z373" i="1"/>
  <c r="Y373" i="1"/>
  <c r="X373" i="1"/>
  <c r="AA373" i="1" s="1"/>
  <c r="Z372" i="1"/>
  <c r="Y372" i="1"/>
  <c r="X372" i="1"/>
  <c r="Z371" i="1"/>
  <c r="Y371" i="1"/>
  <c r="X371" i="1"/>
  <c r="Z370" i="1"/>
  <c r="Y370" i="1"/>
  <c r="X370" i="1"/>
  <c r="Z369" i="1"/>
  <c r="Y369" i="1"/>
  <c r="X369" i="1"/>
  <c r="AA369" i="1" s="1"/>
  <c r="Z368" i="1"/>
  <c r="Y368" i="1"/>
  <c r="X368" i="1"/>
  <c r="Z367" i="1"/>
  <c r="Y367" i="1"/>
  <c r="X367" i="1"/>
  <c r="Z366" i="1"/>
  <c r="Y366" i="1"/>
  <c r="X366" i="1"/>
  <c r="Z365" i="1"/>
  <c r="Y365" i="1"/>
  <c r="X365" i="1"/>
  <c r="AA365" i="1" s="1"/>
  <c r="Z364" i="1"/>
  <c r="Y364" i="1"/>
  <c r="X364" i="1"/>
  <c r="Z363" i="1"/>
  <c r="Y363" i="1"/>
  <c r="X363" i="1"/>
  <c r="Z362" i="1"/>
  <c r="Y362" i="1"/>
  <c r="X362" i="1"/>
  <c r="Z361" i="1"/>
  <c r="Y361" i="1"/>
  <c r="X361" i="1"/>
  <c r="AA361" i="1" s="1"/>
  <c r="Z360" i="1"/>
  <c r="Y360" i="1"/>
  <c r="X360" i="1"/>
  <c r="Z359" i="1"/>
  <c r="Y359" i="1"/>
  <c r="X359" i="1"/>
  <c r="Z358" i="1"/>
  <c r="Y358" i="1"/>
  <c r="X358" i="1"/>
  <c r="Z357" i="1"/>
  <c r="Y357" i="1"/>
  <c r="X357" i="1"/>
  <c r="AA357" i="1" s="1"/>
  <c r="Z356" i="1"/>
  <c r="Y356" i="1"/>
  <c r="X356" i="1"/>
  <c r="Z355" i="1"/>
  <c r="Y355" i="1"/>
  <c r="X355" i="1"/>
  <c r="Z354" i="1"/>
  <c r="Y354" i="1"/>
  <c r="X354" i="1"/>
  <c r="Z353" i="1"/>
  <c r="Y353" i="1"/>
  <c r="X353" i="1"/>
  <c r="AA353" i="1" s="1"/>
  <c r="Z352" i="1"/>
  <c r="Y352" i="1"/>
  <c r="X352" i="1"/>
  <c r="Z351" i="1"/>
  <c r="Y351" i="1"/>
  <c r="X351" i="1"/>
  <c r="Z350" i="1"/>
  <c r="Y350" i="1"/>
  <c r="X350" i="1"/>
  <c r="Z349" i="1"/>
  <c r="Y349" i="1"/>
  <c r="X349" i="1"/>
  <c r="AA349" i="1" s="1"/>
  <c r="Z348" i="1"/>
  <c r="Y348" i="1"/>
  <c r="X348" i="1"/>
  <c r="Z347" i="1"/>
  <c r="Y347" i="1"/>
  <c r="X347" i="1"/>
  <c r="Z346" i="1"/>
  <c r="Y346" i="1"/>
  <c r="X346" i="1"/>
  <c r="Z345" i="1"/>
  <c r="Y345" i="1"/>
  <c r="X345" i="1"/>
  <c r="AA345" i="1" s="1"/>
  <c r="Z344" i="1"/>
  <c r="Y344" i="1"/>
  <c r="X344" i="1"/>
  <c r="Z343" i="1"/>
  <c r="Y343" i="1"/>
  <c r="X343" i="1"/>
  <c r="Z342" i="1"/>
  <c r="Y342" i="1"/>
  <c r="X342" i="1"/>
  <c r="Z341" i="1"/>
  <c r="Y341" i="1"/>
  <c r="X341" i="1"/>
  <c r="AA341" i="1" s="1"/>
  <c r="Z340" i="1"/>
  <c r="Y340" i="1"/>
  <c r="X340" i="1"/>
  <c r="Z339" i="1"/>
  <c r="Y339" i="1"/>
  <c r="X339" i="1"/>
  <c r="Z338" i="1"/>
  <c r="Y338" i="1"/>
  <c r="X338" i="1"/>
  <c r="Z337" i="1"/>
  <c r="Y337" i="1"/>
  <c r="X337" i="1"/>
  <c r="AA337" i="1" s="1"/>
  <c r="Z336" i="1"/>
  <c r="Y336" i="1"/>
  <c r="X336" i="1"/>
  <c r="Z335" i="1"/>
  <c r="Y335" i="1"/>
  <c r="X335" i="1"/>
  <c r="Z334" i="1"/>
  <c r="Y334" i="1"/>
  <c r="X334" i="1"/>
  <c r="Z333" i="1"/>
  <c r="Y333" i="1"/>
  <c r="X333" i="1"/>
  <c r="AA333" i="1" s="1"/>
  <c r="Z332" i="1"/>
  <c r="Y332" i="1"/>
  <c r="X332" i="1"/>
  <c r="Z331" i="1"/>
  <c r="Y331" i="1"/>
  <c r="X331" i="1"/>
  <c r="Z330" i="1"/>
  <c r="Y330" i="1"/>
  <c r="X330" i="1"/>
  <c r="Z329" i="1"/>
  <c r="Y329" i="1"/>
  <c r="X329" i="1"/>
  <c r="AA329" i="1" s="1"/>
  <c r="Z328" i="1"/>
  <c r="Y328" i="1"/>
  <c r="X328" i="1"/>
  <c r="Z327" i="1"/>
  <c r="Y327" i="1"/>
  <c r="X327" i="1"/>
  <c r="Z326" i="1"/>
  <c r="Y326" i="1"/>
  <c r="X326" i="1"/>
  <c r="Z325" i="1"/>
  <c r="Y325" i="1"/>
  <c r="X325" i="1"/>
  <c r="AA325" i="1" s="1"/>
  <c r="Z324" i="1"/>
  <c r="Y324" i="1"/>
  <c r="X324" i="1"/>
  <c r="Z323" i="1"/>
  <c r="Y323" i="1"/>
  <c r="X323" i="1"/>
  <c r="Z322" i="1"/>
  <c r="Y322" i="1"/>
  <c r="X322" i="1"/>
  <c r="Z321" i="1"/>
  <c r="Y321" i="1"/>
  <c r="X321" i="1"/>
  <c r="AA321" i="1" s="1"/>
  <c r="Z320" i="1"/>
  <c r="Y320" i="1"/>
  <c r="X320" i="1"/>
  <c r="Z319" i="1"/>
  <c r="Y319" i="1"/>
  <c r="X319" i="1"/>
  <c r="Z318" i="1"/>
  <c r="Y318" i="1"/>
  <c r="X318" i="1"/>
  <c r="Z317" i="1"/>
  <c r="Y317" i="1"/>
  <c r="X317" i="1"/>
  <c r="AA317" i="1" s="1"/>
  <c r="Z316" i="1"/>
  <c r="Y316" i="1"/>
  <c r="X316" i="1"/>
  <c r="Z315" i="1"/>
  <c r="Y315" i="1"/>
  <c r="X315" i="1"/>
  <c r="Z314" i="1"/>
  <c r="Y314" i="1"/>
  <c r="X314" i="1"/>
  <c r="Z313" i="1"/>
  <c r="Y313" i="1"/>
  <c r="X313" i="1"/>
  <c r="AA313" i="1" s="1"/>
  <c r="Z312" i="1"/>
  <c r="Y312" i="1"/>
  <c r="X312" i="1"/>
  <c r="Z311" i="1"/>
  <c r="Y311" i="1"/>
  <c r="X311" i="1"/>
  <c r="Z310" i="1"/>
  <c r="Y310" i="1"/>
  <c r="X310" i="1"/>
  <c r="Z309" i="1"/>
  <c r="Y309" i="1"/>
  <c r="X309" i="1"/>
  <c r="AA309" i="1" s="1"/>
  <c r="Z308" i="1"/>
  <c r="Y308" i="1"/>
  <c r="X308" i="1"/>
  <c r="Z307" i="1"/>
  <c r="Y307" i="1"/>
  <c r="X307" i="1"/>
  <c r="Z306" i="1"/>
  <c r="Y306" i="1"/>
  <c r="X306" i="1"/>
  <c r="Z305" i="1"/>
  <c r="Y305" i="1"/>
  <c r="X305" i="1"/>
  <c r="AA305" i="1" s="1"/>
  <c r="Z304" i="1"/>
  <c r="Y304" i="1"/>
  <c r="X304" i="1"/>
  <c r="Z303" i="1"/>
  <c r="Y303" i="1"/>
  <c r="X303" i="1"/>
  <c r="Z302" i="1"/>
  <c r="Y302" i="1"/>
  <c r="X302" i="1"/>
  <c r="Z301" i="1"/>
  <c r="Y301" i="1"/>
  <c r="X301" i="1"/>
  <c r="AA301" i="1" s="1"/>
  <c r="Z300" i="1"/>
  <c r="Y300" i="1"/>
  <c r="X300" i="1"/>
  <c r="Z299" i="1"/>
  <c r="Y299" i="1"/>
  <c r="X299" i="1"/>
  <c r="Z298" i="1"/>
  <c r="Y298" i="1"/>
  <c r="X298" i="1"/>
  <c r="Z297" i="1"/>
  <c r="Y297" i="1"/>
  <c r="X297" i="1"/>
  <c r="Z296" i="1"/>
  <c r="Y296" i="1"/>
  <c r="X296" i="1"/>
  <c r="Z295" i="1"/>
  <c r="Y295" i="1"/>
  <c r="X295" i="1"/>
  <c r="Z294" i="1"/>
  <c r="Y294" i="1"/>
  <c r="X294" i="1"/>
  <c r="Z293" i="1"/>
  <c r="Y293" i="1"/>
  <c r="X293" i="1"/>
  <c r="AA293" i="1" s="1"/>
  <c r="Z292" i="1"/>
  <c r="Y292" i="1"/>
  <c r="X292" i="1"/>
  <c r="Z291" i="1"/>
  <c r="Y291" i="1"/>
  <c r="X291" i="1"/>
  <c r="Z290" i="1"/>
  <c r="Y290" i="1"/>
  <c r="X290" i="1"/>
  <c r="Z289" i="1"/>
  <c r="Y289" i="1"/>
  <c r="X289" i="1"/>
  <c r="AA289" i="1" s="1"/>
  <c r="Z288" i="1"/>
  <c r="Y288" i="1"/>
  <c r="X288" i="1"/>
  <c r="Z287" i="1"/>
  <c r="Y287" i="1"/>
  <c r="X287" i="1"/>
  <c r="Z286" i="1"/>
  <c r="Y286" i="1"/>
  <c r="X286" i="1"/>
  <c r="Z285" i="1"/>
  <c r="Y285" i="1"/>
  <c r="X285" i="1"/>
  <c r="AA285" i="1" s="1"/>
  <c r="Z284" i="1"/>
  <c r="Y284" i="1"/>
  <c r="X284" i="1"/>
  <c r="Z283" i="1"/>
  <c r="Y283" i="1"/>
  <c r="X283" i="1"/>
  <c r="Z282" i="1"/>
  <c r="Y282" i="1"/>
  <c r="X282" i="1"/>
  <c r="Z281" i="1"/>
  <c r="Y281" i="1"/>
  <c r="X281" i="1"/>
  <c r="AA281" i="1" s="1"/>
  <c r="Z280" i="1"/>
  <c r="Y280" i="1"/>
  <c r="X280" i="1"/>
  <c r="Z279" i="1"/>
  <c r="Y279" i="1"/>
  <c r="X279" i="1"/>
  <c r="Z278" i="1"/>
  <c r="Y278" i="1"/>
  <c r="X278" i="1"/>
  <c r="Z277" i="1"/>
  <c r="Y277" i="1"/>
  <c r="X277" i="1"/>
  <c r="AA277" i="1" s="1"/>
  <c r="Z276" i="1"/>
  <c r="Y276" i="1"/>
  <c r="X276" i="1"/>
  <c r="Z275" i="1"/>
  <c r="Y275" i="1"/>
  <c r="X275" i="1"/>
  <c r="Z274" i="1"/>
  <c r="Y274" i="1"/>
  <c r="X274" i="1"/>
  <c r="Z273" i="1"/>
  <c r="Y273" i="1"/>
  <c r="X273" i="1"/>
  <c r="AA273" i="1" s="1"/>
  <c r="Z272" i="1"/>
  <c r="Y272" i="1"/>
  <c r="X272" i="1"/>
  <c r="Z271" i="1"/>
  <c r="Y271" i="1"/>
  <c r="X271" i="1"/>
  <c r="Z270" i="1"/>
  <c r="Y270" i="1"/>
  <c r="X270" i="1"/>
  <c r="Z269" i="1"/>
  <c r="Y269" i="1"/>
  <c r="X269" i="1"/>
  <c r="AA269" i="1" s="1"/>
  <c r="Z268" i="1"/>
  <c r="Y268" i="1"/>
  <c r="X268" i="1"/>
  <c r="Z267" i="1"/>
  <c r="Y267" i="1"/>
  <c r="X267" i="1"/>
  <c r="Z266" i="1"/>
  <c r="Y266" i="1"/>
  <c r="X266" i="1"/>
  <c r="Z265" i="1"/>
  <c r="Y265" i="1"/>
  <c r="X265" i="1"/>
  <c r="AA265" i="1" s="1"/>
  <c r="Z264" i="1"/>
  <c r="Y264" i="1"/>
  <c r="X264" i="1"/>
  <c r="Z263" i="1"/>
  <c r="Y263" i="1"/>
  <c r="X263" i="1"/>
  <c r="Z262" i="1"/>
  <c r="Y262" i="1"/>
  <c r="X262" i="1"/>
  <c r="Z261" i="1"/>
  <c r="Y261" i="1"/>
  <c r="X261" i="1"/>
  <c r="AA261" i="1" s="1"/>
  <c r="Z260" i="1"/>
  <c r="Y260" i="1"/>
  <c r="X260" i="1"/>
  <c r="Z259" i="1"/>
  <c r="Y259" i="1"/>
  <c r="X259" i="1"/>
  <c r="Z258" i="1"/>
  <c r="Y258" i="1"/>
  <c r="X258" i="1"/>
  <c r="Z257" i="1"/>
  <c r="Y257" i="1"/>
  <c r="X257" i="1"/>
  <c r="AA257" i="1" s="1"/>
  <c r="Z256" i="1"/>
  <c r="Y256" i="1"/>
  <c r="X256" i="1"/>
  <c r="Z255" i="1"/>
  <c r="Y255" i="1"/>
  <c r="X255" i="1"/>
  <c r="Z254" i="1"/>
  <c r="Y254" i="1"/>
  <c r="X254" i="1"/>
  <c r="Z253" i="1"/>
  <c r="Y253" i="1"/>
  <c r="X253" i="1"/>
  <c r="AA253" i="1" s="1"/>
  <c r="Z252" i="1"/>
  <c r="Y252" i="1"/>
  <c r="X252" i="1"/>
  <c r="Z251" i="1"/>
  <c r="Y251" i="1"/>
  <c r="X251" i="1"/>
  <c r="Z250" i="1"/>
  <c r="Y250" i="1"/>
  <c r="X250" i="1"/>
  <c r="Z249" i="1"/>
  <c r="Y249" i="1"/>
  <c r="X249" i="1"/>
  <c r="AA249" i="1" s="1"/>
  <c r="Z248" i="1"/>
  <c r="Y248" i="1"/>
  <c r="X248" i="1"/>
  <c r="Z247" i="1"/>
  <c r="Y247" i="1"/>
  <c r="X247" i="1"/>
  <c r="Z246" i="1"/>
  <c r="Y246" i="1"/>
  <c r="X246" i="1"/>
  <c r="Z245" i="1"/>
  <c r="Y245" i="1"/>
  <c r="X245" i="1"/>
  <c r="AA245" i="1" s="1"/>
  <c r="Z244" i="1"/>
  <c r="Y244" i="1"/>
  <c r="X244" i="1"/>
  <c r="Z243" i="1"/>
  <c r="Y243" i="1"/>
  <c r="X243" i="1"/>
  <c r="Z242" i="1"/>
  <c r="Y242" i="1"/>
  <c r="X242" i="1"/>
  <c r="Z241" i="1"/>
  <c r="Y241" i="1"/>
  <c r="X241" i="1"/>
  <c r="AA241" i="1" s="1"/>
  <c r="Z240" i="1"/>
  <c r="Y240" i="1"/>
  <c r="X240" i="1"/>
  <c r="Z239" i="1"/>
  <c r="Y239" i="1"/>
  <c r="X239" i="1"/>
  <c r="Z238" i="1"/>
  <c r="Y238" i="1"/>
  <c r="X238" i="1"/>
  <c r="Z237" i="1"/>
  <c r="Y237" i="1"/>
  <c r="X237" i="1"/>
  <c r="AA237" i="1" s="1"/>
  <c r="Z236" i="1"/>
  <c r="Y236" i="1"/>
  <c r="X236" i="1"/>
  <c r="Z235" i="1"/>
  <c r="Y235" i="1"/>
  <c r="X235" i="1"/>
  <c r="Z234" i="1"/>
  <c r="Y234" i="1"/>
  <c r="X234" i="1"/>
  <c r="Z233" i="1"/>
  <c r="Y233" i="1"/>
  <c r="X233" i="1"/>
  <c r="AA233" i="1" s="1"/>
  <c r="Z232" i="1"/>
  <c r="Y232" i="1"/>
  <c r="X232" i="1"/>
  <c r="Z231" i="1"/>
  <c r="Y231" i="1"/>
  <c r="X231" i="1"/>
  <c r="Z230" i="1"/>
  <c r="Y230" i="1"/>
  <c r="X230" i="1"/>
  <c r="Z229" i="1"/>
  <c r="Y229" i="1"/>
  <c r="X229" i="1"/>
  <c r="AA229" i="1" s="1"/>
  <c r="Z228" i="1"/>
  <c r="Y228" i="1"/>
  <c r="X228" i="1"/>
  <c r="Z227" i="1"/>
  <c r="Y227" i="1"/>
  <c r="X227" i="1"/>
  <c r="Z226" i="1"/>
  <c r="Y226" i="1"/>
  <c r="X226" i="1"/>
  <c r="Z225" i="1"/>
  <c r="Y225" i="1"/>
  <c r="X225" i="1"/>
  <c r="AA225" i="1" s="1"/>
  <c r="Z224" i="1"/>
  <c r="Y224" i="1"/>
  <c r="X224" i="1"/>
  <c r="Z223" i="1"/>
  <c r="Y223" i="1"/>
  <c r="X223" i="1"/>
  <c r="Z222" i="1"/>
  <c r="Y222" i="1"/>
  <c r="X222" i="1"/>
  <c r="Z221" i="1"/>
  <c r="Y221" i="1"/>
  <c r="X221" i="1"/>
  <c r="AA221" i="1" s="1"/>
  <c r="Z220" i="1"/>
  <c r="Y220" i="1"/>
  <c r="X220" i="1"/>
  <c r="Z219" i="1"/>
  <c r="Y219" i="1"/>
  <c r="X219" i="1"/>
  <c r="Z218" i="1"/>
  <c r="Y218" i="1"/>
  <c r="X218" i="1"/>
  <c r="Z217" i="1"/>
  <c r="Y217" i="1"/>
  <c r="X217" i="1"/>
  <c r="AA217" i="1" s="1"/>
  <c r="Z216" i="1"/>
  <c r="Y216" i="1"/>
  <c r="X216" i="1"/>
  <c r="Z215" i="1"/>
  <c r="Y215" i="1"/>
  <c r="X215" i="1"/>
  <c r="Z214" i="1"/>
  <c r="Y214" i="1"/>
  <c r="X214" i="1"/>
  <c r="Z213" i="1"/>
  <c r="Y213" i="1"/>
  <c r="X213" i="1"/>
  <c r="AA213" i="1" s="1"/>
  <c r="Z212" i="1"/>
  <c r="Y212" i="1"/>
  <c r="X212" i="1"/>
  <c r="Z211" i="1"/>
  <c r="Y211" i="1"/>
  <c r="X211" i="1"/>
  <c r="Z210" i="1"/>
  <c r="Y210" i="1"/>
  <c r="X210" i="1"/>
  <c r="Z209" i="1"/>
  <c r="Y209" i="1"/>
  <c r="X209" i="1"/>
  <c r="AA209" i="1" s="1"/>
  <c r="Z208" i="1"/>
  <c r="Y208" i="1"/>
  <c r="X208" i="1"/>
  <c r="Z207" i="1"/>
  <c r="Y207" i="1"/>
  <c r="X207" i="1"/>
  <c r="Z206" i="1"/>
  <c r="Y206" i="1"/>
  <c r="X206" i="1"/>
  <c r="Z205" i="1"/>
  <c r="Y205" i="1"/>
  <c r="X205" i="1"/>
  <c r="AA205" i="1" s="1"/>
  <c r="Z204" i="1"/>
  <c r="Y204" i="1"/>
  <c r="X204" i="1"/>
  <c r="Z203" i="1"/>
  <c r="Y203" i="1"/>
  <c r="X203" i="1"/>
  <c r="Z202" i="1"/>
  <c r="Y202" i="1"/>
  <c r="X202" i="1"/>
  <c r="Z201" i="1"/>
  <c r="Y201" i="1"/>
  <c r="X201" i="1"/>
  <c r="AA201" i="1" s="1"/>
  <c r="Z200" i="1"/>
  <c r="Y200" i="1"/>
  <c r="X200" i="1"/>
  <c r="Z199" i="1"/>
  <c r="Y199" i="1"/>
  <c r="X199" i="1"/>
  <c r="Z198" i="1"/>
  <c r="Y198" i="1"/>
  <c r="X198" i="1"/>
  <c r="Z197" i="1"/>
  <c r="Y197" i="1"/>
  <c r="X197" i="1"/>
  <c r="AA197" i="1" s="1"/>
  <c r="Z196" i="1"/>
  <c r="Y196" i="1"/>
  <c r="X196" i="1"/>
  <c r="Z195" i="1"/>
  <c r="Y195" i="1"/>
  <c r="X195" i="1"/>
  <c r="Z194" i="1"/>
  <c r="Y194" i="1"/>
  <c r="X194" i="1"/>
  <c r="Z193" i="1"/>
  <c r="Y193" i="1"/>
  <c r="X193" i="1"/>
  <c r="AA193" i="1" s="1"/>
  <c r="Z192" i="1"/>
  <c r="Y192" i="1"/>
  <c r="X192" i="1"/>
  <c r="Z191" i="1"/>
  <c r="Y191" i="1"/>
  <c r="X191" i="1"/>
  <c r="Z190" i="1"/>
  <c r="Y190" i="1"/>
  <c r="X190" i="1"/>
  <c r="Z189" i="1"/>
  <c r="Y189" i="1"/>
  <c r="X189" i="1"/>
  <c r="AA189" i="1" s="1"/>
  <c r="Z188" i="1"/>
  <c r="Y188" i="1"/>
  <c r="X188" i="1"/>
  <c r="Z187" i="1"/>
  <c r="Y187" i="1"/>
  <c r="X187" i="1"/>
  <c r="Z186" i="1"/>
  <c r="Y186" i="1"/>
  <c r="X186" i="1"/>
  <c r="Z185" i="1"/>
  <c r="Y185" i="1"/>
  <c r="X185" i="1"/>
  <c r="AA185" i="1" s="1"/>
  <c r="Z184" i="1"/>
  <c r="Y184" i="1"/>
  <c r="X184" i="1"/>
  <c r="Z183" i="1"/>
  <c r="Y183" i="1"/>
  <c r="X183" i="1"/>
  <c r="Z182" i="1"/>
  <c r="Y182" i="1"/>
  <c r="X182" i="1"/>
  <c r="Z181" i="1"/>
  <c r="Y181" i="1"/>
  <c r="X181" i="1"/>
  <c r="AA181" i="1" s="1"/>
  <c r="Z180" i="1"/>
  <c r="Y180" i="1"/>
  <c r="X180" i="1"/>
  <c r="Z179" i="1"/>
  <c r="Y179" i="1"/>
  <c r="X179" i="1"/>
  <c r="Z178" i="1"/>
  <c r="Y178" i="1"/>
  <c r="X178" i="1"/>
  <c r="Z177" i="1"/>
  <c r="Y177" i="1"/>
  <c r="X177" i="1"/>
  <c r="AA177" i="1" s="1"/>
  <c r="Z176" i="1"/>
  <c r="Y176" i="1"/>
  <c r="X176" i="1"/>
  <c r="Z175" i="1"/>
  <c r="Y175" i="1"/>
  <c r="X175" i="1"/>
  <c r="Z174" i="1"/>
  <c r="Y174" i="1"/>
  <c r="X174" i="1"/>
  <c r="Z173" i="1"/>
  <c r="Y173" i="1"/>
  <c r="X173" i="1"/>
  <c r="AA173" i="1" s="1"/>
  <c r="Z172" i="1"/>
  <c r="Y172" i="1"/>
  <c r="X172" i="1"/>
  <c r="Z171" i="1"/>
  <c r="Y171" i="1"/>
  <c r="X171" i="1"/>
  <c r="Z170" i="1"/>
  <c r="Y170" i="1"/>
  <c r="X170" i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Z165" i="1"/>
  <c r="Y165" i="1"/>
  <c r="X165" i="1"/>
  <c r="AA165" i="1" s="1"/>
  <c r="Z164" i="1"/>
  <c r="Y164" i="1"/>
  <c r="X164" i="1"/>
  <c r="Z163" i="1"/>
  <c r="Y163" i="1"/>
  <c r="X163" i="1"/>
  <c r="Z162" i="1"/>
  <c r="Y162" i="1"/>
  <c r="X162" i="1"/>
  <c r="Z161" i="1"/>
  <c r="Y161" i="1"/>
  <c r="X161" i="1"/>
  <c r="AA161" i="1" s="1"/>
  <c r="Z160" i="1"/>
  <c r="Y160" i="1"/>
  <c r="X160" i="1"/>
  <c r="Z159" i="1"/>
  <c r="Y159" i="1"/>
  <c r="X159" i="1"/>
  <c r="Z158" i="1"/>
  <c r="Y158" i="1"/>
  <c r="X158" i="1"/>
  <c r="Z157" i="1"/>
  <c r="Y157" i="1"/>
  <c r="X157" i="1"/>
  <c r="AA157" i="1" s="1"/>
  <c r="Z156" i="1"/>
  <c r="Y156" i="1"/>
  <c r="X156" i="1"/>
  <c r="Z155" i="1"/>
  <c r="Y155" i="1"/>
  <c r="X155" i="1"/>
  <c r="Z154" i="1"/>
  <c r="Y154" i="1"/>
  <c r="X154" i="1"/>
  <c r="Z153" i="1"/>
  <c r="Y153" i="1"/>
  <c r="X153" i="1"/>
  <c r="AA153" i="1" s="1"/>
  <c r="Z152" i="1"/>
  <c r="Y152" i="1"/>
  <c r="X152" i="1"/>
  <c r="Z151" i="1"/>
  <c r="Y151" i="1"/>
  <c r="X151" i="1"/>
  <c r="Z150" i="1"/>
  <c r="Y150" i="1"/>
  <c r="X150" i="1"/>
  <c r="Z149" i="1"/>
  <c r="Y149" i="1"/>
  <c r="X149" i="1"/>
  <c r="AA149" i="1" s="1"/>
  <c r="Z148" i="1"/>
  <c r="Y148" i="1"/>
  <c r="X148" i="1"/>
  <c r="Z147" i="1"/>
  <c r="Y147" i="1"/>
  <c r="X147" i="1"/>
  <c r="Z146" i="1"/>
  <c r="Y146" i="1"/>
  <c r="X146" i="1"/>
  <c r="Z145" i="1"/>
  <c r="Y145" i="1"/>
  <c r="X145" i="1"/>
  <c r="AA145" i="1" s="1"/>
  <c r="Z144" i="1"/>
  <c r="Y144" i="1"/>
  <c r="X144" i="1"/>
  <c r="Z143" i="1"/>
  <c r="Y143" i="1"/>
  <c r="X143" i="1"/>
  <c r="Z142" i="1"/>
  <c r="Y142" i="1"/>
  <c r="X142" i="1"/>
  <c r="Z141" i="1"/>
  <c r="Y141" i="1"/>
  <c r="X141" i="1"/>
  <c r="AA141" i="1" s="1"/>
  <c r="Z140" i="1"/>
  <c r="Y140" i="1"/>
  <c r="X140" i="1"/>
  <c r="Z139" i="1"/>
  <c r="Y139" i="1"/>
  <c r="X139" i="1"/>
  <c r="Z138" i="1"/>
  <c r="Y138" i="1"/>
  <c r="X138" i="1"/>
  <c r="Z137" i="1"/>
  <c r="Y137" i="1"/>
  <c r="X137" i="1"/>
  <c r="AA137" i="1" s="1"/>
  <c r="Z136" i="1"/>
  <c r="Y136" i="1"/>
  <c r="X136" i="1"/>
  <c r="Z135" i="1"/>
  <c r="Y135" i="1"/>
  <c r="X135" i="1"/>
  <c r="Z134" i="1"/>
  <c r="Y134" i="1"/>
  <c r="X134" i="1"/>
  <c r="Z133" i="1"/>
  <c r="Y133" i="1"/>
  <c r="X133" i="1"/>
  <c r="AA133" i="1" s="1"/>
  <c r="Z132" i="1"/>
  <c r="Y132" i="1"/>
  <c r="X132" i="1"/>
  <c r="Z131" i="1"/>
  <c r="Y131" i="1"/>
  <c r="X131" i="1"/>
  <c r="Z130" i="1"/>
  <c r="Y130" i="1"/>
  <c r="X130" i="1"/>
  <c r="Z129" i="1"/>
  <c r="Y129" i="1"/>
  <c r="X129" i="1"/>
  <c r="AA129" i="1" s="1"/>
  <c r="Z128" i="1"/>
  <c r="Y128" i="1"/>
  <c r="X128" i="1"/>
  <c r="Z127" i="1"/>
  <c r="Y127" i="1"/>
  <c r="X127" i="1"/>
  <c r="Z126" i="1"/>
  <c r="Y126" i="1"/>
  <c r="X126" i="1"/>
  <c r="Z125" i="1"/>
  <c r="Y125" i="1"/>
  <c r="X125" i="1"/>
  <c r="AA125" i="1" s="1"/>
  <c r="Z124" i="1"/>
  <c r="Y124" i="1"/>
  <c r="X124" i="1"/>
  <c r="Z123" i="1"/>
  <c r="Y123" i="1"/>
  <c r="X123" i="1"/>
  <c r="Z122" i="1"/>
  <c r="Y122" i="1"/>
  <c r="X122" i="1"/>
  <c r="Z121" i="1"/>
  <c r="Y121" i="1"/>
  <c r="X121" i="1"/>
  <c r="AA121" i="1" s="1"/>
  <c r="Z120" i="1"/>
  <c r="Y120" i="1"/>
  <c r="X120" i="1"/>
  <c r="Z119" i="1"/>
  <c r="Y119" i="1"/>
  <c r="X119" i="1"/>
  <c r="Z118" i="1"/>
  <c r="Y118" i="1"/>
  <c r="X118" i="1"/>
  <c r="Z117" i="1"/>
  <c r="Y117" i="1"/>
  <c r="X117" i="1"/>
  <c r="AA117" i="1" s="1"/>
  <c r="Z116" i="1"/>
  <c r="Y116" i="1"/>
  <c r="X116" i="1"/>
  <c r="Z115" i="1"/>
  <c r="Y115" i="1"/>
  <c r="X115" i="1"/>
  <c r="Z114" i="1"/>
  <c r="Y114" i="1"/>
  <c r="X114" i="1"/>
  <c r="Z113" i="1"/>
  <c r="Y113" i="1"/>
  <c r="X113" i="1"/>
  <c r="AA113" i="1" s="1"/>
  <c r="Z112" i="1"/>
  <c r="Y112" i="1"/>
  <c r="X112" i="1"/>
  <c r="Z111" i="1"/>
  <c r="Y111" i="1"/>
  <c r="X111" i="1"/>
  <c r="Z110" i="1"/>
  <c r="Y110" i="1"/>
  <c r="X110" i="1"/>
  <c r="Z109" i="1"/>
  <c r="Y109" i="1"/>
  <c r="X109" i="1"/>
  <c r="AA109" i="1" s="1"/>
  <c r="Z108" i="1"/>
  <c r="Y108" i="1"/>
  <c r="X108" i="1"/>
  <c r="Z107" i="1"/>
  <c r="Y107" i="1"/>
  <c r="X107" i="1"/>
  <c r="Z106" i="1"/>
  <c r="Y106" i="1"/>
  <c r="X106" i="1"/>
  <c r="Z105" i="1"/>
  <c r="Y105" i="1"/>
  <c r="X105" i="1"/>
  <c r="AA105" i="1" s="1"/>
  <c r="Z104" i="1"/>
  <c r="Y104" i="1"/>
  <c r="X104" i="1"/>
  <c r="Z103" i="1"/>
  <c r="Y103" i="1"/>
  <c r="X103" i="1"/>
  <c r="Z102" i="1"/>
  <c r="Y102" i="1"/>
  <c r="X102" i="1"/>
  <c r="Z101" i="1"/>
  <c r="Y101" i="1"/>
  <c r="X101" i="1"/>
  <c r="AA101" i="1" s="1"/>
  <c r="Z100" i="1"/>
  <c r="Y100" i="1"/>
  <c r="X100" i="1"/>
  <c r="Z99" i="1"/>
  <c r="Y99" i="1"/>
  <c r="X99" i="1"/>
  <c r="Z98" i="1"/>
  <c r="Y98" i="1"/>
  <c r="X98" i="1"/>
  <c r="Z97" i="1"/>
  <c r="Y97" i="1"/>
  <c r="X97" i="1"/>
  <c r="AA97" i="1" s="1"/>
  <c r="Z96" i="1"/>
  <c r="Y96" i="1"/>
  <c r="X96" i="1"/>
  <c r="Z95" i="1"/>
  <c r="Y95" i="1"/>
  <c r="X95" i="1"/>
  <c r="Z94" i="1"/>
  <c r="Y94" i="1"/>
  <c r="X94" i="1"/>
  <c r="Z93" i="1"/>
  <c r="Y93" i="1"/>
  <c r="X93" i="1"/>
  <c r="AA93" i="1" s="1"/>
  <c r="Z92" i="1"/>
  <c r="Y92" i="1"/>
  <c r="X92" i="1"/>
  <c r="Z91" i="1"/>
  <c r="Y91" i="1"/>
  <c r="X91" i="1"/>
  <c r="Z90" i="1"/>
  <c r="Y90" i="1"/>
  <c r="X90" i="1"/>
  <c r="Z89" i="1"/>
  <c r="Y89" i="1"/>
  <c r="X89" i="1"/>
  <c r="AA89" i="1" s="1"/>
  <c r="Z88" i="1"/>
  <c r="Y88" i="1"/>
  <c r="X88" i="1"/>
  <c r="Z87" i="1"/>
  <c r="Y87" i="1"/>
  <c r="X87" i="1"/>
  <c r="Z86" i="1"/>
  <c r="Y86" i="1"/>
  <c r="X86" i="1"/>
  <c r="Z85" i="1"/>
  <c r="Y85" i="1"/>
  <c r="X85" i="1"/>
  <c r="AA85" i="1" s="1"/>
  <c r="Z84" i="1"/>
  <c r="Y84" i="1"/>
  <c r="X84" i="1"/>
  <c r="Z83" i="1"/>
  <c r="Y83" i="1"/>
  <c r="X83" i="1"/>
  <c r="Z82" i="1"/>
  <c r="Y82" i="1"/>
  <c r="X82" i="1"/>
  <c r="Z81" i="1"/>
  <c r="Y81" i="1"/>
  <c r="X81" i="1"/>
  <c r="AA81" i="1" s="1"/>
  <c r="Z80" i="1"/>
  <c r="Y80" i="1"/>
  <c r="X80" i="1"/>
  <c r="Z79" i="1"/>
  <c r="Y79" i="1"/>
  <c r="X79" i="1"/>
  <c r="Z78" i="1"/>
  <c r="Y78" i="1"/>
  <c r="X78" i="1"/>
  <c r="Z77" i="1"/>
  <c r="Y77" i="1"/>
  <c r="X77" i="1"/>
  <c r="AA77" i="1" s="1"/>
  <c r="Z76" i="1"/>
  <c r="Y76" i="1"/>
  <c r="X76" i="1"/>
  <c r="Z75" i="1"/>
  <c r="Y75" i="1"/>
  <c r="X75" i="1"/>
  <c r="Z74" i="1"/>
  <c r="Y74" i="1"/>
  <c r="X74" i="1"/>
  <c r="Z73" i="1"/>
  <c r="Y73" i="1"/>
  <c r="X73" i="1"/>
  <c r="AA73" i="1" s="1"/>
  <c r="Z72" i="1"/>
  <c r="Y72" i="1"/>
  <c r="X72" i="1"/>
  <c r="Z71" i="1"/>
  <c r="Y71" i="1"/>
  <c r="X71" i="1"/>
  <c r="Z70" i="1"/>
  <c r="Y70" i="1"/>
  <c r="X70" i="1"/>
  <c r="Z69" i="1"/>
  <c r="Y69" i="1"/>
  <c r="X69" i="1"/>
  <c r="AA69" i="1" s="1"/>
  <c r="Z68" i="1"/>
  <c r="Y68" i="1"/>
  <c r="X68" i="1"/>
  <c r="Z67" i="1"/>
  <c r="Y67" i="1"/>
  <c r="X67" i="1"/>
  <c r="Z66" i="1"/>
  <c r="Y66" i="1"/>
  <c r="X66" i="1"/>
  <c r="Z65" i="1"/>
  <c r="Y65" i="1"/>
  <c r="X65" i="1"/>
  <c r="AA65" i="1" s="1"/>
  <c r="Z64" i="1"/>
  <c r="Y64" i="1"/>
  <c r="X64" i="1"/>
  <c r="Z63" i="1"/>
  <c r="Y63" i="1"/>
  <c r="X63" i="1"/>
  <c r="Z62" i="1"/>
  <c r="Y62" i="1"/>
  <c r="X62" i="1"/>
  <c r="Z61" i="1"/>
  <c r="Y61" i="1"/>
  <c r="X61" i="1"/>
  <c r="AA61" i="1" s="1"/>
  <c r="Z60" i="1"/>
  <c r="Y60" i="1"/>
  <c r="X60" i="1"/>
  <c r="Z59" i="1"/>
  <c r="Y59" i="1"/>
  <c r="X59" i="1"/>
  <c r="Z58" i="1"/>
  <c r="Y58" i="1"/>
  <c r="X58" i="1"/>
  <c r="Z57" i="1"/>
  <c r="Y57" i="1"/>
  <c r="X57" i="1"/>
  <c r="AA57" i="1" s="1"/>
  <c r="Z56" i="1"/>
  <c r="Y56" i="1"/>
  <c r="X56" i="1"/>
  <c r="Z55" i="1"/>
  <c r="Y55" i="1"/>
  <c r="X55" i="1"/>
  <c r="Z54" i="1"/>
  <c r="Y54" i="1"/>
  <c r="X54" i="1"/>
  <c r="Z53" i="1"/>
  <c r="Y53" i="1"/>
  <c r="X53" i="1"/>
  <c r="AA53" i="1" s="1"/>
  <c r="Z52" i="1"/>
  <c r="Y52" i="1"/>
  <c r="X52" i="1"/>
  <c r="Z51" i="1"/>
  <c r="Y51" i="1"/>
  <c r="X51" i="1"/>
  <c r="Z50" i="1"/>
  <c r="Y50" i="1"/>
  <c r="X50" i="1"/>
  <c r="Z49" i="1"/>
  <c r="Y49" i="1"/>
  <c r="X49" i="1"/>
  <c r="AA49" i="1" s="1"/>
  <c r="Z48" i="1"/>
  <c r="Y48" i="1"/>
  <c r="X48" i="1"/>
  <c r="Z47" i="1"/>
  <c r="Y47" i="1"/>
  <c r="X47" i="1"/>
  <c r="Z46" i="1"/>
  <c r="Y46" i="1"/>
  <c r="X46" i="1"/>
  <c r="Z45" i="1"/>
  <c r="Y45" i="1"/>
  <c r="X45" i="1"/>
  <c r="AA45" i="1" s="1"/>
  <c r="Z44" i="1"/>
  <c r="Y44" i="1"/>
  <c r="X44" i="1"/>
  <c r="Z43" i="1"/>
  <c r="Y43" i="1"/>
  <c r="X43" i="1"/>
  <c r="Z42" i="1"/>
  <c r="Y42" i="1"/>
  <c r="X42" i="1"/>
  <c r="Z41" i="1"/>
  <c r="Y41" i="1"/>
  <c r="X41" i="1"/>
  <c r="AA41" i="1" s="1"/>
  <c r="Z40" i="1"/>
  <c r="Y40" i="1"/>
  <c r="X40" i="1"/>
  <c r="Z39" i="1"/>
  <c r="Y39" i="1"/>
  <c r="X39" i="1"/>
  <c r="Z38" i="1"/>
  <c r="Y38" i="1"/>
  <c r="X38" i="1"/>
  <c r="Z37" i="1"/>
  <c r="Y37" i="1"/>
  <c r="X37" i="1"/>
  <c r="AA37" i="1" s="1"/>
  <c r="Z36" i="1"/>
  <c r="Y36" i="1"/>
  <c r="X36" i="1"/>
  <c r="Z35" i="1"/>
  <c r="Y35" i="1"/>
  <c r="X35" i="1"/>
  <c r="Z34" i="1"/>
  <c r="Y34" i="1"/>
  <c r="X34" i="1"/>
  <c r="Z33" i="1"/>
  <c r="Y33" i="1"/>
  <c r="X33" i="1"/>
  <c r="AA33" i="1" s="1"/>
  <c r="Z32" i="1"/>
  <c r="Y32" i="1"/>
  <c r="X32" i="1"/>
  <c r="Z31" i="1"/>
  <c r="Y31" i="1"/>
  <c r="X31" i="1"/>
  <c r="Z30" i="1"/>
  <c r="Y30" i="1"/>
  <c r="X30" i="1"/>
  <c r="Z29" i="1"/>
  <c r="Y29" i="1"/>
  <c r="X29" i="1"/>
  <c r="AA29" i="1" s="1"/>
  <c r="Z28" i="1"/>
  <c r="Y28" i="1"/>
  <c r="X28" i="1"/>
  <c r="Z27" i="1"/>
  <c r="Y27" i="1"/>
  <c r="X27" i="1"/>
  <c r="Z26" i="1"/>
  <c r="Y26" i="1"/>
  <c r="X26" i="1"/>
  <c r="Z25" i="1"/>
  <c r="Y25" i="1"/>
  <c r="X25" i="1"/>
  <c r="AA25" i="1" s="1"/>
  <c r="Z24" i="1"/>
  <c r="Y24" i="1"/>
  <c r="X24" i="1"/>
  <c r="Z23" i="1"/>
  <c r="Y23" i="1"/>
  <c r="X23" i="1"/>
  <c r="Z22" i="1"/>
  <c r="Y22" i="1"/>
  <c r="X22" i="1"/>
  <c r="Z21" i="1"/>
  <c r="Y21" i="1"/>
  <c r="X21" i="1"/>
  <c r="AA21" i="1" s="1"/>
  <c r="Z20" i="1"/>
  <c r="Y20" i="1"/>
  <c r="X20" i="1"/>
  <c r="Z19" i="1"/>
  <c r="Y19" i="1"/>
  <c r="X19" i="1"/>
  <c r="Z18" i="1"/>
  <c r="Y18" i="1"/>
  <c r="X18" i="1"/>
  <c r="Z17" i="1"/>
  <c r="Y17" i="1"/>
  <c r="X17" i="1"/>
  <c r="AA17" i="1" s="1"/>
  <c r="Z16" i="1"/>
  <c r="Y16" i="1"/>
  <c r="X16" i="1"/>
  <c r="Z15" i="1"/>
  <c r="Y15" i="1"/>
  <c r="X15" i="1"/>
  <c r="Z14" i="1"/>
  <c r="Y14" i="1"/>
  <c r="X14" i="1"/>
  <c r="Z13" i="1"/>
  <c r="Y13" i="1"/>
  <c r="X13" i="1"/>
  <c r="AA13" i="1" s="1"/>
  <c r="Z12" i="1"/>
  <c r="Y12" i="1"/>
  <c r="X12" i="1"/>
  <c r="Z11" i="1"/>
  <c r="Y11" i="1"/>
  <c r="X11" i="1"/>
  <c r="Z10" i="1"/>
  <c r="Y10" i="1"/>
  <c r="X10" i="1"/>
  <c r="Z9" i="1"/>
  <c r="Y9" i="1"/>
  <c r="X9" i="1"/>
  <c r="AA9" i="1" s="1"/>
  <c r="Z8" i="1"/>
  <c r="Y8" i="1"/>
  <c r="X8" i="1"/>
  <c r="Z7" i="1"/>
  <c r="Y7" i="1"/>
  <c r="X7" i="1"/>
  <c r="Z6" i="1"/>
  <c r="Y6" i="1"/>
  <c r="X6" i="1"/>
  <c r="Z5" i="1"/>
  <c r="Y5" i="1"/>
  <c r="X5" i="1"/>
  <c r="AA5" i="1" s="1"/>
  <c r="Z4" i="1"/>
  <c r="Y4" i="1"/>
  <c r="X4" i="1"/>
  <c r="V424" i="1"/>
  <c r="U424" i="1"/>
  <c r="T424" i="1"/>
  <c r="V423" i="1"/>
  <c r="U423" i="1"/>
  <c r="T423" i="1"/>
  <c r="V422" i="1"/>
  <c r="U422" i="1"/>
  <c r="T422" i="1"/>
  <c r="W422" i="1" s="1"/>
  <c r="V421" i="1"/>
  <c r="U421" i="1"/>
  <c r="T421" i="1"/>
  <c r="V420" i="1"/>
  <c r="U420" i="1"/>
  <c r="T420" i="1"/>
  <c r="V419" i="1"/>
  <c r="U419" i="1"/>
  <c r="T419" i="1"/>
  <c r="V418" i="1"/>
  <c r="U418" i="1"/>
  <c r="T418" i="1"/>
  <c r="W418" i="1" s="1"/>
  <c r="V417" i="1"/>
  <c r="U417" i="1"/>
  <c r="T417" i="1"/>
  <c r="V416" i="1"/>
  <c r="U416" i="1"/>
  <c r="T416" i="1"/>
  <c r="V415" i="1"/>
  <c r="U415" i="1"/>
  <c r="T415" i="1"/>
  <c r="V414" i="1"/>
  <c r="U414" i="1"/>
  <c r="T414" i="1"/>
  <c r="W414" i="1" s="1"/>
  <c r="V413" i="1"/>
  <c r="U413" i="1"/>
  <c r="T413" i="1"/>
  <c r="V412" i="1"/>
  <c r="U412" i="1"/>
  <c r="T412" i="1"/>
  <c r="V411" i="1"/>
  <c r="U411" i="1"/>
  <c r="T411" i="1"/>
  <c r="V410" i="1"/>
  <c r="U410" i="1"/>
  <c r="T410" i="1"/>
  <c r="W410" i="1" s="1"/>
  <c r="V409" i="1"/>
  <c r="U409" i="1"/>
  <c r="T409" i="1"/>
  <c r="V408" i="1"/>
  <c r="U408" i="1"/>
  <c r="T408" i="1"/>
  <c r="V407" i="1"/>
  <c r="U407" i="1"/>
  <c r="T407" i="1"/>
  <c r="V406" i="1"/>
  <c r="U406" i="1"/>
  <c r="T406" i="1"/>
  <c r="W406" i="1" s="1"/>
  <c r="V405" i="1"/>
  <c r="U405" i="1"/>
  <c r="T405" i="1"/>
  <c r="V404" i="1"/>
  <c r="U404" i="1"/>
  <c r="T404" i="1"/>
  <c r="V403" i="1"/>
  <c r="U403" i="1"/>
  <c r="T403" i="1"/>
  <c r="V402" i="1"/>
  <c r="U402" i="1"/>
  <c r="T402" i="1"/>
  <c r="W402" i="1" s="1"/>
  <c r="V401" i="1"/>
  <c r="U401" i="1"/>
  <c r="T401" i="1"/>
  <c r="V400" i="1"/>
  <c r="U400" i="1"/>
  <c r="T400" i="1"/>
  <c r="V399" i="1"/>
  <c r="U399" i="1"/>
  <c r="T399" i="1"/>
  <c r="V398" i="1"/>
  <c r="U398" i="1"/>
  <c r="T398" i="1"/>
  <c r="W398" i="1" s="1"/>
  <c r="V397" i="1"/>
  <c r="U397" i="1"/>
  <c r="T397" i="1"/>
  <c r="V396" i="1"/>
  <c r="U396" i="1"/>
  <c r="T396" i="1"/>
  <c r="V395" i="1"/>
  <c r="U395" i="1"/>
  <c r="T395" i="1"/>
  <c r="V394" i="1"/>
  <c r="U394" i="1"/>
  <c r="T394" i="1"/>
  <c r="W394" i="1" s="1"/>
  <c r="V393" i="1"/>
  <c r="U393" i="1"/>
  <c r="T393" i="1"/>
  <c r="V392" i="1"/>
  <c r="U392" i="1"/>
  <c r="T392" i="1"/>
  <c r="V391" i="1"/>
  <c r="U391" i="1"/>
  <c r="T391" i="1"/>
  <c r="V390" i="1"/>
  <c r="U390" i="1"/>
  <c r="T390" i="1"/>
  <c r="W390" i="1" s="1"/>
  <c r="V389" i="1"/>
  <c r="U389" i="1"/>
  <c r="T389" i="1"/>
  <c r="V388" i="1"/>
  <c r="U388" i="1"/>
  <c r="T388" i="1"/>
  <c r="V387" i="1"/>
  <c r="U387" i="1"/>
  <c r="T387" i="1"/>
  <c r="V386" i="1"/>
  <c r="U386" i="1"/>
  <c r="T386" i="1"/>
  <c r="W386" i="1" s="1"/>
  <c r="V385" i="1"/>
  <c r="U385" i="1"/>
  <c r="T385" i="1"/>
  <c r="V384" i="1"/>
  <c r="U384" i="1"/>
  <c r="T384" i="1"/>
  <c r="V383" i="1"/>
  <c r="U383" i="1"/>
  <c r="T383" i="1"/>
  <c r="V382" i="1"/>
  <c r="U382" i="1"/>
  <c r="T382" i="1"/>
  <c r="W382" i="1" s="1"/>
  <c r="V381" i="1"/>
  <c r="U381" i="1"/>
  <c r="T381" i="1"/>
  <c r="V380" i="1"/>
  <c r="U380" i="1"/>
  <c r="T380" i="1"/>
  <c r="V379" i="1"/>
  <c r="U379" i="1"/>
  <c r="T379" i="1"/>
  <c r="V378" i="1"/>
  <c r="U378" i="1"/>
  <c r="T378" i="1"/>
  <c r="W378" i="1" s="1"/>
  <c r="V377" i="1"/>
  <c r="U377" i="1"/>
  <c r="T377" i="1"/>
  <c r="V376" i="1"/>
  <c r="U376" i="1"/>
  <c r="T376" i="1"/>
  <c r="V375" i="1"/>
  <c r="U375" i="1"/>
  <c r="T375" i="1"/>
  <c r="V374" i="1"/>
  <c r="U374" i="1"/>
  <c r="T374" i="1"/>
  <c r="W374" i="1" s="1"/>
  <c r="V373" i="1"/>
  <c r="U373" i="1"/>
  <c r="T373" i="1"/>
  <c r="V372" i="1"/>
  <c r="U372" i="1"/>
  <c r="T372" i="1"/>
  <c r="V371" i="1"/>
  <c r="U371" i="1"/>
  <c r="T371" i="1"/>
  <c r="V370" i="1"/>
  <c r="U370" i="1"/>
  <c r="T370" i="1"/>
  <c r="W370" i="1" s="1"/>
  <c r="V369" i="1"/>
  <c r="U369" i="1"/>
  <c r="T369" i="1"/>
  <c r="V368" i="1"/>
  <c r="U368" i="1"/>
  <c r="T368" i="1"/>
  <c r="V367" i="1"/>
  <c r="U367" i="1"/>
  <c r="T367" i="1"/>
  <c r="V366" i="1"/>
  <c r="U366" i="1"/>
  <c r="T366" i="1"/>
  <c r="W366" i="1" s="1"/>
  <c r="V365" i="1"/>
  <c r="U365" i="1"/>
  <c r="T365" i="1"/>
  <c r="V364" i="1"/>
  <c r="U364" i="1"/>
  <c r="T364" i="1"/>
  <c r="V363" i="1"/>
  <c r="U363" i="1"/>
  <c r="T363" i="1"/>
  <c r="V362" i="1"/>
  <c r="U362" i="1"/>
  <c r="T362" i="1"/>
  <c r="W362" i="1" s="1"/>
  <c r="V361" i="1"/>
  <c r="U361" i="1"/>
  <c r="T361" i="1"/>
  <c r="V360" i="1"/>
  <c r="U360" i="1"/>
  <c r="T360" i="1"/>
  <c r="V359" i="1"/>
  <c r="U359" i="1"/>
  <c r="T359" i="1"/>
  <c r="V358" i="1"/>
  <c r="U358" i="1"/>
  <c r="T358" i="1"/>
  <c r="W358" i="1" s="1"/>
  <c r="V357" i="1"/>
  <c r="U357" i="1"/>
  <c r="T357" i="1"/>
  <c r="V356" i="1"/>
  <c r="U356" i="1"/>
  <c r="T356" i="1"/>
  <c r="V355" i="1"/>
  <c r="U355" i="1"/>
  <c r="T355" i="1"/>
  <c r="V354" i="1"/>
  <c r="U354" i="1"/>
  <c r="T354" i="1"/>
  <c r="W354" i="1" s="1"/>
  <c r="V353" i="1"/>
  <c r="U353" i="1"/>
  <c r="T353" i="1"/>
  <c r="V352" i="1"/>
  <c r="U352" i="1"/>
  <c r="T352" i="1"/>
  <c r="V351" i="1"/>
  <c r="U351" i="1"/>
  <c r="T351" i="1"/>
  <c r="V350" i="1"/>
  <c r="U350" i="1"/>
  <c r="T350" i="1"/>
  <c r="W350" i="1" s="1"/>
  <c r="V349" i="1"/>
  <c r="U349" i="1"/>
  <c r="T349" i="1"/>
  <c r="V348" i="1"/>
  <c r="U348" i="1"/>
  <c r="T348" i="1"/>
  <c r="V347" i="1"/>
  <c r="U347" i="1"/>
  <c r="T347" i="1"/>
  <c r="V346" i="1"/>
  <c r="U346" i="1"/>
  <c r="T346" i="1"/>
  <c r="W346" i="1" s="1"/>
  <c r="V345" i="1"/>
  <c r="U345" i="1"/>
  <c r="T345" i="1"/>
  <c r="V344" i="1"/>
  <c r="U344" i="1"/>
  <c r="T344" i="1"/>
  <c r="V343" i="1"/>
  <c r="U343" i="1"/>
  <c r="T343" i="1"/>
  <c r="V342" i="1"/>
  <c r="U342" i="1"/>
  <c r="T342" i="1"/>
  <c r="W342" i="1" s="1"/>
  <c r="V341" i="1"/>
  <c r="U341" i="1"/>
  <c r="T341" i="1"/>
  <c r="V340" i="1"/>
  <c r="U340" i="1"/>
  <c r="T340" i="1"/>
  <c r="V339" i="1"/>
  <c r="U339" i="1"/>
  <c r="T339" i="1"/>
  <c r="V338" i="1"/>
  <c r="U338" i="1"/>
  <c r="T338" i="1"/>
  <c r="W338" i="1" s="1"/>
  <c r="V337" i="1"/>
  <c r="U337" i="1"/>
  <c r="T337" i="1"/>
  <c r="V336" i="1"/>
  <c r="U336" i="1"/>
  <c r="T336" i="1"/>
  <c r="V335" i="1"/>
  <c r="U335" i="1"/>
  <c r="T335" i="1"/>
  <c r="V334" i="1"/>
  <c r="U334" i="1"/>
  <c r="T334" i="1"/>
  <c r="W334" i="1" s="1"/>
  <c r="V333" i="1"/>
  <c r="U333" i="1"/>
  <c r="T333" i="1"/>
  <c r="V332" i="1"/>
  <c r="U332" i="1"/>
  <c r="T332" i="1"/>
  <c r="V331" i="1"/>
  <c r="U331" i="1"/>
  <c r="T331" i="1"/>
  <c r="V330" i="1"/>
  <c r="U330" i="1"/>
  <c r="T330" i="1"/>
  <c r="W330" i="1" s="1"/>
  <c r="V329" i="1"/>
  <c r="U329" i="1"/>
  <c r="T329" i="1"/>
  <c r="V328" i="1"/>
  <c r="U328" i="1"/>
  <c r="T328" i="1"/>
  <c r="V327" i="1"/>
  <c r="U327" i="1"/>
  <c r="T327" i="1"/>
  <c r="V326" i="1"/>
  <c r="U326" i="1"/>
  <c r="T326" i="1"/>
  <c r="W326" i="1" s="1"/>
  <c r="V325" i="1"/>
  <c r="U325" i="1"/>
  <c r="T325" i="1"/>
  <c r="V324" i="1"/>
  <c r="U324" i="1"/>
  <c r="T324" i="1"/>
  <c r="V323" i="1"/>
  <c r="U323" i="1"/>
  <c r="T323" i="1"/>
  <c r="V322" i="1"/>
  <c r="U322" i="1"/>
  <c r="T322" i="1"/>
  <c r="W322" i="1" s="1"/>
  <c r="V321" i="1"/>
  <c r="U321" i="1"/>
  <c r="T321" i="1"/>
  <c r="V320" i="1"/>
  <c r="U320" i="1"/>
  <c r="T320" i="1"/>
  <c r="V319" i="1"/>
  <c r="U319" i="1"/>
  <c r="T319" i="1"/>
  <c r="V318" i="1"/>
  <c r="U318" i="1"/>
  <c r="T318" i="1"/>
  <c r="W318" i="1" s="1"/>
  <c r="V317" i="1"/>
  <c r="U317" i="1"/>
  <c r="T317" i="1"/>
  <c r="V316" i="1"/>
  <c r="U316" i="1"/>
  <c r="T316" i="1"/>
  <c r="V315" i="1"/>
  <c r="U315" i="1"/>
  <c r="T315" i="1"/>
  <c r="V314" i="1"/>
  <c r="U314" i="1"/>
  <c r="T314" i="1"/>
  <c r="W314" i="1" s="1"/>
  <c r="V313" i="1"/>
  <c r="U313" i="1"/>
  <c r="T313" i="1"/>
  <c r="V312" i="1"/>
  <c r="U312" i="1"/>
  <c r="T312" i="1"/>
  <c r="V311" i="1"/>
  <c r="U311" i="1"/>
  <c r="T311" i="1"/>
  <c r="V310" i="1"/>
  <c r="U310" i="1"/>
  <c r="T310" i="1"/>
  <c r="W310" i="1" s="1"/>
  <c r="V309" i="1"/>
  <c r="U309" i="1"/>
  <c r="T309" i="1"/>
  <c r="V308" i="1"/>
  <c r="U308" i="1"/>
  <c r="T308" i="1"/>
  <c r="V307" i="1"/>
  <c r="U307" i="1"/>
  <c r="T307" i="1"/>
  <c r="V306" i="1"/>
  <c r="U306" i="1"/>
  <c r="T306" i="1"/>
  <c r="W306" i="1" s="1"/>
  <c r="V305" i="1"/>
  <c r="U305" i="1"/>
  <c r="T305" i="1"/>
  <c r="V304" i="1"/>
  <c r="U304" i="1"/>
  <c r="T304" i="1"/>
  <c r="V303" i="1"/>
  <c r="U303" i="1"/>
  <c r="T303" i="1"/>
  <c r="V302" i="1"/>
  <c r="U302" i="1"/>
  <c r="T302" i="1"/>
  <c r="W302" i="1" s="1"/>
  <c r="V301" i="1"/>
  <c r="U301" i="1"/>
  <c r="T301" i="1"/>
  <c r="V300" i="1"/>
  <c r="U300" i="1"/>
  <c r="T300" i="1"/>
  <c r="V299" i="1"/>
  <c r="U299" i="1"/>
  <c r="T299" i="1"/>
  <c r="V298" i="1"/>
  <c r="U298" i="1"/>
  <c r="T298" i="1"/>
  <c r="W298" i="1" s="1"/>
  <c r="V297" i="1"/>
  <c r="U297" i="1"/>
  <c r="T297" i="1"/>
  <c r="V296" i="1"/>
  <c r="U296" i="1"/>
  <c r="T296" i="1"/>
  <c r="V295" i="1"/>
  <c r="U295" i="1"/>
  <c r="T295" i="1"/>
  <c r="V294" i="1"/>
  <c r="U294" i="1"/>
  <c r="T294" i="1"/>
  <c r="W294" i="1" s="1"/>
  <c r="V293" i="1"/>
  <c r="U293" i="1"/>
  <c r="T293" i="1"/>
  <c r="V292" i="1"/>
  <c r="U292" i="1"/>
  <c r="T292" i="1"/>
  <c r="V291" i="1"/>
  <c r="U291" i="1"/>
  <c r="T291" i="1"/>
  <c r="V290" i="1"/>
  <c r="U290" i="1"/>
  <c r="T290" i="1"/>
  <c r="W290" i="1" s="1"/>
  <c r="V289" i="1"/>
  <c r="U289" i="1"/>
  <c r="T289" i="1"/>
  <c r="V288" i="1"/>
  <c r="U288" i="1"/>
  <c r="T288" i="1"/>
  <c r="V287" i="1"/>
  <c r="U287" i="1"/>
  <c r="T287" i="1"/>
  <c r="V286" i="1"/>
  <c r="U286" i="1"/>
  <c r="T286" i="1"/>
  <c r="W286" i="1" s="1"/>
  <c r="V285" i="1"/>
  <c r="U285" i="1"/>
  <c r="T285" i="1"/>
  <c r="V284" i="1"/>
  <c r="U284" i="1"/>
  <c r="T284" i="1"/>
  <c r="V283" i="1"/>
  <c r="U283" i="1"/>
  <c r="T283" i="1"/>
  <c r="V282" i="1"/>
  <c r="U282" i="1"/>
  <c r="T282" i="1"/>
  <c r="W282" i="1" s="1"/>
  <c r="V281" i="1"/>
  <c r="U281" i="1"/>
  <c r="T281" i="1"/>
  <c r="V280" i="1"/>
  <c r="U280" i="1"/>
  <c r="T280" i="1"/>
  <c r="V279" i="1"/>
  <c r="U279" i="1"/>
  <c r="T279" i="1"/>
  <c r="V278" i="1"/>
  <c r="U278" i="1"/>
  <c r="T278" i="1"/>
  <c r="W278" i="1" s="1"/>
  <c r="V277" i="1"/>
  <c r="U277" i="1"/>
  <c r="T277" i="1"/>
  <c r="V276" i="1"/>
  <c r="U276" i="1"/>
  <c r="T276" i="1"/>
  <c r="V275" i="1"/>
  <c r="U275" i="1"/>
  <c r="T275" i="1"/>
  <c r="V274" i="1"/>
  <c r="U274" i="1"/>
  <c r="T274" i="1"/>
  <c r="W274" i="1" s="1"/>
  <c r="V273" i="1"/>
  <c r="U273" i="1"/>
  <c r="T273" i="1"/>
  <c r="V272" i="1"/>
  <c r="U272" i="1"/>
  <c r="T272" i="1"/>
  <c r="V271" i="1"/>
  <c r="U271" i="1"/>
  <c r="T271" i="1"/>
  <c r="V270" i="1"/>
  <c r="U270" i="1"/>
  <c r="T270" i="1"/>
  <c r="W270" i="1" s="1"/>
  <c r="V269" i="1"/>
  <c r="U269" i="1"/>
  <c r="T269" i="1"/>
  <c r="V268" i="1"/>
  <c r="U268" i="1"/>
  <c r="T268" i="1"/>
  <c r="V267" i="1"/>
  <c r="U267" i="1"/>
  <c r="T267" i="1"/>
  <c r="V266" i="1"/>
  <c r="U266" i="1"/>
  <c r="T266" i="1"/>
  <c r="W266" i="1" s="1"/>
  <c r="V265" i="1"/>
  <c r="U265" i="1"/>
  <c r="T265" i="1"/>
  <c r="V264" i="1"/>
  <c r="U264" i="1"/>
  <c r="T264" i="1"/>
  <c r="V263" i="1"/>
  <c r="U263" i="1"/>
  <c r="T263" i="1"/>
  <c r="V262" i="1"/>
  <c r="U262" i="1"/>
  <c r="T262" i="1"/>
  <c r="W262" i="1" s="1"/>
  <c r="V261" i="1"/>
  <c r="U261" i="1"/>
  <c r="T261" i="1"/>
  <c r="V260" i="1"/>
  <c r="U260" i="1"/>
  <c r="T260" i="1"/>
  <c r="V259" i="1"/>
  <c r="U259" i="1"/>
  <c r="T259" i="1"/>
  <c r="V258" i="1"/>
  <c r="U258" i="1"/>
  <c r="T258" i="1"/>
  <c r="W258" i="1" s="1"/>
  <c r="V257" i="1"/>
  <c r="U257" i="1"/>
  <c r="T257" i="1"/>
  <c r="V256" i="1"/>
  <c r="U256" i="1"/>
  <c r="T256" i="1"/>
  <c r="V255" i="1"/>
  <c r="U255" i="1"/>
  <c r="T255" i="1"/>
  <c r="V254" i="1"/>
  <c r="U254" i="1"/>
  <c r="T254" i="1"/>
  <c r="W254" i="1" s="1"/>
  <c r="V253" i="1"/>
  <c r="U253" i="1"/>
  <c r="T253" i="1"/>
  <c r="V252" i="1"/>
  <c r="U252" i="1"/>
  <c r="T252" i="1"/>
  <c r="V251" i="1"/>
  <c r="U251" i="1"/>
  <c r="T251" i="1"/>
  <c r="V250" i="1"/>
  <c r="U250" i="1"/>
  <c r="T250" i="1"/>
  <c r="W250" i="1" s="1"/>
  <c r="V249" i="1"/>
  <c r="U249" i="1"/>
  <c r="T249" i="1"/>
  <c r="V248" i="1"/>
  <c r="U248" i="1"/>
  <c r="T248" i="1"/>
  <c r="V247" i="1"/>
  <c r="U247" i="1"/>
  <c r="T247" i="1"/>
  <c r="V246" i="1"/>
  <c r="U246" i="1"/>
  <c r="T246" i="1"/>
  <c r="W246" i="1" s="1"/>
  <c r="V245" i="1"/>
  <c r="U245" i="1"/>
  <c r="T245" i="1"/>
  <c r="V244" i="1"/>
  <c r="U244" i="1"/>
  <c r="T244" i="1"/>
  <c r="V243" i="1"/>
  <c r="U243" i="1"/>
  <c r="T243" i="1"/>
  <c r="V242" i="1"/>
  <c r="U242" i="1"/>
  <c r="T242" i="1"/>
  <c r="W242" i="1" s="1"/>
  <c r="V241" i="1"/>
  <c r="U241" i="1"/>
  <c r="T241" i="1"/>
  <c r="V240" i="1"/>
  <c r="U240" i="1"/>
  <c r="T240" i="1"/>
  <c r="V239" i="1"/>
  <c r="U239" i="1"/>
  <c r="T239" i="1"/>
  <c r="V238" i="1"/>
  <c r="U238" i="1"/>
  <c r="T238" i="1"/>
  <c r="W238" i="1" s="1"/>
  <c r="V237" i="1"/>
  <c r="U237" i="1"/>
  <c r="T237" i="1"/>
  <c r="V236" i="1"/>
  <c r="U236" i="1"/>
  <c r="T236" i="1"/>
  <c r="V235" i="1"/>
  <c r="U235" i="1"/>
  <c r="T235" i="1"/>
  <c r="V234" i="1"/>
  <c r="U234" i="1"/>
  <c r="T234" i="1"/>
  <c r="W234" i="1" s="1"/>
  <c r="V233" i="1"/>
  <c r="U233" i="1"/>
  <c r="T233" i="1"/>
  <c r="V232" i="1"/>
  <c r="U232" i="1"/>
  <c r="T232" i="1"/>
  <c r="V231" i="1"/>
  <c r="U231" i="1"/>
  <c r="T231" i="1"/>
  <c r="V230" i="1"/>
  <c r="U230" i="1"/>
  <c r="T230" i="1"/>
  <c r="W230" i="1" s="1"/>
  <c r="V229" i="1"/>
  <c r="U229" i="1"/>
  <c r="T229" i="1"/>
  <c r="V228" i="1"/>
  <c r="U228" i="1"/>
  <c r="T228" i="1"/>
  <c r="V227" i="1"/>
  <c r="U227" i="1"/>
  <c r="T227" i="1"/>
  <c r="V226" i="1"/>
  <c r="U226" i="1"/>
  <c r="T226" i="1"/>
  <c r="W226" i="1" s="1"/>
  <c r="V225" i="1"/>
  <c r="U225" i="1"/>
  <c r="T225" i="1"/>
  <c r="V224" i="1"/>
  <c r="U224" i="1"/>
  <c r="T224" i="1"/>
  <c r="V223" i="1"/>
  <c r="U223" i="1"/>
  <c r="T223" i="1"/>
  <c r="V222" i="1"/>
  <c r="U222" i="1"/>
  <c r="T222" i="1"/>
  <c r="W222" i="1" s="1"/>
  <c r="V221" i="1"/>
  <c r="U221" i="1"/>
  <c r="T221" i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V215" i="1"/>
  <c r="U215" i="1"/>
  <c r="T215" i="1"/>
  <c r="V214" i="1"/>
  <c r="U214" i="1"/>
  <c r="T214" i="1"/>
  <c r="W214" i="1" s="1"/>
  <c r="V213" i="1"/>
  <c r="U213" i="1"/>
  <c r="T213" i="1"/>
  <c r="V212" i="1"/>
  <c r="U212" i="1"/>
  <c r="T212" i="1"/>
  <c r="V211" i="1"/>
  <c r="U211" i="1"/>
  <c r="T211" i="1"/>
  <c r="V210" i="1"/>
  <c r="U210" i="1"/>
  <c r="T210" i="1"/>
  <c r="W210" i="1" s="1"/>
  <c r="V209" i="1"/>
  <c r="U209" i="1"/>
  <c r="T209" i="1"/>
  <c r="V208" i="1"/>
  <c r="U208" i="1"/>
  <c r="T208" i="1"/>
  <c r="V207" i="1"/>
  <c r="U207" i="1"/>
  <c r="T207" i="1"/>
  <c r="V206" i="1"/>
  <c r="U206" i="1"/>
  <c r="T206" i="1"/>
  <c r="W206" i="1" s="1"/>
  <c r="V205" i="1"/>
  <c r="U205" i="1"/>
  <c r="T205" i="1"/>
  <c r="V204" i="1"/>
  <c r="U204" i="1"/>
  <c r="T204" i="1"/>
  <c r="V203" i="1"/>
  <c r="U203" i="1"/>
  <c r="T203" i="1"/>
  <c r="V202" i="1"/>
  <c r="U202" i="1"/>
  <c r="T202" i="1"/>
  <c r="W202" i="1" s="1"/>
  <c r="V201" i="1"/>
  <c r="U201" i="1"/>
  <c r="T201" i="1"/>
  <c r="W201" i="1" s="1"/>
  <c r="V200" i="1"/>
  <c r="U200" i="1"/>
  <c r="T200" i="1"/>
  <c r="V199" i="1"/>
  <c r="U199" i="1"/>
  <c r="T199" i="1"/>
  <c r="V198" i="1"/>
  <c r="U198" i="1"/>
  <c r="T198" i="1"/>
  <c r="W198" i="1" s="1"/>
  <c r="V197" i="1"/>
  <c r="U197" i="1"/>
  <c r="T197" i="1"/>
  <c r="W197" i="1" s="1"/>
  <c r="V196" i="1"/>
  <c r="U196" i="1"/>
  <c r="T196" i="1"/>
  <c r="V195" i="1"/>
  <c r="U195" i="1"/>
  <c r="T195" i="1"/>
  <c r="V194" i="1"/>
  <c r="U194" i="1"/>
  <c r="T194" i="1"/>
  <c r="W194" i="1" s="1"/>
  <c r="V193" i="1"/>
  <c r="U193" i="1"/>
  <c r="T193" i="1"/>
  <c r="V192" i="1"/>
  <c r="U192" i="1"/>
  <c r="T192" i="1"/>
  <c r="V191" i="1"/>
  <c r="U191" i="1"/>
  <c r="T191" i="1"/>
  <c r="V190" i="1"/>
  <c r="U190" i="1"/>
  <c r="T190" i="1"/>
  <c r="W190" i="1" s="1"/>
  <c r="V189" i="1"/>
  <c r="U189" i="1"/>
  <c r="T189" i="1"/>
  <c r="V188" i="1"/>
  <c r="U188" i="1"/>
  <c r="T188" i="1"/>
  <c r="V187" i="1"/>
  <c r="U187" i="1"/>
  <c r="T187" i="1"/>
  <c r="V186" i="1"/>
  <c r="U186" i="1"/>
  <c r="T186" i="1"/>
  <c r="W186" i="1" s="1"/>
  <c r="V185" i="1"/>
  <c r="U185" i="1"/>
  <c r="T185" i="1"/>
  <c r="V184" i="1"/>
  <c r="U184" i="1"/>
  <c r="T184" i="1"/>
  <c r="V183" i="1"/>
  <c r="U183" i="1"/>
  <c r="T183" i="1"/>
  <c r="V182" i="1"/>
  <c r="U182" i="1"/>
  <c r="T182" i="1"/>
  <c r="W182" i="1" s="1"/>
  <c r="V181" i="1"/>
  <c r="U181" i="1"/>
  <c r="T181" i="1"/>
  <c r="V180" i="1"/>
  <c r="U180" i="1"/>
  <c r="T180" i="1"/>
  <c r="V179" i="1"/>
  <c r="U179" i="1"/>
  <c r="T179" i="1"/>
  <c r="V178" i="1"/>
  <c r="U178" i="1"/>
  <c r="T178" i="1"/>
  <c r="W178" i="1" s="1"/>
  <c r="V177" i="1"/>
  <c r="U177" i="1"/>
  <c r="T177" i="1"/>
  <c r="V176" i="1"/>
  <c r="U176" i="1"/>
  <c r="T176" i="1"/>
  <c r="V175" i="1"/>
  <c r="U175" i="1"/>
  <c r="T175" i="1"/>
  <c r="V174" i="1"/>
  <c r="U174" i="1"/>
  <c r="T174" i="1"/>
  <c r="W174" i="1" s="1"/>
  <c r="V173" i="1"/>
  <c r="U173" i="1"/>
  <c r="T173" i="1"/>
  <c r="V172" i="1"/>
  <c r="U172" i="1"/>
  <c r="T172" i="1"/>
  <c r="V171" i="1"/>
  <c r="U171" i="1"/>
  <c r="T171" i="1"/>
  <c r="V170" i="1"/>
  <c r="U170" i="1"/>
  <c r="T170" i="1"/>
  <c r="W170" i="1" s="1"/>
  <c r="V169" i="1"/>
  <c r="U169" i="1"/>
  <c r="T169" i="1"/>
  <c r="V168" i="1"/>
  <c r="U168" i="1"/>
  <c r="T168" i="1"/>
  <c r="V167" i="1"/>
  <c r="U167" i="1"/>
  <c r="T167" i="1"/>
  <c r="V166" i="1"/>
  <c r="U166" i="1"/>
  <c r="T166" i="1"/>
  <c r="W166" i="1" s="1"/>
  <c r="V165" i="1"/>
  <c r="U165" i="1"/>
  <c r="T165" i="1"/>
  <c r="V164" i="1"/>
  <c r="U164" i="1"/>
  <c r="T164" i="1"/>
  <c r="V163" i="1"/>
  <c r="U163" i="1"/>
  <c r="T163" i="1"/>
  <c r="V162" i="1"/>
  <c r="U162" i="1"/>
  <c r="T162" i="1"/>
  <c r="W162" i="1" s="1"/>
  <c r="V161" i="1"/>
  <c r="U161" i="1"/>
  <c r="T161" i="1"/>
  <c r="V160" i="1"/>
  <c r="U160" i="1"/>
  <c r="T160" i="1"/>
  <c r="V159" i="1"/>
  <c r="U159" i="1"/>
  <c r="T159" i="1"/>
  <c r="V158" i="1"/>
  <c r="U158" i="1"/>
  <c r="T158" i="1"/>
  <c r="W158" i="1" s="1"/>
  <c r="V157" i="1"/>
  <c r="U157" i="1"/>
  <c r="T157" i="1"/>
  <c r="V156" i="1"/>
  <c r="U156" i="1"/>
  <c r="T156" i="1"/>
  <c r="V155" i="1"/>
  <c r="U155" i="1"/>
  <c r="T155" i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V148" i="1"/>
  <c r="U148" i="1"/>
  <c r="T148" i="1"/>
  <c r="V147" i="1"/>
  <c r="U147" i="1"/>
  <c r="T147" i="1"/>
  <c r="V146" i="1"/>
  <c r="U146" i="1"/>
  <c r="T146" i="1"/>
  <c r="W146" i="1" s="1"/>
  <c r="V145" i="1"/>
  <c r="U145" i="1"/>
  <c r="T145" i="1"/>
  <c r="V144" i="1"/>
  <c r="U144" i="1"/>
  <c r="T144" i="1"/>
  <c r="V143" i="1"/>
  <c r="U143" i="1"/>
  <c r="T143" i="1"/>
  <c r="V142" i="1"/>
  <c r="U142" i="1"/>
  <c r="T142" i="1"/>
  <c r="W142" i="1" s="1"/>
  <c r="V141" i="1"/>
  <c r="U141" i="1"/>
  <c r="T141" i="1"/>
  <c r="V140" i="1"/>
  <c r="U140" i="1"/>
  <c r="T140" i="1"/>
  <c r="V139" i="1"/>
  <c r="U139" i="1"/>
  <c r="T139" i="1"/>
  <c r="V138" i="1"/>
  <c r="U138" i="1"/>
  <c r="T138" i="1"/>
  <c r="W138" i="1" s="1"/>
  <c r="V137" i="1"/>
  <c r="U137" i="1"/>
  <c r="T137" i="1"/>
  <c r="V136" i="1"/>
  <c r="U136" i="1"/>
  <c r="T136" i="1"/>
  <c r="V135" i="1"/>
  <c r="U135" i="1"/>
  <c r="T135" i="1"/>
  <c r="V134" i="1"/>
  <c r="U134" i="1"/>
  <c r="T134" i="1"/>
  <c r="W134" i="1" s="1"/>
  <c r="V133" i="1"/>
  <c r="U133" i="1"/>
  <c r="T133" i="1"/>
  <c r="V132" i="1"/>
  <c r="U132" i="1"/>
  <c r="T132" i="1"/>
  <c r="V131" i="1"/>
  <c r="U131" i="1"/>
  <c r="T131" i="1"/>
  <c r="V130" i="1"/>
  <c r="U130" i="1"/>
  <c r="T130" i="1"/>
  <c r="W130" i="1" s="1"/>
  <c r="V129" i="1"/>
  <c r="U129" i="1"/>
  <c r="T129" i="1"/>
  <c r="V128" i="1"/>
  <c r="U128" i="1"/>
  <c r="T128" i="1"/>
  <c r="V127" i="1"/>
  <c r="U127" i="1"/>
  <c r="T127" i="1"/>
  <c r="V126" i="1"/>
  <c r="U126" i="1"/>
  <c r="T126" i="1"/>
  <c r="W126" i="1" s="1"/>
  <c r="V125" i="1"/>
  <c r="U125" i="1"/>
  <c r="T125" i="1"/>
  <c r="V124" i="1"/>
  <c r="U124" i="1"/>
  <c r="T124" i="1"/>
  <c r="V123" i="1"/>
  <c r="U123" i="1"/>
  <c r="T123" i="1"/>
  <c r="V122" i="1"/>
  <c r="U122" i="1"/>
  <c r="T122" i="1"/>
  <c r="W122" i="1" s="1"/>
  <c r="V121" i="1"/>
  <c r="U121" i="1"/>
  <c r="T121" i="1"/>
  <c r="V120" i="1"/>
  <c r="U120" i="1"/>
  <c r="T120" i="1"/>
  <c r="V119" i="1"/>
  <c r="U119" i="1"/>
  <c r="T119" i="1"/>
  <c r="V118" i="1"/>
  <c r="U118" i="1"/>
  <c r="T118" i="1"/>
  <c r="W118" i="1" s="1"/>
  <c r="V117" i="1"/>
  <c r="U117" i="1"/>
  <c r="T117" i="1"/>
  <c r="V116" i="1"/>
  <c r="U116" i="1"/>
  <c r="T116" i="1"/>
  <c r="V115" i="1"/>
  <c r="U115" i="1"/>
  <c r="T115" i="1"/>
  <c r="V114" i="1"/>
  <c r="U114" i="1"/>
  <c r="T114" i="1"/>
  <c r="W114" i="1" s="1"/>
  <c r="V113" i="1"/>
  <c r="U113" i="1"/>
  <c r="T113" i="1"/>
  <c r="V112" i="1"/>
  <c r="U112" i="1"/>
  <c r="T112" i="1"/>
  <c r="V111" i="1"/>
  <c r="U111" i="1"/>
  <c r="T111" i="1"/>
  <c r="V110" i="1"/>
  <c r="U110" i="1"/>
  <c r="T110" i="1"/>
  <c r="W110" i="1" s="1"/>
  <c r="V109" i="1"/>
  <c r="U109" i="1"/>
  <c r="T109" i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V104" i="1"/>
  <c r="U104" i="1"/>
  <c r="T104" i="1"/>
  <c r="V103" i="1"/>
  <c r="U103" i="1"/>
  <c r="T103" i="1"/>
  <c r="V102" i="1"/>
  <c r="U102" i="1"/>
  <c r="T102" i="1"/>
  <c r="W102" i="1" s="1"/>
  <c r="V101" i="1"/>
  <c r="U101" i="1"/>
  <c r="T101" i="1"/>
  <c r="V100" i="1"/>
  <c r="U100" i="1"/>
  <c r="T100" i="1"/>
  <c r="V99" i="1"/>
  <c r="U99" i="1"/>
  <c r="T99" i="1"/>
  <c r="V98" i="1"/>
  <c r="U98" i="1"/>
  <c r="T98" i="1"/>
  <c r="W98" i="1" s="1"/>
  <c r="V97" i="1"/>
  <c r="U97" i="1"/>
  <c r="T97" i="1"/>
  <c r="V96" i="1"/>
  <c r="U96" i="1"/>
  <c r="T96" i="1"/>
  <c r="V95" i="1"/>
  <c r="U95" i="1"/>
  <c r="T95" i="1"/>
  <c r="V94" i="1"/>
  <c r="U94" i="1"/>
  <c r="T94" i="1"/>
  <c r="W94" i="1" s="1"/>
  <c r="V93" i="1"/>
  <c r="U93" i="1"/>
  <c r="T93" i="1"/>
  <c r="V92" i="1"/>
  <c r="U92" i="1"/>
  <c r="T92" i="1"/>
  <c r="V91" i="1"/>
  <c r="U91" i="1"/>
  <c r="T91" i="1"/>
  <c r="V90" i="1"/>
  <c r="U90" i="1"/>
  <c r="T90" i="1"/>
  <c r="W90" i="1" s="1"/>
  <c r="V89" i="1"/>
  <c r="U89" i="1"/>
  <c r="T89" i="1"/>
  <c r="V88" i="1"/>
  <c r="U88" i="1"/>
  <c r="T88" i="1"/>
  <c r="V87" i="1"/>
  <c r="U87" i="1"/>
  <c r="T87" i="1"/>
  <c r="V86" i="1"/>
  <c r="U86" i="1"/>
  <c r="T86" i="1"/>
  <c r="W86" i="1" s="1"/>
  <c r="V85" i="1"/>
  <c r="U85" i="1"/>
  <c r="T85" i="1"/>
  <c r="V84" i="1"/>
  <c r="U84" i="1"/>
  <c r="T84" i="1"/>
  <c r="V83" i="1"/>
  <c r="U83" i="1"/>
  <c r="T83" i="1"/>
  <c r="V82" i="1"/>
  <c r="U82" i="1"/>
  <c r="T82" i="1"/>
  <c r="W82" i="1" s="1"/>
  <c r="V81" i="1"/>
  <c r="U81" i="1"/>
  <c r="T81" i="1"/>
  <c r="V80" i="1"/>
  <c r="U80" i="1"/>
  <c r="T80" i="1"/>
  <c r="V79" i="1"/>
  <c r="U79" i="1"/>
  <c r="T79" i="1"/>
  <c r="V78" i="1"/>
  <c r="U78" i="1"/>
  <c r="T78" i="1"/>
  <c r="W78" i="1" s="1"/>
  <c r="V77" i="1"/>
  <c r="U77" i="1"/>
  <c r="T77" i="1"/>
  <c r="V76" i="1"/>
  <c r="U76" i="1"/>
  <c r="T76" i="1"/>
  <c r="V75" i="1"/>
  <c r="U75" i="1"/>
  <c r="T75" i="1"/>
  <c r="V74" i="1"/>
  <c r="U74" i="1"/>
  <c r="T74" i="1"/>
  <c r="W74" i="1" s="1"/>
  <c r="V73" i="1"/>
  <c r="U73" i="1"/>
  <c r="T73" i="1"/>
  <c r="V72" i="1"/>
  <c r="U72" i="1"/>
  <c r="T72" i="1"/>
  <c r="V71" i="1"/>
  <c r="U71" i="1"/>
  <c r="T71" i="1"/>
  <c r="V70" i="1"/>
  <c r="U70" i="1"/>
  <c r="T70" i="1"/>
  <c r="W70" i="1" s="1"/>
  <c r="V69" i="1"/>
  <c r="U69" i="1"/>
  <c r="T69" i="1"/>
  <c r="V68" i="1"/>
  <c r="U68" i="1"/>
  <c r="T68" i="1"/>
  <c r="V67" i="1"/>
  <c r="U67" i="1"/>
  <c r="T67" i="1"/>
  <c r="V66" i="1"/>
  <c r="U66" i="1"/>
  <c r="T66" i="1"/>
  <c r="W66" i="1" s="1"/>
  <c r="V65" i="1"/>
  <c r="U65" i="1"/>
  <c r="T65" i="1"/>
  <c r="V64" i="1"/>
  <c r="U64" i="1"/>
  <c r="T64" i="1"/>
  <c r="V63" i="1"/>
  <c r="U63" i="1"/>
  <c r="T63" i="1"/>
  <c r="V62" i="1"/>
  <c r="U62" i="1"/>
  <c r="T62" i="1"/>
  <c r="W62" i="1" s="1"/>
  <c r="V61" i="1"/>
  <c r="U61" i="1"/>
  <c r="T61" i="1"/>
  <c r="V60" i="1"/>
  <c r="U60" i="1"/>
  <c r="T60" i="1"/>
  <c r="V59" i="1"/>
  <c r="U59" i="1"/>
  <c r="T59" i="1"/>
  <c r="V58" i="1"/>
  <c r="U58" i="1"/>
  <c r="T58" i="1"/>
  <c r="W58" i="1" s="1"/>
  <c r="V57" i="1"/>
  <c r="U57" i="1"/>
  <c r="T57" i="1"/>
  <c r="V56" i="1"/>
  <c r="U56" i="1"/>
  <c r="T56" i="1"/>
  <c r="V55" i="1"/>
  <c r="U55" i="1"/>
  <c r="T55" i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V50" i="1"/>
  <c r="U50" i="1"/>
  <c r="T50" i="1"/>
  <c r="W50" i="1" s="1"/>
  <c r="V49" i="1"/>
  <c r="U49" i="1"/>
  <c r="T49" i="1"/>
  <c r="V48" i="1"/>
  <c r="U48" i="1"/>
  <c r="T48" i="1"/>
  <c r="V47" i="1"/>
  <c r="U47" i="1"/>
  <c r="T47" i="1"/>
  <c r="V46" i="1"/>
  <c r="U46" i="1"/>
  <c r="T46" i="1"/>
  <c r="W46" i="1" s="1"/>
  <c r="V45" i="1"/>
  <c r="U45" i="1"/>
  <c r="T45" i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V40" i="1"/>
  <c r="U40" i="1"/>
  <c r="T40" i="1"/>
  <c r="V39" i="1"/>
  <c r="U39" i="1"/>
  <c r="T39" i="1"/>
  <c r="V38" i="1"/>
  <c r="U38" i="1"/>
  <c r="T38" i="1"/>
  <c r="W38" i="1" s="1"/>
  <c r="V37" i="1"/>
  <c r="U37" i="1"/>
  <c r="T37" i="1"/>
  <c r="V36" i="1"/>
  <c r="U36" i="1"/>
  <c r="T36" i="1"/>
  <c r="V35" i="1"/>
  <c r="U35" i="1"/>
  <c r="T35" i="1"/>
  <c r="V34" i="1"/>
  <c r="U34" i="1"/>
  <c r="T34" i="1"/>
  <c r="W34" i="1" s="1"/>
  <c r="V33" i="1"/>
  <c r="U33" i="1"/>
  <c r="T33" i="1"/>
  <c r="V32" i="1"/>
  <c r="U32" i="1"/>
  <c r="T32" i="1"/>
  <c r="V31" i="1"/>
  <c r="U31" i="1"/>
  <c r="T31" i="1"/>
  <c r="V30" i="1"/>
  <c r="U30" i="1"/>
  <c r="T30" i="1"/>
  <c r="W30" i="1" s="1"/>
  <c r="V29" i="1"/>
  <c r="U29" i="1"/>
  <c r="T29" i="1"/>
  <c r="V28" i="1"/>
  <c r="U28" i="1"/>
  <c r="T28" i="1"/>
  <c r="V27" i="1"/>
  <c r="U27" i="1"/>
  <c r="T27" i="1"/>
  <c r="V26" i="1"/>
  <c r="U26" i="1"/>
  <c r="T26" i="1"/>
  <c r="W26" i="1" s="1"/>
  <c r="V25" i="1"/>
  <c r="U25" i="1"/>
  <c r="T25" i="1"/>
  <c r="V24" i="1"/>
  <c r="U24" i="1"/>
  <c r="T24" i="1"/>
  <c r="V23" i="1"/>
  <c r="U23" i="1"/>
  <c r="T23" i="1"/>
  <c r="V22" i="1"/>
  <c r="U22" i="1"/>
  <c r="T22" i="1"/>
  <c r="W22" i="1" s="1"/>
  <c r="V21" i="1"/>
  <c r="U21" i="1"/>
  <c r="T21" i="1"/>
  <c r="V20" i="1"/>
  <c r="U20" i="1"/>
  <c r="T20" i="1"/>
  <c r="V19" i="1"/>
  <c r="U19" i="1"/>
  <c r="T19" i="1"/>
  <c r="V18" i="1"/>
  <c r="U18" i="1"/>
  <c r="T18" i="1"/>
  <c r="W18" i="1" s="1"/>
  <c r="V17" i="1"/>
  <c r="U17" i="1"/>
  <c r="T17" i="1"/>
  <c r="V16" i="1"/>
  <c r="U16" i="1"/>
  <c r="T16" i="1"/>
  <c r="V15" i="1"/>
  <c r="U15" i="1"/>
  <c r="T15" i="1"/>
  <c r="V14" i="1"/>
  <c r="U14" i="1"/>
  <c r="T14" i="1"/>
  <c r="W14" i="1" s="1"/>
  <c r="V13" i="1"/>
  <c r="U13" i="1"/>
  <c r="T13" i="1"/>
  <c r="V12" i="1"/>
  <c r="U12" i="1"/>
  <c r="T12" i="1"/>
  <c r="V11" i="1"/>
  <c r="U11" i="1"/>
  <c r="T11" i="1"/>
  <c r="V10" i="1"/>
  <c r="U10" i="1"/>
  <c r="T10" i="1"/>
  <c r="W10" i="1" s="1"/>
  <c r="V9" i="1"/>
  <c r="U9" i="1"/>
  <c r="T9" i="1"/>
  <c r="V8" i="1"/>
  <c r="U8" i="1"/>
  <c r="T8" i="1"/>
  <c r="V7" i="1"/>
  <c r="U7" i="1"/>
  <c r="T7" i="1"/>
  <c r="V6" i="1"/>
  <c r="U6" i="1"/>
  <c r="T6" i="1"/>
  <c r="W6" i="1" s="1"/>
  <c r="V5" i="1"/>
  <c r="U5" i="1"/>
  <c r="T5" i="1"/>
  <c r="V4" i="1"/>
  <c r="U4" i="1"/>
  <c r="T4" i="1"/>
  <c r="Z3" i="1"/>
  <c r="Y3" i="1"/>
  <c r="X3" i="1"/>
  <c r="H430" i="1"/>
  <c r="AA244" i="1" l="1"/>
  <c r="AA248" i="1"/>
  <c r="AA252" i="1"/>
  <c r="AA256" i="1"/>
  <c r="AA268" i="1"/>
  <c r="AA272" i="1"/>
  <c r="AA276" i="1"/>
  <c r="AA300" i="1"/>
  <c r="AA304" i="1"/>
  <c r="AA324" i="1"/>
  <c r="AA328" i="1"/>
  <c r="AA332" i="1"/>
  <c r="AA336" i="1"/>
  <c r="AA340" i="1"/>
  <c r="AA344" i="1"/>
  <c r="AA360" i="1"/>
  <c r="AA364" i="1"/>
  <c r="AA368" i="1"/>
  <c r="AA372" i="1"/>
  <c r="AA376" i="1"/>
  <c r="AA380" i="1"/>
  <c r="AA384" i="1"/>
  <c r="AA388" i="1"/>
  <c r="AA392" i="1"/>
  <c r="AA396" i="1"/>
  <c r="AA400" i="1"/>
  <c r="AA404" i="1"/>
  <c r="AA424" i="1"/>
  <c r="W205" i="1"/>
  <c r="W209" i="1"/>
  <c r="W213" i="1"/>
  <c r="AA280" i="1"/>
  <c r="AA284" i="1"/>
  <c r="AA308" i="1"/>
  <c r="AA156" i="1"/>
  <c r="AA172" i="1"/>
  <c r="AA176" i="1"/>
  <c r="AA180" i="1"/>
  <c r="AA184" i="1"/>
  <c r="AA188" i="1"/>
  <c r="AA196" i="1"/>
  <c r="AA204" i="1"/>
  <c r="AA208" i="1"/>
  <c r="AA316" i="1"/>
  <c r="AA212" i="1"/>
  <c r="W221" i="1"/>
  <c r="W225" i="1"/>
  <c r="W229" i="1"/>
  <c r="W233" i="1"/>
  <c r="W237" i="1"/>
  <c r="W241" i="1"/>
  <c r="W245" i="1"/>
  <c r="W249" i="1"/>
  <c r="W253" i="1"/>
  <c r="AA140" i="1"/>
  <c r="AA144" i="1"/>
  <c r="AA148" i="1"/>
  <c r="AA152" i="1"/>
  <c r="AA192" i="1"/>
  <c r="AA216" i="1"/>
  <c r="AA3" i="1"/>
  <c r="W5" i="1"/>
  <c r="W9" i="1"/>
  <c r="W13" i="1"/>
  <c r="W17" i="1"/>
  <c r="W21" i="1"/>
  <c r="W25" i="1"/>
  <c r="W29" i="1"/>
  <c r="W33" i="1"/>
  <c r="W41" i="1"/>
  <c r="W45" i="1"/>
  <c r="W49" i="1"/>
  <c r="W57" i="1"/>
  <c r="W61" i="1"/>
  <c r="W65" i="1"/>
  <c r="W69" i="1"/>
  <c r="W73" i="1"/>
  <c r="W77" i="1"/>
  <c r="W81" i="1"/>
  <c r="W85" i="1"/>
  <c r="W89" i="1"/>
  <c r="W93" i="1"/>
  <c r="W97" i="1"/>
  <c r="W101" i="1"/>
  <c r="W105" i="1"/>
  <c r="W109" i="1"/>
  <c r="W113" i="1"/>
  <c r="W117" i="1"/>
  <c r="W121" i="1"/>
  <c r="W125" i="1"/>
  <c r="W129" i="1"/>
  <c r="W133" i="1"/>
  <c r="W137" i="1"/>
  <c r="W141" i="1"/>
  <c r="W145" i="1"/>
  <c r="W149" i="1"/>
  <c r="W157" i="1"/>
  <c r="W161" i="1"/>
  <c r="W165" i="1"/>
  <c r="W169" i="1"/>
  <c r="W173" i="1"/>
  <c r="W177" i="1"/>
  <c r="W181" i="1"/>
  <c r="W185" i="1"/>
  <c r="W189" i="1"/>
  <c r="W193" i="1"/>
  <c r="W4" i="1"/>
  <c r="W8" i="1"/>
  <c r="W12" i="1"/>
  <c r="W16" i="1"/>
  <c r="W20" i="1"/>
  <c r="W24" i="1"/>
  <c r="W28" i="1"/>
  <c r="W32" i="1"/>
  <c r="W36" i="1"/>
  <c r="W40" i="1"/>
  <c r="W48" i="1"/>
  <c r="W56" i="1"/>
  <c r="W60" i="1"/>
  <c r="W64" i="1"/>
  <c r="W68" i="1"/>
  <c r="W72" i="1"/>
  <c r="W76" i="1"/>
  <c r="W80" i="1"/>
  <c r="W84" i="1"/>
  <c r="W88" i="1"/>
  <c r="W92" i="1"/>
  <c r="W100" i="1"/>
  <c r="W104" i="1"/>
  <c r="W112" i="1"/>
  <c r="W116" i="1"/>
  <c r="W120" i="1"/>
  <c r="W124" i="1"/>
  <c r="W128" i="1"/>
  <c r="W132" i="1"/>
  <c r="W136" i="1"/>
  <c r="W140" i="1"/>
  <c r="W144" i="1"/>
  <c r="W148" i="1"/>
  <c r="W156" i="1"/>
  <c r="W160" i="1"/>
  <c r="W164" i="1"/>
  <c r="W168" i="1"/>
  <c r="W172" i="1"/>
  <c r="W176" i="1"/>
  <c r="W180" i="1"/>
  <c r="W184" i="1"/>
  <c r="W188" i="1"/>
  <c r="W192" i="1"/>
  <c r="W196" i="1"/>
  <c r="W200" i="1"/>
  <c r="W204" i="1"/>
  <c r="W208" i="1"/>
  <c r="W212" i="1"/>
  <c r="W7" i="1"/>
  <c r="W11" i="1"/>
  <c r="W15" i="1"/>
  <c r="W19" i="1"/>
  <c r="W23" i="1"/>
  <c r="W27" i="1"/>
  <c r="W31" i="1"/>
  <c r="W35" i="1"/>
  <c r="W39" i="1"/>
  <c r="W47" i="1"/>
  <c r="W51" i="1"/>
  <c r="W55" i="1"/>
  <c r="W59" i="1"/>
  <c r="W63" i="1"/>
  <c r="W67" i="1"/>
  <c r="W71" i="1"/>
  <c r="W75" i="1"/>
  <c r="W79" i="1"/>
  <c r="W83" i="1"/>
  <c r="W87" i="1"/>
  <c r="W91" i="1"/>
  <c r="W95" i="1"/>
  <c r="W99" i="1"/>
  <c r="W103" i="1"/>
  <c r="W115" i="1"/>
  <c r="W119" i="1"/>
  <c r="W123" i="1"/>
  <c r="W127" i="1"/>
  <c r="W131" i="1"/>
  <c r="W135" i="1"/>
  <c r="W139" i="1"/>
  <c r="W143" i="1"/>
  <c r="W155" i="1"/>
  <c r="W159" i="1"/>
  <c r="W163" i="1"/>
  <c r="W167" i="1"/>
  <c r="W171" i="1"/>
  <c r="W175" i="1"/>
  <c r="W179" i="1"/>
  <c r="W183" i="1"/>
  <c r="W187" i="1"/>
  <c r="W191" i="1"/>
  <c r="W195" i="1"/>
  <c r="W199" i="1"/>
  <c r="W203" i="1"/>
  <c r="W207" i="1"/>
  <c r="W211" i="1"/>
  <c r="W257" i="1"/>
  <c r="W261" i="1"/>
  <c r="W265" i="1"/>
  <c r="W269" i="1"/>
  <c r="W273" i="1"/>
  <c r="W277" i="1"/>
  <c r="W281" i="1"/>
  <c r="W285" i="1"/>
  <c r="W289" i="1"/>
  <c r="W293" i="1"/>
  <c r="W297" i="1"/>
  <c r="W301" i="1"/>
  <c r="W305" i="1"/>
  <c r="W309" i="1"/>
  <c r="W313" i="1"/>
  <c r="W317" i="1"/>
  <c r="W321" i="1"/>
  <c r="W325" i="1"/>
  <c r="W329" i="1"/>
  <c r="W333" i="1"/>
  <c r="W337" i="1"/>
  <c r="W341" i="1"/>
  <c r="W345" i="1"/>
  <c r="W349" i="1"/>
  <c r="W353" i="1"/>
  <c r="W357" i="1"/>
  <c r="W361" i="1"/>
  <c r="W365" i="1"/>
  <c r="W369" i="1"/>
  <c r="W373" i="1"/>
  <c r="W377" i="1"/>
  <c r="W381" i="1"/>
  <c r="W385" i="1"/>
  <c r="W389" i="1"/>
  <c r="W393" i="1"/>
  <c r="W397" i="1"/>
  <c r="W401" i="1"/>
  <c r="W405" i="1"/>
  <c r="W409" i="1"/>
  <c r="W413" i="1"/>
  <c r="W417" i="1"/>
  <c r="W421" i="1"/>
  <c r="AA4" i="1"/>
  <c r="AA8" i="1"/>
  <c r="AA12" i="1"/>
  <c r="AA16" i="1"/>
  <c r="AA20" i="1"/>
  <c r="AA24" i="1"/>
  <c r="AA28" i="1"/>
  <c r="AA32" i="1"/>
  <c r="AA36" i="1"/>
  <c r="AA40" i="1"/>
  <c r="AA44" i="1"/>
  <c r="AA48" i="1"/>
  <c r="AA52" i="1"/>
  <c r="AA56" i="1"/>
  <c r="AA60" i="1"/>
  <c r="AA64" i="1"/>
  <c r="W216" i="1"/>
  <c r="W224" i="1"/>
  <c r="W228" i="1"/>
  <c r="W232" i="1"/>
  <c r="W236" i="1"/>
  <c r="W240" i="1"/>
  <c r="W244" i="1"/>
  <c r="W248" i="1"/>
  <c r="W252" i="1"/>
  <c r="W256" i="1"/>
  <c r="W260" i="1"/>
  <c r="W264" i="1"/>
  <c r="W268" i="1"/>
  <c r="W272" i="1"/>
  <c r="W276" i="1"/>
  <c r="W280" i="1"/>
  <c r="W284" i="1"/>
  <c r="W288" i="1"/>
  <c r="W292" i="1"/>
  <c r="W296" i="1"/>
  <c r="W300" i="1"/>
  <c r="W304" i="1"/>
  <c r="W308" i="1"/>
  <c r="W312" i="1"/>
  <c r="W316" i="1"/>
  <c r="W320" i="1"/>
  <c r="W324" i="1"/>
  <c r="W328" i="1"/>
  <c r="W332" i="1"/>
  <c r="W336" i="1"/>
  <c r="W340" i="1"/>
  <c r="W344" i="1"/>
  <c r="W348" i="1"/>
  <c r="W352" i="1"/>
  <c r="W356" i="1"/>
  <c r="W360" i="1"/>
  <c r="W364" i="1"/>
  <c r="W368" i="1"/>
  <c r="W372" i="1"/>
  <c r="W376" i="1"/>
  <c r="W380" i="1"/>
  <c r="W384" i="1"/>
  <c r="W388" i="1"/>
  <c r="W392" i="1"/>
  <c r="W396" i="1"/>
  <c r="W400" i="1"/>
  <c r="W404" i="1"/>
  <c r="W408" i="1"/>
  <c r="W412" i="1"/>
  <c r="W416" i="1"/>
  <c r="W420" i="1"/>
  <c r="W424" i="1"/>
  <c r="AA7" i="1"/>
  <c r="AA11" i="1"/>
  <c r="AA15" i="1"/>
  <c r="AA19" i="1"/>
  <c r="AA23" i="1"/>
  <c r="AA27" i="1"/>
  <c r="AA31" i="1"/>
  <c r="AA35" i="1"/>
  <c r="AA39" i="1"/>
  <c r="AA43" i="1"/>
  <c r="AA47" i="1"/>
  <c r="AA51" i="1"/>
  <c r="AA55" i="1"/>
  <c r="AA59" i="1"/>
  <c r="AA63" i="1"/>
  <c r="AA67" i="1"/>
  <c r="AA71" i="1"/>
  <c r="AA75" i="1"/>
  <c r="AA79" i="1"/>
  <c r="AA83" i="1"/>
  <c r="AA87" i="1"/>
  <c r="AA91" i="1"/>
  <c r="AA95" i="1"/>
  <c r="AA99" i="1"/>
  <c r="AA103" i="1"/>
  <c r="AA107" i="1"/>
  <c r="AA111" i="1"/>
  <c r="AA115" i="1"/>
  <c r="AA119" i="1"/>
  <c r="AA123" i="1"/>
  <c r="AA127" i="1"/>
  <c r="AA131" i="1"/>
  <c r="AA135" i="1"/>
  <c r="W215" i="1"/>
  <c r="W223" i="1"/>
  <c r="W227" i="1"/>
  <c r="W231" i="1"/>
  <c r="W235" i="1"/>
  <c r="W239" i="1"/>
  <c r="W243" i="1"/>
  <c r="W247" i="1"/>
  <c r="W251" i="1"/>
  <c r="W255" i="1"/>
  <c r="W259" i="1"/>
  <c r="W263" i="1"/>
  <c r="W267" i="1"/>
  <c r="W271" i="1"/>
  <c r="W275" i="1"/>
  <c r="W283" i="1"/>
  <c r="W287" i="1"/>
  <c r="W291" i="1"/>
  <c r="W295" i="1"/>
  <c r="W299" i="1"/>
  <c r="W303" i="1"/>
  <c r="W307" i="1"/>
  <c r="W311" i="1"/>
  <c r="W315" i="1"/>
  <c r="W319" i="1"/>
  <c r="W323" i="1"/>
  <c r="W327" i="1"/>
  <c r="W331" i="1"/>
  <c r="W335" i="1"/>
  <c r="W339" i="1"/>
  <c r="W343" i="1"/>
  <c r="W347" i="1"/>
  <c r="W351" i="1"/>
  <c r="W355" i="1"/>
  <c r="W359" i="1"/>
  <c r="W363" i="1"/>
  <c r="W367" i="1"/>
  <c r="W371" i="1"/>
  <c r="W375" i="1"/>
  <c r="W379" i="1"/>
  <c r="W383" i="1"/>
  <c r="W387" i="1"/>
  <c r="W391" i="1"/>
  <c r="W395" i="1"/>
  <c r="W399" i="1"/>
  <c r="W403" i="1"/>
  <c r="W407" i="1"/>
  <c r="W411" i="1"/>
  <c r="W415" i="1"/>
  <c r="W419" i="1"/>
  <c r="W423" i="1"/>
  <c r="AA6" i="1"/>
  <c r="AA10" i="1"/>
  <c r="AA14" i="1"/>
  <c r="AA18" i="1"/>
  <c r="AA22" i="1"/>
  <c r="AA26" i="1"/>
  <c r="AA30" i="1"/>
  <c r="AA34" i="1"/>
  <c r="AA38" i="1"/>
  <c r="AA42" i="1"/>
  <c r="AA46" i="1"/>
  <c r="AA50" i="1"/>
  <c r="AA54" i="1"/>
  <c r="AA58" i="1"/>
  <c r="AA62" i="1"/>
  <c r="AA66" i="1"/>
  <c r="AA70" i="1"/>
  <c r="AA68" i="1"/>
  <c r="AA72" i="1"/>
  <c r="AA76" i="1"/>
  <c r="AA80" i="1"/>
  <c r="AA84" i="1"/>
  <c r="AA88" i="1"/>
  <c r="AA92" i="1"/>
  <c r="AA96" i="1"/>
  <c r="AA100" i="1"/>
  <c r="AA104" i="1"/>
  <c r="AA108" i="1"/>
  <c r="AA112" i="1"/>
  <c r="AA116" i="1"/>
  <c r="AA120" i="1"/>
  <c r="AA124" i="1"/>
  <c r="AA128" i="1"/>
  <c r="AA132" i="1"/>
  <c r="AA136" i="1"/>
  <c r="AA160" i="1"/>
  <c r="AA164" i="1"/>
  <c r="AA200" i="1"/>
  <c r="AA220" i="1"/>
  <c r="AA224" i="1"/>
  <c r="AA228" i="1"/>
  <c r="AA232" i="1"/>
  <c r="AA236" i="1"/>
  <c r="AA240" i="1"/>
  <c r="AA260" i="1"/>
  <c r="AA264" i="1"/>
  <c r="AA288" i="1"/>
  <c r="AA292" i="1"/>
  <c r="AA312" i="1"/>
  <c r="AA320" i="1"/>
  <c r="AA348" i="1"/>
  <c r="AA352" i="1"/>
  <c r="AA356" i="1"/>
  <c r="AA408" i="1"/>
  <c r="AA412" i="1"/>
  <c r="AA416" i="1"/>
  <c r="AA420" i="1"/>
  <c r="AA139" i="1"/>
  <c r="AA143" i="1"/>
  <c r="AA147" i="1"/>
  <c r="AA151" i="1"/>
  <c r="AA155" i="1"/>
  <c r="AA159" i="1"/>
  <c r="AA163" i="1"/>
  <c r="AA171" i="1"/>
  <c r="AA175" i="1"/>
  <c r="AA179" i="1"/>
  <c r="AA183" i="1"/>
  <c r="AA191" i="1"/>
  <c r="AA195" i="1"/>
  <c r="AA199" i="1"/>
  <c r="AA203" i="1"/>
  <c r="AA207" i="1"/>
  <c r="AA211" i="1"/>
  <c r="AA215" i="1"/>
  <c r="AA219" i="1"/>
  <c r="AA223" i="1"/>
  <c r="AA227" i="1"/>
  <c r="AA231" i="1"/>
  <c r="AA235" i="1"/>
  <c r="AA239" i="1"/>
  <c r="AA243" i="1"/>
  <c r="AA247" i="1"/>
  <c r="AA251" i="1"/>
  <c r="AA255" i="1"/>
  <c r="AA259" i="1"/>
  <c r="AA263" i="1"/>
  <c r="AA267" i="1"/>
  <c r="AA271" i="1"/>
  <c r="AA275" i="1"/>
  <c r="AA279" i="1"/>
  <c r="AA283" i="1"/>
  <c r="AA287" i="1"/>
  <c r="AA291" i="1"/>
  <c r="AA295" i="1"/>
  <c r="AA299" i="1"/>
  <c r="AA303" i="1"/>
  <c r="AA307" i="1"/>
  <c r="AA311" i="1"/>
  <c r="AA315" i="1"/>
  <c r="AA319" i="1"/>
  <c r="AA323" i="1"/>
  <c r="AA327" i="1"/>
  <c r="AA331" i="1"/>
  <c r="AA335" i="1"/>
  <c r="AA339" i="1"/>
  <c r="AA343" i="1"/>
  <c r="AA347" i="1"/>
  <c r="AA351" i="1"/>
  <c r="AA355" i="1"/>
  <c r="AA359" i="1"/>
  <c r="AA363" i="1"/>
  <c r="AA367" i="1"/>
  <c r="AA371" i="1"/>
  <c r="AA375" i="1"/>
  <c r="AA383" i="1"/>
  <c r="AA387" i="1"/>
  <c r="AA391" i="1"/>
  <c r="AA395" i="1"/>
  <c r="AA399" i="1"/>
  <c r="AA403" i="1"/>
  <c r="AA407" i="1"/>
  <c r="AA411" i="1"/>
  <c r="AA415" i="1"/>
  <c r="AA419" i="1"/>
  <c r="AA423" i="1"/>
  <c r="AA74" i="1"/>
  <c r="AA78" i="1"/>
  <c r="AA82" i="1"/>
  <c r="AA86" i="1"/>
  <c r="AA90" i="1"/>
  <c r="AA94" i="1"/>
  <c r="AA98" i="1"/>
  <c r="AA102" i="1"/>
  <c r="AA106" i="1"/>
  <c r="AA110" i="1"/>
  <c r="AA114" i="1"/>
  <c r="AA118" i="1"/>
  <c r="AA122" i="1"/>
  <c r="AA126" i="1"/>
  <c r="AA130" i="1"/>
  <c r="AA134" i="1"/>
  <c r="AA138" i="1"/>
  <c r="AA142" i="1"/>
  <c r="AA146" i="1"/>
  <c r="AA150" i="1"/>
  <c r="AA154" i="1"/>
  <c r="AA158" i="1"/>
  <c r="AA162" i="1"/>
  <c r="AA166" i="1"/>
  <c r="AA170" i="1"/>
  <c r="AA174" i="1"/>
  <c r="AA178" i="1"/>
  <c r="AA182" i="1"/>
  <c r="AA186" i="1"/>
  <c r="AA190" i="1"/>
  <c r="AA194" i="1"/>
  <c r="AA198" i="1"/>
  <c r="AA202" i="1"/>
  <c r="AA206" i="1"/>
  <c r="AA210" i="1"/>
  <c r="AA214" i="1"/>
  <c r="AA218" i="1"/>
  <c r="AA222" i="1"/>
  <c r="AA226" i="1"/>
  <c r="AA230" i="1"/>
  <c r="AA234" i="1"/>
  <c r="AA238" i="1"/>
  <c r="AA242" i="1"/>
  <c r="AA246" i="1"/>
  <c r="AA250" i="1"/>
  <c r="AA254" i="1"/>
  <c r="AA258" i="1"/>
  <c r="AA262" i="1"/>
  <c r="AA266" i="1"/>
  <c r="AA270" i="1"/>
  <c r="AA274" i="1"/>
  <c r="AA278" i="1"/>
  <c r="AA282" i="1"/>
  <c r="AA286" i="1"/>
  <c r="AA290" i="1"/>
  <c r="AA294" i="1"/>
  <c r="AA298" i="1"/>
  <c r="AA302" i="1"/>
  <c r="AA306" i="1"/>
  <c r="AA310" i="1"/>
  <c r="AA314" i="1"/>
  <c r="AA318" i="1"/>
  <c r="AA322" i="1"/>
  <c r="AA326" i="1"/>
  <c r="AA330" i="1"/>
  <c r="AA334" i="1"/>
  <c r="AA338" i="1"/>
  <c r="AA342" i="1"/>
  <c r="AA346" i="1"/>
  <c r="AA350" i="1"/>
  <c r="AA354" i="1"/>
  <c r="AA358" i="1"/>
  <c r="AA362" i="1"/>
  <c r="AA366" i="1"/>
  <c r="AA370" i="1"/>
  <c r="AA374" i="1"/>
  <c r="AA378" i="1"/>
  <c r="AA382" i="1"/>
  <c r="AA386" i="1"/>
  <c r="AA390" i="1"/>
  <c r="AA394" i="1"/>
  <c r="AA398" i="1"/>
  <c r="AA402" i="1"/>
  <c r="AA406" i="1"/>
  <c r="AA410" i="1"/>
  <c r="W37" i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0" i="4" l="1"/>
  <c r="G18" i="4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<sst xmlns="http://schemas.openxmlformats.org/spreadsheetml/2006/main" count="2521" uniqueCount="557">
  <si>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</si>
  <si>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</si>
  <si>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</si>
  <si>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</si>
  <si>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</si>
  <si>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</si>
  <si>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</si>
  <si>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</si>
  <si>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</si>
  <si>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</si>
  <si>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</si>
  <si>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</si>
  <si>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</si>
  <si>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</si>
  <si>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</si>
  <si>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</si>
  <si>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</si>
  <si>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</si>
  <si>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</si>
  <si>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</si>
  <si>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</si>
  <si>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</si>
  <si>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</si>
  <si>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</si>
  <si>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</si>
  <si>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</si>
  <si>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</si>
  <si>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</si>
  <si>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</si>
  <si>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</si>
  <si>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</si>
  <si>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</si>
  <si>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</si>
  <si>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</si>
  <si>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</si>
  <si>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</si>
  <si>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</si>
  <si>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</si>
  <si>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</si>
  <si>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</si>
  <si>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</si>
  <si>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</si>
  <si>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</si>
  <si>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</si>
  <si>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</si>
  <si>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</si>
  <si>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</si>
  <si>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</si>
  <si>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</si>
  <si>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</si>
  <si>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</si>
  <si>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</si>
  <si>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</si>
  <si>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</si>
  <si>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</si>
  <si>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</si>
  <si>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</si>
  <si>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</si>
  <si>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</si>
  <si>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</si>
  <si>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</si>
  <si>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</si>
  <si>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</si>
  <si>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</si>
  <si>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</si>
  <si>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</si>
  <si>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</si>
  <si>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</si>
  <si>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</si>
  <si>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</si>
  <si>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</si>
  <si>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</si>
  <si>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</si>
  <si>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</si>
  <si>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</si>
  <si>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</si>
  <si>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</si>
  <si>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</si>
  <si>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</si>
  <si>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</si>
  <si>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</si>
  <si>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</si>
  <si>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</si>
  <si>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</si>
  <si>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</si>
  <si>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</si>
  <si>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</si>
  <si>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</si>
  <si>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</si>
  <si>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</si>
  <si>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</si>
  <si>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</si>
  <si>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</si>
  <si>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</si>
  <si>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</si>
  <si>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</si>
  <si>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</si>
  <si>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</si>
  <si>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</si>
  <si>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</si>
  <si>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</si>
  <si>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</si>
  <si>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</si>
  <si>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</si>
  <si>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</si>
  <si>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</si>
  <si>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</si>
  <si>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</si>
  <si>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</si>
  <si>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</si>
  <si>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</si>
  <si>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</si>
  <si>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</si>
  <si>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</si>
  <si>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</si>
  <si>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</si>
  <si>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</si>
  <si>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</si>
  <si>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</si>
  <si>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</si>
  <si>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</si>
  <si>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</si>
  <si>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</si>
  <si>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</si>
  <si>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</si>
  <si>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</si>
  <si>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</si>
  <si>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</si>
  <si>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</si>
  <si>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</si>
  <si>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</si>
  <si>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</si>
  <si>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</si>
  <si>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</si>
  <si>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</si>
  <si>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</si>
  <si>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</si>
  <si>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</si>
  <si>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</si>
  <si>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</si>
  <si>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</si>
  <si>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</si>
  <si>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</si>
  <si>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</si>
  <si>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</si>
  <si>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</si>
  <si>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</si>
  <si>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</si>
  <si>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</si>
  <si>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</si>
  <si>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</si>
  <si>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</si>
  <si>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</si>
  <si>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</si>
  <si>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</si>
  <si>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</si>
  <si>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</si>
  <si>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</si>
  <si>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</si>
  <si>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</si>
  <si>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</si>
  <si>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</si>
  <si>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</si>
  <si>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</si>
  <si>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</si>
  <si>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</si>
  <si>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</si>
  <si>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</si>
  <si>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</si>
  <si>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</si>
  <si>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</si>
  <si>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</si>
  <si>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</si>
  <si>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</si>
  <si>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</si>
  <si>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</si>
  <si>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</si>
  <si>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</si>
  <si>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</si>
  <si>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</si>
  <si>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</si>
  <si>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</si>
  <si>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</si>
  <si>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</si>
  <si>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</si>
  <si>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</si>
  <si>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</si>
  <si>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</si>
  <si>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</si>
  <si>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</si>
  <si>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</si>
  <si>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</si>
  <si>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</si>
  <si>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</si>
  <si>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</si>
  <si>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</si>
  <si>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</si>
  <si>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</si>
  <si>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</si>
  <si>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</si>
  <si>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</si>
  <si>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</si>
  <si>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</si>
  <si>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</si>
  <si>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</si>
  <si>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</si>
  <si>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</si>
  <si>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</si>
  <si>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</si>
  <si>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</si>
  <si>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</si>
  <si>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</si>
  <si>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</si>
  <si>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</si>
  <si>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</si>
  <si>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</si>
  <si>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</si>
  <si>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</si>
  <si>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</si>
  <si>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</si>
  <si>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</si>
  <si>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</si>
  <si>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</si>
  <si>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</si>
  <si>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</si>
  <si>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</si>
  <si>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</si>
  <si>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</si>
  <si>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</si>
  <si>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</si>
  <si>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</si>
  <si>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</si>
  <si>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</si>
  <si>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</si>
  <si>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</si>
  <si>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</si>
  <si>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</si>
  <si>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</si>
  <si>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</si>
  <si>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</si>
  <si>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</si>
  <si>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</si>
  <si>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</si>
  <si>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</si>
  <si>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</si>
  <si>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</si>
  <si>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</si>
  <si>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</si>
  <si>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</si>
  <si>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</si>
  <si>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</si>
  <si>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</si>
  <si>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</si>
  <si>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</si>
  <si>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</si>
  <si>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</si>
  <si>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</si>
  <si>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</si>
  <si>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</si>
  <si>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</si>
  <si>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</si>
  <si>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</si>
  <si>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</si>
  <si>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</si>
  <si>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</si>
  <si>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</si>
  <si>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</si>
  <si>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</si>
  <si>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</si>
  <si>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</si>
  <si>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</si>
  <si>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</si>
  <si>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</si>
  <si>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</si>
  <si>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</si>
  <si>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</si>
  <si>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</si>
  <si>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</si>
  <si>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</si>
  <si>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</si>
  <si>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</si>
  <si>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</si>
  <si>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</si>
  <si>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</si>
  <si>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</si>
  <si>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</si>
  <si>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</si>
  <si>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</si>
  <si>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</si>
  <si>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</si>
  <si>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</si>
  <si>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</si>
  <si>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</si>
  <si>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</si>
  <si>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</si>
  <si>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</si>
  <si>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</si>
  <si>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</si>
  <si>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</si>
  <si>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</si>
  <si>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</si>
  <si>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</si>
  <si>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</si>
  <si>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</si>
  <si>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</si>
  <si>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</si>
  <si>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</si>
  <si>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</si>
  <si>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</si>
  <si>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</si>
  <si>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</si>
  <si>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</si>
  <si>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</si>
  <si>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</si>
  <si>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</si>
  <si>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</si>
  <si>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</si>
  <si>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</si>
  <si>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</si>
  <si>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</si>
  <si>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</si>
  <si>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</si>
  <si>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</si>
  <si>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</si>
  <si>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</si>
  <si>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</si>
  <si>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</si>
  <si>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</si>
  <si>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</si>
  <si>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</si>
  <si>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</si>
  <si>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</si>
  <si>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</si>
  <si>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</si>
  <si>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</si>
  <si>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</si>
  <si>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</si>
  <si>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</si>
  <si>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</si>
  <si>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</si>
  <si>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</si>
  <si>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</si>
  <si>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</si>
  <si>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</si>
  <si>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</si>
  <si>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</si>
  <si>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</si>
  <si>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</si>
  <si>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</si>
  <si>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</si>
  <si>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</si>
  <si>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</si>
  <si>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</si>
  <si>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</si>
  <si>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</si>
  <si>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</si>
  <si>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</si>
  <si>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</si>
  <si>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</si>
  <si>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</si>
  <si>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</si>
  <si>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</si>
  <si>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</si>
  <si>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</si>
  <si>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</si>
  <si>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</si>
  <si>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</si>
  <si>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</si>
  <si>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</si>
  <si>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</si>
  <si>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</si>
  <si>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</si>
  <si>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</si>
  <si>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</si>
  <si>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</si>
  <si>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</si>
  <si>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</si>
  <si>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</si>
  <si>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</si>
  <si>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</si>
  <si>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</si>
  <si>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</si>
  <si>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</si>
  <si>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</si>
  <si>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</si>
  <si>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</si>
  <si>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</si>
  <si>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</si>
  <si>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</si>
  <si>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</si>
  <si>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</si>
  <si>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</si>
  <si>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</si>
  <si>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</si>
  <si>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</si>
  <si>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</si>
  <si>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</si>
  <si>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</si>
  <si>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</si>
  <si>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</si>
  <si>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</si>
  <si>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</si>
  <si>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</si>
  <si>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</si>
  <si>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</si>
  <si>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</si>
  <si>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</si>
  <si>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</si>
  <si>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</si>
  <si>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</si>
  <si>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</si>
  <si>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</si>
  <si>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</si>
  <si>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</si>
  <si>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</si>
  <si>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</si>
  <si>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</si>
  <si>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</si>
  <si>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</si>
  <si>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</si>
  <si>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</si>
  <si>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</si>
  <si>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</si>
  <si>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</si>
  <si>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</si>
  <si>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</si>
  <si>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</si>
  <si>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</si>
  <si>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</si>
  <si>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</si>
  <si>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</si>
  <si>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</si>
  <si>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</si>
  <si>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</si>
  <si>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</si>
  <si>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</si>
  <si>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</si>
  <si>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</si>
  <si>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</si>
  <si>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</si>
  <si>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</si>
  <si>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</si>
  <si>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</si>
  <si>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</si>
  <si>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</si>
  <si>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</si>
  <si>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</si>
  <si>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</si>
  <si>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</si>
  <si>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</si>
  <si>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</si>
  <si>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</si>
  <si>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</si>
  <si>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</si>
  <si>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</si>
  <si>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</si>
  <si>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</si>
  <si>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</si>
  <si>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</si>
  <si>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</si>
  <si>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</si>
  <si>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</si>
  <si>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</si>
  <si>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</si>
  <si>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</si>
  <si>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</si>
  <si>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</si>
  <si>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</si>
  <si>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</si>
  <si>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</si>
  <si>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</si>
  <si>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</si>
  <si>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</si>
  <si>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</si>
  <si>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</si>
  <si>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</si>
  <si>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</si>
  <si>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</si>
  <si>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</si>
  <si>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</si>
  <si>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</si>
  <si>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</si>
  <si>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</si>
  <si>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</si>
  <si>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</si>
  <si>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</si>
  <si>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</si>
  <si>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</si>
  <si>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</si>
  <si>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</si>
  <si>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</si>
  <si>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</si>
  <si>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</si>
  <si>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</si>
  <si>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</si>
  <si>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</si>
  <si>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</si>
  <si>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</si>
  <si>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</si>
  <si>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</si>
  <si>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</si>
  <si>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</si>
  <si>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</si>
  <si>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</si>
  <si>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</si>
  <si>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</si>
  <si>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</si>
  <si>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</si>
  <si>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</si>
  <si>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</si>
  <si>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</si>
  <si>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</si>
  <si>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</si>
  <si>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</si>
  <si>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</si>
  <si>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</si>
  <si>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</si>
  <si>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</si>
  <si>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</si>
  <si>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</si>
  <si>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</si>
  <si>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</si>
  <si>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</si>
  <si>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</si>
  <si>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</si>
  <si>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</si>
  <si>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</si>
  <si>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</si>
  <si>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</si>
  <si>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</si>
  <si>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</si>
  <si>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</si>
  <si>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</si>
  <si>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</si>
  <si>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</si>
  <si>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</si>
  <si>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</si>
  <si>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</si>
  <si>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</si>
  <si>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</si>
  <si>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</si>
  <si>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</si>
  <si>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</si>
  <si>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</si>
  <si>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</si>
  <si>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</si>
  <si>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</si>
  <si>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</si>
  <si>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</si>
  <si>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</si>
  <si>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</si>
  <si>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</si>
  <si>
    <t>Fateh Gher</t>
  </si>
  <si>
    <t>Sabzazaar</t>
  </si>
  <si>
    <t>LDA Avenue</t>
  </si>
  <si>
    <t>Riwand Road Adda Block</t>
  </si>
  <si>
    <t xml:space="preserve">Punjab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</si>
</sst>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0" fontId="0" fillId="8" borderId="15" xfId="0" applyFill="1" applyBorder="1"/>
    <xf numFmtId="0" fontId="6" fillId="10" borderId="15" xfId="4" applyFill="1" applyBorder="1"/>
    <xf numFmtId="0" fontId="0" fillId="10" borderId="15" xfId="0" applyFill="1" applyBorder="1"/>
    <xf numFmtId="0" fontId="7" fillId="10" borderId="1" xfId="4" applyFont="1" applyFill="1" applyBorder="1" applyAlignment="1">
      <alignment horizontal="right" wrapText="1"/>
    </xf>
    <xf numFmtId="0" fontId="7" fillId="10" borderId="15" xfId="4" applyFont="1" applyFill="1" applyBorder="1" applyAlignment="1">
      <alignment horizontal="right" wrapText="1"/>
    </xf>
    <xf numFmtId="0" fontId="6" fillId="10" borderId="1" xfId="4" applyFill="1" applyBorder="1"/>
    <xf numFmtId="0" fontId="7" fillId="10" borderId="15" xfId="4" applyFont="1" applyFill="1" applyBorder="1" applyAlignment="1">
      <alignment horizontal="left" vertical="center" wrapText="1"/>
    </xf>
    <xf numFmtId="0" fontId="7" fillId="10" borderId="1" xfId="4" applyFont="1" applyFill="1" applyBorder="1" applyAlignment="1">
      <alignment horizontal="left" vertical="center" wrapText="1"/>
    </xf>
    <xf numFmtId="0" fontId="7" fillId="10" borderId="1" xfId="4" applyFont="1" applyFill="1" applyBorder="1" applyAlignment="1">
      <alignment wrapText="1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431"/>
  <sheetViews>
    <sheetView tabSelected="1" workbookViewId="0">
      <pane xSplit="1" ySplit="2" topLeftCell="B331" activePane="bottomRight" state="frozen"/>
      <selection pane="topRight" activeCell="B1" sqref="B1"/>
      <selection pane="bottomLeft" activeCell="A3" sqref="A3"/>
      <selection pane="bottomRight" activeCell="G354" sqref="G354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15" t="s">
        <v>0</v>
      </c>
      <c r="B1" s="115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5" t="s">
        <v>6</v>
      </c>
      <c r="H1" s="116" t="s">
        <v>7</v>
      </c>
      <c r="I1" s="1"/>
      <c r="J1" s="56"/>
      <c r="K1" s="115" t="s">
        <v>8</v>
      </c>
      <c r="L1" s="115"/>
      <c r="M1" s="115"/>
      <c r="N1" s="115"/>
      <c r="O1" s="120" t="s">
        <v>9</v>
      </c>
      <c r="P1" s="121"/>
      <c r="Q1" s="121"/>
      <c r="R1" s="121"/>
      <c r="S1" s="117" t="s">
        <v>10</v>
      </c>
      <c r="T1" s="119" t="s">
        <v>11</v>
      </c>
      <c r="U1" s="119"/>
      <c r="V1" s="119"/>
      <c r="W1" s="119"/>
      <c r="X1" s="119" t="s">
        <v>12</v>
      </c>
      <c r="Y1" s="119"/>
      <c r="Z1" s="119"/>
      <c r="AA1" s="119"/>
      <c r="AB1" s="113" t="s">
        <v>65</v>
      </c>
      <c r="AC1" s="113" t="s">
        <v>13</v>
      </c>
      <c r="AD1" s="113" t="s">
        <v>14</v>
      </c>
      <c r="AE1" s="113" t="s">
        <v>15</v>
      </c>
      <c r="AF1" s="113" t="s">
        <v>16</v>
      </c>
      <c r="AG1" s="113" t="s">
        <v>17</v>
      </c>
      <c r="AH1" s="65">
        <v>3.5000000000000003E-2</v>
      </c>
      <c r="AI1" s="113" t="s">
        <v>18</v>
      </c>
      <c r="AJ1" s="113" t="s">
        <v>19</v>
      </c>
      <c r="AK1" s="113" t="s">
        <v>20</v>
      </c>
      <c r="AL1" s="113" t="s">
        <v>21</v>
      </c>
      <c r="AM1" s="113" t="s">
        <v>22</v>
      </c>
      <c r="AN1" s="111" t="s">
        <v>23</v>
      </c>
      <c r="AO1" s="111" t="s">
        <v>24</v>
      </c>
      <c r="AP1" s="113" t="s">
        <v>25</v>
      </c>
    </row>
    <row r="2" spans="1:42" s="3" customFormat="1" ht="43.5" hidden="1" x14ac:dyDescent="0.35">
      <c r="A2" s="115"/>
      <c r="B2" s="115"/>
      <c r="C2" s="116"/>
      <c r="D2" s="116"/>
      <c r="E2" s="116"/>
      <c r="F2" s="116"/>
      <c r="G2" s="115"/>
      <c r="H2" s="116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8"/>
      <c r="T2" s="4" t="s">
        <v>352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14"/>
      <c r="AC2" s="114"/>
      <c r="AD2" s="114"/>
      <c r="AE2" s="114"/>
      <c r="AF2" s="114"/>
      <c r="AG2" s="114"/>
      <c r="AH2" s="63" t="s">
        <v>66</v>
      </c>
      <c r="AI2" s="114"/>
      <c r="AJ2" s="114"/>
      <c r="AK2" s="114"/>
      <c r="AL2" s="114"/>
      <c r="AM2" s="114"/>
      <c r="AN2" s="112"/>
      <c r="AO2" s="112"/>
      <c r="AP2" s="114"/>
    </row>
    <row r="3" spans="1:42" hidden="1" x14ac:dyDescent="0.35">
      <c r="A3" s="70">
        <v>46174</v>
      </c>
      <c r="B3" s="71" t="s">
        <v>67</v>
      </c>
      <c r="C3" s="72">
        <v>1011</v>
      </c>
      <c r="D3" s="72">
        <v>35201</v>
      </c>
      <c r="E3" s="62" t="s">
        <v>68</v>
      </c>
      <c r="F3" s="72" t="s">
        <v>70</v>
      </c>
      <c r="G3" s="75" t="s">
        <v>81</v>
      </c>
      <c r="H3" s="72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hidden="1" x14ac:dyDescent="0.35">
      <c r="A4" s="70">
        <v>46174</v>
      </c>
      <c r="B4" s="71" t="s">
        <v>67</v>
      </c>
      <c r="C4" s="72">
        <v>1012</v>
      </c>
      <c r="D4" s="72">
        <v>45631</v>
      </c>
      <c r="E4" s="62" t="s">
        <v>68</v>
      </c>
      <c r="F4" s="72" t="s">
        <v>78</v>
      </c>
      <c r="G4" s="75" t="s">
        <v>82</v>
      </c>
      <c r="H4" s="72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hidden="1" x14ac:dyDescent="0.35">
      <c r="A5" s="70">
        <v>46174</v>
      </c>
      <c r="B5" s="71" t="s">
        <v>67</v>
      </c>
      <c r="C5" s="72">
        <v>1013</v>
      </c>
      <c r="D5" s="72">
        <v>38546</v>
      </c>
      <c r="E5" s="62" t="s">
        <v>68</v>
      </c>
      <c r="F5" s="72" t="s">
        <v>78</v>
      </c>
      <c r="G5" s="75" t="s">
        <v>83</v>
      </c>
      <c r="H5" s="72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hidden="1" x14ac:dyDescent="0.35">
      <c r="A6" s="70">
        <v>46174</v>
      </c>
      <c r="B6" s="71" t="s">
        <v>67</v>
      </c>
      <c r="C6" s="72">
        <v>1014</v>
      </c>
      <c r="D6" s="72">
        <v>12568</v>
      </c>
      <c r="E6" s="62" t="s">
        <v>68</v>
      </c>
      <c r="F6" s="72" t="s">
        <v>70</v>
      </c>
      <c r="G6" s="75" t="s">
        <v>84</v>
      </c>
      <c r="H6" s="72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hidden="1" thickBot="1" x14ac:dyDescent="0.4">
      <c r="A7" s="70">
        <v>46175</v>
      </c>
      <c r="B7" s="71" t="s">
        <v>67</v>
      </c>
      <c r="C7" s="72">
        <v>1015</v>
      </c>
      <c r="D7" s="72">
        <v>68501</v>
      </c>
      <c r="E7" s="62" t="s">
        <v>68</v>
      </c>
      <c r="F7" s="72" t="s">
        <v>70</v>
      </c>
      <c r="G7" s="75" t="s">
        <v>91</v>
      </c>
      <c r="H7" s="72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hidden="1" x14ac:dyDescent="0.35">
      <c r="A8" s="70">
        <v>46175</v>
      </c>
      <c r="B8" s="71" t="s">
        <v>67</v>
      </c>
      <c r="C8" s="72">
        <v>1016</v>
      </c>
      <c r="D8" s="72">
        <v>98453</v>
      </c>
      <c r="E8" s="62" t="s">
        <v>68</v>
      </c>
      <c r="F8" s="72" t="s">
        <v>78</v>
      </c>
      <c r="G8" s="75" t="s">
        <v>92</v>
      </c>
      <c r="H8" s="72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hidden="1" x14ac:dyDescent="0.35">
      <c r="A9" s="70">
        <v>46175</v>
      </c>
      <c r="B9" s="71" t="s">
        <v>67</v>
      </c>
      <c r="C9" s="72">
        <v>1017</v>
      </c>
      <c r="D9" s="72">
        <v>78543</v>
      </c>
      <c r="E9" s="62" t="s">
        <v>68</v>
      </c>
      <c r="F9" s="72" t="s">
        <v>87</v>
      </c>
      <c r="G9" s="75" t="s">
        <v>93</v>
      </c>
      <c r="H9" s="72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hidden="1" x14ac:dyDescent="0.35">
      <c r="A10" s="70">
        <v>46175</v>
      </c>
      <c r="B10" s="71" t="s">
        <v>67</v>
      </c>
      <c r="C10" s="72">
        <v>1018</v>
      </c>
      <c r="D10" s="72">
        <v>15313</v>
      </c>
      <c r="E10" s="62" t="s">
        <v>68</v>
      </c>
      <c r="F10" s="72" t="s">
        <v>88</v>
      </c>
      <c r="G10" s="75" t="s">
        <v>94</v>
      </c>
      <c r="H10" s="72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hidden="1" x14ac:dyDescent="0.35">
      <c r="A11" s="70">
        <v>46175</v>
      </c>
      <c r="B11" s="71" t="s">
        <v>67</v>
      </c>
      <c r="C11" s="72">
        <v>1019</v>
      </c>
      <c r="D11" s="72">
        <v>46763</v>
      </c>
      <c r="E11" s="62" t="s">
        <v>68</v>
      </c>
      <c r="F11" s="72" t="s">
        <v>70</v>
      </c>
      <c r="G11" s="75" t="s">
        <v>95</v>
      </c>
      <c r="H11" s="72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hidden="1" x14ac:dyDescent="0.35">
      <c r="A12" s="70">
        <v>46175</v>
      </c>
      <c r="B12" s="71" t="s">
        <v>67</v>
      </c>
      <c r="C12" s="72">
        <v>1020</v>
      </c>
      <c r="D12" s="72">
        <v>45612</v>
      </c>
      <c r="E12" s="62" t="s">
        <v>68</v>
      </c>
      <c r="F12" s="72" t="s">
        <v>78</v>
      </c>
      <c r="G12" s="75" t="s">
        <v>96</v>
      </c>
      <c r="H12" s="72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hidden="1" x14ac:dyDescent="0.35">
      <c r="A13" s="70">
        <v>46176</v>
      </c>
      <c r="B13" s="71" t="s">
        <v>67</v>
      </c>
      <c r="C13" s="72">
        <v>1021</v>
      </c>
      <c r="D13" s="72">
        <v>46313</v>
      </c>
      <c r="E13" s="62" t="s">
        <v>68</v>
      </c>
      <c r="F13" s="72" t="s">
        <v>78</v>
      </c>
      <c r="G13" s="75" t="s">
        <v>118</v>
      </c>
      <c r="H13" s="72" t="s">
        <v>99</v>
      </c>
      <c r="I13" s="72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hidden="1" x14ac:dyDescent="0.35">
      <c r="A14" s="70">
        <v>46176</v>
      </c>
      <c r="B14" s="71" t="s">
        <v>67</v>
      </c>
      <c r="C14" s="72">
        <v>1022</v>
      </c>
      <c r="D14" s="72">
        <v>46415</v>
      </c>
      <c r="E14" s="62" t="s">
        <v>68</v>
      </c>
      <c r="F14" s="72" t="s">
        <v>98</v>
      </c>
      <c r="G14" s="75" t="s">
        <v>119</v>
      </c>
      <c r="H14" s="72" t="s">
        <v>99</v>
      </c>
      <c r="I14" s="72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hidden="1" x14ac:dyDescent="0.35">
      <c r="A15" s="70">
        <v>46176</v>
      </c>
      <c r="B15" s="71" t="s">
        <v>67</v>
      </c>
      <c r="C15" s="72">
        <v>1023</v>
      </c>
      <c r="D15" s="72">
        <v>75643</v>
      </c>
      <c r="E15" s="62" t="s">
        <v>68</v>
      </c>
      <c r="F15" s="72" t="s">
        <v>98</v>
      </c>
      <c r="G15" s="75" t="s">
        <v>120</v>
      </c>
      <c r="H15" s="72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hidden="1" x14ac:dyDescent="0.35">
      <c r="A16" s="70">
        <v>46176</v>
      </c>
      <c r="B16" s="71" t="s">
        <v>67</v>
      </c>
      <c r="C16" s="72">
        <v>1024</v>
      </c>
      <c r="D16" s="72">
        <v>15324</v>
      </c>
      <c r="E16" s="62" t="s">
        <v>68</v>
      </c>
      <c r="F16" s="72" t="s">
        <v>78</v>
      </c>
      <c r="G16" s="75" t="s">
        <v>121</v>
      </c>
      <c r="H16" s="72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hidden="1" x14ac:dyDescent="0.35">
      <c r="A17" s="70">
        <v>46176</v>
      </c>
      <c r="B17" s="71" t="s">
        <v>67</v>
      </c>
      <c r="C17" s="72">
        <v>1025</v>
      </c>
      <c r="D17" s="72">
        <v>76845</v>
      </c>
      <c r="E17" s="62" t="s">
        <v>68</v>
      </c>
      <c r="F17" s="72" t="s">
        <v>108</v>
      </c>
      <c r="G17" s="75" t="s">
        <v>125</v>
      </c>
      <c r="H17" s="72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hidden="1" x14ac:dyDescent="0.35">
      <c r="A18" s="70">
        <v>46176</v>
      </c>
      <c r="B18" s="71" t="s">
        <v>67</v>
      </c>
      <c r="C18" s="72">
        <v>1026</v>
      </c>
      <c r="D18" s="72">
        <v>45313</v>
      </c>
      <c r="E18" s="62" t="s">
        <v>68</v>
      </c>
      <c r="F18" s="72" t="s">
        <v>98</v>
      </c>
      <c r="G18" s="75" t="s">
        <v>126</v>
      </c>
      <c r="H18" s="72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hidden="1" x14ac:dyDescent="0.35">
      <c r="A19" s="70">
        <v>46176</v>
      </c>
      <c r="B19" s="71" t="s">
        <v>67</v>
      </c>
      <c r="C19" s="72">
        <v>1027</v>
      </c>
      <c r="D19" s="72">
        <v>65453</v>
      </c>
      <c r="E19" s="62" t="s">
        <v>68</v>
      </c>
      <c r="F19" s="72" t="s">
        <v>78</v>
      </c>
      <c r="G19" s="75" t="s">
        <v>127</v>
      </c>
      <c r="H19" s="72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hidden="1" x14ac:dyDescent="0.35">
      <c r="A20" s="70">
        <v>46176</v>
      </c>
      <c r="B20" s="71" t="s">
        <v>67</v>
      </c>
      <c r="C20" s="72">
        <v>1028</v>
      </c>
      <c r="D20" s="72">
        <v>46321</v>
      </c>
      <c r="E20" s="62" t="s">
        <v>68</v>
      </c>
      <c r="F20" s="72" t="s">
        <v>69</v>
      </c>
      <c r="G20" s="75" t="s">
        <v>128</v>
      </c>
      <c r="H20" s="72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hidden="1" x14ac:dyDescent="0.35">
      <c r="A21" s="70">
        <v>46176</v>
      </c>
      <c r="B21" s="71" t="s">
        <v>67</v>
      </c>
      <c r="C21" s="72">
        <v>1029</v>
      </c>
      <c r="D21" s="72">
        <v>21564</v>
      </c>
      <c r="E21" s="62" t="s">
        <v>68</v>
      </c>
      <c r="F21" s="72" t="s">
        <v>69</v>
      </c>
      <c r="G21" s="75" t="s">
        <v>131</v>
      </c>
      <c r="H21" s="72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hidden="1" x14ac:dyDescent="0.35">
      <c r="A22" s="70">
        <v>46176</v>
      </c>
      <c r="B22" s="71" t="s">
        <v>67</v>
      </c>
      <c r="C22" s="72">
        <v>1030</v>
      </c>
      <c r="D22" s="72">
        <v>51313</v>
      </c>
      <c r="E22" s="62" t="s">
        <v>68</v>
      </c>
      <c r="F22" s="72" t="s">
        <v>98</v>
      </c>
      <c r="G22" s="75" t="s">
        <v>132</v>
      </c>
      <c r="H22" s="72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hidden="1" x14ac:dyDescent="0.35">
      <c r="A23" s="70">
        <v>46176</v>
      </c>
      <c r="B23" s="71" t="s">
        <v>67</v>
      </c>
      <c r="C23" s="72">
        <v>1031</v>
      </c>
      <c r="D23" s="72">
        <v>46153</v>
      </c>
      <c r="E23" s="62" t="s">
        <v>68</v>
      </c>
      <c r="F23" s="72" t="s">
        <v>69</v>
      </c>
      <c r="G23" s="75" t="s">
        <v>133</v>
      </c>
      <c r="H23" s="72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hidden="1" x14ac:dyDescent="0.35">
      <c r="A24" s="70">
        <v>46177</v>
      </c>
      <c r="B24" s="71" t="s">
        <v>67</v>
      </c>
      <c r="C24" s="72">
        <v>1032</v>
      </c>
      <c r="D24" s="73">
        <v>45915.964285714297</v>
      </c>
      <c r="E24" s="62" t="s">
        <v>68</v>
      </c>
      <c r="F24" s="72" t="s">
        <v>69</v>
      </c>
      <c r="G24" s="75" t="s">
        <v>134</v>
      </c>
      <c r="H24" s="72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hidden="1" x14ac:dyDescent="0.35">
      <c r="A25" s="70">
        <v>46177</v>
      </c>
      <c r="B25" s="71" t="s">
        <v>67</v>
      </c>
      <c r="C25" s="72">
        <v>1033</v>
      </c>
      <c r="D25" s="73">
        <v>45889.3452380952</v>
      </c>
      <c r="E25" s="62" t="s">
        <v>68</v>
      </c>
      <c r="F25" s="72" t="s">
        <v>98</v>
      </c>
      <c r="G25" s="75" t="s">
        <v>135</v>
      </c>
      <c r="H25" s="72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hidden="1" x14ac:dyDescent="0.35">
      <c r="A26" s="70">
        <v>46177</v>
      </c>
      <c r="B26" s="71" t="s">
        <v>67</v>
      </c>
      <c r="C26" s="72">
        <v>1035</v>
      </c>
      <c r="D26" s="73">
        <v>45836.107142857101</v>
      </c>
      <c r="E26" s="62" t="s">
        <v>68</v>
      </c>
      <c r="F26" s="72" t="s">
        <v>98</v>
      </c>
      <c r="G26" s="75" t="s">
        <v>94</v>
      </c>
      <c r="H26" s="72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hidden="1" x14ac:dyDescent="0.35">
      <c r="A27" s="70">
        <v>46177</v>
      </c>
      <c r="B27" s="71" t="s">
        <v>67</v>
      </c>
      <c r="C27" s="72">
        <v>1036</v>
      </c>
      <c r="D27" s="73">
        <v>45809.488095238099</v>
      </c>
      <c r="E27" s="62" t="s">
        <v>68</v>
      </c>
      <c r="F27" s="72" t="s">
        <v>78</v>
      </c>
      <c r="G27" s="75" t="s">
        <v>95</v>
      </c>
      <c r="H27" s="72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hidden="1" x14ac:dyDescent="0.35">
      <c r="A28" s="70">
        <v>46177</v>
      </c>
      <c r="B28" s="71" t="s">
        <v>67</v>
      </c>
      <c r="C28" s="72">
        <v>1037</v>
      </c>
      <c r="D28" s="73">
        <v>45782.869047619002</v>
      </c>
      <c r="E28" s="62" t="s">
        <v>68</v>
      </c>
      <c r="F28" s="72" t="s">
        <v>69</v>
      </c>
      <c r="G28" s="75" t="s">
        <v>96</v>
      </c>
      <c r="H28" s="72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hidden="1" x14ac:dyDescent="0.35">
      <c r="A29" s="70">
        <v>46178</v>
      </c>
      <c r="B29" s="71" t="s">
        <v>67</v>
      </c>
      <c r="C29" s="72">
        <v>1038</v>
      </c>
      <c r="D29" s="73">
        <v>45756.25</v>
      </c>
      <c r="E29" s="62" t="s">
        <v>68</v>
      </c>
      <c r="F29" s="72" t="s">
        <v>98</v>
      </c>
      <c r="G29" s="75" t="s">
        <v>118</v>
      </c>
      <c r="H29" s="72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hidden="1" x14ac:dyDescent="0.35">
      <c r="A30" s="70">
        <v>46178</v>
      </c>
      <c r="B30" s="71" t="s">
        <v>67</v>
      </c>
      <c r="C30" s="72">
        <v>1039</v>
      </c>
      <c r="D30" s="73">
        <v>45729.630952380903</v>
      </c>
      <c r="E30" s="62" t="s">
        <v>68</v>
      </c>
      <c r="F30" s="72" t="s">
        <v>78</v>
      </c>
      <c r="G30" s="75" t="s">
        <v>119</v>
      </c>
      <c r="H30" s="72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hidden="1" x14ac:dyDescent="0.35">
      <c r="A31" s="70">
        <v>46178</v>
      </c>
      <c r="B31" s="71" t="s">
        <v>67</v>
      </c>
      <c r="C31" s="72">
        <v>1040</v>
      </c>
      <c r="D31" s="73">
        <v>45703.011904761901</v>
      </c>
      <c r="E31" s="62" t="s">
        <v>68</v>
      </c>
      <c r="F31" s="72" t="s">
        <v>69</v>
      </c>
      <c r="G31" s="75" t="s">
        <v>120</v>
      </c>
      <c r="H31" s="72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hidden="1" x14ac:dyDescent="0.35">
      <c r="A32" s="70">
        <v>46178</v>
      </c>
      <c r="B32" s="71" t="s">
        <v>67</v>
      </c>
      <c r="C32" s="72">
        <v>1041</v>
      </c>
      <c r="D32" s="73">
        <v>45676.392857142797</v>
      </c>
      <c r="E32" s="62" t="s">
        <v>68</v>
      </c>
      <c r="F32" s="72" t="s">
        <v>98</v>
      </c>
      <c r="G32" s="75" t="s">
        <v>121</v>
      </c>
      <c r="H32" s="72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hidden="1" x14ac:dyDescent="0.35">
      <c r="A33" s="70">
        <v>46178</v>
      </c>
      <c r="B33" s="71" t="s">
        <v>67</v>
      </c>
      <c r="C33" s="72">
        <v>1042</v>
      </c>
      <c r="D33" s="73">
        <v>45649.773809523802</v>
      </c>
      <c r="E33" s="62" t="s">
        <v>68</v>
      </c>
      <c r="F33" s="72" t="s">
        <v>78</v>
      </c>
      <c r="G33" s="75" t="s">
        <v>125</v>
      </c>
      <c r="H33" s="72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hidden="1" x14ac:dyDescent="0.35">
      <c r="A34" s="70">
        <v>46178</v>
      </c>
      <c r="B34" s="71" t="s">
        <v>67</v>
      </c>
      <c r="C34" s="72">
        <v>1043</v>
      </c>
      <c r="D34" s="73">
        <v>45623.154761904698</v>
      </c>
      <c r="E34" s="62" t="s">
        <v>68</v>
      </c>
      <c r="F34" s="72" t="s">
        <v>69</v>
      </c>
      <c r="G34" s="75" t="s">
        <v>126</v>
      </c>
      <c r="H34" s="72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hidden="1" x14ac:dyDescent="0.35">
      <c r="A35" s="70">
        <v>46209</v>
      </c>
      <c r="B35" s="71" t="s">
        <v>67</v>
      </c>
      <c r="C35" s="72">
        <v>1044</v>
      </c>
      <c r="D35" s="73">
        <v>45596.535714285703</v>
      </c>
      <c r="E35" s="62" t="s">
        <v>68</v>
      </c>
      <c r="F35" s="72" t="s">
        <v>78</v>
      </c>
      <c r="G35" s="75" t="s">
        <v>138</v>
      </c>
      <c r="H35" s="72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hidden="1" x14ac:dyDescent="0.35">
      <c r="A36" s="70">
        <v>46209</v>
      </c>
      <c r="B36" s="71" t="s">
        <v>67</v>
      </c>
      <c r="C36" s="72">
        <v>1045</v>
      </c>
      <c r="D36" s="73">
        <v>45569.916666666599</v>
      </c>
      <c r="E36" s="62" t="s">
        <v>68</v>
      </c>
      <c r="F36" s="72" t="s">
        <v>78</v>
      </c>
      <c r="G36" s="75" t="s">
        <v>139</v>
      </c>
      <c r="H36" s="72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hidden="1" x14ac:dyDescent="0.35">
      <c r="A37" s="70">
        <v>46209</v>
      </c>
      <c r="B37" s="71" t="s">
        <v>67</v>
      </c>
      <c r="C37" s="72">
        <v>1046</v>
      </c>
      <c r="D37" s="73">
        <v>45543.297619047597</v>
      </c>
      <c r="E37" s="62" t="s">
        <v>68</v>
      </c>
      <c r="F37" s="72" t="s">
        <v>69</v>
      </c>
      <c r="G37" s="75" t="s">
        <v>140</v>
      </c>
      <c r="H37" s="72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hidden="1" x14ac:dyDescent="0.35">
      <c r="A38" s="70">
        <v>46209</v>
      </c>
      <c r="B38" s="71" t="s">
        <v>67</v>
      </c>
      <c r="C38" s="72">
        <v>1047</v>
      </c>
      <c r="D38" s="73">
        <v>45516.6785714285</v>
      </c>
      <c r="E38" s="62" t="s">
        <v>68</v>
      </c>
      <c r="F38" s="72" t="s">
        <v>70</v>
      </c>
      <c r="G38" s="75" t="s">
        <v>141</v>
      </c>
      <c r="H38" s="72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0">
        <v>46209</v>
      </c>
      <c r="B39" s="71" t="s">
        <v>67</v>
      </c>
      <c r="C39" s="72">
        <v>1047</v>
      </c>
      <c r="D39" s="73">
        <v>45516.6785714285</v>
      </c>
      <c r="E39" s="62" t="s">
        <v>68</v>
      </c>
      <c r="F39" s="74" t="s">
        <v>208</v>
      </c>
      <c r="G39" s="108" t="s">
        <v>209</v>
      </c>
      <c r="H39" s="74" t="s">
        <v>212</v>
      </c>
      <c r="I39" s="77" t="s">
        <v>142</v>
      </c>
      <c r="J39" s="102">
        <v>800</v>
      </c>
      <c r="K39" s="103">
        <v>800</v>
      </c>
      <c r="L39" s="103">
        <v>800</v>
      </c>
      <c r="M39" s="103">
        <v>400</v>
      </c>
      <c r="N39" s="8">
        <f t="shared" si="1"/>
        <v>2000</v>
      </c>
      <c r="O39" s="106">
        <v>800</v>
      </c>
      <c r="P39" s="106">
        <v>800</v>
      </c>
      <c r="Q39" s="105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x14ac:dyDescent="0.35">
      <c r="A40" s="70">
        <v>46209</v>
      </c>
      <c r="B40" s="71" t="s">
        <v>67</v>
      </c>
      <c r="C40" s="72">
        <v>1047</v>
      </c>
      <c r="D40" s="73">
        <v>45516.6785714285</v>
      </c>
      <c r="E40" s="62" t="s">
        <v>68</v>
      </c>
      <c r="F40" s="74" t="s">
        <v>208</v>
      </c>
      <c r="G40" s="108" t="s">
        <v>210</v>
      </c>
      <c r="H40" s="74" t="s">
        <v>212</v>
      </c>
      <c r="I40" s="77" t="s">
        <v>142</v>
      </c>
      <c r="J40" s="102">
        <v>80</v>
      </c>
      <c r="K40" s="103">
        <v>80</v>
      </c>
      <c r="L40" s="103">
        <v>80</v>
      </c>
      <c r="M40" s="103">
        <v>80</v>
      </c>
      <c r="N40" s="8">
        <f t="shared" si="1"/>
        <v>240</v>
      </c>
      <c r="O40" s="106">
        <v>80</v>
      </c>
      <c r="P40" s="106">
        <v>80</v>
      </c>
      <c r="Q40" s="105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x14ac:dyDescent="0.35">
      <c r="A41" s="70">
        <v>46209</v>
      </c>
      <c r="B41" s="71" t="s">
        <v>67</v>
      </c>
      <c r="C41" s="72">
        <v>1047</v>
      </c>
      <c r="D41" s="73">
        <v>45516.6785714285</v>
      </c>
      <c r="E41" s="62" t="s">
        <v>68</v>
      </c>
      <c r="F41" s="74" t="s">
        <v>208</v>
      </c>
      <c r="G41" s="108" t="s">
        <v>211</v>
      </c>
      <c r="H41" s="74" t="s">
        <v>212</v>
      </c>
      <c r="I41" s="77" t="s">
        <v>142</v>
      </c>
      <c r="J41" s="102">
        <v>200</v>
      </c>
      <c r="K41" s="103">
        <v>200</v>
      </c>
      <c r="L41" s="103">
        <v>200</v>
      </c>
      <c r="M41" s="103">
        <v>270</v>
      </c>
      <c r="N41" s="8">
        <f t="shared" si="1"/>
        <v>670</v>
      </c>
      <c r="O41" s="106">
        <v>200</v>
      </c>
      <c r="P41" s="106">
        <v>200</v>
      </c>
      <c r="Q41" s="105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hidden="1" x14ac:dyDescent="0.35">
      <c r="A42" s="70">
        <v>46211</v>
      </c>
      <c r="B42" s="71" t="s">
        <v>67</v>
      </c>
      <c r="C42" s="72">
        <v>1050</v>
      </c>
      <c r="D42" s="73">
        <v>45436.821428571398</v>
      </c>
      <c r="E42" s="62" t="s">
        <v>68</v>
      </c>
      <c r="F42" s="72" t="s">
        <v>70</v>
      </c>
      <c r="G42" s="75" t="s">
        <v>145</v>
      </c>
      <c r="H42" s="72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hidden="1" x14ac:dyDescent="0.35">
      <c r="A43" s="70">
        <v>46211</v>
      </c>
      <c r="B43" s="71" t="s">
        <v>67</v>
      </c>
      <c r="C43" s="72">
        <v>1051</v>
      </c>
      <c r="D43" s="73">
        <v>45410.202380952302</v>
      </c>
      <c r="E43" s="62" t="s">
        <v>68</v>
      </c>
      <c r="F43" s="72" t="s">
        <v>78</v>
      </c>
      <c r="G43" s="75" t="s">
        <v>134</v>
      </c>
      <c r="H43" s="72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hidden="1" x14ac:dyDescent="0.35">
      <c r="A44" s="70">
        <v>46211</v>
      </c>
      <c r="B44" s="71" t="s">
        <v>67</v>
      </c>
      <c r="C44" s="72">
        <v>1052</v>
      </c>
      <c r="D44" s="73">
        <v>45383.583333333299</v>
      </c>
      <c r="E44" s="62" t="s">
        <v>68</v>
      </c>
      <c r="F44" s="72" t="s">
        <v>69</v>
      </c>
      <c r="G44" s="75" t="s">
        <v>146</v>
      </c>
      <c r="H44" s="72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x14ac:dyDescent="0.35">
      <c r="A45" s="70">
        <v>46211</v>
      </c>
      <c r="B45" s="71" t="s">
        <v>67</v>
      </c>
      <c r="C45" s="72">
        <v>1052</v>
      </c>
      <c r="D45" s="73">
        <v>45383.583333333299</v>
      </c>
      <c r="E45" s="62" t="s">
        <v>68</v>
      </c>
      <c r="F45" s="74" t="s">
        <v>208</v>
      </c>
      <c r="G45" s="108" t="s">
        <v>213</v>
      </c>
      <c r="H45" s="74" t="s">
        <v>212</v>
      </c>
      <c r="I45" s="77" t="s">
        <v>215</v>
      </c>
      <c r="J45" s="102"/>
      <c r="K45" s="104">
        <v>0</v>
      </c>
      <c r="L45" s="103">
        <v>0</v>
      </c>
      <c r="M45" s="103">
        <v>0</v>
      </c>
      <c r="N45" s="8">
        <f t="shared" si="1"/>
        <v>0</v>
      </c>
      <c r="O45" s="106">
        <v>560</v>
      </c>
      <c r="P45" s="103">
        <v>560</v>
      </c>
      <c r="Q45" s="105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0">
        <v>46211</v>
      </c>
      <c r="B46" s="71" t="s">
        <v>67</v>
      </c>
      <c r="C46" s="72">
        <v>1052</v>
      </c>
      <c r="D46" s="73">
        <v>45383.583333333299</v>
      </c>
      <c r="E46" s="62" t="s">
        <v>68</v>
      </c>
      <c r="F46" s="74" t="s">
        <v>208</v>
      </c>
      <c r="G46" s="108" t="s">
        <v>214</v>
      </c>
      <c r="H46" s="74" t="s">
        <v>212</v>
      </c>
      <c r="I46" s="77" t="s">
        <v>216</v>
      </c>
      <c r="J46" s="102"/>
      <c r="K46" s="104">
        <v>1200</v>
      </c>
      <c r="L46" s="103">
        <v>1200</v>
      </c>
      <c r="M46" s="103">
        <v>1800</v>
      </c>
      <c r="N46" s="8">
        <f t="shared" si="1"/>
        <v>4200</v>
      </c>
      <c r="O46" s="106">
        <v>2400</v>
      </c>
      <c r="P46" s="103">
        <v>1800</v>
      </c>
      <c r="Q46" s="105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hidden="1" x14ac:dyDescent="0.35">
      <c r="A47" s="70">
        <v>46211</v>
      </c>
      <c r="B47" s="71" t="s">
        <v>67</v>
      </c>
      <c r="C47" s="72">
        <v>1053</v>
      </c>
      <c r="D47" s="73">
        <v>45356.964285714203</v>
      </c>
      <c r="E47" s="62" t="s">
        <v>68</v>
      </c>
      <c r="F47" s="72" t="s">
        <v>69</v>
      </c>
      <c r="G47" s="75" t="s">
        <v>148</v>
      </c>
      <c r="H47" s="72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hidden="1" x14ac:dyDescent="0.35">
      <c r="A48" s="70">
        <v>46211</v>
      </c>
      <c r="B48" s="71" t="s">
        <v>67</v>
      </c>
      <c r="C48" s="72">
        <v>1056</v>
      </c>
      <c r="D48" s="73">
        <v>45277.107142857101</v>
      </c>
      <c r="E48" s="62" t="s">
        <v>68</v>
      </c>
      <c r="F48" s="72" t="s">
        <v>98</v>
      </c>
      <c r="G48" s="75" t="s">
        <v>150</v>
      </c>
      <c r="H48" s="72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hidden="1" x14ac:dyDescent="0.35">
      <c r="A49" s="70">
        <v>46211</v>
      </c>
      <c r="B49" s="71" t="s">
        <v>67</v>
      </c>
      <c r="C49" s="72">
        <v>1057</v>
      </c>
      <c r="D49" s="73">
        <v>45250.488095237997</v>
      </c>
      <c r="E49" s="62" t="s">
        <v>68</v>
      </c>
      <c r="F49" s="72" t="s">
        <v>78</v>
      </c>
      <c r="G49" s="75" t="s">
        <v>151</v>
      </c>
      <c r="H49" s="72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hidden="1" x14ac:dyDescent="0.35">
      <c r="A50" s="70">
        <v>46211</v>
      </c>
      <c r="B50" s="71" t="s">
        <v>67</v>
      </c>
      <c r="C50" s="72">
        <v>1058</v>
      </c>
      <c r="D50" s="73">
        <v>45223.869047619002</v>
      </c>
      <c r="E50" s="62" t="s">
        <v>68</v>
      </c>
      <c r="F50" s="72" t="s">
        <v>153</v>
      </c>
      <c r="G50" s="75" t="s">
        <v>152</v>
      </c>
      <c r="H50" s="72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hidden="1" x14ac:dyDescent="0.35">
      <c r="A51" s="70">
        <v>46211</v>
      </c>
      <c r="B51" s="71" t="s">
        <v>67</v>
      </c>
      <c r="C51" s="72">
        <v>1059</v>
      </c>
      <c r="D51" s="73">
        <v>45197.249999999898</v>
      </c>
      <c r="E51" s="62" t="s">
        <v>68</v>
      </c>
      <c r="F51" s="72" t="s">
        <v>70</v>
      </c>
      <c r="G51" s="75" t="s">
        <v>154</v>
      </c>
      <c r="H51" s="72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hidden="1" x14ac:dyDescent="0.35">
      <c r="A52" s="70">
        <v>46212</v>
      </c>
      <c r="B52" s="71" t="s">
        <v>67</v>
      </c>
      <c r="C52" s="72">
        <v>1060</v>
      </c>
      <c r="D52" s="73">
        <v>45170.630952380903</v>
      </c>
      <c r="E52" s="62" t="s">
        <v>68</v>
      </c>
      <c r="F52" s="72" t="s">
        <v>78</v>
      </c>
      <c r="G52" s="75" t="s">
        <v>82</v>
      </c>
      <c r="H52" s="72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hidden="1" x14ac:dyDescent="0.35">
      <c r="A53" s="70">
        <v>46212</v>
      </c>
      <c r="B53" s="71" t="s">
        <v>67</v>
      </c>
      <c r="C53" s="72">
        <v>1061</v>
      </c>
      <c r="D53" s="73">
        <v>45144.011904761799</v>
      </c>
      <c r="E53" s="62" t="s">
        <v>68</v>
      </c>
      <c r="F53" s="72" t="s">
        <v>69</v>
      </c>
      <c r="G53" s="75" t="s">
        <v>138</v>
      </c>
      <c r="H53" s="72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hidden="1" x14ac:dyDescent="0.35">
      <c r="A54" s="70">
        <v>46212</v>
      </c>
      <c r="B54" s="71" t="s">
        <v>67</v>
      </c>
      <c r="C54" s="72">
        <v>1062</v>
      </c>
      <c r="D54" s="73">
        <v>45117.392857142797</v>
      </c>
      <c r="E54" s="62" t="s">
        <v>68</v>
      </c>
      <c r="F54" s="72" t="s">
        <v>98</v>
      </c>
      <c r="G54" s="75" t="s">
        <v>139</v>
      </c>
      <c r="H54" s="72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hidden="1" x14ac:dyDescent="0.35">
      <c r="A55" s="70">
        <v>46212</v>
      </c>
      <c r="B55" s="71" t="s">
        <v>67</v>
      </c>
      <c r="C55" s="72">
        <v>1063</v>
      </c>
      <c r="D55" s="73">
        <v>45090.7738095237</v>
      </c>
      <c r="E55" s="62" t="s">
        <v>68</v>
      </c>
      <c r="F55" s="72" t="s">
        <v>78</v>
      </c>
      <c r="G55" s="75" t="s">
        <v>140</v>
      </c>
      <c r="H55" s="72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hidden="1" x14ac:dyDescent="0.35">
      <c r="A56" s="70">
        <v>46212</v>
      </c>
      <c r="B56" s="71" t="s">
        <v>67</v>
      </c>
      <c r="C56" s="72">
        <v>1064</v>
      </c>
      <c r="D56" s="73">
        <v>45064.154761904698</v>
      </c>
      <c r="E56" s="62" t="s">
        <v>68</v>
      </c>
      <c r="F56" s="72" t="s">
        <v>69</v>
      </c>
      <c r="G56" s="75" t="s">
        <v>156</v>
      </c>
      <c r="H56" s="72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hidden="1" x14ac:dyDescent="0.35">
      <c r="A57" s="70">
        <v>46212</v>
      </c>
      <c r="B57" s="71" t="s">
        <v>67</v>
      </c>
      <c r="C57" s="72">
        <v>1065</v>
      </c>
      <c r="D57" s="73">
        <v>45037.535714285601</v>
      </c>
      <c r="E57" s="62" t="s">
        <v>68</v>
      </c>
      <c r="F57" s="72" t="s">
        <v>70</v>
      </c>
      <c r="G57" s="75" t="s">
        <v>157</v>
      </c>
      <c r="H57" s="72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hidden="1" x14ac:dyDescent="0.35">
      <c r="A58" s="70">
        <v>46212</v>
      </c>
      <c r="B58" s="71" t="s">
        <v>67</v>
      </c>
      <c r="C58" s="72">
        <v>1066</v>
      </c>
      <c r="D58" s="73">
        <v>45010.916666666599</v>
      </c>
      <c r="E58" s="62" t="s">
        <v>68</v>
      </c>
      <c r="F58" s="72" t="s">
        <v>98</v>
      </c>
      <c r="G58" s="75" t="s">
        <v>158</v>
      </c>
      <c r="H58" s="72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hidden="1" x14ac:dyDescent="0.35">
      <c r="A59" s="70">
        <v>46212</v>
      </c>
      <c r="B59" s="71" t="s">
        <v>67</v>
      </c>
      <c r="C59" s="72">
        <v>1067</v>
      </c>
      <c r="D59" s="73">
        <v>44984.297619047502</v>
      </c>
      <c r="E59" s="62" t="s">
        <v>68</v>
      </c>
      <c r="F59" s="72" t="s">
        <v>69</v>
      </c>
      <c r="G59" s="75" t="s">
        <v>159</v>
      </c>
      <c r="H59" s="72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hidden="1" x14ac:dyDescent="0.35">
      <c r="A60" s="70">
        <v>46212</v>
      </c>
      <c r="B60" s="71" t="s">
        <v>67</v>
      </c>
      <c r="C60" s="72">
        <v>1068</v>
      </c>
      <c r="D60" s="73">
        <v>44957.6785714285</v>
      </c>
      <c r="E60" s="62" t="s">
        <v>68</v>
      </c>
      <c r="F60" s="72" t="s">
        <v>98</v>
      </c>
      <c r="G60" s="75" t="s">
        <v>150</v>
      </c>
      <c r="H60" s="72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0">
        <v>46212</v>
      </c>
      <c r="B61" s="71" t="s">
        <v>67</v>
      </c>
      <c r="C61" s="73">
        <v>1068</v>
      </c>
      <c r="D61" s="73">
        <v>44957.6785714285</v>
      </c>
      <c r="E61" s="62" t="s">
        <v>68</v>
      </c>
      <c r="F61" s="74" t="s">
        <v>208</v>
      </c>
      <c r="G61" s="108" t="s">
        <v>217</v>
      </c>
      <c r="H61" s="74" t="s">
        <v>212</v>
      </c>
      <c r="I61" s="77" t="s">
        <v>219</v>
      </c>
      <c r="J61" s="102"/>
      <c r="K61" s="103">
        <v>0</v>
      </c>
      <c r="L61" s="103">
        <v>40</v>
      </c>
      <c r="M61" s="103">
        <v>70</v>
      </c>
      <c r="N61" s="8">
        <f t="shared" si="1"/>
        <v>110</v>
      </c>
      <c r="O61" s="106">
        <v>40</v>
      </c>
      <c r="P61" s="105">
        <v>40</v>
      </c>
      <c r="Q61" s="107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0">
        <v>46212</v>
      </c>
      <c r="B62" s="71" t="s">
        <v>67</v>
      </c>
      <c r="C62" s="73">
        <v>1068</v>
      </c>
      <c r="D62" s="73">
        <v>44957.6785714285</v>
      </c>
      <c r="E62" s="62" t="s">
        <v>68</v>
      </c>
      <c r="F62" s="74" t="s">
        <v>208</v>
      </c>
      <c r="G62" s="108" t="s">
        <v>218</v>
      </c>
      <c r="H62" s="74" t="s">
        <v>212</v>
      </c>
      <c r="I62" s="77" t="s">
        <v>552</v>
      </c>
      <c r="J62" s="102"/>
      <c r="K62" s="103">
        <v>400</v>
      </c>
      <c r="L62" s="103">
        <v>200</v>
      </c>
      <c r="M62" s="103">
        <v>40</v>
      </c>
      <c r="N62" s="8">
        <f t="shared" si="1"/>
        <v>640</v>
      </c>
      <c r="O62" s="106">
        <v>400</v>
      </c>
      <c r="P62" s="105">
        <v>200</v>
      </c>
      <c r="Q62" s="107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hidden="1" x14ac:dyDescent="0.35">
      <c r="A63" s="70">
        <v>46212</v>
      </c>
      <c r="B63" s="71" t="s">
        <v>67</v>
      </c>
      <c r="C63" s="73">
        <v>1069.2</v>
      </c>
      <c r="D63" s="73">
        <v>44931.059523809403</v>
      </c>
      <c r="E63" s="62" t="s">
        <v>68</v>
      </c>
      <c r="F63" s="72" t="s">
        <v>161</v>
      </c>
      <c r="G63" s="75" t="s">
        <v>162</v>
      </c>
      <c r="H63" s="72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hidden="1" x14ac:dyDescent="0.35">
      <c r="A64" s="70">
        <v>46212</v>
      </c>
      <c r="B64" s="71" t="s">
        <v>67</v>
      </c>
      <c r="C64" s="73">
        <v>1069.8285714285701</v>
      </c>
      <c r="D64" s="73">
        <v>44904.440476190401</v>
      </c>
      <c r="E64" s="62" t="s">
        <v>68</v>
      </c>
      <c r="F64" s="72" t="s">
        <v>108</v>
      </c>
      <c r="G64" s="75" t="s">
        <v>163</v>
      </c>
      <c r="H64" s="72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hidden="1" x14ac:dyDescent="0.35">
      <c r="A65" s="70">
        <v>46212</v>
      </c>
      <c r="B65" s="71" t="s">
        <v>67</v>
      </c>
      <c r="C65" s="73">
        <v>1070.4571428571401</v>
      </c>
      <c r="D65" s="73">
        <v>44877.821428571297</v>
      </c>
      <c r="E65" s="62" t="s">
        <v>68</v>
      </c>
      <c r="F65" s="72" t="s">
        <v>108</v>
      </c>
      <c r="G65" s="75" t="s">
        <v>164</v>
      </c>
      <c r="H65" s="72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hidden="1" x14ac:dyDescent="0.35">
      <c r="A66" s="70">
        <v>46212</v>
      </c>
      <c r="B66" s="71" t="s">
        <v>67</v>
      </c>
      <c r="C66" s="73">
        <v>1071.0857142857101</v>
      </c>
      <c r="D66" s="73">
        <v>44851.202380952302</v>
      </c>
      <c r="E66" s="62" t="s">
        <v>68</v>
      </c>
      <c r="F66" s="72" t="s">
        <v>78</v>
      </c>
      <c r="G66" s="75" t="s">
        <v>165</v>
      </c>
      <c r="H66" s="72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hidden="1" x14ac:dyDescent="0.35">
      <c r="A67" s="70">
        <v>46212</v>
      </c>
      <c r="B67" s="71" t="s">
        <v>67</v>
      </c>
      <c r="C67" s="73">
        <v>1071.7142857142901</v>
      </c>
      <c r="D67" s="73">
        <v>44824.583333333198</v>
      </c>
      <c r="E67" s="62" t="s">
        <v>68</v>
      </c>
      <c r="F67" s="72" t="s">
        <v>69</v>
      </c>
      <c r="G67" s="75" t="s">
        <v>95</v>
      </c>
      <c r="H67" s="72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hidden="1" x14ac:dyDescent="0.35">
      <c r="A68" s="70">
        <v>46212</v>
      </c>
      <c r="B68" s="71" t="s">
        <v>67</v>
      </c>
      <c r="C68" s="73">
        <v>1072.3428571428601</v>
      </c>
      <c r="D68" s="73">
        <v>44797.964285714203</v>
      </c>
      <c r="E68" s="62" t="s">
        <v>68</v>
      </c>
      <c r="F68" s="72" t="s">
        <v>78</v>
      </c>
      <c r="G68" s="75" t="s">
        <v>167</v>
      </c>
      <c r="H68" s="72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hidden="1" x14ac:dyDescent="0.35">
      <c r="A69" s="70">
        <v>46212</v>
      </c>
      <c r="B69" s="71" t="s">
        <v>67</v>
      </c>
      <c r="C69" s="73">
        <v>1072.9714285714299</v>
      </c>
      <c r="D69" s="73">
        <v>44771.345238095098</v>
      </c>
      <c r="E69" s="62" t="s">
        <v>68</v>
      </c>
      <c r="F69" s="72" t="s">
        <v>78</v>
      </c>
      <c r="G69" s="75" t="s">
        <v>146</v>
      </c>
      <c r="H69" s="72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hidden="1" x14ac:dyDescent="0.35">
      <c r="A70" s="70">
        <v>46212</v>
      </c>
      <c r="B70" s="71" t="s">
        <v>67</v>
      </c>
      <c r="C70" s="73">
        <v>1073.5999999999999</v>
      </c>
      <c r="D70" s="73">
        <v>44744.726190476104</v>
      </c>
      <c r="E70" s="62" t="s">
        <v>68</v>
      </c>
      <c r="F70" s="72" t="s">
        <v>69</v>
      </c>
      <c r="G70" s="75" t="s">
        <v>168</v>
      </c>
      <c r="H70" s="72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hidden="1" x14ac:dyDescent="0.35">
      <c r="A71" s="70">
        <v>46212</v>
      </c>
      <c r="B71" s="71" t="s">
        <v>67</v>
      </c>
      <c r="C71" s="73">
        <v>1074.2285714286099</v>
      </c>
      <c r="D71" s="73">
        <v>44718.107142856999</v>
      </c>
      <c r="E71" s="62" t="s">
        <v>68</v>
      </c>
      <c r="F71" s="72" t="s">
        <v>69</v>
      </c>
      <c r="G71" s="75" t="s">
        <v>169</v>
      </c>
      <c r="H71" s="72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hidden="1" x14ac:dyDescent="0.35">
      <c r="A72" s="70">
        <v>46183</v>
      </c>
      <c r="B72" s="71" t="s">
        <v>67</v>
      </c>
      <c r="C72" s="73">
        <v>1074.85714285719</v>
      </c>
      <c r="D72" s="73">
        <v>44691.488095237997</v>
      </c>
      <c r="E72" s="62" t="s">
        <v>68</v>
      </c>
      <c r="F72" s="72" t="s">
        <v>78</v>
      </c>
      <c r="G72" s="75" t="s">
        <v>133</v>
      </c>
      <c r="H72" s="72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hidden="1" x14ac:dyDescent="0.35">
      <c r="A73" s="70">
        <v>46183</v>
      </c>
      <c r="B73" s="71" t="s">
        <v>67</v>
      </c>
      <c r="C73" s="73">
        <v>1075.48571428577</v>
      </c>
      <c r="D73" s="73">
        <v>44664.869047619002</v>
      </c>
      <c r="E73" s="62" t="s">
        <v>68</v>
      </c>
      <c r="F73" s="72" t="s">
        <v>69</v>
      </c>
      <c r="G73" s="75" t="s">
        <v>134</v>
      </c>
      <c r="H73" s="72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hidden="1" x14ac:dyDescent="0.35">
      <c r="A74" s="70">
        <v>46183</v>
      </c>
      <c r="B74" s="71" t="s">
        <v>67</v>
      </c>
      <c r="C74" s="73">
        <v>1076.11428571435</v>
      </c>
      <c r="D74" s="73">
        <v>44638.249999999898</v>
      </c>
      <c r="E74" s="62" t="s">
        <v>68</v>
      </c>
      <c r="F74" s="72" t="s">
        <v>69</v>
      </c>
      <c r="G74" s="75" t="s">
        <v>172</v>
      </c>
      <c r="H74" s="72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hidden="1" x14ac:dyDescent="0.35">
      <c r="A75" s="70">
        <v>46183</v>
      </c>
      <c r="B75" s="71" t="s">
        <v>67</v>
      </c>
      <c r="C75" s="73">
        <v>1076.74285714293</v>
      </c>
      <c r="D75" s="73">
        <v>44611.630952380903</v>
      </c>
      <c r="E75" s="62" t="s">
        <v>68</v>
      </c>
      <c r="F75" s="72" t="s">
        <v>78</v>
      </c>
      <c r="G75" s="75" t="s">
        <v>150</v>
      </c>
      <c r="H75" s="72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hidden="1" x14ac:dyDescent="0.35">
      <c r="A76" s="70">
        <v>46183</v>
      </c>
      <c r="B76" s="71" t="s">
        <v>67</v>
      </c>
      <c r="C76" s="73">
        <v>1077.37142857151</v>
      </c>
      <c r="D76" s="73">
        <v>44585.011904761799</v>
      </c>
      <c r="E76" s="62" t="s">
        <v>68</v>
      </c>
      <c r="F76" s="72" t="s">
        <v>69</v>
      </c>
      <c r="G76" s="75" t="s">
        <v>173</v>
      </c>
      <c r="H76" s="72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x14ac:dyDescent="0.35">
      <c r="A77" s="70">
        <v>46183</v>
      </c>
      <c r="B77" s="71" t="s">
        <v>67</v>
      </c>
      <c r="C77" s="73">
        <v>1078.6285714286701</v>
      </c>
      <c r="D77" s="73">
        <v>44585.011904761799</v>
      </c>
      <c r="E77" s="62" t="s">
        <v>68</v>
      </c>
      <c r="F77" s="74" t="s">
        <v>208</v>
      </c>
      <c r="G77" s="108" t="s">
        <v>220</v>
      </c>
      <c r="H77" s="74" t="s">
        <v>212</v>
      </c>
      <c r="I77" s="77" t="s">
        <v>223</v>
      </c>
      <c r="J77" s="102"/>
      <c r="K77" s="105">
        <v>240</v>
      </c>
      <c r="L77" s="105">
        <v>240</v>
      </c>
      <c r="M77" s="105">
        <v>80</v>
      </c>
      <c r="N77" s="8">
        <f t="shared" si="32"/>
        <v>560</v>
      </c>
      <c r="O77" s="107">
        <v>240</v>
      </c>
      <c r="P77" s="107">
        <v>240</v>
      </c>
      <c r="Q77" s="107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x14ac:dyDescent="0.35">
      <c r="A78" s="70">
        <v>46183</v>
      </c>
      <c r="B78" s="71" t="s">
        <v>67</v>
      </c>
      <c r="C78" s="73">
        <v>1079.2571428572501</v>
      </c>
      <c r="D78" s="73">
        <v>44585.011904761799</v>
      </c>
      <c r="E78" s="62" t="s">
        <v>68</v>
      </c>
      <c r="F78" s="74" t="s">
        <v>208</v>
      </c>
      <c r="G78" s="108" t="s">
        <v>221</v>
      </c>
      <c r="H78" s="74" t="s">
        <v>212</v>
      </c>
      <c r="I78" s="77" t="s">
        <v>224</v>
      </c>
      <c r="J78" s="102"/>
      <c r="K78" s="105">
        <v>0</v>
      </c>
      <c r="L78" s="105">
        <v>0</v>
      </c>
      <c r="M78" s="105">
        <v>80</v>
      </c>
      <c r="N78" s="8">
        <f t="shared" si="32"/>
        <v>80</v>
      </c>
      <c r="O78" s="107">
        <v>80</v>
      </c>
      <c r="P78" s="107">
        <v>80</v>
      </c>
      <c r="Q78" s="107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x14ac:dyDescent="0.35">
      <c r="A79" s="70">
        <v>46183</v>
      </c>
      <c r="B79" s="71" t="s">
        <v>67</v>
      </c>
      <c r="C79" s="73">
        <v>1079.8857142858301</v>
      </c>
      <c r="D79" s="73">
        <v>44585.011904761799</v>
      </c>
      <c r="E79" s="62" t="s">
        <v>68</v>
      </c>
      <c r="F79" s="74" t="s">
        <v>208</v>
      </c>
      <c r="G79" s="108" t="s">
        <v>222</v>
      </c>
      <c r="H79" s="74" t="s">
        <v>212</v>
      </c>
      <c r="I79" s="77" t="s">
        <v>553</v>
      </c>
      <c r="J79" s="102"/>
      <c r="K79" s="105">
        <v>80</v>
      </c>
      <c r="L79" s="105">
        <v>80</v>
      </c>
      <c r="M79" s="105">
        <v>20</v>
      </c>
      <c r="N79" s="8">
        <f t="shared" si="32"/>
        <v>180</v>
      </c>
      <c r="O79" s="107">
        <v>80</v>
      </c>
      <c r="P79" s="107">
        <v>40</v>
      </c>
      <c r="Q79" s="107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hidden="1" x14ac:dyDescent="0.35">
      <c r="A80" s="70">
        <v>46184</v>
      </c>
      <c r="B80" s="71" t="s">
        <v>67</v>
      </c>
      <c r="C80" s="73">
        <v>1080.5142857144101</v>
      </c>
      <c r="D80" s="73">
        <v>44558.392857142797</v>
      </c>
      <c r="E80" s="62" t="s">
        <v>68</v>
      </c>
      <c r="F80" s="72" t="s">
        <v>98</v>
      </c>
      <c r="G80" s="75" t="s">
        <v>132</v>
      </c>
      <c r="H80" s="72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hidden="1" x14ac:dyDescent="0.35">
      <c r="A81" s="70">
        <v>46184</v>
      </c>
      <c r="B81" s="71" t="s">
        <v>67</v>
      </c>
      <c r="C81" s="73">
        <v>1081.1428571429899</v>
      </c>
      <c r="D81" s="73">
        <v>44531.7738095237</v>
      </c>
      <c r="E81" s="62" t="s">
        <v>68</v>
      </c>
      <c r="F81" s="72" t="s">
        <v>98</v>
      </c>
      <c r="G81" s="75" t="s">
        <v>132</v>
      </c>
      <c r="H81" s="72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hidden="1" x14ac:dyDescent="0.35">
      <c r="A82" s="70">
        <v>46184</v>
      </c>
      <c r="B82" s="71" t="s">
        <v>67</v>
      </c>
      <c r="C82" s="73">
        <v>1081.7714285715699</v>
      </c>
      <c r="D82" s="73">
        <v>44505.154761904698</v>
      </c>
      <c r="E82" s="62" t="s">
        <v>68</v>
      </c>
      <c r="F82" s="72" t="s">
        <v>69</v>
      </c>
      <c r="G82" s="75" t="s">
        <v>174</v>
      </c>
      <c r="H82" s="72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hidden="1" x14ac:dyDescent="0.35">
      <c r="A83" s="70">
        <v>46184</v>
      </c>
      <c r="B83" s="71" t="s">
        <v>67</v>
      </c>
      <c r="C83" s="73">
        <v>1082.4000000001499</v>
      </c>
      <c r="D83" s="73">
        <v>44478.535714285601</v>
      </c>
      <c r="E83" s="62" t="s">
        <v>68</v>
      </c>
      <c r="F83" s="72" t="s">
        <v>98</v>
      </c>
      <c r="G83" s="75" t="s">
        <v>176</v>
      </c>
      <c r="H83" s="72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hidden="1" x14ac:dyDescent="0.35">
      <c r="A84" s="70">
        <v>46184</v>
      </c>
      <c r="B84" s="71" t="s">
        <v>67</v>
      </c>
      <c r="C84" s="73">
        <v>1083.0285714287299</v>
      </c>
      <c r="D84" s="73">
        <v>44451.916666666599</v>
      </c>
      <c r="E84" s="62" t="s">
        <v>68</v>
      </c>
      <c r="F84" s="72" t="s">
        <v>98</v>
      </c>
      <c r="G84" s="75" t="s">
        <v>177</v>
      </c>
      <c r="H84" s="72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hidden="1" x14ac:dyDescent="0.35">
      <c r="A85" s="70">
        <v>46184</v>
      </c>
      <c r="B85" s="71" t="s">
        <v>67</v>
      </c>
      <c r="C85" s="73">
        <v>1083.65714285731</v>
      </c>
      <c r="D85" s="73">
        <v>44425.297619047502</v>
      </c>
      <c r="E85" s="62" t="s">
        <v>68</v>
      </c>
      <c r="F85" s="72" t="s">
        <v>69</v>
      </c>
      <c r="G85" s="75" t="s">
        <v>133</v>
      </c>
      <c r="H85" s="72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hidden="1" x14ac:dyDescent="0.35">
      <c r="A86" s="70">
        <v>46184</v>
      </c>
      <c r="B86" s="71" t="s">
        <v>67</v>
      </c>
      <c r="C86" s="73">
        <v>1084.28571428589</v>
      </c>
      <c r="D86" s="73">
        <v>44398.678571428398</v>
      </c>
      <c r="E86" s="62" t="s">
        <v>68</v>
      </c>
      <c r="F86" s="72" t="s">
        <v>78</v>
      </c>
      <c r="G86" s="75" t="s">
        <v>178</v>
      </c>
      <c r="H86" s="72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hidden="1" x14ac:dyDescent="0.35">
      <c r="A87" s="70">
        <v>46184</v>
      </c>
      <c r="B87" s="71" t="s">
        <v>67</v>
      </c>
      <c r="C87" s="73">
        <v>1084.91428571447</v>
      </c>
      <c r="D87" s="73">
        <v>44372.059523809403</v>
      </c>
      <c r="E87" s="62" t="s">
        <v>68</v>
      </c>
      <c r="F87" s="72" t="s">
        <v>78</v>
      </c>
      <c r="G87" s="75" t="s">
        <v>180</v>
      </c>
      <c r="H87" s="72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hidden="1" x14ac:dyDescent="0.35">
      <c r="A88" s="70">
        <v>46184</v>
      </c>
      <c r="B88" s="71" t="s">
        <v>67</v>
      </c>
      <c r="C88" s="73">
        <v>1085.54285714305</v>
      </c>
      <c r="D88" s="73">
        <v>44345.440476190299</v>
      </c>
      <c r="E88" s="62" t="s">
        <v>68</v>
      </c>
      <c r="F88" s="72" t="s">
        <v>69</v>
      </c>
      <c r="G88" s="75" t="s">
        <v>181</v>
      </c>
      <c r="H88" s="72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hidden="1" x14ac:dyDescent="0.35">
      <c r="A89" s="70">
        <v>46184</v>
      </c>
      <c r="B89" s="71" t="s">
        <v>67</v>
      </c>
      <c r="C89" s="73">
        <v>1086.17142857163</v>
      </c>
      <c r="D89" s="73">
        <v>44318.821428571297</v>
      </c>
      <c r="E89" s="62" t="s">
        <v>68</v>
      </c>
      <c r="F89" s="72" t="s">
        <v>98</v>
      </c>
      <c r="G89" s="75" t="s">
        <v>182</v>
      </c>
      <c r="H89" s="72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hidden="1" x14ac:dyDescent="0.35">
      <c r="A90" s="70">
        <v>46184</v>
      </c>
      <c r="B90" s="71" t="s">
        <v>67</v>
      </c>
      <c r="C90" s="73">
        <v>1086.80000000021</v>
      </c>
      <c r="D90" s="73">
        <v>44292.202380952302</v>
      </c>
      <c r="E90" s="62" t="s">
        <v>68</v>
      </c>
      <c r="F90" s="72" t="s">
        <v>78</v>
      </c>
      <c r="G90" s="75" t="s">
        <v>183</v>
      </c>
      <c r="H90" s="72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hidden="1" x14ac:dyDescent="0.35">
      <c r="A91" s="70">
        <v>46184</v>
      </c>
      <c r="B91" s="71" t="s">
        <v>67</v>
      </c>
      <c r="C91" s="73">
        <v>1087.4285714287901</v>
      </c>
      <c r="D91" s="73">
        <v>44265.583333333299</v>
      </c>
      <c r="E91" s="62" t="s">
        <v>68</v>
      </c>
      <c r="F91" s="72" t="s">
        <v>69</v>
      </c>
      <c r="G91" s="75" t="s">
        <v>184</v>
      </c>
      <c r="H91" s="72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x14ac:dyDescent="0.35">
      <c r="A92" s="70">
        <v>46184</v>
      </c>
      <c r="B92" s="71" t="s">
        <v>67</v>
      </c>
      <c r="C92" s="73">
        <v>1088.0571428573701</v>
      </c>
      <c r="D92" s="73">
        <v>44238.964285714297</v>
      </c>
      <c r="E92" s="62" t="s">
        <v>68</v>
      </c>
      <c r="F92" s="74" t="s">
        <v>208</v>
      </c>
      <c r="G92" s="108" t="s">
        <v>226</v>
      </c>
      <c r="H92" s="74" t="s">
        <v>212</v>
      </c>
      <c r="I92" s="77" t="s">
        <v>228</v>
      </c>
      <c r="J92" s="102">
        <v>4</v>
      </c>
      <c r="K92" s="106">
        <v>40</v>
      </c>
      <c r="L92" s="103"/>
      <c r="M92" s="103">
        <v>40</v>
      </c>
      <c r="N92" s="8">
        <f t="shared" si="32"/>
        <v>80</v>
      </c>
      <c r="O92" s="106">
        <v>0</v>
      </c>
      <c r="P92" s="103">
        <v>0</v>
      </c>
      <c r="Q92" s="103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0">
        <v>46184</v>
      </c>
      <c r="B93" s="71" t="s">
        <v>67</v>
      </c>
      <c r="C93" s="73">
        <v>1088.6857142859501</v>
      </c>
      <c r="D93" s="73">
        <v>44212.345238095302</v>
      </c>
      <c r="E93" s="62" t="s">
        <v>68</v>
      </c>
      <c r="F93" s="74" t="s">
        <v>208</v>
      </c>
      <c r="G93" s="108" t="s">
        <v>214</v>
      </c>
      <c r="H93" s="74" t="s">
        <v>212</v>
      </c>
      <c r="I93" s="77" t="s">
        <v>229</v>
      </c>
      <c r="J93" s="102">
        <v>0</v>
      </c>
      <c r="K93" s="106">
        <v>600</v>
      </c>
      <c r="L93" s="103">
        <v>597</v>
      </c>
      <c r="M93" s="103">
        <v>820</v>
      </c>
      <c r="N93" s="8">
        <f t="shared" si="32"/>
        <v>2017</v>
      </c>
      <c r="O93" s="106">
        <v>1597</v>
      </c>
      <c r="P93" s="103">
        <v>1184</v>
      </c>
      <c r="Q93" s="103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x14ac:dyDescent="0.35">
      <c r="A94" s="70">
        <v>46184</v>
      </c>
      <c r="B94" s="71" t="s">
        <v>67</v>
      </c>
      <c r="C94" s="73">
        <v>1089.3142857145299</v>
      </c>
      <c r="D94" s="73">
        <v>44185.7261904763</v>
      </c>
      <c r="E94" s="62" t="s">
        <v>68</v>
      </c>
      <c r="F94" s="74" t="s">
        <v>208</v>
      </c>
      <c r="G94" s="108" t="s">
        <v>227</v>
      </c>
      <c r="H94" s="74" t="s">
        <v>212</v>
      </c>
      <c r="I94" s="77" t="s">
        <v>142</v>
      </c>
      <c r="J94" s="102"/>
      <c r="K94" s="106"/>
      <c r="L94" s="103"/>
      <c r="M94" s="103">
        <v>60</v>
      </c>
      <c r="N94" s="8">
        <f t="shared" si="32"/>
        <v>60</v>
      </c>
      <c r="O94" s="106">
        <v>40</v>
      </c>
      <c r="P94" s="103">
        <v>40</v>
      </c>
      <c r="Q94" s="103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x14ac:dyDescent="0.35">
      <c r="A95" s="70">
        <v>46184</v>
      </c>
      <c r="B95" s="71" t="s">
        <v>67</v>
      </c>
      <c r="C95" s="73">
        <v>1089.9428571431099</v>
      </c>
      <c r="D95" s="73">
        <v>44159.107142857298</v>
      </c>
      <c r="E95" s="62" t="s">
        <v>68</v>
      </c>
      <c r="F95" s="74" t="s">
        <v>208</v>
      </c>
      <c r="G95" s="108" t="s">
        <v>143</v>
      </c>
      <c r="H95" s="74" t="s">
        <v>212</v>
      </c>
      <c r="I95" s="77" t="s">
        <v>142</v>
      </c>
      <c r="J95" s="102"/>
      <c r="K95" s="106">
        <v>40</v>
      </c>
      <c r="L95" s="103">
        <v>40</v>
      </c>
      <c r="M95" s="103">
        <v>40</v>
      </c>
      <c r="N95" s="8">
        <f t="shared" si="32"/>
        <v>120</v>
      </c>
      <c r="O95" s="106">
        <v>40</v>
      </c>
      <c r="P95" s="103">
        <v>40</v>
      </c>
      <c r="Q95" s="103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hidden="1" x14ac:dyDescent="0.35">
      <c r="A96" s="70">
        <v>46185</v>
      </c>
      <c r="B96" s="71" t="s">
        <v>67</v>
      </c>
      <c r="C96" s="73">
        <v>1090.5714285716899</v>
      </c>
      <c r="D96" s="73">
        <v>44132.488095238303</v>
      </c>
      <c r="E96" s="62" t="s">
        <v>68</v>
      </c>
      <c r="F96" s="72" t="s">
        <v>98</v>
      </c>
      <c r="G96" s="75" t="s">
        <v>186</v>
      </c>
      <c r="H96" s="72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hidden="1" x14ac:dyDescent="0.35">
      <c r="A97" s="70">
        <v>46185</v>
      </c>
      <c r="B97" s="71" t="s">
        <v>67</v>
      </c>
      <c r="C97" s="73">
        <v>1091.2000000002699</v>
      </c>
      <c r="D97" s="73">
        <v>44212.345238095098</v>
      </c>
      <c r="E97" s="62" t="s">
        <v>68</v>
      </c>
      <c r="F97" s="72" t="s">
        <v>78</v>
      </c>
      <c r="G97" s="75" t="s">
        <v>187</v>
      </c>
      <c r="H97" s="72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hidden="1" x14ac:dyDescent="0.35">
      <c r="A98" s="70">
        <v>46185</v>
      </c>
      <c r="B98" s="71" t="s">
        <v>67</v>
      </c>
      <c r="C98" s="73">
        <v>1091.82857142885</v>
      </c>
      <c r="D98" s="73">
        <v>44185.726190476104</v>
      </c>
      <c r="E98" s="62" t="s">
        <v>68</v>
      </c>
      <c r="F98" s="72" t="s">
        <v>69</v>
      </c>
      <c r="G98" s="75" t="s">
        <v>188</v>
      </c>
      <c r="H98" s="72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hidden="1" x14ac:dyDescent="0.35">
      <c r="A99" s="70">
        <v>46185</v>
      </c>
      <c r="B99" s="71" t="s">
        <v>67</v>
      </c>
      <c r="C99" s="73">
        <v>1092.45714285743</v>
      </c>
      <c r="D99" s="73">
        <v>44159.107142856999</v>
      </c>
      <c r="E99" s="62" t="s">
        <v>68</v>
      </c>
      <c r="F99" s="72" t="s">
        <v>98</v>
      </c>
      <c r="G99" s="75" t="s">
        <v>120</v>
      </c>
      <c r="H99" s="72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hidden="1" x14ac:dyDescent="0.35">
      <c r="A100" s="70">
        <v>46185</v>
      </c>
      <c r="B100" s="71" t="s">
        <v>67</v>
      </c>
      <c r="C100" s="73">
        <v>1093.08571428601</v>
      </c>
      <c r="D100" s="73">
        <v>44132.488095237997</v>
      </c>
      <c r="E100" s="62" t="s">
        <v>68</v>
      </c>
      <c r="F100" s="72" t="s">
        <v>78</v>
      </c>
      <c r="G100" s="75" t="s">
        <v>121</v>
      </c>
      <c r="H100" s="72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hidden="1" x14ac:dyDescent="0.35">
      <c r="A101" s="70">
        <v>46185</v>
      </c>
      <c r="B101" s="71" t="s">
        <v>67</v>
      </c>
      <c r="C101" s="73">
        <v>1093.71428571459</v>
      </c>
      <c r="D101" s="73">
        <v>44105.8690476189</v>
      </c>
      <c r="E101" s="62" t="s">
        <v>68</v>
      </c>
      <c r="F101" s="72" t="s">
        <v>69</v>
      </c>
      <c r="G101" s="75" t="s">
        <v>180</v>
      </c>
      <c r="H101" s="72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hidden="1" x14ac:dyDescent="0.35">
      <c r="A102" s="70">
        <v>46185</v>
      </c>
      <c r="B102" s="71" t="s">
        <v>67</v>
      </c>
      <c r="C102" s="73">
        <v>1094.34285714317</v>
      </c>
      <c r="D102" s="73">
        <v>44079.249999999898</v>
      </c>
      <c r="E102" s="62" t="s">
        <v>68</v>
      </c>
      <c r="F102" s="72" t="s">
        <v>98</v>
      </c>
      <c r="G102" s="75" t="s">
        <v>181</v>
      </c>
      <c r="H102" s="72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hidden="1" x14ac:dyDescent="0.35">
      <c r="A103" s="70">
        <v>46185</v>
      </c>
      <c r="B103" s="71" t="s">
        <v>67</v>
      </c>
      <c r="C103" s="73">
        <v>1094.97142857175</v>
      </c>
      <c r="D103" s="73">
        <v>44052.630952380801</v>
      </c>
      <c r="E103" s="62" t="s">
        <v>68</v>
      </c>
      <c r="F103" s="72" t="s">
        <v>78</v>
      </c>
      <c r="G103" s="75" t="s">
        <v>182</v>
      </c>
      <c r="H103" s="72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hidden="1" x14ac:dyDescent="0.35">
      <c r="A104" s="70">
        <v>46185</v>
      </c>
      <c r="B104" s="71" t="s">
        <v>67</v>
      </c>
      <c r="C104" s="73">
        <v>1095.6000000003301</v>
      </c>
      <c r="D104" s="73">
        <v>44052.630952380801</v>
      </c>
      <c r="E104" s="62" t="s">
        <v>68</v>
      </c>
      <c r="F104" s="72" t="s">
        <v>69</v>
      </c>
      <c r="G104" s="75" t="s">
        <v>190</v>
      </c>
      <c r="H104" s="72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hidden="1" x14ac:dyDescent="0.35">
      <c r="A105" s="70">
        <v>46185</v>
      </c>
      <c r="B105" s="71" t="s">
        <v>67</v>
      </c>
      <c r="C105" s="73">
        <v>1096.2285714289101</v>
      </c>
      <c r="D105" s="73">
        <v>44052.630952380801</v>
      </c>
      <c r="E105" s="62" t="s">
        <v>68</v>
      </c>
      <c r="F105" s="72" t="s">
        <v>69</v>
      </c>
      <c r="G105" s="75" t="s">
        <v>184</v>
      </c>
      <c r="H105" s="72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x14ac:dyDescent="0.35">
      <c r="A106" s="70">
        <v>46185</v>
      </c>
      <c r="B106" s="71" t="s">
        <v>67</v>
      </c>
      <c r="C106" s="73">
        <v>1096.8571428574901</v>
      </c>
      <c r="D106" s="73">
        <v>44052.630952380801</v>
      </c>
      <c r="E106" s="62" t="s">
        <v>68</v>
      </c>
      <c r="F106" s="74" t="s">
        <v>208</v>
      </c>
      <c r="G106" s="76" t="s">
        <v>230</v>
      </c>
      <c r="H106" s="74" t="s">
        <v>212</v>
      </c>
      <c r="I106" s="77" t="s">
        <v>231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hidden="1" x14ac:dyDescent="0.35">
      <c r="A107" s="70">
        <v>46186</v>
      </c>
      <c r="B107" s="71" t="s">
        <v>67</v>
      </c>
      <c r="C107" s="73">
        <v>1098.1142857146499</v>
      </c>
      <c r="D107" s="73">
        <v>43972.7738095237</v>
      </c>
      <c r="E107" s="62" t="s">
        <v>68</v>
      </c>
      <c r="F107" s="72" t="s">
        <v>78</v>
      </c>
      <c r="G107" s="75" t="s">
        <v>191</v>
      </c>
      <c r="H107" s="72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hidden="1" x14ac:dyDescent="0.35">
      <c r="A108" s="70">
        <v>46186</v>
      </c>
      <c r="B108" s="71" t="s">
        <v>67</v>
      </c>
      <c r="C108" s="73">
        <v>1098.7428571432299</v>
      </c>
      <c r="D108" s="73">
        <v>43946.154761904603</v>
      </c>
      <c r="E108" s="62" t="s">
        <v>68</v>
      </c>
      <c r="F108" s="72" t="s">
        <v>69</v>
      </c>
      <c r="G108" s="75" t="s">
        <v>154</v>
      </c>
      <c r="H108" s="72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hidden="1" x14ac:dyDescent="0.35">
      <c r="A109" s="70">
        <v>46186</v>
      </c>
      <c r="B109" s="71" t="s">
        <v>67</v>
      </c>
      <c r="C109" s="73">
        <v>1099.3714285718099</v>
      </c>
      <c r="D109" s="73">
        <v>43919.535714285601</v>
      </c>
      <c r="E109" s="62" t="s">
        <v>68</v>
      </c>
      <c r="F109" s="72" t="s">
        <v>98</v>
      </c>
      <c r="G109" s="75" t="s">
        <v>192</v>
      </c>
      <c r="H109" s="72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hidden="1" x14ac:dyDescent="0.35">
      <c r="A110" s="70">
        <v>46186</v>
      </c>
      <c r="B110" s="71" t="s">
        <v>67</v>
      </c>
      <c r="C110" s="73">
        <v>1100.0000000003899</v>
      </c>
      <c r="D110" s="73">
        <v>43892.916666666497</v>
      </c>
      <c r="E110" s="62" t="s">
        <v>68</v>
      </c>
      <c r="F110" s="72" t="s">
        <v>78</v>
      </c>
      <c r="G110" s="75" t="s">
        <v>193</v>
      </c>
      <c r="H110" s="72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hidden="1" x14ac:dyDescent="0.35">
      <c r="A111" s="70">
        <v>46186</v>
      </c>
      <c r="B111" s="71" t="s">
        <v>67</v>
      </c>
      <c r="C111" s="73">
        <v>1100.62857142897</v>
      </c>
      <c r="D111" s="73">
        <v>43866.297619047502</v>
      </c>
      <c r="E111" s="62" t="s">
        <v>68</v>
      </c>
      <c r="F111" s="72" t="s">
        <v>69</v>
      </c>
      <c r="G111" s="75" t="s">
        <v>195</v>
      </c>
      <c r="H111" s="72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hidden="1" x14ac:dyDescent="0.35">
      <c r="A112" s="70">
        <v>46186</v>
      </c>
      <c r="B112" s="71" t="s">
        <v>67</v>
      </c>
      <c r="C112" s="73">
        <v>1101.25714285755</v>
      </c>
      <c r="D112" s="73">
        <v>43839.678571428398</v>
      </c>
      <c r="E112" s="62" t="s">
        <v>68</v>
      </c>
      <c r="F112" s="72" t="s">
        <v>153</v>
      </c>
      <c r="G112" s="75" t="s">
        <v>196</v>
      </c>
      <c r="H112" s="72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hidden="1" x14ac:dyDescent="0.35">
      <c r="A113" s="70">
        <v>46186</v>
      </c>
      <c r="B113" s="71" t="s">
        <v>67</v>
      </c>
      <c r="C113" s="73">
        <v>1101.88571428613</v>
      </c>
      <c r="D113" s="73">
        <v>43813.059523809403</v>
      </c>
      <c r="E113" s="62" t="s">
        <v>68</v>
      </c>
      <c r="F113" s="72" t="s">
        <v>78</v>
      </c>
      <c r="G113" s="75" t="s">
        <v>197</v>
      </c>
      <c r="H113" s="72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hidden="1" x14ac:dyDescent="0.35">
      <c r="A114" s="70">
        <v>46186</v>
      </c>
      <c r="B114" s="71" t="s">
        <v>67</v>
      </c>
      <c r="C114" s="73">
        <v>1102.51428571471</v>
      </c>
      <c r="D114" s="73">
        <v>43786.440476190299</v>
      </c>
      <c r="E114" s="62" t="s">
        <v>68</v>
      </c>
      <c r="F114" s="72" t="s">
        <v>69</v>
      </c>
      <c r="G114" s="75" t="s">
        <v>198</v>
      </c>
      <c r="H114" s="72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x14ac:dyDescent="0.35">
      <c r="A115" s="70">
        <v>46186</v>
      </c>
      <c r="B115" s="71" t="s">
        <v>67</v>
      </c>
      <c r="C115" s="73">
        <v>1103.14285714329</v>
      </c>
      <c r="D115" s="73">
        <v>43759.821428571297</v>
      </c>
      <c r="E115" s="62" t="s">
        <v>68</v>
      </c>
      <c r="F115" s="72" t="s">
        <v>208</v>
      </c>
      <c r="G115" s="75" t="s">
        <v>115</v>
      </c>
      <c r="H115" s="72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x14ac:dyDescent="0.35">
      <c r="A116" s="70">
        <v>46186</v>
      </c>
      <c r="B116" s="71" t="s">
        <v>67</v>
      </c>
      <c r="C116" s="73">
        <v>1103.77142857187</v>
      </c>
      <c r="D116" s="73">
        <v>43733.2023809522</v>
      </c>
      <c r="E116" s="62" t="s">
        <v>68</v>
      </c>
      <c r="F116" s="72" t="s">
        <v>208</v>
      </c>
      <c r="G116" s="75" t="s">
        <v>115</v>
      </c>
      <c r="H116" s="72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x14ac:dyDescent="0.35">
      <c r="A117" s="70">
        <v>46186</v>
      </c>
      <c r="B117" s="71" t="s">
        <v>67</v>
      </c>
      <c r="C117" s="73">
        <v>1104.4000000004501</v>
      </c>
      <c r="D117" s="73">
        <v>43706.583333333198</v>
      </c>
      <c r="E117" s="62" t="s">
        <v>68</v>
      </c>
      <c r="F117" s="72" t="s">
        <v>208</v>
      </c>
      <c r="G117" s="75" t="s">
        <v>115</v>
      </c>
      <c r="H117" s="72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x14ac:dyDescent="0.35">
      <c r="A118" s="70">
        <v>46186</v>
      </c>
      <c r="B118" s="71" t="s">
        <v>67</v>
      </c>
      <c r="C118" s="73">
        <v>1105.0285714290301</v>
      </c>
      <c r="D118" s="73">
        <v>43679.964285714101</v>
      </c>
      <c r="E118" s="62" t="s">
        <v>68</v>
      </c>
      <c r="F118" s="72" t="s">
        <v>208</v>
      </c>
      <c r="G118" s="75" t="s">
        <v>115</v>
      </c>
      <c r="H118" s="72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x14ac:dyDescent="0.35">
      <c r="A119" s="70">
        <v>46186</v>
      </c>
      <c r="B119" s="71" t="s">
        <v>67</v>
      </c>
      <c r="C119" s="73">
        <v>1105.6571428576101</v>
      </c>
      <c r="D119" s="73">
        <v>43653.345238095302</v>
      </c>
      <c r="E119" s="62" t="s">
        <v>68</v>
      </c>
      <c r="F119" s="72" t="s">
        <v>208</v>
      </c>
      <c r="G119" s="75" t="s">
        <v>115</v>
      </c>
      <c r="H119" s="72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x14ac:dyDescent="0.35">
      <c r="A120" s="70">
        <v>46186</v>
      </c>
      <c r="B120" s="71" t="s">
        <v>67</v>
      </c>
      <c r="C120" s="73">
        <v>1106.2857142861899</v>
      </c>
      <c r="D120" s="73">
        <v>43626.7261904763</v>
      </c>
      <c r="E120" s="62" t="s">
        <v>68</v>
      </c>
      <c r="F120" s="72" t="s">
        <v>208</v>
      </c>
      <c r="G120" s="75" t="s">
        <v>115</v>
      </c>
      <c r="H120" s="72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hidden="1" x14ac:dyDescent="0.35">
      <c r="A121" s="70">
        <v>46188</v>
      </c>
      <c r="B121" s="71" t="s">
        <v>67</v>
      </c>
      <c r="C121" s="73">
        <v>1106.9142857147699</v>
      </c>
      <c r="D121" s="73">
        <v>43600.107142857298</v>
      </c>
      <c r="E121" s="62" t="s">
        <v>68</v>
      </c>
      <c r="F121" s="72" t="s">
        <v>78</v>
      </c>
      <c r="G121" s="75" t="s">
        <v>95</v>
      </c>
      <c r="H121" s="72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hidden="1" x14ac:dyDescent="0.35">
      <c r="A122" s="70">
        <v>46188</v>
      </c>
      <c r="B122" s="71" t="s">
        <v>67</v>
      </c>
      <c r="C122" s="73">
        <v>1107.5428571433499</v>
      </c>
      <c r="D122" s="73">
        <v>43585.933364254801</v>
      </c>
      <c r="E122" s="62" t="s">
        <v>68</v>
      </c>
      <c r="F122" s="72" t="s">
        <v>69</v>
      </c>
      <c r="G122" s="75" t="s">
        <v>184</v>
      </c>
      <c r="H122" s="72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hidden="1" x14ac:dyDescent="0.35">
      <c r="A123" s="70">
        <v>46188</v>
      </c>
      <c r="B123" s="71" t="s">
        <v>67</v>
      </c>
      <c r="C123" s="73">
        <v>1108.1714285719299</v>
      </c>
      <c r="D123" s="73">
        <v>43560.817368449301</v>
      </c>
      <c r="E123" s="62" t="s">
        <v>68</v>
      </c>
      <c r="F123" s="72" t="s">
        <v>69</v>
      </c>
      <c r="G123" s="75" t="s">
        <v>183</v>
      </c>
      <c r="H123" s="72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hidden="1" x14ac:dyDescent="0.35">
      <c r="A124" s="70">
        <v>46188</v>
      </c>
      <c r="B124" s="71" t="s">
        <v>67</v>
      </c>
      <c r="C124" s="73">
        <v>1108.80000000051</v>
      </c>
      <c r="D124" s="73">
        <v>43535.701372643904</v>
      </c>
      <c r="E124" s="62" t="s">
        <v>68</v>
      </c>
      <c r="F124" s="72" t="s">
        <v>78</v>
      </c>
      <c r="G124" s="75" t="s">
        <v>200</v>
      </c>
      <c r="H124" s="72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hidden="1" x14ac:dyDescent="0.35">
      <c r="A125" s="70">
        <v>46188</v>
      </c>
      <c r="B125" s="71" t="s">
        <v>67</v>
      </c>
      <c r="C125" s="73">
        <v>1109.42857142909</v>
      </c>
      <c r="D125" s="73">
        <v>43510.585376838499</v>
      </c>
      <c r="E125" s="62" t="s">
        <v>68</v>
      </c>
      <c r="F125" s="72" t="s">
        <v>78</v>
      </c>
      <c r="G125" s="75" t="s">
        <v>202</v>
      </c>
      <c r="H125" s="72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hidden="1" x14ac:dyDescent="0.35">
      <c r="A126" s="70">
        <v>46188</v>
      </c>
      <c r="B126" s="71" t="s">
        <v>67</v>
      </c>
      <c r="C126" s="73">
        <v>1110.05714285767</v>
      </c>
      <c r="D126" s="73">
        <v>43485.469381033101</v>
      </c>
      <c r="E126" s="62" t="s">
        <v>68</v>
      </c>
      <c r="F126" s="72" t="s">
        <v>69</v>
      </c>
      <c r="G126" s="75" t="s">
        <v>203</v>
      </c>
      <c r="H126" s="72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hidden="1" x14ac:dyDescent="0.35">
      <c r="A127" s="70">
        <v>46188</v>
      </c>
      <c r="B127" s="71" t="s">
        <v>67</v>
      </c>
      <c r="C127" s="73">
        <v>1110.68571428625</v>
      </c>
      <c r="D127" s="73">
        <v>43460.353385227601</v>
      </c>
      <c r="E127" s="62" t="s">
        <v>68</v>
      </c>
      <c r="F127" s="72" t="s">
        <v>69</v>
      </c>
      <c r="G127" s="75" t="s">
        <v>204</v>
      </c>
      <c r="H127" s="72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hidden="1" x14ac:dyDescent="0.35">
      <c r="A128" s="70">
        <v>46188</v>
      </c>
      <c r="B128" s="71" t="s">
        <v>67</v>
      </c>
      <c r="C128" s="73">
        <v>1111.31428571483</v>
      </c>
      <c r="D128" s="73">
        <v>43435.237389422196</v>
      </c>
      <c r="E128" s="62" t="s">
        <v>68</v>
      </c>
      <c r="F128" s="72" t="s">
        <v>78</v>
      </c>
      <c r="G128" s="75" t="s">
        <v>205</v>
      </c>
      <c r="H128" s="72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hidden="1" x14ac:dyDescent="0.35">
      <c r="A129" s="70">
        <v>46188</v>
      </c>
      <c r="B129" s="71" t="s">
        <v>67</v>
      </c>
      <c r="C129" s="73">
        <v>1111.94285714341</v>
      </c>
      <c r="D129" s="73">
        <v>43410.121393616799</v>
      </c>
      <c r="E129" s="62" t="s">
        <v>68</v>
      </c>
      <c r="F129" s="72" t="s">
        <v>78</v>
      </c>
      <c r="G129" s="75" t="s">
        <v>206</v>
      </c>
      <c r="H129" s="72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hidden="1" x14ac:dyDescent="0.35">
      <c r="A130" s="70">
        <v>46188</v>
      </c>
      <c r="B130" s="71" t="s">
        <v>67</v>
      </c>
      <c r="C130" s="73">
        <v>1112.5714285719901</v>
      </c>
      <c r="D130" s="73">
        <v>43385.005397811299</v>
      </c>
      <c r="E130" s="62" t="s">
        <v>68</v>
      </c>
      <c r="F130" s="72" t="s">
        <v>232</v>
      </c>
      <c r="G130" s="75" t="s">
        <v>233</v>
      </c>
      <c r="H130" s="72" t="s">
        <v>235</v>
      </c>
      <c r="I130" s="62" t="s">
        <v>236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hidden="1" x14ac:dyDescent="0.35">
      <c r="A131" s="70">
        <v>46188</v>
      </c>
      <c r="B131" s="71" t="s">
        <v>67</v>
      </c>
      <c r="C131" s="73">
        <v>1113.2000000005701</v>
      </c>
      <c r="D131" s="73">
        <v>43359.889402005902</v>
      </c>
      <c r="E131" s="62" t="s">
        <v>68</v>
      </c>
      <c r="F131" s="72" t="s">
        <v>232</v>
      </c>
      <c r="G131" s="75" t="s">
        <v>234</v>
      </c>
      <c r="H131" s="72" t="s">
        <v>235</v>
      </c>
      <c r="I131" s="62" t="s">
        <v>225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x14ac:dyDescent="0.35">
      <c r="A132" s="70">
        <v>46189</v>
      </c>
      <c r="B132" s="71" t="s">
        <v>67</v>
      </c>
      <c r="C132" s="73">
        <v>1113.8285714291501</v>
      </c>
      <c r="D132" s="73">
        <v>43334.773406200497</v>
      </c>
      <c r="E132" s="62" t="s">
        <v>68</v>
      </c>
      <c r="F132" s="72" t="s">
        <v>208</v>
      </c>
      <c r="G132" s="75" t="s">
        <v>237</v>
      </c>
      <c r="H132" s="72" t="s">
        <v>212</v>
      </c>
      <c r="I132" s="62" t="s">
        <v>243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x14ac:dyDescent="0.35">
      <c r="A133" s="70">
        <v>46189</v>
      </c>
      <c r="B133" s="71" t="s">
        <v>67</v>
      </c>
      <c r="C133" s="73">
        <v>1114.4571428577301</v>
      </c>
      <c r="D133" s="73">
        <v>43309.657410394997</v>
      </c>
      <c r="E133" s="62" t="s">
        <v>68</v>
      </c>
      <c r="F133" s="72" t="s">
        <v>208</v>
      </c>
      <c r="G133" s="75" t="s">
        <v>238</v>
      </c>
      <c r="H133" s="72" t="s">
        <v>212</v>
      </c>
      <c r="I133" s="62" t="s">
        <v>244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x14ac:dyDescent="0.35">
      <c r="A134" s="70">
        <v>46189</v>
      </c>
      <c r="B134" s="71" t="s">
        <v>67</v>
      </c>
      <c r="C134" s="73">
        <v>1115.0857142863099</v>
      </c>
      <c r="D134" s="73">
        <v>43284.541414589599</v>
      </c>
      <c r="E134" s="62" t="s">
        <v>68</v>
      </c>
      <c r="F134" s="72" t="s">
        <v>208</v>
      </c>
      <c r="G134" s="75" t="s">
        <v>239</v>
      </c>
      <c r="H134" s="72" t="s">
        <v>212</v>
      </c>
      <c r="I134" s="62" t="s">
        <v>245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x14ac:dyDescent="0.35">
      <c r="A135" s="70">
        <v>46189</v>
      </c>
      <c r="B135" s="71" t="s">
        <v>67</v>
      </c>
      <c r="C135" s="73">
        <v>1115.7142857148899</v>
      </c>
      <c r="D135" s="73">
        <v>43259.425418784202</v>
      </c>
      <c r="E135" s="62" t="s">
        <v>68</v>
      </c>
      <c r="F135" s="72" t="s">
        <v>208</v>
      </c>
      <c r="G135" s="75" t="s">
        <v>240</v>
      </c>
      <c r="H135" s="72" t="s">
        <v>212</v>
      </c>
      <c r="I135" s="62" t="s">
        <v>246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x14ac:dyDescent="0.35">
      <c r="A136" s="70">
        <v>46189</v>
      </c>
      <c r="B136" s="71" t="s">
        <v>67</v>
      </c>
      <c r="C136" s="73">
        <v>1116.3428571434699</v>
      </c>
      <c r="D136" s="73">
        <v>43234.309422978797</v>
      </c>
      <c r="E136" s="62" t="s">
        <v>68</v>
      </c>
      <c r="F136" s="72" t="s">
        <v>208</v>
      </c>
      <c r="G136" s="109" t="s">
        <v>241</v>
      </c>
      <c r="H136" s="72" t="s">
        <v>212</v>
      </c>
      <c r="I136" s="62" t="s">
        <v>247</v>
      </c>
      <c r="J136" s="102">
        <v>80</v>
      </c>
      <c r="K136" s="107">
        <v>80</v>
      </c>
      <c r="L136" s="107">
        <v>80</v>
      </c>
      <c r="M136" s="107">
        <v>80</v>
      </c>
      <c r="N136" s="8">
        <f t="shared" si="55"/>
        <v>240</v>
      </c>
      <c r="O136" s="105">
        <v>80</v>
      </c>
      <c r="P136" s="107">
        <v>80</v>
      </c>
      <c r="Q136" s="105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x14ac:dyDescent="0.35">
      <c r="A137" s="70">
        <v>46189</v>
      </c>
      <c r="B137" s="71" t="s">
        <v>67</v>
      </c>
      <c r="C137" s="73">
        <v>1116.9714285720499</v>
      </c>
      <c r="D137" s="73">
        <v>43209.193427173297</v>
      </c>
      <c r="E137" s="62" t="s">
        <v>68</v>
      </c>
      <c r="F137" s="72" t="s">
        <v>208</v>
      </c>
      <c r="G137" s="109" t="s">
        <v>242</v>
      </c>
      <c r="H137" s="72" t="s">
        <v>212</v>
      </c>
      <c r="I137" s="62" t="s">
        <v>247</v>
      </c>
      <c r="J137" s="102">
        <v>120</v>
      </c>
      <c r="K137" s="105">
        <v>120</v>
      </c>
      <c r="L137" s="107">
        <v>120</v>
      </c>
      <c r="M137" s="105">
        <v>80</v>
      </c>
      <c r="N137" s="8">
        <f t="shared" si="55"/>
        <v>320</v>
      </c>
      <c r="O137" s="105">
        <v>120</v>
      </c>
      <c r="P137" s="105">
        <v>120</v>
      </c>
      <c r="Q137" s="105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hidden="1" x14ac:dyDescent="0.35">
      <c r="A138" s="70">
        <v>46189</v>
      </c>
      <c r="B138" s="71" t="s">
        <v>67</v>
      </c>
      <c r="C138" s="73">
        <v>1117.60000000063</v>
      </c>
      <c r="D138" s="73">
        <v>43184.077431367899</v>
      </c>
      <c r="E138" s="62" t="s">
        <v>68</v>
      </c>
      <c r="F138" s="72" t="s">
        <v>69</v>
      </c>
      <c r="G138" s="75" t="s">
        <v>132</v>
      </c>
      <c r="H138" s="72" t="s">
        <v>90</v>
      </c>
      <c r="I138" s="62" t="s">
        <v>249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hidden="1" x14ac:dyDescent="0.35">
      <c r="A139" s="70">
        <v>46189</v>
      </c>
      <c r="B139" s="71" t="s">
        <v>67</v>
      </c>
      <c r="C139" s="73">
        <v>1118.22857142921</v>
      </c>
      <c r="D139" s="73">
        <v>43158.961435562502</v>
      </c>
      <c r="E139" s="62" t="s">
        <v>68</v>
      </c>
      <c r="F139" s="72" t="s">
        <v>69</v>
      </c>
      <c r="G139" s="75" t="s">
        <v>248</v>
      </c>
      <c r="H139" s="72" t="s">
        <v>90</v>
      </c>
      <c r="I139" s="62" t="s">
        <v>250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hidden="1" x14ac:dyDescent="0.35">
      <c r="A140" s="70">
        <v>46189</v>
      </c>
      <c r="B140" s="71" t="s">
        <v>67</v>
      </c>
      <c r="C140" s="73">
        <v>1118.85714285779</v>
      </c>
      <c r="D140" s="73">
        <v>43133.845439757002</v>
      </c>
      <c r="E140" s="62" t="s">
        <v>68</v>
      </c>
      <c r="F140" s="72" t="s">
        <v>69</v>
      </c>
      <c r="G140" s="75" t="s">
        <v>154</v>
      </c>
      <c r="H140" s="72" t="s">
        <v>90</v>
      </c>
      <c r="I140" s="62" t="s">
        <v>251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hidden="1" x14ac:dyDescent="0.35">
      <c r="A141" s="70">
        <v>46189</v>
      </c>
      <c r="B141" s="71" t="s">
        <v>67</v>
      </c>
      <c r="C141" s="73">
        <v>1119.48571428637</v>
      </c>
      <c r="D141" s="73">
        <v>43108.729443951597</v>
      </c>
      <c r="E141" s="62" t="s">
        <v>68</v>
      </c>
      <c r="F141" s="72" t="s">
        <v>69</v>
      </c>
      <c r="G141" s="75" t="s">
        <v>252</v>
      </c>
      <c r="H141" s="72" t="s">
        <v>79</v>
      </c>
      <c r="I141" s="62" t="s">
        <v>256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hidden="1" x14ac:dyDescent="0.35">
      <c r="A142" s="70">
        <v>46189</v>
      </c>
      <c r="B142" s="71" t="s">
        <v>67</v>
      </c>
      <c r="C142" s="73">
        <v>1120.11428571495</v>
      </c>
      <c r="D142" s="73">
        <v>43083.6134481462</v>
      </c>
      <c r="E142" s="62" t="s">
        <v>68</v>
      </c>
      <c r="F142" s="72" t="s">
        <v>69</v>
      </c>
      <c r="G142" s="75" t="s">
        <v>253</v>
      </c>
      <c r="H142" s="72" t="s">
        <v>79</v>
      </c>
      <c r="I142" s="62" t="s">
        <v>256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hidden="1" x14ac:dyDescent="0.35">
      <c r="A143" s="70">
        <v>46189</v>
      </c>
      <c r="B143" s="71" t="s">
        <v>67</v>
      </c>
      <c r="C143" s="73">
        <v>1120.74285714353</v>
      </c>
      <c r="D143" s="73">
        <v>43058.497452340802</v>
      </c>
      <c r="E143" s="62" t="s">
        <v>68</v>
      </c>
      <c r="F143" s="72" t="s">
        <v>69</v>
      </c>
      <c r="G143" s="75" t="s">
        <v>254</v>
      </c>
      <c r="H143" s="72" t="s">
        <v>79</v>
      </c>
      <c r="I143" s="62" t="s">
        <v>256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hidden="1" x14ac:dyDescent="0.35">
      <c r="A144" s="70">
        <v>46189</v>
      </c>
      <c r="B144" s="71" t="s">
        <v>67</v>
      </c>
      <c r="C144" s="73">
        <v>1121.3714285721101</v>
      </c>
      <c r="D144" s="73">
        <v>43033.381456535302</v>
      </c>
      <c r="E144" s="62" t="s">
        <v>68</v>
      </c>
      <c r="F144" s="72" t="s">
        <v>69</v>
      </c>
      <c r="G144" s="75" t="s">
        <v>255</v>
      </c>
      <c r="H144" s="72" t="s">
        <v>79</v>
      </c>
      <c r="I144" s="62" t="s">
        <v>256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hidden="1" x14ac:dyDescent="0.35">
      <c r="A145" s="70">
        <v>46189</v>
      </c>
      <c r="B145" s="71" t="s">
        <v>67</v>
      </c>
      <c r="C145" s="73">
        <v>1122.0000000006901</v>
      </c>
      <c r="D145" s="73">
        <v>43008.265460729897</v>
      </c>
      <c r="E145" s="62" t="s">
        <v>68</v>
      </c>
      <c r="F145" s="72" t="s">
        <v>69</v>
      </c>
      <c r="G145" s="75" t="s">
        <v>257</v>
      </c>
      <c r="H145" s="72" t="s">
        <v>89</v>
      </c>
      <c r="I145" s="62" t="s">
        <v>264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hidden="1" x14ac:dyDescent="0.35">
      <c r="A146" s="70">
        <v>46189</v>
      </c>
      <c r="B146" s="71" t="s">
        <v>67</v>
      </c>
      <c r="C146" s="73">
        <v>1122.6285714292701</v>
      </c>
      <c r="D146" s="73">
        <v>42983.1494649245</v>
      </c>
      <c r="E146" s="62" t="s">
        <v>68</v>
      </c>
      <c r="F146" s="72" t="s">
        <v>69</v>
      </c>
      <c r="G146" s="75" t="s">
        <v>258</v>
      </c>
      <c r="H146" s="72" t="s">
        <v>89</v>
      </c>
      <c r="I146" s="62" t="s">
        <v>264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hidden="1" x14ac:dyDescent="0.35">
      <c r="A147" s="70">
        <v>46189</v>
      </c>
      <c r="B147" s="71" t="s">
        <v>67</v>
      </c>
      <c r="C147" s="73">
        <v>1123.2571428578501</v>
      </c>
      <c r="D147" s="73">
        <v>42958.033469119</v>
      </c>
      <c r="E147" s="62" t="s">
        <v>68</v>
      </c>
      <c r="F147" s="72" t="s">
        <v>69</v>
      </c>
      <c r="G147" s="75" t="s">
        <v>259</v>
      </c>
      <c r="H147" s="72" t="s">
        <v>89</v>
      </c>
      <c r="I147" s="62" t="s">
        <v>264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hidden="1" x14ac:dyDescent="0.35">
      <c r="A148" s="70">
        <v>46189</v>
      </c>
      <c r="B148" s="71" t="s">
        <v>67</v>
      </c>
      <c r="C148" s="73">
        <v>1123.8857142864299</v>
      </c>
      <c r="D148" s="73">
        <v>42932.917473313602</v>
      </c>
      <c r="E148" s="62" t="s">
        <v>68</v>
      </c>
      <c r="F148" s="72" t="s">
        <v>69</v>
      </c>
      <c r="G148" s="75" t="s">
        <v>260</v>
      </c>
      <c r="H148" s="72" t="s">
        <v>89</v>
      </c>
      <c r="I148" s="62" t="s">
        <v>264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hidden="1" x14ac:dyDescent="0.35">
      <c r="A149" s="70">
        <v>46189</v>
      </c>
      <c r="B149" s="71" t="s">
        <v>67</v>
      </c>
      <c r="C149" s="73">
        <v>1124.5142857150099</v>
      </c>
      <c r="D149" s="73">
        <v>42907.801477508197</v>
      </c>
      <c r="E149" s="62" t="s">
        <v>68</v>
      </c>
      <c r="F149" s="72" t="s">
        <v>69</v>
      </c>
      <c r="G149" s="75" t="s">
        <v>261</v>
      </c>
      <c r="H149" s="72" t="s">
        <v>89</v>
      </c>
      <c r="I149" s="62" t="s">
        <v>264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hidden="1" x14ac:dyDescent="0.35">
      <c r="A150" s="70">
        <v>46189</v>
      </c>
      <c r="B150" s="71" t="s">
        <v>67</v>
      </c>
      <c r="C150" s="73">
        <v>1125.1428571435899</v>
      </c>
      <c r="D150" s="73">
        <v>42882.685481702698</v>
      </c>
      <c r="E150" s="62" t="s">
        <v>68</v>
      </c>
      <c r="F150" s="72" t="s">
        <v>69</v>
      </c>
      <c r="G150" s="75" t="s">
        <v>262</v>
      </c>
      <c r="H150" s="72" t="s">
        <v>89</v>
      </c>
      <c r="I150" s="62" t="s">
        <v>264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hidden="1" x14ac:dyDescent="0.35">
      <c r="A151" s="70">
        <v>46189</v>
      </c>
      <c r="B151" s="71" t="s">
        <v>67</v>
      </c>
      <c r="C151" s="73">
        <v>1125.77142857217</v>
      </c>
      <c r="D151" s="73">
        <v>42857.5694858973</v>
      </c>
      <c r="E151" s="62" t="s">
        <v>68</v>
      </c>
      <c r="F151" s="72" t="s">
        <v>69</v>
      </c>
      <c r="G151" s="75" t="s">
        <v>263</v>
      </c>
      <c r="H151" s="72" t="s">
        <v>89</v>
      </c>
      <c r="I151" s="62" t="s">
        <v>264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hidden="1" x14ac:dyDescent="0.35">
      <c r="A152" s="70">
        <v>46190</v>
      </c>
      <c r="B152" s="71" t="s">
        <v>67</v>
      </c>
      <c r="C152" s="73">
        <v>1126.40000000075</v>
      </c>
      <c r="D152" s="73">
        <v>42832.453490091902</v>
      </c>
      <c r="E152" s="62" t="s">
        <v>68</v>
      </c>
      <c r="F152" s="72" t="s">
        <v>69</v>
      </c>
      <c r="G152" s="75" t="s">
        <v>266</v>
      </c>
      <c r="H152" s="72" t="s">
        <v>90</v>
      </c>
      <c r="I152" s="62" t="s">
        <v>268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hidden="1" x14ac:dyDescent="0.35">
      <c r="A153" s="70">
        <v>46190</v>
      </c>
      <c r="B153" s="71" t="s">
        <v>67</v>
      </c>
      <c r="C153" s="73">
        <v>1127.02857142933</v>
      </c>
      <c r="D153" s="73">
        <v>42807.337494286498</v>
      </c>
      <c r="E153" s="62" t="s">
        <v>68</v>
      </c>
      <c r="F153" s="72" t="s">
        <v>69</v>
      </c>
      <c r="G153" s="75" t="s">
        <v>265</v>
      </c>
      <c r="H153" s="72" t="s">
        <v>90</v>
      </c>
      <c r="I153" s="62" t="s">
        <v>267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hidden="1" x14ac:dyDescent="0.35">
      <c r="A154" s="70">
        <v>46190</v>
      </c>
      <c r="B154" s="71" t="s">
        <v>67</v>
      </c>
      <c r="C154" s="73">
        <v>1127.65714285791</v>
      </c>
      <c r="D154" s="73">
        <v>42782.221498480998</v>
      </c>
      <c r="E154" s="62" t="s">
        <v>68</v>
      </c>
      <c r="F154" s="72" t="s">
        <v>69</v>
      </c>
      <c r="G154" s="75" t="s">
        <v>269</v>
      </c>
      <c r="H154" s="72" t="s">
        <v>104</v>
      </c>
      <c r="I154" s="62" t="s">
        <v>272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hidden="1" x14ac:dyDescent="0.35">
      <c r="A155" s="70">
        <v>46190</v>
      </c>
      <c r="B155" s="71" t="s">
        <v>67</v>
      </c>
      <c r="C155" s="73">
        <v>1128.28571428649</v>
      </c>
      <c r="D155" s="73">
        <v>42757.1055026756</v>
      </c>
      <c r="E155" s="62" t="s">
        <v>68</v>
      </c>
      <c r="F155" s="72" t="s">
        <v>69</v>
      </c>
      <c r="G155" s="75" t="s">
        <v>270</v>
      </c>
      <c r="H155" s="72" t="s">
        <v>104</v>
      </c>
      <c r="I155" s="62" t="s">
        <v>272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hidden="1" x14ac:dyDescent="0.35">
      <c r="A156" s="70">
        <v>46190</v>
      </c>
      <c r="B156" s="71" t="s">
        <v>67</v>
      </c>
      <c r="C156" s="73">
        <v>1128.91428571507</v>
      </c>
      <c r="D156" s="73">
        <v>42731.989506870203</v>
      </c>
      <c r="E156" s="62" t="s">
        <v>68</v>
      </c>
      <c r="F156" s="72" t="s">
        <v>69</v>
      </c>
      <c r="G156" s="75" t="s">
        <v>271</v>
      </c>
      <c r="H156" s="72" t="s">
        <v>104</v>
      </c>
      <c r="I156" s="62" t="s">
        <v>272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hidden="1" x14ac:dyDescent="0.35">
      <c r="A157" s="70">
        <v>46190</v>
      </c>
      <c r="B157" s="71" t="s">
        <v>67</v>
      </c>
      <c r="C157" s="73">
        <v>1129.5428571436501</v>
      </c>
      <c r="D157" s="73">
        <v>42706.873511064703</v>
      </c>
      <c r="E157" s="62" t="s">
        <v>68</v>
      </c>
      <c r="F157" s="72" t="s">
        <v>69</v>
      </c>
      <c r="G157" s="75" t="s">
        <v>273</v>
      </c>
      <c r="H157" s="72" t="s">
        <v>79</v>
      </c>
      <c r="I157" s="62" t="s">
        <v>277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hidden="1" x14ac:dyDescent="0.35">
      <c r="A158" s="70">
        <v>46190</v>
      </c>
      <c r="B158" s="71" t="s">
        <v>67</v>
      </c>
      <c r="C158" s="73">
        <v>1130.1714285722301</v>
      </c>
      <c r="D158" s="73">
        <v>42681.757515259298</v>
      </c>
      <c r="E158" s="62" t="s">
        <v>68</v>
      </c>
      <c r="F158" s="72" t="s">
        <v>69</v>
      </c>
      <c r="G158" s="75" t="s">
        <v>274</v>
      </c>
      <c r="H158" s="72" t="s">
        <v>79</v>
      </c>
      <c r="I158" s="62" t="s">
        <v>277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hidden="1" x14ac:dyDescent="0.35">
      <c r="A159" s="70">
        <v>46190</v>
      </c>
      <c r="B159" s="71" t="s">
        <v>67</v>
      </c>
      <c r="C159" s="73">
        <v>1130.8000000008101</v>
      </c>
      <c r="D159" s="73">
        <v>42656.6415194539</v>
      </c>
      <c r="E159" s="62" t="s">
        <v>68</v>
      </c>
      <c r="F159" s="72" t="s">
        <v>69</v>
      </c>
      <c r="G159" s="75" t="s">
        <v>275</v>
      </c>
      <c r="H159" s="72" t="s">
        <v>79</v>
      </c>
      <c r="I159" s="62" t="s">
        <v>277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hidden="1" x14ac:dyDescent="0.35">
      <c r="A160" s="70">
        <v>46190</v>
      </c>
      <c r="B160" s="71" t="s">
        <v>67</v>
      </c>
      <c r="C160" s="73">
        <v>1131.4285714293901</v>
      </c>
      <c r="D160" s="73">
        <v>42631.525523648503</v>
      </c>
      <c r="E160" s="62" t="s">
        <v>68</v>
      </c>
      <c r="F160" s="72" t="s">
        <v>69</v>
      </c>
      <c r="G160" s="75" t="s">
        <v>276</v>
      </c>
      <c r="H160" s="72" t="s">
        <v>79</v>
      </c>
      <c r="I160" s="62" t="s">
        <v>277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x14ac:dyDescent="0.35">
      <c r="A161" s="70">
        <v>46190</v>
      </c>
      <c r="B161" s="71" t="s">
        <v>67</v>
      </c>
      <c r="C161" s="73">
        <v>1132.0571428579699</v>
      </c>
      <c r="D161" s="73">
        <v>42606.409527843003</v>
      </c>
      <c r="E161" s="62" t="s">
        <v>68</v>
      </c>
      <c r="F161" s="72" t="s">
        <v>208</v>
      </c>
      <c r="G161" s="109" t="s">
        <v>278</v>
      </c>
      <c r="H161" s="72" t="s">
        <v>212</v>
      </c>
      <c r="I161" s="62" t="s">
        <v>236</v>
      </c>
      <c r="J161" s="102"/>
      <c r="K161" s="107">
        <v>40</v>
      </c>
      <c r="L161" s="107">
        <v>40</v>
      </c>
      <c r="M161" s="107">
        <v>80</v>
      </c>
      <c r="N161" s="8">
        <f t="shared" si="55"/>
        <v>160</v>
      </c>
      <c r="O161" s="105">
        <v>40</v>
      </c>
      <c r="P161" s="105">
        <v>0</v>
      </c>
      <c r="Q161" s="105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x14ac:dyDescent="0.35">
      <c r="A162" s="70">
        <v>46190</v>
      </c>
      <c r="B162" s="71" t="s">
        <v>67</v>
      </c>
      <c r="C162" s="73">
        <v>1132.6857142865499</v>
      </c>
      <c r="D162" s="73">
        <v>42581.293532037598</v>
      </c>
      <c r="E162" s="62" t="s">
        <v>68</v>
      </c>
      <c r="F162" s="72" t="s">
        <v>208</v>
      </c>
      <c r="G162" s="109" t="s">
        <v>210</v>
      </c>
      <c r="H162" s="72" t="s">
        <v>212</v>
      </c>
      <c r="I162" s="62" t="s">
        <v>294</v>
      </c>
      <c r="J162" s="102"/>
      <c r="K162" s="107">
        <v>80</v>
      </c>
      <c r="L162" s="107">
        <v>80</v>
      </c>
      <c r="M162" s="107">
        <v>40</v>
      </c>
      <c r="N162" s="8">
        <f t="shared" si="55"/>
        <v>200</v>
      </c>
      <c r="O162" s="105">
        <v>80</v>
      </c>
      <c r="P162" s="105">
        <v>80</v>
      </c>
      <c r="Q162" s="107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x14ac:dyDescent="0.35">
      <c r="A163" s="70">
        <v>46190</v>
      </c>
      <c r="B163" s="71" t="s">
        <v>67</v>
      </c>
      <c r="C163" s="73">
        <v>1133.3142857151299</v>
      </c>
      <c r="D163" s="73">
        <v>42556.177536232201</v>
      </c>
      <c r="E163" s="62" t="s">
        <v>68</v>
      </c>
      <c r="F163" s="72" t="s">
        <v>208</v>
      </c>
      <c r="G163" s="109" t="s">
        <v>279</v>
      </c>
      <c r="H163" s="72" t="s">
        <v>212</v>
      </c>
      <c r="I163" s="62" t="s">
        <v>295</v>
      </c>
      <c r="J163" s="102"/>
      <c r="K163" s="107">
        <v>80</v>
      </c>
      <c r="L163" s="107">
        <v>80</v>
      </c>
      <c r="M163" s="107">
        <v>80</v>
      </c>
      <c r="N163" s="8">
        <f t="shared" si="55"/>
        <v>240</v>
      </c>
      <c r="O163" s="105">
        <v>80</v>
      </c>
      <c r="P163" s="105">
        <v>80</v>
      </c>
      <c r="Q163" s="105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x14ac:dyDescent="0.35">
      <c r="A164" s="70">
        <v>46190</v>
      </c>
      <c r="B164" s="71" t="s">
        <v>67</v>
      </c>
      <c r="C164" s="73">
        <v>1133.9428571437099</v>
      </c>
      <c r="D164" s="73">
        <v>42531.061540426701</v>
      </c>
      <c r="E164" s="62" t="s">
        <v>68</v>
      </c>
      <c r="F164" s="72" t="s">
        <v>208</v>
      </c>
      <c r="G164" s="109" t="s">
        <v>280</v>
      </c>
      <c r="H164" s="72" t="s">
        <v>212</v>
      </c>
      <c r="I164" s="62" t="s">
        <v>293</v>
      </c>
      <c r="J164" s="102"/>
      <c r="K164" s="107">
        <v>40</v>
      </c>
      <c r="L164" s="105">
        <v>40</v>
      </c>
      <c r="M164" s="105">
        <v>80</v>
      </c>
      <c r="N164" s="8">
        <f t="shared" si="55"/>
        <v>160</v>
      </c>
      <c r="O164" s="105">
        <v>80</v>
      </c>
      <c r="P164" s="105">
        <v>120</v>
      </c>
      <c r="Q164" s="105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x14ac:dyDescent="0.35">
      <c r="A165" s="70">
        <v>46190</v>
      </c>
      <c r="B165" s="71" t="s">
        <v>67</v>
      </c>
      <c r="C165" s="73">
        <v>1134.57142857229</v>
      </c>
      <c r="D165" s="73">
        <v>42505.945544621303</v>
      </c>
      <c r="E165" s="62" t="s">
        <v>68</v>
      </c>
      <c r="F165" s="72" t="s">
        <v>208</v>
      </c>
      <c r="G165" s="75" t="s">
        <v>327</v>
      </c>
      <c r="H165" s="72" t="s">
        <v>212</v>
      </c>
      <c r="I165" s="62" t="s">
        <v>281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x14ac:dyDescent="0.35">
      <c r="A166" s="70">
        <v>46190</v>
      </c>
      <c r="B166" s="71" t="s">
        <v>67</v>
      </c>
      <c r="C166" s="73">
        <v>1135.20000000087</v>
      </c>
      <c r="D166" s="73">
        <v>42480.829548815898</v>
      </c>
      <c r="E166" s="62" t="s">
        <v>68</v>
      </c>
      <c r="F166" s="72" t="s">
        <v>208</v>
      </c>
      <c r="G166" s="75" t="s">
        <v>327</v>
      </c>
      <c r="H166" s="72" t="s">
        <v>212</v>
      </c>
      <c r="I166" s="62" t="s">
        <v>282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x14ac:dyDescent="0.35">
      <c r="A167" s="70">
        <v>46190</v>
      </c>
      <c r="B167" s="71" t="s">
        <v>67</v>
      </c>
      <c r="C167" s="73">
        <v>1135.82857142945</v>
      </c>
      <c r="D167" s="73">
        <v>42455.713553010399</v>
      </c>
      <c r="E167" s="62" t="s">
        <v>68</v>
      </c>
      <c r="F167" s="72" t="s">
        <v>208</v>
      </c>
      <c r="G167" s="75" t="s">
        <v>327</v>
      </c>
      <c r="H167" s="72" t="s">
        <v>212</v>
      </c>
      <c r="I167" s="62" t="s">
        <v>283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x14ac:dyDescent="0.35">
      <c r="A168" s="70">
        <v>46190</v>
      </c>
      <c r="B168" s="71" t="s">
        <v>67</v>
      </c>
      <c r="C168" s="73">
        <v>1136.45714285803</v>
      </c>
      <c r="D168" s="73">
        <v>42430.597557205001</v>
      </c>
      <c r="E168" s="62" t="s">
        <v>68</v>
      </c>
      <c r="F168" s="72" t="s">
        <v>208</v>
      </c>
      <c r="G168" s="75" t="s">
        <v>327</v>
      </c>
      <c r="H168" s="72" t="s">
        <v>212</v>
      </c>
      <c r="I168" s="62" t="s">
        <v>284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x14ac:dyDescent="0.35">
      <c r="A169" s="70">
        <v>46190</v>
      </c>
      <c r="B169" s="71" t="s">
        <v>67</v>
      </c>
      <c r="C169" s="73">
        <v>1137.08571428661</v>
      </c>
      <c r="D169" s="73">
        <v>42405.481561399603</v>
      </c>
      <c r="E169" s="62" t="s">
        <v>68</v>
      </c>
      <c r="F169" s="72" t="s">
        <v>208</v>
      </c>
      <c r="G169" s="75" t="s">
        <v>327</v>
      </c>
      <c r="H169" s="72" t="s">
        <v>212</v>
      </c>
      <c r="I169" s="62" t="s">
        <v>285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x14ac:dyDescent="0.35">
      <c r="A170" s="70">
        <v>46190</v>
      </c>
      <c r="B170" s="71" t="s">
        <v>67</v>
      </c>
      <c r="C170" s="73">
        <v>1137.71428571519</v>
      </c>
      <c r="D170" s="73">
        <v>42380.365565594198</v>
      </c>
      <c r="E170" s="62" t="s">
        <v>68</v>
      </c>
      <c r="F170" s="72" t="s">
        <v>208</v>
      </c>
      <c r="G170" s="75" t="s">
        <v>327</v>
      </c>
      <c r="H170" s="72" t="s">
        <v>212</v>
      </c>
      <c r="I170" s="62" t="s">
        <v>286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x14ac:dyDescent="0.35">
      <c r="A171" s="70">
        <v>46190</v>
      </c>
      <c r="B171" s="71" t="s">
        <v>67</v>
      </c>
      <c r="C171" s="73">
        <v>1138.3428571437701</v>
      </c>
      <c r="D171" s="73">
        <v>42355.249569788699</v>
      </c>
      <c r="E171" s="62" t="s">
        <v>68</v>
      </c>
      <c r="F171" s="72" t="s">
        <v>208</v>
      </c>
      <c r="G171" s="75" t="s">
        <v>327</v>
      </c>
      <c r="H171" s="72" t="s">
        <v>212</v>
      </c>
      <c r="I171" s="62" t="s">
        <v>287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x14ac:dyDescent="0.35">
      <c r="A172" s="70">
        <v>46190</v>
      </c>
      <c r="B172" s="71" t="s">
        <v>67</v>
      </c>
      <c r="C172" s="73">
        <v>1138.9714285723501</v>
      </c>
      <c r="D172" s="73">
        <v>42330.133573983301</v>
      </c>
      <c r="E172" s="62" t="s">
        <v>68</v>
      </c>
      <c r="F172" s="72" t="s">
        <v>208</v>
      </c>
      <c r="G172" s="75" t="s">
        <v>327</v>
      </c>
      <c r="H172" s="72" t="s">
        <v>212</v>
      </c>
      <c r="I172" s="62" t="s">
        <v>288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x14ac:dyDescent="0.35">
      <c r="A173" s="70">
        <v>46190</v>
      </c>
      <c r="B173" s="71" t="s">
        <v>67</v>
      </c>
      <c r="C173" s="73">
        <v>1139.6000000009301</v>
      </c>
      <c r="D173" s="73">
        <v>42305.017578177903</v>
      </c>
      <c r="E173" s="62" t="s">
        <v>68</v>
      </c>
      <c r="F173" s="72" t="s">
        <v>208</v>
      </c>
      <c r="G173" s="75" t="s">
        <v>327</v>
      </c>
      <c r="H173" s="72" t="s">
        <v>212</v>
      </c>
      <c r="I173" s="62" t="s">
        <v>289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x14ac:dyDescent="0.35">
      <c r="A174" s="70">
        <v>46190</v>
      </c>
      <c r="B174" s="71" t="s">
        <v>67</v>
      </c>
      <c r="C174" s="73">
        <v>1140.2285714295101</v>
      </c>
      <c r="D174" s="73">
        <v>42279.901582372397</v>
      </c>
      <c r="E174" s="62" t="s">
        <v>68</v>
      </c>
      <c r="F174" s="72" t="s">
        <v>208</v>
      </c>
      <c r="G174" s="75" t="s">
        <v>327</v>
      </c>
      <c r="H174" s="72" t="s">
        <v>212</v>
      </c>
      <c r="I174" s="62" t="s">
        <v>290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x14ac:dyDescent="0.35">
      <c r="A175" s="70">
        <v>46190</v>
      </c>
      <c r="B175" s="71" t="s">
        <v>67</v>
      </c>
      <c r="C175" s="73">
        <v>1140.8571428580899</v>
      </c>
      <c r="D175" s="73">
        <v>42254.785586566999</v>
      </c>
      <c r="E175" s="62" t="s">
        <v>68</v>
      </c>
      <c r="F175" s="72" t="s">
        <v>208</v>
      </c>
      <c r="G175" s="75" t="s">
        <v>327</v>
      </c>
      <c r="H175" s="72" t="s">
        <v>212</v>
      </c>
      <c r="I175" s="62" t="s">
        <v>291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x14ac:dyDescent="0.35">
      <c r="A176" s="70">
        <v>46190</v>
      </c>
      <c r="B176" s="71" t="s">
        <v>67</v>
      </c>
      <c r="C176" s="73">
        <v>1141.4857142866699</v>
      </c>
      <c r="D176" s="73">
        <v>42229.669590761601</v>
      </c>
      <c r="E176" s="62" t="s">
        <v>68</v>
      </c>
      <c r="F176" s="72" t="s">
        <v>208</v>
      </c>
      <c r="G176" s="75" t="s">
        <v>327</v>
      </c>
      <c r="H176" s="72" t="s">
        <v>212</v>
      </c>
      <c r="I176" s="62" t="s">
        <v>292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hidden="1" x14ac:dyDescent="0.35">
      <c r="A177" s="70">
        <v>46191</v>
      </c>
      <c r="B177" s="71" t="s">
        <v>67</v>
      </c>
      <c r="C177" s="73">
        <v>1142.1142857152499</v>
      </c>
      <c r="D177" s="73">
        <v>42204.553594956502</v>
      </c>
      <c r="E177" s="62" t="s">
        <v>68</v>
      </c>
      <c r="F177" s="72" t="s">
        <v>297</v>
      </c>
      <c r="G177" s="75" t="s">
        <v>296</v>
      </c>
      <c r="H177" s="72" t="s">
        <v>90</v>
      </c>
      <c r="I177" s="62" t="s">
        <v>300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hidden="1" x14ac:dyDescent="0.35">
      <c r="A178" s="70">
        <v>46191</v>
      </c>
      <c r="B178" s="71" t="s">
        <v>67</v>
      </c>
      <c r="C178" s="73">
        <v>1142.74285714383</v>
      </c>
      <c r="D178" s="73">
        <v>42179.437599151097</v>
      </c>
      <c r="E178" s="62" t="s">
        <v>68</v>
      </c>
      <c r="F178" s="72" t="s">
        <v>69</v>
      </c>
      <c r="G178" s="75" t="s">
        <v>298</v>
      </c>
      <c r="H178" s="72" t="s">
        <v>90</v>
      </c>
      <c r="I178" s="62" t="s">
        <v>300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hidden="1" x14ac:dyDescent="0.35">
      <c r="A179" s="70">
        <v>46191</v>
      </c>
      <c r="B179" s="71" t="s">
        <v>67</v>
      </c>
      <c r="C179" s="73">
        <v>1143.37142857241</v>
      </c>
      <c r="D179" s="73">
        <v>42154.321603345699</v>
      </c>
      <c r="E179" s="62" t="s">
        <v>68</v>
      </c>
      <c r="F179" s="72" t="s">
        <v>69</v>
      </c>
      <c r="G179" s="75" t="s">
        <v>299</v>
      </c>
      <c r="H179" s="72" t="s">
        <v>90</v>
      </c>
      <c r="I179" s="62" t="s">
        <v>300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hidden="1" x14ac:dyDescent="0.35">
      <c r="A180" s="70">
        <v>46191</v>
      </c>
      <c r="B180" s="71" t="s">
        <v>67</v>
      </c>
      <c r="C180" s="73">
        <v>1144.00000000099</v>
      </c>
      <c r="D180" s="73">
        <v>42129.205607540302</v>
      </c>
      <c r="E180" s="62" t="s">
        <v>68</v>
      </c>
      <c r="F180" s="72" t="s">
        <v>297</v>
      </c>
      <c r="G180" s="75" t="s">
        <v>301</v>
      </c>
      <c r="H180" s="72" t="s">
        <v>104</v>
      </c>
      <c r="I180" s="62" t="s">
        <v>305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hidden="1" x14ac:dyDescent="0.35">
      <c r="A181" s="70">
        <v>46191</v>
      </c>
      <c r="B181" s="71" t="s">
        <v>67</v>
      </c>
      <c r="C181" s="73">
        <v>1144.62857142957</v>
      </c>
      <c r="D181" s="73">
        <v>42104.089611734897</v>
      </c>
      <c r="E181" s="62" t="s">
        <v>68</v>
      </c>
      <c r="F181" s="72" t="s">
        <v>297</v>
      </c>
      <c r="G181" s="75" t="s">
        <v>302</v>
      </c>
      <c r="H181" s="72" t="s">
        <v>104</v>
      </c>
      <c r="I181" s="62" t="s">
        <v>305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hidden="1" x14ac:dyDescent="0.35">
      <c r="A182" s="70">
        <v>46191</v>
      </c>
      <c r="B182" s="71" t="s">
        <v>67</v>
      </c>
      <c r="C182" s="73">
        <v>1145.25714285815</v>
      </c>
      <c r="D182" s="73">
        <v>42078.973615929499</v>
      </c>
      <c r="E182" s="62" t="s">
        <v>68</v>
      </c>
      <c r="F182" s="72" t="s">
        <v>69</v>
      </c>
      <c r="G182" s="75" t="s">
        <v>303</v>
      </c>
      <c r="H182" s="72" t="s">
        <v>104</v>
      </c>
      <c r="I182" s="62" t="s">
        <v>305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hidden="1" x14ac:dyDescent="0.35">
      <c r="A183" s="70">
        <v>46191</v>
      </c>
      <c r="B183" s="71" t="s">
        <v>67</v>
      </c>
      <c r="C183" s="73">
        <v>1145.88571428673</v>
      </c>
      <c r="D183" s="73">
        <v>42053.857620124101</v>
      </c>
      <c r="E183" s="62" t="s">
        <v>68</v>
      </c>
      <c r="F183" s="72" t="s">
        <v>69</v>
      </c>
      <c r="G183" s="75" t="s">
        <v>304</v>
      </c>
      <c r="H183" s="72" t="s">
        <v>104</v>
      </c>
      <c r="I183" s="62" t="s">
        <v>305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hidden="1" x14ac:dyDescent="0.35">
      <c r="A184" s="70">
        <v>46191</v>
      </c>
      <c r="B184" s="71" t="s">
        <v>67</v>
      </c>
      <c r="C184" s="73">
        <v>1146.5142857153101</v>
      </c>
      <c r="D184" s="73">
        <v>42028.741624318704</v>
      </c>
      <c r="E184" s="62" t="s">
        <v>68</v>
      </c>
      <c r="F184" s="72" t="s">
        <v>69</v>
      </c>
      <c r="G184" s="75" t="s">
        <v>306</v>
      </c>
      <c r="H184" s="72" t="s">
        <v>79</v>
      </c>
      <c r="I184" s="62" t="s">
        <v>307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hidden="1" x14ac:dyDescent="0.35">
      <c r="A185" s="70">
        <v>46191</v>
      </c>
      <c r="B185" s="71" t="s">
        <v>67</v>
      </c>
      <c r="C185" s="73">
        <v>1147.1428571438901</v>
      </c>
      <c r="D185" s="73">
        <v>42003.625628513299</v>
      </c>
      <c r="E185" s="62" t="s">
        <v>68</v>
      </c>
      <c r="F185" s="72" t="s">
        <v>69</v>
      </c>
      <c r="G185" s="75" t="s">
        <v>141</v>
      </c>
      <c r="H185" s="72" t="s">
        <v>79</v>
      </c>
      <c r="I185" s="62" t="s">
        <v>307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hidden="1" x14ac:dyDescent="0.35">
      <c r="A186" s="70">
        <v>46191</v>
      </c>
      <c r="B186" s="71" t="s">
        <v>67</v>
      </c>
      <c r="C186" s="73">
        <v>1147.7714285724701</v>
      </c>
      <c r="D186" s="73">
        <v>41978.509632708003</v>
      </c>
      <c r="E186" s="62" t="s">
        <v>68</v>
      </c>
      <c r="F186" s="72" t="s">
        <v>69</v>
      </c>
      <c r="G186" s="75" t="s">
        <v>273</v>
      </c>
      <c r="H186" s="72" t="s">
        <v>79</v>
      </c>
      <c r="I186" s="62" t="s">
        <v>307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x14ac:dyDescent="0.35">
      <c r="A187" s="70">
        <v>46191</v>
      </c>
      <c r="B187" s="71" t="s">
        <v>67</v>
      </c>
      <c r="C187" s="73">
        <v>1148.4000000010501</v>
      </c>
      <c r="D187" s="73">
        <v>41953.393636902503</v>
      </c>
      <c r="E187" s="62" t="s">
        <v>68</v>
      </c>
      <c r="F187" s="72" t="s">
        <v>208</v>
      </c>
      <c r="G187" s="109" t="s">
        <v>355</v>
      </c>
      <c r="H187" s="72" t="s">
        <v>212</v>
      </c>
      <c r="I187" s="62" t="s">
        <v>308</v>
      </c>
      <c r="J187" s="102"/>
      <c r="K187" s="105">
        <v>0</v>
      </c>
      <c r="L187" s="105">
        <v>0</v>
      </c>
      <c r="M187" s="105">
        <v>40</v>
      </c>
      <c r="N187" s="8">
        <f t="shared" si="55"/>
        <v>40</v>
      </c>
      <c r="O187" s="105">
        <v>0</v>
      </c>
      <c r="P187" s="105">
        <v>0</v>
      </c>
      <c r="Q187" s="105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x14ac:dyDescent="0.35">
      <c r="A188" s="70">
        <v>46191</v>
      </c>
      <c r="B188" s="71" t="s">
        <v>67</v>
      </c>
      <c r="C188" s="73">
        <v>1149.0285714296299</v>
      </c>
      <c r="D188" s="73">
        <v>41928.277641096996</v>
      </c>
      <c r="E188" s="62" t="s">
        <v>68</v>
      </c>
      <c r="F188" s="72" t="s">
        <v>208</v>
      </c>
      <c r="G188" s="109" t="s">
        <v>355</v>
      </c>
      <c r="H188" s="72" t="s">
        <v>212</v>
      </c>
      <c r="I188" s="62" t="s">
        <v>309</v>
      </c>
      <c r="J188" s="102"/>
      <c r="K188" s="107">
        <v>40</v>
      </c>
      <c r="L188" s="107">
        <v>200</v>
      </c>
      <c r="M188" s="107">
        <v>250</v>
      </c>
      <c r="N188" s="8">
        <f t="shared" si="55"/>
        <v>490</v>
      </c>
      <c r="O188" s="105">
        <v>200</v>
      </c>
      <c r="P188" s="105">
        <v>280</v>
      </c>
      <c r="Q188" s="105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x14ac:dyDescent="0.35">
      <c r="A189" s="70">
        <v>46191</v>
      </c>
      <c r="B189" s="71" t="s">
        <v>67</v>
      </c>
      <c r="C189" s="73">
        <v>1149.6571428582099</v>
      </c>
      <c r="D189" s="73">
        <v>41903.161645291599</v>
      </c>
      <c r="E189" s="62" t="s">
        <v>68</v>
      </c>
      <c r="F189" s="72" t="s">
        <v>208</v>
      </c>
      <c r="G189" s="109" t="s">
        <v>355</v>
      </c>
      <c r="H189" s="72" t="s">
        <v>212</v>
      </c>
      <c r="I189" s="62" t="s">
        <v>310</v>
      </c>
      <c r="J189" s="102"/>
      <c r="K189" s="105">
        <v>120</v>
      </c>
      <c r="L189" s="105">
        <v>240</v>
      </c>
      <c r="M189" s="105">
        <v>100</v>
      </c>
      <c r="N189" s="8">
        <f t="shared" si="55"/>
        <v>460</v>
      </c>
      <c r="O189" s="105">
        <v>166</v>
      </c>
      <c r="P189" s="105">
        <v>280</v>
      </c>
      <c r="Q189" s="105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x14ac:dyDescent="0.35">
      <c r="A190" s="70">
        <v>46191</v>
      </c>
      <c r="B190" s="71" t="s">
        <v>67</v>
      </c>
      <c r="C190" s="73">
        <v>1150.2857142867899</v>
      </c>
      <c r="D190" s="73">
        <v>41878.045649486201</v>
      </c>
      <c r="E190" s="62" t="s">
        <v>68</v>
      </c>
      <c r="F190" s="72" t="s">
        <v>208</v>
      </c>
      <c r="G190" s="109" t="s">
        <v>355</v>
      </c>
      <c r="H190" s="72" t="s">
        <v>212</v>
      </c>
      <c r="I190" s="62" t="s">
        <v>311</v>
      </c>
      <c r="J190" s="102"/>
      <c r="K190" s="105">
        <v>80</v>
      </c>
      <c r="L190" s="105">
        <v>80</v>
      </c>
      <c r="M190" s="107">
        <v>40</v>
      </c>
      <c r="N190" s="8">
        <f t="shared" si="55"/>
        <v>200</v>
      </c>
      <c r="O190" s="105">
        <v>80</v>
      </c>
      <c r="P190" s="105">
        <v>120</v>
      </c>
      <c r="Q190" s="105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x14ac:dyDescent="0.35">
      <c r="A191" s="70">
        <v>46191</v>
      </c>
      <c r="B191" s="71" t="s">
        <v>67</v>
      </c>
      <c r="C191" s="73">
        <v>1150.9142857153699</v>
      </c>
      <c r="D191" s="73">
        <v>41852.929653680803</v>
      </c>
      <c r="E191" s="62" t="s">
        <v>68</v>
      </c>
      <c r="F191" s="72" t="s">
        <v>208</v>
      </c>
      <c r="G191" s="109" t="s">
        <v>355</v>
      </c>
      <c r="H191" s="72" t="s">
        <v>212</v>
      </c>
      <c r="I191" s="62" t="s">
        <v>312</v>
      </c>
      <c r="J191" s="102"/>
      <c r="K191" s="107">
        <v>40</v>
      </c>
      <c r="L191" s="107">
        <v>80</v>
      </c>
      <c r="M191" s="107">
        <v>120</v>
      </c>
      <c r="N191" s="8">
        <f t="shared" si="55"/>
        <v>240</v>
      </c>
      <c r="O191" s="105">
        <v>80</v>
      </c>
      <c r="P191" s="105">
        <v>80</v>
      </c>
      <c r="Q191" s="105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x14ac:dyDescent="0.35">
      <c r="A192" s="70">
        <v>46191</v>
      </c>
      <c r="B192" s="71" t="s">
        <v>67</v>
      </c>
      <c r="C192" s="73">
        <v>1151.54285714395</v>
      </c>
      <c r="D192" s="73">
        <v>41827.813657875398</v>
      </c>
      <c r="E192" s="62" t="s">
        <v>68</v>
      </c>
      <c r="F192" s="72" t="s">
        <v>208</v>
      </c>
      <c r="G192" s="75" t="s">
        <v>327</v>
      </c>
      <c r="H192" s="72" t="s">
        <v>212</v>
      </c>
      <c r="I192" s="62" t="s">
        <v>313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x14ac:dyDescent="0.35">
      <c r="A193" s="70">
        <v>46191</v>
      </c>
      <c r="B193" s="71" t="s">
        <v>67</v>
      </c>
      <c r="C193" s="73">
        <v>1152.17142857253</v>
      </c>
      <c r="D193" s="73">
        <v>41802.697662070001</v>
      </c>
      <c r="E193" s="62" t="s">
        <v>68</v>
      </c>
      <c r="F193" s="72" t="s">
        <v>208</v>
      </c>
      <c r="G193" s="75" t="s">
        <v>327</v>
      </c>
      <c r="H193" s="72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x14ac:dyDescent="0.35">
      <c r="A194" s="70">
        <v>46191</v>
      </c>
      <c r="B194" s="71" t="s">
        <v>67</v>
      </c>
      <c r="C194" s="73">
        <v>1152.80000000111</v>
      </c>
      <c r="D194" s="73">
        <v>41777.581666264603</v>
      </c>
      <c r="E194" s="62" t="s">
        <v>68</v>
      </c>
      <c r="F194" s="72" t="s">
        <v>208</v>
      </c>
      <c r="G194" s="75" t="s">
        <v>327</v>
      </c>
      <c r="H194" s="72" t="s">
        <v>212</v>
      </c>
      <c r="I194" s="62" t="s">
        <v>314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x14ac:dyDescent="0.35">
      <c r="A195" s="70">
        <v>46191</v>
      </c>
      <c r="B195" s="71" t="s">
        <v>67</v>
      </c>
      <c r="C195" s="73">
        <v>1153.42857142969</v>
      </c>
      <c r="D195" s="73">
        <v>41752.465670459198</v>
      </c>
      <c r="E195" s="62" t="s">
        <v>68</v>
      </c>
      <c r="F195" s="72" t="s">
        <v>208</v>
      </c>
      <c r="G195" s="75" t="s">
        <v>327</v>
      </c>
      <c r="H195" s="72" t="s">
        <v>212</v>
      </c>
      <c r="I195" s="62" t="s">
        <v>315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x14ac:dyDescent="0.35">
      <c r="A196" s="70">
        <v>46191</v>
      </c>
      <c r="B196" s="71" t="s">
        <v>67</v>
      </c>
      <c r="C196" s="73">
        <v>1154.05714285827</v>
      </c>
      <c r="D196" s="73">
        <v>41727.3496746538</v>
      </c>
      <c r="E196" s="62" t="s">
        <v>68</v>
      </c>
      <c r="F196" s="72" t="s">
        <v>208</v>
      </c>
      <c r="G196" s="75" t="s">
        <v>327</v>
      </c>
      <c r="H196" s="72" t="s">
        <v>212</v>
      </c>
      <c r="I196" s="62" t="s">
        <v>316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x14ac:dyDescent="0.35">
      <c r="A197" s="70">
        <v>46191</v>
      </c>
      <c r="B197" s="71" t="s">
        <v>67</v>
      </c>
      <c r="C197" s="73">
        <v>1154.68571428685</v>
      </c>
      <c r="D197" s="73">
        <v>41702.233678848403</v>
      </c>
      <c r="E197" s="62" t="s">
        <v>68</v>
      </c>
      <c r="F197" s="72" t="s">
        <v>208</v>
      </c>
      <c r="G197" s="75" t="s">
        <v>327</v>
      </c>
      <c r="H197" s="72" t="s">
        <v>212</v>
      </c>
      <c r="I197" s="62" t="s">
        <v>317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x14ac:dyDescent="0.35">
      <c r="A198" s="70">
        <v>46191</v>
      </c>
      <c r="B198" s="71" t="s">
        <v>67</v>
      </c>
      <c r="C198" s="73">
        <v>1155.3142857154301</v>
      </c>
      <c r="D198" s="73">
        <v>41677.117683042998</v>
      </c>
      <c r="E198" s="62" t="s">
        <v>68</v>
      </c>
      <c r="F198" s="72" t="s">
        <v>208</v>
      </c>
      <c r="G198" s="75" t="s">
        <v>327</v>
      </c>
      <c r="H198" s="72" t="s">
        <v>212</v>
      </c>
      <c r="I198" s="62" t="s">
        <v>318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x14ac:dyDescent="0.35">
      <c r="A199" s="70">
        <v>46191</v>
      </c>
      <c r="B199" s="71" t="s">
        <v>67</v>
      </c>
      <c r="C199" s="73">
        <v>1155.9428571440101</v>
      </c>
      <c r="D199" s="73">
        <v>41652.0016872376</v>
      </c>
      <c r="E199" s="62" t="s">
        <v>68</v>
      </c>
      <c r="F199" s="72" t="s">
        <v>208</v>
      </c>
      <c r="G199" s="75" t="s">
        <v>327</v>
      </c>
      <c r="H199" s="72" t="s">
        <v>212</v>
      </c>
      <c r="I199" s="62" t="s">
        <v>319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x14ac:dyDescent="0.35">
      <c r="A200" s="70">
        <v>46191</v>
      </c>
      <c r="B200" s="71" t="s">
        <v>67</v>
      </c>
      <c r="C200" s="73">
        <v>1156.5714285725901</v>
      </c>
      <c r="D200" s="73">
        <v>41626.885691432202</v>
      </c>
      <c r="E200" s="62" t="s">
        <v>68</v>
      </c>
      <c r="F200" s="72" t="s">
        <v>208</v>
      </c>
      <c r="G200" s="75" t="s">
        <v>327</v>
      </c>
      <c r="H200" s="72" t="s">
        <v>212</v>
      </c>
      <c r="I200" s="62" t="s">
        <v>320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x14ac:dyDescent="0.35">
      <c r="A201" s="70">
        <v>46191</v>
      </c>
      <c r="B201" s="71" t="s">
        <v>67</v>
      </c>
      <c r="C201" s="73">
        <v>1157.2000000011701</v>
      </c>
      <c r="D201" s="73">
        <v>41601.769695626797</v>
      </c>
      <c r="E201" s="62" t="s">
        <v>68</v>
      </c>
      <c r="F201" s="72" t="s">
        <v>208</v>
      </c>
      <c r="G201" s="75" t="s">
        <v>327</v>
      </c>
      <c r="H201" s="72" t="s">
        <v>212</v>
      </c>
      <c r="I201" s="62" t="s">
        <v>321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x14ac:dyDescent="0.35">
      <c r="A202" s="70">
        <v>46191</v>
      </c>
      <c r="B202" s="71" t="s">
        <v>67</v>
      </c>
      <c r="C202" s="73">
        <v>1157.8285714297499</v>
      </c>
      <c r="D202" s="73">
        <v>41576.6536998214</v>
      </c>
      <c r="E202" s="62" t="s">
        <v>68</v>
      </c>
      <c r="F202" s="72" t="s">
        <v>208</v>
      </c>
      <c r="G202" s="75" t="s">
        <v>327</v>
      </c>
      <c r="H202" s="72" t="s">
        <v>212</v>
      </c>
      <c r="I202" s="62" t="s">
        <v>322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x14ac:dyDescent="0.35">
      <c r="A203" s="70">
        <v>46191</v>
      </c>
      <c r="B203" s="71" t="s">
        <v>67</v>
      </c>
      <c r="C203" s="73">
        <v>1158.4571428583299</v>
      </c>
      <c r="D203" s="73">
        <v>41551.537704016002</v>
      </c>
      <c r="E203" s="62" t="s">
        <v>68</v>
      </c>
      <c r="F203" s="72" t="s">
        <v>208</v>
      </c>
      <c r="G203" s="75" t="s">
        <v>327</v>
      </c>
      <c r="H203" s="72" t="s">
        <v>212</v>
      </c>
      <c r="I203" s="62" t="s">
        <v>323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x14ac:dyDescent="0.35">
      <c r="A204" s="70">
        <v>46191</v>
      </c>
      <c r="B204" s="71" t="s">
        <v>67</v>
      </c>
      <c r="C204" s="73">
        <v>1159.0857142869099</v>
      </c>
      <c r="D204" s="73">
        <v>41526.421708210597</v>
      </c>
      <c r="E204" s="62" t="s">
        <v>68</v>
      </c>
      <c r="F204" s="72" t="s">
        <v>208</v>
      </c>
      <c r="G204" s="75" t="s">
        <v>327</v>
      </c>
      <c r="H204" s="72" t="s">
        <v>212</v>
      </c>
      <c r="I204" s="62" t="s">
        <v>324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x14ac:dyDescent="0.35">
      <c r="A205" s="70">
        <v>46191</v>
      </c>
      <c r="B205" s="71" t="s">
        <v>67</v>
      </c>
      <c r="C205" s="73">
        <v>1159.71428571549</v>
      </c>
      <c r="D205" s="73">
        <v>41501.305712405199</v>
      </c>
      <c r="E205" s="62" t="s">
        <v>68</v>
      </c>
      <c r="F205" s="72" t="s">
        <v>208</v>
      </c>
      <c r="G205" s="75" t="s">
        <v>327</v>
      </c>
      <c r="H205" s="72" t="s">
        <v>212</v>
      </c>
      <c r="I205" s="62" t="s">
        <v>325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0">
        <v>46191</v>
      </c>
      <c r="B206" s="71" t="s">
        <v>67</v>
      </c>
      <c r="C206" s="73">
        <v>1161</v>
      </c>
      <c r="D206" s="73">
        <v>41476.189716599802</v>
      </c>
      <c r="E206" s="62" t="s">
        <v>68</v>
      </c>
      <c r="F206" s="72" t="s">
        <v>208</v>
      </c>
      <c r="G206" s="109" t="s">
        <v>326</v>
      </c>
      <c r="H206" s="72" t="s">
        <v>212</v>
      </c>
      <c r="I206" s="62" t="s">
        <v>216</v>
      </c>
      <c r="J206" s="102"/>
      <c r="K206" s="105">
        <v>800</v>
      </c>
      <c r="L206" s="105">
        <v>1200</v>
      </c>
      <c r="M206" s="105">
        <v>2800</v>
      </c>
      <c r="N206" s="8">
        <f t="shared" si="72"/>
        <v>4800</v>
      </c>
      <c r="O206" s="105">
        <v>1800</v>
      </c>
      <c r="P206" s="105">
        <v>1200</v>
      </c>
      <c r="Q206" s="105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hidden="1" x14ac:dyDescent="0.35">
      <c r="A207" s="70">
        <v>46192</v>
      </c>
      <c r="B207" s="71" t="s">
        <v>67</v>
      </c>
      <c r="C207" s="73">
        <v>1161.4971428573899</v>
      </c>
      <c r="D207" s="73">
        <v>41451.073720794397</v>
      </c>
      <c r="E207" s="62" t="s">
        <v>68</v>
      </c>
      <c r="F207" s="72" t="s">
        <v>69</v>
      </c>
      <c r="G207" s="75" t="s">
        <v>329</v>
      </c>
      <c r="H207" s="72" t="s">
        <v>90</v>
      </c>
      <c r="I207" s="62" t="s">
        <v>330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hidden="1" x14ac:dyDescent="0.35">
      <c r="A208" s="70">
        <v>46192</v>
      </c>
      <c r="B208" s="71" t="s">
        <v>67</v>
      </c>
      <c r="C208" s="73">
        <v>1162.25714285716</v>
      </c>
      <c r="D208" s="73">
        <v>41425.957724988999</v>
      </c>
      <c r="E208" s="62" t="s">
        <v>68</v>
      </c>
      <c r="F208" s="72" t="s">
        <v>69</v>
      </c>
      <c r="G208" s="75" t="s">
        <v>328</v>
      </c>
      <c r="H208" s="72" t="s">
        <v>90</v>
      </c>
      <c r="I208" s="62" t="s">
        <v>330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hidden="1" x14ac:dyDescent="0.35">
      <c r="A209" s="70">
        <v>46192</v>
      </c>
      <c r="B209" s="71" t="s">
        <v>67</v>
      </c>
      <c r="C209" s="73">
        <v>1163.0171428569299</v>
      </c>
      <c r="D209" s="73">
        <v>41400.841729183601</v>
      </c>
      <c r="E209" s="62" t="s">
        <v>68</v>
      </c>
      <c r="F209" s="72" t="s">
        <v>297</v>
      </c>
      <c r="G209" s="75" t="s">
        <v>331</v>
      </c>
      <c r="H209" s="72" t="s">
        <v>104</v>
      </c>
      <c r="I209" s="62" t="s">
        <v>334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hidden="1" x14ac:dyDescent="0.35">
      <c r="A210" s="70">
        <v>46192</v>
      </c>
      <c r="B210" s="71" t="s">
        <v>67</v>
      </c>
      <c r="C210" s="73">
        <v>1163.77714285669</v>
      </c>
      <c r="D210" s="73">
        <v>41375.725733378204</v>
      </c>
      <c r="E210" s="62" t="s">
        <v>68</v>
      </c>
      <c r="F210" s="72" t="s">
        <v>297</v>
      </c>
      <c r="G210" s="75" t="s">
        <v>332</v>
      </c>
      <c r="H210" s="72" t="s">
        <v>104</v>
      </c>
      <c r="I210" s="62" t="s">
        <v>334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hidden="1" x14ac:dyDescent="0.35">
      <c r="A211" s="70">
        <v>46192</v>
      </c>
      <c r="B211" s="71" t="s">
        <v>67</v>
      </c>
      <c r="C211" s="73">
        <v>1164.5371428564599</v>
      </c>
      <c r="D211" s="73">
        <v>41350.609737572799</v>
      </c>
      <c r="E211" s="62" t="s">
        <v>68</v>
      </c>
      <c r="F211" s="72" t="s">
        <v>297</v>
      </c>
      <c r="G211" s="75" t="s">
        <v>333</v>
      </c>
      <c r="H211" s="72" t="s">
        <v>104</v>
      </c>
      <c r="I211" s="62" t="s">
        <v>334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hidden="1" x14ac:dyDescent="0.35">
      <c r="A212" s="70">
        <v>46192</v>
      </c>
      <c r="B212" s="71" t="s">
        <v>67</v>
      </c>
      <c r="C212" s="73">
        <v>1165.29714285622</v>
      </c>
      <c r="D212" s="73">
        <v>41325.493741767401</v>
      </c>
      <c r="E212" s="62" t="s">
        <v>68</v>
      </c>
      <c r="F212" s="72" t="s">
        <v>297</v>
      </c>
      <c r="G212" s="75" t="s">
        <v>335</v>
      </c>
      <c r="H212" s="72" t="s">
        <v>89</v>
      </c>
      <c r="I212" s="62" t="s">
        <v>337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hidden="1" x14ac:dyDescent="0.35">
      <c r="A213" s="70">
        <v>46192</v>
      </c>
      <c r="B213" s="71" t="s">
        <v>67</v>
      </c>
      <c r="C213" s="73">
        <v>1166.0571428559899</v>
      </c>
      <c r="D213" s="73">
        <v>41300.377745962003</v>
      </c>
      <c r="E213" s="62" t="s">
        <v>68</v>
      </c>
      <c r="F213" s="72" t="s">
        <v>297</v>
      </c>
      <c r="G213" s="75" t="s">
        <v>336</v>
      </c>
      <c r="H213" s="72" t="s">
        <v>89</v>
      </c>
      <c r="I213" s="62" t="s">
        <v>337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x14ac:dyDescent="0.35">
      <c r="A214" s="70">
        <v>46192</v>
      </c>
      <c r="B214" s="71" t="s">
        <v>67</v>
      </c>
      <c r="C214" s="73">
        <v>1166.8390476176201</v>
      </c>
      <c r="D214" s="73">
        <v>41275.261750156598</v>
      </c>
      <c r="E214" s="62" t="s">
        <v>68</v>
      </c>
      <c r="F214" s="72" t="s">
        <v>208</v>
      </c>
      <c r="G214" s="75" t="s">
        <v>327</v>
      </c>
      <c r="H214" s="72" t="s">
        <v>212</v>
      </c>
      <c r="I214" s="62" t="s">
        <v>338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x14ac:dyDescent="0.35">
      <c r="A215" s="70">
        <v>46192</v>
      </c>
      <c r="B215" s="71" t="s">
        <v>67</v>
      </c>
      <c r="C215" s="73">
        <v>1167.6034285697599</v>
      </c>
      <c r="D215" s="73">
        <v>41250.145754351201</v>
      </c>
      <c r="E215" s="62" t="s">
        <v>68</v>
      </c>
      <c r="F215" s="72" t="s">
        <v>208</v>
      </c>
      <c r="G215" s="75" t="s">
        <v>327</v>
      </c>
      <c r="H215" s="72" t="s">
        <v>212</v>
      </c>
      <c r="I215" s="62" t="s">
        <v>339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x14ac:dyDescent="0.35">
      <c r="A216" s="70">
        <v>46192</v>
      </c>
      <c r="B216" s="71" t="s">
        <v>67</v>
      </c>
      <c r="C216" s="73">
        <v>1168.3678095219</v>
      </c>
      <c r="D216" s="73">
        <v>41225.029758545803</v>
      </c>
      <c r="E216" s="62" t="s">
        <v>68</v>
      </c>
      <c r="F216" s="72" t="s">
        <v>208</v>
      </c>
      <c r="G216" s="75" t="s">
        <v>327</v>
      </c>
      <c r="H216" s="72" t="s">
        <v>212</v>
      </c>
      <c r="I216" s="62" t="s">
        <v>340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x14ac:dyDescent="0.35">
      <c r="A217" s="70">
        <v>46192</v>
      </c>
      <c r="B217" s="71" t="s">
        <v>67</v>
      </c>
      <c r="C217" s="73">
        <v>1169.13219047404</v>
      </c>
      <c r="D217" s="73">
        <v>41199.913762740398</v>
      </c>
      <c r="E217" s="62" t="s">
        <v>68</v>
      </c>
      <c r="F217" s="72" t="s">
        <v>208</v>
      </c>
      <c r="G217" s="75" t="s">
        <v>327</v>
      </c>
      <c r="H217" s="72" t="s">
        <v>212</v>
      </c>
      <c r="I217" s="62" t="s">
        <v>341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x14ac:dyDescent="0.35">
      <c r="A218" s="70">
        <v>46192</v>
      </c>
      <c r="B218" s="71" t="s">
        <v>67</v>
      </c>
      <c r="C218" s="73">
        <v>1169.8965714261799</v>
      </c>
      <c r="D218" s="73">
        <v>41174.797766935</v>
      </c>
      <c r="E218" s="62" t="s">
        <v>68</v>
      </c>
      <c r="F218" s="72" t="s">
        <v>208</v>
      </c>
      <c r="G218" s="75" t="s">
        <v>327</v>
      </c>
      <c r="H218" s="72" t="s">
        <v>212</v>
      </c>
      <c r="I218" s="62" t="s">
        <v>342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x14ac:dyDescent="0.35">
      <c r="A219" s="70">
        <v>46192</v>
      </c>
      <c r="B219" s="71" t="s">
        <v>67</v>
      </c>
      <c r="C219" s="73">
        <v>1170.66095237831</v>
      </c>
      <c r="D219" s="73">
        <v>41149.681771129603</v>
      </c>
      <c r="E219" s="62" t="s">
        <v>68</v>
      </c>
      <c r="F219" s="72" t="s">
        <v>208</v>
      </c>
      <c r="G219" s="75" t="s">
        <v>327</v>
      </c>
      <c r="H219" s="72" t="s">
        <v>212</v>
      </c>
      <c r="I219" s="62" t="s">
        <v>343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x14ac:dyDescent="0.35">
      <c r="A220" s="70">
        <v>46192</v>
      </c>
      <c r="B220" s="71" t="s">
        <v>67</v>
      </c>
      <c r="C220" s="73">
        <v>1171.42533333045</v>
      </c>
      <c r="D220" s="73">
        <v>41124.565775324198</v>
      </c>
      <c r="E220" s="62" t="s">
        <v>68</v>
      </c>
      <c r="F220" s="72" t="s">
        <v>208</v>
      </c>
      <c r="G220" s="75" t="s">
        <v>327</v>
      </c>
      <c r="H220" s="72" t="s">
        <v>212</v>
      </c>
      <c r="I220" s="62" t="s">
        <v>344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x14ac:dyDescent="0.35">
      <c r="A221" s="70">
        <v>46192</v>
      </c>
      <c r="B221" s="71" t="s">
        <v>67</v>
      </c>
      <c r="C221" s="73">
        <v>1172.1897142825901</v>
      </c>
      <c r="D221" s="73">
        <v>41099.4497795188</v>
      </c>
      <c r="E221" s="62" t="s">
        <v>68</v>
      </c>
      <c r="F221" s="72" t="s">
        <v>208</v>
      </c>
      <c r="G221" s="75" t="s">
        <v>327</v>
      </c>
      <c r="H221" s="72" t="s">
        <v>212</v>
      </c>
      <c r="I221" s="62" t="s">
        <v>345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x14ac:dyDescent="0.35">
      <c r="A222" s="70">
        <v>46192</v>
      </c>
      <c r="B222" s="71" t="s">
        <v>67</v>
      </c>
      <c r="C222" s="73">
        <v>1173.71847618687</v>
      </c>
      <c r="D222" s="73">
        <v>41049.217787907997</v>
      </c>
      <c r="E222" s="62" t="s">
        <v>68</v>
      </c>
      <c r="F222" s="72" t="s">
        <v>208</v>
      </c>
      <c r="G222" s="75" t="s">
        <v>327</v>
      </c>
      <c r="H222" s="72" t="s">
        <v>212</v>
      </c>
      <c r="I222" s="62" t="s">
        <v>346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x14ac:dyDescent="0.35">
      <c r="A223" s="70">
        <v>46192</v>
      </c>
      <c r="B223" s="71" t="s">
        <v>67</v>
      </c>
      <c r="C223" s="73">
        <v>1174.4828571390101</v>
      </c>
      <c r="D223" s="73">
        <v>41024.1017921026</v>
      </c>
      <c r="E223" s="62" t="s">
        <v>68</v>
      </c>
      <c r="F223" s="72" t="s">
        <v>208</v>
      </c>
      <c r="G223" s="75" t="s">
        <v>327</v>
      </c>
      <c r="H223" s="72" t="s">
        <v>212</v>
      </c>
      <c r="I223" s="62" t="s">
        <v>347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x14ac:dyDescent="0.35">
      <c r="A224" s="70">
        <v>46192</v>
      </c>
      <c r="B224" s="71" t="s">
        <v>67</v>
      </c>
      <c r="C224" s="73">
        <v>1175.2472380911499</v>
      </c>
      <c r="D224" s="73">
        <v>40998.985796297202</v>
      </c>
      <c r="E224" s="62" t="s">
        <v>68</v>
      </c>
      <c r="F224" s="72" t="s">
        <v>208</v>
      </c>
      <c r="G224" s="75" t="s">
        <v>327</v>
      </c>
      <c r="H224" s="72" t="s">
        <v>212</v>
      </c>
      <c r="I224" s="62" t="s">
        <v>348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x14ac:dyDescent="0.35">
      <c r="A225" s="70">
        <v>46192</v>
      </c>
      <c r="B225" s="71" t="s">
        <v>67</v>
      </c>
      <c r="C225" s="73">
        <v>1176.01161904329</v>
      </c>
      <c r="D225" s="73">
        <v>40973.869800491797</v>
      </c>
      <c r="E225" s="62" t="s">
        <v>68</v>
      </c>
      <c r="F225" s="72" t="s">
        <v>208</v>
      </c>
      <c r="G225" s="75" t="s">
        <v>327</v>
      </c>
      <c r="H225" s="72" t="s">
        <v>212</v>
      </c>
      <c r="I225" s="62" t="s">
        <v>310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x14ac:dyDescent="0.35">
      <c r="A226" s="70">
        <v>46192</v>
      </c>
      <c r="B226" s="71" t="s">
        <v>67</v>
      </c>
      <c r="C226" s="73">
        <v>1176.7759999954201</v>
      </c>
      <c r="D226" s="73">
        <v>40948.753804686399</v>
      </c>
      <c r="E226" s="62" t="s">
        <v>68</v>
      </c>
      <c r="F226" s="72" t="s">
        <v>208</v>
      </c>
      <c r="G226" s="75" t="s">
        <v>327</v>
      </c>
      <c r="H226" s="72" t="s">
        <v>212</v>
      </c>
      <c r="I226" s="62" t="s">
        <v>349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x14ac:dyDescent="0.35">
      <c r="A227" s="70">
        <v>46192</v>
      </c>
      <c r="B227" s="71" t="s">
        <v>67</v>
      </c>
      <c r="C227" s="73">
        <v>1176.7759999954201</v>
      </c>
      <c r="D227" s="73">
        <v>40948.753804686399</v>
      </c>
      <c r="E227" s="62" t="s">
        <v>68</v>
      </c>
      <c r="F227" s="72" t="s">
        <v>208</v>
      </c>
      <c r="G227" s="109" t="s">
        <v>350</v>
      </c>
      <c r="H227" s="72" t="s">
        <v>212</v>
      </c>
      <c r="I227" s="62" t="s">
        <v>337</v>
      </c>
      <c r="J227" s="102"/>
      <c r="K227" s="107">
        <v>80</v>
      </c>
      <c r="L227" s="107">
        <v>0</v>
      </c>
      <c r="M227" s="107">
        <v>50</v>
      </c>
      <c r="N227" s="8">
        <f t="shared" si="72"/>
        <v>130</v>
      </c>
      <c r="O227" s="105">
        <v>120</v>
      </c>
      <c r="P227" s="105">
        <v>0</v>
      </c>
      <c r="Q227" s="105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x14ac:dyDescent="0.35">
      <c r="A228" s="70">
        <v>46192</v>
      </c>
      <c r="B228" s="71" t="s">
        <v>67</v>
      </c>
      <c r="C228" s="73">
        <v>1176.7759999954201</v>
      </c>
      <c r="D228" s="73">
        <v>40948.753804686399</v>
      </c>
      <c r="E228" s="62" t="s">
        <v>68</v>
      </c>
      <c r="F228" s="72" t="s">
        <v>208</v>
      </c>
      <c r="G228" s="109" t="s">
        <v>351</v>
      </c>
      <c r="H228" s="72" t="s">
        <v>212</v>
      </c>
      <c r="I228" s="62" t="s">
        <v>337</v>
      </c>
      <c r="J228" s="102"/>
      <c r="K228" s="107">
        <v>80</v>
      </c>
      <c r="L228" s="107">
        <v>80</v>
      </c>
      <c r="M228" s="107">
        <v>50</v>
      </c>
      <c r="N228" s="8">
        <f t="shared" si="72"/>
        <v>210</v>
      </c>
      <c r="O228" s="107">
        <v>120</v>
      </c>
      <c r="P228" s="105">
        <v>120</v>
      </c>
      <c r="Q228" s="107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hidden="1" x14ac:dyDescent="0.35">
      <c r="A229" s="70">
        <v>46193</v>
      </c>
      <c r="B229" s="71" t="s">
        <v>67</v>
      </c>
      <c r="C229" s="73">
        <v>1176.7759999954201</v>
      </c>
      <c r="D229" s="73">
        <v>40948.753804686399</v>
      </c>
      <c r="E229" s="62" t="s">
        <v>68</v>
      </c>
      <c r="F229" s="19" t="s">
        <v>69</v>
      </c>
      <c r="G229" s="19" t="s">
        <v>366</v>
      </c>
      <c r="H229" s="100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hidden="1" x14ac:dyDescent="0.35">
      <c r="A230" s="70">
        <v>46193</v>
      </c>
      <c r="B230" s="71" t="s">
        <v>67</v>
      </c>
      <c r="C230" s="73">
        <v>1176.7759999954201</v>
      </c>
      <c r="D230" s="73">
        <v>40948.753804686399</v>
      </c>
      <c r="E230" s="62" t="s">
        <v>68</v>
      </c>
      <c r="F230" s="19" t="s">
        <v>69</v>
      </c>
      <c r="G230" s="19" t="s">
        <v>150</v>
      </c>
      <c r="H230" s="100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hidden="1" x14ac:dyDescent="0.35">
      <c r="A231" s="70">
        <v>46193</v>
      </c>
      <c r="B231" s="71" t="s">
        <v>67</v>
      </c>
      <c r="C231" s="73">
        <v>1176.7759999954201</v>
      </c>
      <c r="D231" s="73">
        <v>40948.753804686399</v>
      </c>
      <c r="E231" s="62" t="s">
        <v>68</v>
      </c>
      <c r="F231" s="19" t="s">
        <v>297</v>
      </c>
      <c r="G231" s="19" t="s">
        <v>367</v>
      </c>
      <c r="H231" s="100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hidden="1" x14ac:dyDescent="0.35">
      <c r="A232" s="70">
        <v>46193</v>
      </c>
      <c r="B232" s="71" t="s">
        <v>67</v>
      </c>
      <c r="C232" s="73">
        <v>1176.7759999954201</v>
      </c>
      <c r="D232" s="73">
        <v>40948.753804686399</v>
      </c>
      <c r="E232" s="62" t="s">
        <v>68</v>
      </c>
      <c r="F232" s="19" t="s">
        <v>69</v>
      </c>
      <c r="G232" s="19" t="s">
        <v>304</v>
      </c>
      <c r="H232" s="100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hidden="1" x14ac:dyDescent="0.35">
      <c r="A233" s="70">
        <v>46193</v>
      </c>
      <c r="B233" s="71" t="s">
        <v>67</v>
      </c>
      <c r="C233" s="73">
        <v>1176.7759999954201</v>
      </c>
      <c r="D233" s="73">
        <v>40948.753804686399</v>
      </c>
      <c r="E233" s="62" t="s">
        <v>68</v>
      </c>
      <c r="F233" s="19" t="s">
        <v>69</v>
      </c>
      <c r="G233" s="19" t="s">
        <v>368</v>
      </c>
      <c r="H233" s="100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hidden="1" x14ac:dyDescent="0.35">
      <c r="A234" s="70">
        <v>46193</v>
      </c>
      <c r="B234" s="71" t="s">
        <v>67</v>
      </c>
      <c r="C234" s="73">
        <v>1176.7759999954201</v>
      </c>
      <c r="D234" s="73">
        <v>40948.753804686399</v>
      </c>
      <c r="E234" s="62" t="s">
        <v>68</v>
      </c>
      <c r="F234" s="19" t="s">
        <v>69</v>
      </c>
      <c r="G234" s="19" t="s">
        <v>369</v>
      </c>
      <c r="H234" s="100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hidden="1" x14ac:dyDescent="0.35">
      <c r="A235" s="70">
        <v>46193</v>
      </c>
      <c r="B235" s="71" t="s">
        <v>67</v>
      </c>
      <c r="C235" s="73">
        <v>1176.7759999954201</v>
      </c>
      <c r="D235" s="73">
        <v>40948.753804686399</v>
      </c>
      <c r="E235" s="62" t="s">
        <v>68</v>
      </c>
      <c r="F235" s="19" t="s">
        <v>69</v>
      </c>
      <c r="G235" s="19" t="s">
        <v>370</v>
      </c>
      <c r="H235" s="100" t="s">
        <v>90</v>
      </c>
      <c r="I235" s="7" t="s">
        <v>315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hidden="1" x14ac:dyDescent="0.35">
      <c r="A236" s="70">
        <v>46193</v>
      </c>
      <c r="B236" s="71" t="s">
        <v>67</v>
      </c>
      <c r="C236" s="73">
        <v>1176.7759999954201</v>
      </c>
      <c r="D236" s="73">
        <v>40948.753804686399</v>
      </c>
      <c r="E236" s="62" t="s">
        <v>68</v>
      </c>
      <c r="F236" s="19" t="s">
        <v>69</v>
      </c>
      <c r="G236" s="19" t="s">
        <v>371</v>
      </c>
      <c r="H236" s="100" t="s">
        <v>90</v>
      </c>
      <c r="I236" s="7" t="s">
        <v>315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hidden="1" x14ac:dyDescent="0.35">
      <c r="A237" s="70">
        <v>46193</v>
      </c>
      <c r="B237" s="71" t="s">
        <v>67</v>
      </c>
      <c r="C237" s="73">
        <v>1176.7759999954201</v>
      </c>
      <c r="D237" s="73">
        <v>40948.753804686399</v>
      </c>
      <c r="E237" s="62" t="s">
        <v>68</v>
      </c>
      <c r="F237" s="19" t="s">
        <v>69</v>
      </c>
      <c r="G237" s="19" t="s">
        <v>372</v>
      </c>
      <c r="H237" s="100" t="s">
        <v>90</v>
      </c>
      <c r="I237" s="7" t="s">
        <v>315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hidden="1" x14ac:dyDescent="0.35">
      <c r="A238" s="70">
        <v>46193</v>
      </c>
      <c r="B238" s="71" t="s">
        <v>67</v>
      </c>
      <c r="C238" s="73">
        <v>1176.7759999954201</v>
      </c>
      <c r="D238" s="73">
        <v>40948.753804686399</v>
      </c>
      <c r="E238" s="62" t="s">
        <v>68</v>
      </c>
      <c r="F238" s="19" t="s">
        <v>69</v>
      </c>
      <c r="G238" s="19" t="s">
        <v>373</v>
      </c>
      <c r="H238" s="100" t="s">
        <v>90</v>
      </c>
      <c r="I238" s="7" t="s">
        <v>315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hidden="1" x14ac:dyDescent="0.35">
      <c r="A239" s="70">
        <v>46193</v>
      </c>
      <c r="B239" s="71" t="s">
        <v>67</v>
      </c>
      <c r="C239" s="73">
        <v>1176.7759999954201</v>
      </c>
      <c r="D239" s="73">
        <v>40948.753804686399</v>
      </c>
      <c r="E239" s="62" t="s">
        <v>68</v>
      </c>
      <c r="F239" s="19" t="s">
        <v>69</v>
      </c>
      <c r="G239" s="19" t="s">
        <v>131</v>
      </c>
      <c r="H239" s="100" t="s">
        <v>104</v>
      </c>
      <c r="I239" s="7" t="s">
        <v>375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hidden="1" x14ac:dyDescent="0.35">
      <c r="A240" s="70">
        <v>46193</v>
      </c>
      <c r="B240" s="71" t="s">
        <v>67</v>
      </c>
      <c r="C240" s="73">
        <v>1176.7759999954201</v>
      </c>
      <c r="D240" s="73">
        <v>40948.753804686399</v>
      </c>
      <c r="E240" s="62" t="s">
        <v>68</v>
      </c>
      <c r="F240" s="19" t="s">
        <v>69</v>
      </c>
      <c r="G240" s="19" t="s">
        <v>374</v>
      </c>
      <c r="H240" s="100" t="s">
        <v>104</v>
      </c>
      <c r="I240" s="7" t="s">
        <v>375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hidden="1" x14ac:dyDescent="0.35">
      <c r="A241" s="70">
        <v>46193</v>
      </c>
      <c r="B241" s="71" t="s">
        <v>67</v>
      </c>
      <c r="C241" s="73">
        <v>1176.7759999954201</v>
      </c>
      <c r="D241" s="73">
        <v>40948.753804686399</v>
      </c>
      <c r="E241" s="62" t="s">
        <v>68</v>
      </c>
      <c r="F241" s="19" t="s">
        <v>69</v>
      </c>
      <c r="G241" s="19" t="s">
        <v>376</v>
      </c>
      <c r="H241" s="100" t="s">
        <v>79</v>
      </c>
      <c r="I241" s="7" t="s">
        <v>246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hidden="1" x14ac:dyDescent="0.35">
      <c r="A242" s="70">
        <v>46193</v>
      </c>
      <c r="B242" s="71" t="s">
        <v>67</v>
      </c>
      <c r="C242" s="73">
        <v>1176.7759999954201</v>
      </c>
      <c r="D242" s="73">
        <v>40948.753804686399</v>
      </c>
      <c r="E242" s="62" t="s">
        <v>68</v>
      </c>
      <c r="F242" s="19" t="s">
        <v>69</v>
      </c>
      <c r="G242" s="19" t="s">
        <v>377</v>
      </c>
      <c r="H242" s="100" t="s">
        <v>79</v>
      </c>
      <c r="I242" s="7" t="s">
        <v>246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hidden="1" x14ac:dyDescent="0.35">
      <c r="A243" s="70">
        <v>46193</v>
      </c>
      <c r="B243" s="71" t="s">
        <v>67</v>
      </c>
      <c r="C243" s="73">
        <v>1176.7759999954201</v>
      </c>
      <c r="D243" s="73">
        <v>40948.753804686399</v>
      </c>
      <c r="E243" s="62" t="s">
        <v>68</v>
      </c>
      <c r="F243" s="19" t="s">
        <v>69</v>
      </c>
      <c r="G243" s="19" t="s">
        <v>378</v>
      </c>
      <c r="H243" s="100" t="s">
        <v>79</v>
      </c>
      <c r="I243" s="7" t="s">
        <v>246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hidden="1" x14ac:dyDescent="0.35">
      <c r="A244" s="70">
        <v>46193</v>
      </c>
      <c r="B244" s="71" t="s">
        <v>67</v>
      </c>
      <c r="C244" s="73">
        <v>1176.7759999954201</v>
      </c>
      <c r="D244" s="73">
        <v>40948.753804686399</v>
      </c>
      <c r="E244" s="62" t="s">
        <v>68</v>
      </c>
      <c r="F244" s="19" t="s">
        <v>69</v>
      </c>
      <c r="G244" s="19" t="s">
        <v>379</v>
      </c>
      <c r="H244" s="100" t="s">
        <v>79</v>
      </c>
      <c r="I244" s="7" t="s">
        <v>246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hidden="1" x14ac:dyDescent="0.35">
      <c r="A245" s="70">
        <v>46193</v>
      </c>
      <c r="B245" s="71" t="s">
        <v>67</v>
      </c>
      <c r="C245" s="73">
        <v>1176.7759999954201</v>
      </c>
      <c r="D245" s="73">
        <v>40948.753804686399</v>
      </c>
      <c r="E245" s="62" t="s">
        <v>68</v>
      </c>
      <c r="F245" s="19" t="s">
        <v>69</v>
      </c>
      <c r="G245" s="19" t="s">
        <v>380</v>
      </c>
      <c r="H245" s="100" t="s">
        <v>79</v>
      </c>
      <c r="I245" s="7" t="s">
        <v>246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hidden="1" x14ac:dyDescent="0.35">
      <c r="A246" s="70">
        <v>46193</v>
      </c>
      <c r="B246" s="71" t="s">
        <v>67</v>
      </c>
      <c r="C246" s="73">
        <v>1176.7759999954201</v>
      </c>
      <c r="D246" s="73">
        <v>40948.753804686399</v>
      </c>
      <c r="E246" s="62" t="s">
        <v>68</v>
      </c>
      <c r="F246" s="19" t="s">
        <v>69</v>
      </c>
      <c r="G246" s="19" t="s">
        <v>382</v>
      </c>
      <c r="H246" s="100" t="s">
        <v>381</v>
      </c>
      <c r="I246" s="6" t="s">
        <v>386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hidden="1" x14ac:dyDescent="0.35">
      <c r="A247" s="70">
        <v>46193</v>
      </c>
      <c r="B247" s="71" t="s">
        <v>67</v>
      </c>
      <c r="C247" s="73">
        <v>1176.7759999954201</v>
      </c>
      <c r="D247" s="73">
        <v>40948.753804686399</v>
      </c>
      <c r="E247" s="62" t="s">
        <v>68</v>
      </c>
      <c r="F247" s="19" t="s">
        <v>69</v>
      </c>
      <c r="G247" s="19" t="s">
        <v>383</v>
      </c>
      <c r="H247" s="100" t="s">
        <v>381</v>
      </c>
      <c r="I247" s="6" t="s">
        <v>386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hidden="1" x14ac:dyDescent="0.35">
      <c r="A248" s="70">
        <v>46193</v>
      </c>
      <c r="B248" s="71" t="s">
        <v>67</v>
      </c>
      <c r="C248" s="73">
        <v>1176.7759999954201</v>
      </c>
      <c r="D248" s="73">
        <v>40948.753804686399</v>
      </c>
      <c r="E248" s="62" t="s">
        <v>68</v>
      </c>
      <c r="F248" s="19" t="s">
        <v>69</v>
      </c>
      <c r="G248" s="19" t="s">
        <v>384</v>
      </c>
      <c r="H248" s="100" t="s">
        <v>381</v>
      </c>
      <c r="I248" s="6" t="s">
        <v>386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hidden="1" x14ac:dyDescent="0.35">
      <c r="A249" s="70">
        <v>46193</v>
      </c>
      <c r="B249" s="71" t="s">
        <v>67</v>
      </c>
      <c r="C249" s="73">
        <v>1176.7759999954201</v>
      </c>
      <c r="D249" s="73">
        <v>40948.753804686399</v>
      </c>
      <c r="E249" s="62" t="s">
        <v>68</v>
      </c>
      <c r="F249" s="19" t="s">
        <v>69</v>
      </c>
      <c r="G249" s="19" t="s">
        <v>385</v>
      </c>
      <c r="H249" s="100" t="s">
        <v>381</v>
      </c>
      <c r="I249" s="6" t="s">
        <v>386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x14ac:dyDescent="0.35">
      <c r="A250" s="70">
        <v>46193</v>
      </c>
      <c r="B250" s="71" t="s">
        <v>67</v>
      </c>
      <c r="C250" s="73">
        <v>1176.7759999954201</v>
      </c>
      <c r="D250" s="73">
        <v>40948.753804686399</v>
      </c>
      <c r="E250" s="62" t="s">
        <v>68</v>
      </c>
      <c r="F250" s="19" t="s">
        <v>208</v>
      </c>
      <c r="G250" s="110" t="s">
        <v>387</v>
      </c>
      <c r="H250" s="100" t="s">
        <v>212</v>
      </c>
      <c r="I250" s="6" t="s">
        <v>554</v>
      </c>
      <c r="J250" s="102"/>
      <c r="K250" s="105">
        <v>314</v>
      </c>
      <c r="L250" s="105">
        <v>353</v>
      </c>
      <c r="M250" s="105">
        <v>388</v>
      </c>
      <c r="N250" s="8">
        <f t="shared" si="72"/>
        <v>1055</v>
      </c>
      <c r="O250" s="105">
        <v>350</v>
      </c>
      <c r="P250" s="105">
        <v>311</v>
      </c>
      <c r="Q250" s="105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x14ac:dyDescent="0.35">
      <c r="A251" s="70">
        <v>46193</v>
      </c>
      <c r="B251" s="71" t="s">
        <v>67</v>
      </c>
      <c r="C251" s="73">
        <v>1176.7759999954201</v>
      </c>
      <c r="D251" s="73">
        <v>40948.753804686399</v>
      </c>
      <c r="E251" s="62" t="s">
        <v>68</v>
      </c>
      <c r="F251" s="19" t="s">
        <v>208</v>
      </c>
      <c r="G251" s="110" t="s">
        <v>388</v>
      </c>
      <c r="H251" s="100" t="s">
        <v>212</v>
      </c>
      <c r="I251" s="6" t="s">
        <v>555</v>
      </c>
      <c r="J251" s="102">
        <v>40</v>
      </c>
      <c r="K251" s="105">
        <v>40</v>
      </c>
      <c r="L251" s="105">
        <v>0</v>
      </c>
      <c r="M251" s="105">
        <v>120</v>
      </c>
      <c r="N251" s="8">
        <f t="shared" si="72"/>
        <v>160</v>
      </c>
      <c r="O251" s="105">
        <v>200</v>
      </c>
      <c r="P251" s="105">
        <v>0</v>
      </c>
      <c r="Q251" s="105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hidden="1" x14ac:dyDescent="0.35">
      <c r="A252" s="70">
        <v>46195</v>
      </c>
      <c r="B252" s="71" t="s">
        <v>67</v>
      </c>
      <c r="C252" s="73">
        <v>1176.7759999954201</v>
      </c>
      <c r="D252" s="73">
        <v>40948.753804686399</v>
      </c>
      <c r="E252" s="62" t="s">
        <v>68</v>
      </c>
      <c r="F252" s="19" t="s">
        <v>69</v>
      </c>
      <c r="G252" s="19" t="s">
        <v>390</v>
      </c>
      <c r="H252" s="100" t="s">
        <v>90</v>
      </c>
      <c r="I252" s="6" t="s">
        <v>314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hidden="1" x14ac:dyDescent="0.35">
      <c r="A253" s="70">
        <v>46195</v>
      </c>
      <c r="B253" s="71" t="s">
        <v>67</v>
      </c>
      <c r="C253" s="73">
        <v>1176.7759999954201</v>
      </c>
      <c r="D253" s="73">
        <v>40948.753804686399</v>
      </c>
      <c r="E253" s="62" t="s">
        <v>68</v>
      </c>
      <c r="F253" s="19" t="s">
        <v>69</v>
      </c>
      <c r="G253" s="19" t="s">
        <v>183</v>
      </c>
      <c r="H253" s="100" t="s">
        <v>90</v>
      </c>
      <c r="I253" s="6" t="s">
        <v>314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x14ac:dyDescent="0.35">
      <c r="A254" s="70">
        <v>46195</v>
      </c>
      <c r="B254" s="71" t="s">
        <v>67</v>
      </c>
      <c r="C254" s="73">
        <v>1176.7759999954201</v>
      </c>
      <c r="D254" s="73">
        <v>40948.753804686399</v>
      </c>
      <c r="E254" s="62" t="s">
        <v>68</v>
      </c>
      <c r="F254" s="19" t="s">
        <v>208</v>
      </c>
      <c r="G254" s="110" t="s">
        <v>141</v>
      </c>
      <c r="H254" s="100" t="s">
        <v>212</v>
      </c>
      <c r="I254" s="6" t="s">
        <v>389</v>
      </c>
      <c r="J254" s="102"/>
      <c r="K254" s="105">
        <v>120</v>
      </c>
      <c r="L254" s="105">
        <v>120</v>
      </c>
      <c r="M254" s="105">
        <v>50</v>
      </c>
      <c r="N254" s="8">
        <f t="shared" si="72"/>
        <v>290</v>
      </c>
      <c r="O254" s="105">
        <v>120</v>
      </c>
      <c r="P254" s="105">
        <v>80</v>
      </c>
      <c r="Q254" s="105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hidden="1" x14ac:dyDescent="0.35">
      <c r="A255" s="70">
        <v>46195</v>
      </c>
      <c r="B255" s="71" t="s">
        <v>67</v>
      </c>
      <c r="C255" s="73">
        <v>1176.7759999954201</v>
      </c>
      <c r="D255" s="73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391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hidden="1" x14ac:dyDescent="0.35">
      <c r="A256" s="70">
        <v>46195</v>
      </c>
      <c r="B256" s="71" t="s">
        <v>67</v>
      </c>
      <c r="C256" s="73">
        <v>1176.7759999954201</v>
      </c>
      <c r="D256" s="73">
        <v>40948.753804686399</v>
      </c>
      <c r="E256" s="62" t="s">
        <v>68</v>
      </c>
      <c r="F256" s="19" t="s">
        <v>69</v>
      </c>
      <c r="G256" s="19" t="s">
        <v>392</v>
      </c>
      <c r="H256" s="19" t="s">
        <v>104</v>
      </c>
      <c r="I256" s="6" t="s">
        <v>391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hidden="1" x14ac:dyDescent="0.35">
      <c r="A257" s="70">
        <v>46195</v>
      </c>
      <c r="B257" s="71" t="s">
        <v>67</v>
      </c>
      <c r="C257" s="73">
        <v>1176.7759999954201</v>
      </c>
      <c r="D257" s="73">
        <v>40948.753804686399</v>
      </c>
      <c r="E257" s="62" t="s">
        <v>68</v>
      </c>
      <c r="F257" s="19" t="s">
        <v>69</v>
      </c>
      <c r="G257" s="19" t="s">
        <v>393</v>
      </c>
      <c r="H257" s="19" t="s">
        <v>104</v>
      </c>
      <c r="I257" s="6" t="s">
        <v>391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hidden="1" x14ac:dyDescent="0.35">
      <c r="A258" s="70">
        <v>46195</v>
      </c>
      <c r="B258" s="71" t="s">
        <v>67</v>
      </c>
      <c r="C258" s="73">
        <v>1176.7759999954201</v>
      </c>
      <c r="D258" s="73">
        <v>40948.753804686399</v>
      </c>
      <c r="E258" s="62" t="s">
        <v>68</v>
      </c>
      <c r="F258" s="19" t="s">
        <v>69</v>
      </c>
      <c r="G258" s="19" t="s">
        <v>394</v>
      </c>
      <c r="H258" s="19" t="s">
        <v>104</v>
      </c>
      <c r="I258" s="6" t="s">
        <v>391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hidden="1" x14ac:dyDescent="0.35">
      <c r="A259" s="70">
        <v>46195</v>
      </c>
      <c r="B259" s="71" t="s">
        <v>67</v>
      </c>
      <c r="C259" s="73">
        <v>1176.7759999954201</v>
      </c>
      <c r="D259" s="73">
        <v>40948.753804686399</v>
      </c>
      <c r="E259" s="62" t="s">
        <v>68</v>
      </c>
      <c r="F259" s="19" t="s">
        <v>69</v>
      </c>
      <c r="G259" s="19" t="s">
        <v>395</v>
      </c>
      <c r="H259" s="19" t="s">
        <v>104</v>
      </c>
      <c r="I259" s="6" t="s">
        <v>391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hidden="1" x14ac:dyDescent="0.35">
      <c r="A260" s="70">
        <v>46195</v>
      </c>
      <c r="B260" s="71" t="s">
        <v>67</v>
      </c>
      <c r="C260" s="73">
        <v>1176.7759999954201</v>
      </c>
      <c r="D260" s="73">
        <v>40948.753804686399</v>
      </c>
      <c r="E260" s="62" t="s">
        <v>68</v>
      </c>
      <c r="F260" s="19" t="s">
        <v>69</v>
      </c>
      <c r="G260" s="19" t="s">
        <v>396</v>
      </c>
      <c r="H260" s="19" t="s">
        <v>104</v>
      </c>
      <c r="I260" s="6" t="s">
        <v>391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hidden="1" x14ac:dyDescent="0.35">
      <c r="A261" s="70">
        <v>46195</v>
      </c>
      <c r="B261" s="71" t="s">
        <v>67</v>
      </c>
      <c r="C261" s="73">
        <v>1176.7759999954201</v>
      </c>
      <c r="D261" s="73">
        <v>40948.753804686399</v>
      </c>
      <c r="E261" s="62" t="s">
        <v>68</v>
      </c>
      <c r="F261" s="19" t="s">
        <v>69</v>
      </c>
      <c r="G261" s="19" t="s">
        <v>397</v>
      </c>
      <c r="H261" s="19" t="s">
        <v>104</v>
      </c>
      <c r="I261" s="6" t="s">
        <v>391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hidden="1" x14ac:dyDescent="0.35">
      <c r="A262" s="70">
        <v>46195</v>
      </c>
      <c r="B262" s="71" t="s">
        <v>67</v>
      </c>
      <c r="C262" s="73">
        <v>1176.7759999954201</v>
      </c>
      <c r="D262" s="73">
        <v>40948.753804686399</v>
      </c>
      <c r="E262" s="62" t="s">
        <v>68</v>
      </c>
      <c r="F262" s="19" t="s">
        <v>69</v>
      </c>
      <c r="G262" s="19" t="s">
        <v>398</v>
      </c>
      <c r="H262" s="19" t="s">
        <v>104</v>
      </c>
      <c r="I262" s="6" t="s">
        <v>391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hidden="1" x14ac:dyDescent="0.35">
      <c r="A263" s="70">
        <v>46195</v>
      </c>
      <c r="B263" s="71" t="s">
        <v>67</v>
      </c>
      <c r="C263" s="73">
        <v>1176.7759999954201</v>
      </c>
      <c r="D263" s="73">
        <v>40948.753804686399</v>
      </c>
      <c r="E263" s="62" t="s">
        <v>68</v>
      </c>
      <c r="F263" s="19" t="s">
        <v>69</v>
      </c>
      <c r="G263" s="19" t="s">
        <v>399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hidden="1" x14ac:dyDescent="0.35">
      <c r="A264" s="70">
        <v>46195</v>
      </c>
      <c r="B264" s="71" t="s">
        <v>67</v>
      </c>
      <c r="C264" s="73">
        <v>1176.7759999954201</v>
      </c>
      <c r="D264" s="73">
        <v>40948.753804686399</v>
      </c>
      <c r="E264" s="62" t="s">
        <v>68</v>
      </c>
      <c r="F264" s="19" t="s">
        <v>69</v>
      </c>
      <c r="G264" s="19" t="s">
        <v>400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hidden="1" x14ac:dyDescent="0.35">
      <c r="A265" s="70">
        <v>46195</v>
      </c>
      <c r="B265" s="71" t="s">
        <v>67</v>
      </c>
      <c r="C265" s="73">
        <v>1176.7759999954201</v>
      </c>
      <c r="D265" s="73">
        <v>40948.753804686399</v>
      </c>
      <c r="E265" s="62" t="s">
        <v>68</v>
      </c>
      <c r="F265" s="19" t="s">
        <v>69</v>
      </c>
      <c r="G265" s="19" t="s">
        <v>401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hidden="1" x14ac:dyDescent="0.35">
      <c r="A266" s="70">
        <v>46195</v>
      </c>
      <c r="B266" s="71" t="s">
        <v>67</v>
      </c>
      <c r="C266" s="73">
        <v>1176.7759999954201</v>
      </c>
      <c r="D266" s="73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hidden="1" x14ac:dyDescent="0.35">
      <c r="A267" s="70">
        <v>46195</v>
      </c>
      <c r="B267" s="71" t="s">
        <v>67</v>
      </c>
      <c r="C267" s="73">
        <v>1176.7759999954201</v>
      </c>
      <c r="D267" s="73">
        <v>40948.753804686399</v>
      </c>
      <c r="E267" s="62" t="s">
        <v>68</v>
      </c>
      <c r="F267" s="19" t="s">
        <v>69</v>
      </c>
      <c r="G267" s="19" t="s">
        <v>403</v>
      </c>
      <c r="H267" s="19" t="s">
        <v>402</v>
      </c>
      <c r="I267" s="6" t="s">
        <v>404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hidden="1" x14ac:dyDescent="0.35">
      <c r="A268" s="70">
        <v>46195</v>
      </c>
      <c r="B268" s="71" t="s">
        <v>67</v>
      </c>
      <c r="C268" s="73">
        <v>1176.7759999954201</v>
      </c>
      <c r="D268" s="73">
        <v>40948.753804686399</v>
      </c>
      <c r="E268" s="62" t="s">
        <v>68</v>
      </c>
      <c r="F268" s="19" t="s">
        <v>69</v>
      </c>
      <c r="G268" s="19" t="s">
        <v>405</v>
      </c>
      <c r="H268" s="19" t="s">
        <v>402</v>
      </c>
      <c r="I268" s="6" t="s">
        <v>404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hidden="1" x14ac:dyDescent="0.35">
      <c r="A269" s="70">
        <v>46195</v>
      </c>
      <c r="B269" s="71" t="s">
        <v>67</v>
      </c>
      <c r="C269" s="73">
        <v>1176.7759999954201</v>
      </c>
      <c r="D269" s="73">
        <v>40948.753804686399</v>
      </c>
      <c r="E269" s="62" t="s">
        <v>68</v>
      </c>
      <c r="F269" s="19" t="s">
        <v>69</v>
      </c>
      <c r="G269" s="19" t="s">
        <v>406</v>
      </c>
      <c r="H269" s="19" t="s">
        <v>402</v>
      </c>
      <c r="I269" s="6" t="s">
        <v>407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hidden="1" x14ac:dyDescent="0.35">
      <c r="A270" s="70">
        <v>46195</v>
      </c>
      <c r="B270" s="71" t="s">
        <v>67</v>
      </c>
      <c r="C270" s="73">
        <v>1176.7759999954201</v>
      </c>
      <c r="D270" s="73">
        <v>40948.753804686399</v>
      </c>
      <c r="E270" s="62" t="s">
        <v>68</v>
      </c>
      <c r="F270" s="19" t="s">
        <v>69</v>
      </c>
      <c r="G270" s="19" t="s">
        <v>408</v>
      </c>
      <c r="H270" s="19" t="s">
        <v>402</v>
      </c>
      <c r="I270" s="6" t="s">
        <v>407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hidden="1" x14ac:dyDescent="0.35">
      <c r="A271" s="70">
        <v>46195</v>
      </c>
      <c r="B271" s="71" t="s">
        <v>67</v>
      </c>
      <c r="C271" s="73">
        <v>1176.7759999954201</v>
      </c>
      <c r="D271" s="73">
        <v>40948.753804686399</v>
      </c>
      <c r="E271" s="62" t="s">
        <v>68</v>
      </c>
      <c r="F271" s="19" t="s">
        <v>69</v>
      </c>
      <c r="G271" s="19" t="s">
        <v>409</v>
      </c>
      <c r="H271" s="19" t="s">
        <v>402</v>
      </c>
      <c r="I271" s="6" t="s">
        <v>410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hidden="1" x14ac:dyDescent="0.35">
      <c r="A272" s="70">
        <v>46195</v>
      </c>
      <c r="B272" s="71" t="s">
        <v>67</v>
      </c>
      <c r="C272" s="73">
        <v>1176.7759999954201</v>
      </c>
      <c r="D272" s="73">
        <v>40948.753804686399</v>
      </c>
      <c r="E272" s="62" t="s">
        <v>68</v>
      </c>
      <c r="F272" s="19" t="s">
        <v>69</v>
      </c>
      <c r="G272" s="19" t="s">
        <v>411</v>
      </c>
      <c r="H272" s="19" t="s">
        <v>402</v>
      </c>
      <c r="I272" s="6" t="s">
        <v>407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hidden="1" x14ac:dyDescent="0.35">
      <c r="A273" s="70">
        <v>46195</v>
      </c>
      <c r="B273" s="71" t="s">
        <v>67</v>
      </c>
      <c r="C273" s="73">
        <v>1176.7759999954201</v>
      </c>
      <c r="D273" s="73">
        <v>40948.753804686399</v>
      </c>
      <c r="E273" s="62" t="s">
        <v>68</v>
      </c>
      <c r="F273" s="19" t="s">
        <v>69</v>
      </c>
      <c r="G273" s="19" t="s">
        <v>273</v>
      </c>
      <c r="H273" s="19" t="s">
        <v>99</v>
      </c>
      <c r="I273" s="6" t="s">
        <v>412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hidden="1" x14ac:dyDescent="0.35">
      <c r="A274" s="70">
        <v>46195</v>
      </c>
      <c r="B274" s="71" t="s">
        <v>67</v>
      </c>
      <c r="C274" s="73">
        <v>1176.7759999954201</v>
      </c>
      <c r="D274" s="73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413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hidden="1" x14ac:dyDescent="0.35">
      <c r="A275" s="70">
        <v>46195</v>
      </c>
      <c r="B275" s="71" t="s">
        <v>67</v>
      </c>
      <c r="C275" s="73">
        <v>1176.7759999954201</v>
      </c>
      <c r="D275" s="73">
        <v>40948.753804686399</v>
      </c>
      <c r="E275" s="62" t="s">
        <v>68</v>
      </c>
      <c r="F275" s="19" t="s">
        <v>69</v>
      </c>
      <c r="G275" s="19" t="s">
        <v>414</v>
      </c>
      <c r="H275" s="19" t="s">
        <v>89</v>
      </c>
      <c r="I275" s="6" t="s">
        <v>413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hidden="1" x14ac:dyDescent="0.35">
      <c r="A276" s="70">
        <v>46195</v>
      </c>
      <c r="B276" s="71" t="s">
        <v>67</v>
      </c>
      <c r="C276" s="73">
        <v>1176.7759999954201</v>
      </c>
      <c r="D276" s="73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413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hidden="1" x14ac:dyDescent="0.35">
      <c r="A277" s="70">
        <v>46195</v>
      </c>
      <c r="B277" s="71" t="s">
        <v>67</v>
      </c>
      <c r="C277" s="73">
        <v>1176.7759999954201</v>
      </c>
      <c r="D277" s="73">
        <v>40948.753804686399</v>
      </c>
      <c r="E277" s="62" t="s">
        <v>68</v>
      </c>
      <c r="F277" s="19" t="s">
        <v>69</v>
      </c>
      <c r="G277" s="19" t="s">
        <v>415</v>
      </c>
      <c r="H277" s="19" t="s">
        <v>89</v>
      </c>
      <c r="I277" s="6" t="s">
        <v>416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hidden="1" x14ac:dyDescent="0.35">
      <c r="A278" s="70">
        <v>46195</v>
      </c>
      <c r="B278" s="71" t="s">
        <v>67</v>
      </c>
      <c r="C278" s="73">
        <v>1176.7759999954201</v>
      </c>
      <c r="D278" s="73">
        <v>40948.753804686399</v>
      </c>
      <c r="E278" s="62" t="s">
        <v>68</v>
      </c>
      <c r="F278" s="19" t="s">
        <v>69</v>
      </c>
      <c r="G278" s="19" t="s">
        <v>417</v>
      </c>
      <c r="H278" s="19" t="s">
        <v>89</v>
      </c>
      <c r="I278" s="6" t="s">
        <v>413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hidden="1" x14ac:dyDescent="0.35">
      <c r="A279" s="70">
        <v>46195</v>
      </c>
      <c r="B279" s="71" t="s">
        <v>67</v>
      </c>
      <c r="C279" s="73">
        <v>1176.7759999954201</v>
      </c>
      <c r="D279" s="73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hidden="1" x14ac:dyDescent="0.35">
      <c r="A280" s="70">
        <v>46195</v>
      </c>
      <c r="B280" s="71" t="s">
        <v>67</v>
      </c>
      <c r="C280" s="73">
        <v>1176.7759999954201</v>
      </c>
      <c r="D280" s="73">
        <v>40948.753804686399</v>
      </c>
      <c r="E280" s="62" t="s">
        <v>68</v>
      </c>
      <c r="F280" s="19" t="s">
        <v>69</v>
      </c>
      <c r="G280" s="19" t="s">
        <v>418</v>
      </c>
      <c r="H280" s="19" t="s">
        <v>89</v>
      </c>
      <c r="I280" s="6" t="s">
        <v>419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hidden="1" x14ac:dyDescent="0.35">
      <c r="A281" s="70">
        <v>46196</v>
      </c>
      <c r="B281" s="71" t="s">
        <v>67</v>
      </c>
      <c r="C281" s="73">
        <v>1176.7759999954201</v>
      </c>
      <c r="D281" s="73">
        <v>40948.753804686399</v>
      </c>
      <c r="E281" s="62" t="s">
        <v>68</v>
      </c>
      <c r="F281" s="19" t="s">
        <v>69</v>
      </c>
      <c r="G281" s="19" t="s">
        <v>420</v>
      </c>
      <c r="H281" s="19" t="s">
        <v>90</v>
      </c>
      <c r="I281" s="6" t="s">
        <v>421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hidden="1" x14ac:dyDescent="0.35">
      <c r="A282" s="70">
        <v>46196</v>
      </c>
      <c r="B282" s="71" t="s">
        <v>67</v>
      </c>
      <c r="C282" s="73">
        <v>1176.7759999954201</v>
      </c>
      <c r="D282" s="73">
        <v>40948.753804686399</v>
      </c>
      <c r="E282" s="62" t="s">
        <v>68</v>
      </c>
      <c r="F282" s="19" t="s">
        <v>69</v>
      </c>
      <c r="G282" s="19" t="s">
        <v>422</v>
      </c>
      <c r="H282" s="19" t="s">
        <v>90</v>
      </c>
      <c r="I282" s="6" t="s">
        <v>423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hidden="1" x14ac:dyDescent="0.35">
      <c r="A283" s="70">
        <v>46196</v>
      </c>
      <c r="B283" s="71" t="s">
        <v>67</v>
      </c>
      <c r="C283" s="73">
        <v>1176.7759999954201</v>
      </c>
      <c r="D283" s="73">
        <v>40948.753804686399</v>
      </c>
      <c r="E283" s="62" t="s">
        <v>68</v>
      </c>
      <c r="F283" s="19" t="s">
        <v>69</v>
      </c>
      <c r="G283" s="19" t="s">
        <v>424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hidden="1" x14ac:dyDescent="0.35">
      <c r="A284" s="70">
        <v>46196</v>
      </c>
      <c r="B284" s="71" t="s">
        <v>67</v>
      </c>
      <c r="C284" s="73">
        <v>1176.7759999954201</v>
      </c>
      <c r="D284" s="73">
        <v>40948.753804686399</v>
      </c>
      <c r="E284" s="62" t="s">
        <v>68</v>
      </c>
      <c r="F284" s="19" t="s">
        <v>69</v>
      </c>
      <c r="G284" s="19" t="s">
        <v>425</v>
      </c>
      <c r="H284" s="19" t="s">
        <v>402</v>
      </c>
      <c r="I284" s="6" t="s">
        <v>426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hidden="1" x14ac:dyDescent="0.35">
      <c r="A285" s="70">
        <v>46196</v>
      </c>
      <c r="B285" s="71" t="s">
        <v>67</v>
      </c>
      <c r="C285" s="73">
        <v>1176.7759999954201</v>
      </c>
      <c r="D285" s="73">
        <v>40948.753804686399</v>
      </c>
      <c r="E285" s="62" t="s">
        <v>68</v>
      </c>
      <c r="F285" s="19" t="s">
        <v>69</v>
      </c>
      <c r="G285" s="19" t="s">
        <v>427</v>
      </c>
      <c r="H285" s="19" t="s">
        <v>402</v>
      </c>
      <c r="I285" s="6" t="s">
        <v>426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hidden="1" x14ac:dyDescent="0.35">
      <c r="A286" s="70">
        <v>46196</v>
      </c>
      <c r="B286" s="71" t="s">
        <v>67</v>
      </c>
      <c r="C286" s="73">
        <v>1176.7759999954201</v>
      </c>
      <c r="D286" s="73">
        <v>40948.753804686399</v>
      </c>
      <c r="E286" s="62" t="s">
        <v>68</v>
      </c>
      <c r="F286" s="19" t="s">
        <v>69</v>
      </c>
      <c r="G286" s="19" t="s">
        <v>428</v>
      </c>
      <c r="H286" s="19" t="s">
        <v>402</v>
      </c>
      <c r="I286" s="6" t="s">
        <v>426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hidden="1" x14ac:dyDescent="0.35">
      <c r="A287" s="70">
        <v>46196</v>
      </c>
      <c r="B287" s="71" t="s">
        <v>67</v>
      </c>
      <c r="C287" s="73">
        <v>1176.7759999954201</v>
      </c>
      <c r="D287" s="73">
        <v>40948.753804686399</v>
      </c>
      <c r="E287" s="62" t="s">
        <v>68</v>
      </c>
      <c r="F287" s="19" t="s">
        <v>69</v>
      </c>
      <c r="G287" s="19" t="s">
        <v>429</v>
      </c>
      <c r="H287" s="19" t="s">
        <v>402</v>
      </c>
      <c r="I287" s="6" t="s">
        <v>426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hidden="1" x14ac:dyDescent="0.35">
      <c r="A288" s="70">
        <v>46196</v>
      </c>
      <c r="B288" s="71" t="s">
        <v>67</v>
      </c>
      <c r="C288" s="73">
        <v>1176.7759999954201</v>
      </c>
      <c r="D288" s="73">
        <v>40948.753804686399</v>
      </c>
      <c r="E288" s="62" t="s">
        <v>68</v>
      </c>
      <c r="F288" s="19" t="s">
        <v>69</v>
      </c>
      <c r="G288" s="19" t="s">
        <v>431</v>
      </c>
      <c r="H288" s="19" t="s">
        <v>99</v>
      </c>
      <c r="I288" s="6" t="s">
        <v>430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hidden="1" x14ac:dyDescent="0.35">
      <c r="A289" s="70">
        <v>46196</v>
      </c>
      <c r="B289" s="71" t="s">
        <v>67</v>
      </c>
      <c r="C289" s="73">
        <v>1176.7759999954201</v>
      </c>
      <c r="D289" s="73">
        <v>40948.753804686399</v>
      </c>
      <c r="E289" s="62" t="s">
        <v>68</v>
      </c>
      <c r="F289" s="19" t="s">
        <v>69</v>
      </c>
      <c r="G289" s="19" t="s">
        <v>432</v>
      </c>
      <c r="H289" s="19" t="s">
        <v>99</v>
      </c>
      <c r="I289" s="6" t="s">
        <v>430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hidden="1" x14ac:dyDescent="0.35">
      <c r="A290" s="70">
        <v>46196</v>
      </c>
      <c r="B290" s="71" t="s">
        <v>67</v>
      </c>
      <c r="C290" s="73">
        <v>1176.7759999954201</v>
      </c>
      <c r="D290" s="73">
        <v>40948.753804686399</v>
      </c>
      <c r="E290" s="62" t="s">
        <v>68</v>
      </c>
      <c r="F290" s="19" t="s">
        <v>69</v>
      </c>
      <c r="G290" s="19" t="s">
        <v>433</v>
      </c>
      <c r="H290" s="19" t="s">
        <v>99</v>
      </c>
      <c r="I290" s="6" t="s">
        <v>430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hidden="1" x14ac:dyDescent="0.35">
      <c r="A291" s="70">
        <v>46196</v>
      </c>
      <c r="B291" s="71" t="s">
        <v>67</v>
      </c>
      <c r="C291" s="73">
        <v>1176.7759999954201</v>
      </c>
      <c r="D291" s="73">
        <v>40948.753804686399</v>
      </c>
      <c r="E291" s="62" t="s">
        <v>68</v>
      </c>
      <c r="F291" s="19" t="s">
        <v>69</v>
      </c>
      <c r="G291" s="19" t="s">
        <v>434</v>
      </c>
      <c r="H291" s="19" t="s">
        <v>99</v>
      </c>
      <c r="I291" s="6" t="s">
        <v>430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hidden="1" x14ac:dyDescent="0.35">
      <c r="A292" s="70">
        <v>46196</v>
      </c>
      <c r="B292" s="71" t="s">
        <v>67</v>
      </c>
      <c r="C292" s="73">
        <v>1176.7759999954201</v>
      </c>
      <c r="D292" s="73">
        <v>40948.753804686399</v>
      </c>
      <c r="E292" s="62" t="s">
        <v>68</v>
      </c>
      <c r="F292" s="19" t="s">
        <v>69</v>
      </c>
      <c r="G292" s="19" t="s">
        <v>435</v>
      </c>
      <c r="H292" s="19" t="s">
        <v>99</v>
      </c>
      <c r="I292" s="6" t="s">
        <v>430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hidden="1" x14ac:dyDescent="0.35">
      <c r="A293" s="70">
        <v>46196</v>
      </c>
      <c r="B293" s="71" t="s">
        <v>67</v>
      </c>
      <c r="C293" s="73">
        <v>1176.7759999954201</v>
      </c>
      <c r="D293" s="73">
        <v>40948.753804686399</v>
      </c>
      <c r="E293" s="62" t="s">
        <v>68</v>
      </c>
      <c r="F293" s="19" t="s">
        <v>69</v>
      </c>
      <c r="G293" s="19" t="s">
        <v>436</v>
      </c>
      <c r="H293" s="19" t="s">
        <v>99</v>
      </c>
      <c r="I293" s="6" t="s">
        <v>430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hidden="1" x14ac:dyDescent="0.35">
      <c r="A294" s="70">
        <v>46196</v>
      </c>
      <c r="B294" s="71" t="s">
        <v>67</v>
      </c>
      <c r="C294" s="73">
        <v>1176.7759999954201</v>
      </c>
      <c r="D294" s="73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430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hidden="1" x14ac:dyDescent="0.35">
      <c r="A295" s="70">
        <v>46196</v>
      </c>
      <c r="B295" s="71" t="s">
        <v>67</v>
      </c>
      <c r="C295" s="73">
        <v>1176.7759999954201</v>
      </c>
      <c r="D295" s="73">
        <v>40948.753804686399</v>
      </c>
      <c r="E295" s="62" t="s">
        <v>68</v>
      </c>
      <c r="F295" s="19" t="s">
        <v>69</v>
      </c>
      <c r="G295" s="19" t="s">
        <v>437</v>
      </c>
      <c r="H295" s="19" t="s">
        <v>99</v>
      </c>
      <c r="I295" s="6" t="s">
        <v>430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hidden="1" x14ac:dyDescent="0.35">
      <c r="A296" s="70">
        <v>46196</v>
      </c>
      <c r="B296" s="71" t="s">
        <v>67</v>
      </c>
      <c r="C296" s="73">
        <v>1176.7759999954201</v>
      </c>
      <c r="D296" s="73">
        <v>40948.753804686399</v>
      </c>
      <c r="E296" s="62" t="s">
        <v>68</v>
      </c>
      <c r="F296" s="19" t="s">
        <v>69</v>
      </c>
      <c r="G296" s="19" t="s">
        <v>438</v>
      </c>
      <c r="H296" s="19" t="s">
        <v>79</v>
      </c>
      <c r="I296" s="6" t="s">
        <v>277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hidden="1" x14ac:dyDescent="0.35">
      <c r="A297" s="70">
        <v>46196</v>
      </c>
      <c r="B297" s="71" t="s">
        <v>67</v>
      </c>
      <c r="C297" s="73">
        <v>1176.7759999954201</v>
      </c>
      <c r="D297" s="73">
        <v>40948.753804686399</v>
      </c>
      <c r="E297" s="62" t="s">
        <v>68</v>
      </c>
      <c r="F297" s="19" t="s">
        <v>69</v>
      </c>
      <c r="G297" s="19" t="s">
        <v>439</v>
      </c>
      <c r="H297" s="19" t="s">
        <v>79</v>
      </c>
      <c r="I297" s="6" t="s">
        <v>440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hidden="1" x14ac:dyDescent="0.35">
      <c r="A298" s="70">
        <v>46196</v>
      </c>
      <c r="B298" s="71" t="s">
        <v>67</v>
      </c>
      <c r="C298" s="73">
        <v>1176.7759999954201</v>
      </c>
      <c r="D298" s="73">
        <v>40948.753804686399</v>
      </c>
      <c r="E298" s="62" t="s">
        <v>68</v>
      </c>
      <c r="F298" s="19" t="s">
        <v>69</v>
      </c>
      <c r="G298" s="19" t="s">
        <v>441</v>
      </c>
      <c r="H298" s="19" t="s">
        <v>201</v>
      </c>
      <c r="I298" s="6" t="s">
        <v>293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hidden="1" x14ac:dyDescent="0.35">
      <c r="A299" s="70">
        <v>46196</v>
      </c>
      <c r="B299" s="71" t="s">
        <v>67</v>
      </c>
      <c r="C299" s="73">
        <v>1176.7759999954201</v>
      </c>
      <c r="D299" s="73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442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hidden="1" x14ac:dyDescent="0.35">
      <c r="A300" s="70">
        <v>46197</v>
      </c>
      <c r="B300" s="71" t="s">
        <v>67</v>
      </c>
      <c r="C300" s="73">
        <v>1176.7759999954201</v>
      </c>
      <c r="D300" s="73">
        <v>40948.753804686399</v>
      </c>
      <c r="E300" s="62" t="s">
        <v>68</v>
      </c>
      <c r="F300" s="19" t="s">
        <v>69</v>
      </c>
      <c r="G300" s="19" t="s">
        <v>443</v>
      </c>
      <c r="H300" s="19" t="s">
        <v>445</v>
      </c>
      <c r="I300" s="6" t="s">
        <v>444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hidden="1" x14ac:dyDescent="0.35">
      <c r="A301" s="70">
        <v>46197</v>
      </c>
      <c r="B301" s="71" t="s">
        <v>67</v>
      </c>
      <c r="C301" s="73">
        <v>1176.7759999954201</v>
      </c>
      <c r="D301" s="73">
        <v>40948.753804686399</v>
      </c>
      <c r="E301" s="62" t="s">
        <v>68</v>
      </c>
      <c r="F301" s="19" t="s">
        <v>69</v>
      </c>
      <c r="G301" s="19" t="s">
        <v>446</v>
      </c>
      <c r="H301" s="19" t="s">
        <v>445</v>
      </c>
      <c r="I301" s="6" t="s">
        <v>444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hidden="1" x14ac:dyDescent="0.35">
      <c r="A302" s="70">
        <v>46197</v>
      </c>
      <c r="B302" s="71" t="s">
        <v>67</v>
      </c>
      <c r="C302" s="73">
        <v>1176.7759999954201</v>
      </c>
      <c r="D302" s="73">
        <v>40948.753804686399</v>
      </c>
      <c r="E302" s="62" t="s">
        <v>68</v>
      </c>
      <c r="F302" s="19" t="s">
        <v>69</v>
      </c>
      <c r="G302" s="19" t="s">
        <v>447</v>
      </c>
      <c r="H302" s="19" t="s">
        <v>445</v>
      </c>
      <c r="I302" s="6" t="s">
        <v>444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hidden="1" x14ac:dyDescent="0.35">
      <c r="A303" s="70">
        <v>46197</v>
      </c>
      <c r="B303" s="71" t="s">
        <v>67</v>
      </c>
      <c r="C303" s="73">
        <v>1176.7759999954201</v>
      </c>
      <c r="D303" s="73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448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hidden="1" x14ac:dyDescent="0.35">
      <c r="A304" s="70">
        <v>46197</v>
      </c>
      <c r="B304" s="71" t="s">
        <v>67</v>
      </c>
      <c r="C304" s="73">
        <v>1176.7759999954201</v>
      </c>
      <c r="D304" s="73">
        <v>40948.753804686399</v>
      </c>
      <c r="E304" s="62" t="s">
        <v>68</v>
      </c>
      <c r="F304" s="19" t="s">
        <v>69</v>
      </c>
      <c r="G304" s="19" t="s">
        <v>449</v>
      </c>
      <c r="H304" s="19" t="s">
        <v>79</v>
      </c>
      <c r="I304" s="6" t="s">
        <v>448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hidden="1" x14ac:dyDescent="0.35">
      <c r="A305" s="70">
        <v>46197</v>
      </c>
      <c r="B305" s="71" t="s">
        <v>67</v>
      </c>
      <c r="C305" s="73">
        <v>1176.7759999954201</v>
      </c>
      <c r="D305" s="73">
        <v>40948.753804686399</v>
      </c>
      <c r="E305" s="62" t="s">
        <v>68</v>
      </c>
      <c r="F305" s="19" t="s">
        <v>69</v>
      </c>
      <c r="G305" s="19" t="s">
        <v>450</v>
      </c>
      <c r="H305" s="19" t="s">
        <v>79</v>
      </c>
      <c r="I305" s="6" t="s">
        <v>448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hidden="1" x14ac:dyDescent="0.35">
      <c r="A306" s="70">
        <v>46197</v>
      </c>
      <c r="B306" s="71" t="s">
        <v>67</v>
      </c>
      <c r="C306" s="73">
        <v>1176.7759999954201</v>
      </c>
      <c r="D306" s="73">
        <v>40948.753804686399</v>
      </c>
      <c r="E306" s="62" t="s">
        <v>68</v>
      </c>
      <c r="F306" s="19" t="s">
        <v>69</v>
      </c>
      <c r="G306" s="19" t="s">
        <v>451</v>
      </c>
      <c r="H306" s="19" t="s">
        <v>79</v>
      </c>
      <c r="I306" s="6" t="s">
        <v>452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hidden="1" x14ac:dyDescent="0.35">
      <c r="A307" s="70">
        <v>46197</v>
      </c>
      <c r="B307" s="71" t="s">
        <v>67</v>
      </c>
      <c r="C307" s="73">
        <v>1176.7759999954201</v>
      </c>
      <c r="D307" s="73">
        <v>40948.753804686399</v>
      </c>
      <c r="E307" s="62" t="s">
        <v>68</v>
      </c>
      <c r="F307" s="19" t="s">
        <v>69</v>
      </c>
      <c r="G307" s="19" t="s">
        <v>453</v>
      </c>
      <c r="H307" s="19" t="s">
        <v>79</v>
      </c>
      <c r="I307" s="6" t="s">
        <v>440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hidden="1" x14ac:dyDescent="0.35">
      <c r="A308" s="70">
        <v>46197</v>
      </c>
      <c r="B308" s="71" t="s">
        <v>67</v>
      </c>
      <c r="C308" s="73">
        <v>1176.7759999954201</v>
      </c>
      <c r="D308" s="73">
        <v>40948.753804686399</v>
      </c>
      <c r="E308" s="62" t="s">
        <v>68</v>
      </c>
      <c r="F308" s="19" t="s">
        <v>69</v>
      </c>
      <c r="G308" s="19" t="s">
        <v>454</v>
      </c>
      <c r="H308" s="19" t="s">
        <v>402</v>
      </c>
      <c r="I308" s="6" t="s">
        <v>455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hidden="1" x14ac:dyDescent="0.35">
      <c r="A309" s="70">
        <v>46197</v>
      </c>
      <c r="B309" s="71" t="s">
        <v>67</v>
      </c>
      <c r="C309" s="73">
        <v>1176.7759999954201</v>
      </c>
      <c r="D309" s="73">
        <v>40948.753804686399</v>
      </c>
      <c r="E309" s="62" t="s">
        <v>68</v>
      </c>
      <c r="F309" s="19" t="s">
        <v>69</v>
      </c>
      <c r="G309" s="19" t="s">
        <v>456</v>
      </c>
      <c r="H309" s="19" t="s">
        <v>402</v>
      </c>
      <c r="I309" s="6" t="s">
        <v>455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hidden="1" x14ac:dyDescent="0.35">
      <c r="A310" s="70">
        <v>46197</v>
      </c>
      <c r="B310" s="71" t="s">
        <v>67</v>
      </c>
      <c r="C310" s="73">
        <v>1176.7759999954201</v>
      </c>
      <c r="D310" s="73">
        <v>40948.753804686399</v>
      </c>
      <c r="E310" s="62" t="s">
        <v>68</v>
      </c>
      <c r="F310" s="19" t="s">
        <v>69</v>
      </c>
      <c r="G310" s="19" t="s">
        <v>457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hidden="1" x14ac:dyDescent="0.35">
      <c r="A311" s="70">
        <v>46197</v>
      </c>
      <c r="B311" s="71" t="s">
        <v>67</v>
      </c>
      <c r="C311" s="73">
        <v>1176.7759999954201</v>
      </c>
      <c r="D311" s="73">
        <v>40948.753804686399</v>
      </c>
      <c r="E311" s="62" t="s">
        <v>68</v>
      </c>
      <c r="F311" s="19" t="s">
        <v>69</v>
      </c>
      <c r="G311" s="19" t="s">
        <v>458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hidden="1" x14ac:dyDescent="0.35">
      <c r="A312" s="70">
        <v>46197</v>
      </c>
      <c r="B312" s="71" t="s">
        <v>67</v>
      </c>
      <c r="C312" s="73">
        <v>1176.7759999954201</v>
      </c>
      <c r="D312" s="73">
        <v>40948.753804686399</v>
      </c>
      <c r="E312" s="62" t="s">
        <v>68</v>
      </c>
      <c r="F312" s="19" t="s">
        <v>69</v>
      </c>
      <c r="G312" s="19" t="s">
        <v>459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hidden="1" x14ac:dyDescent="0.35">
      <c r="A313" s="70">
        <v>46197</v>
      </c>
      <c r="B313" s="71" t="s">
        <v>67</v>
      </c>
      <c r="C313" s="73">
        <v>1176.7759999954201</v>
      </c>
      <c r="D313" s="73">
        <v>40948.753804686399</v>
      </c>
      <c r="E313" s="62" t="s">
        <v>68</v>
      </c>
      <c r="F313" s="19" t="s">
        <v>69</v>
      </c>
      <c r="G313" s="19" t="s">
        <v>460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hidden="1" x14ac:dyDescent="0.35">
      <c r="A314" s="70">
        <v>46197</v>
      </c>
      <c r="B314" s="71" t="s">
        <v>67</v>
      </c>
      <c r="C314" s="73">
        <v>1176.7759999954201</v>
      </c>
      <c r="D314" s="73">
        <v>40948.753804686399</v>
      </c>
      <c r="E314" s="62" t="s">
        <v>68</v>
      </c>
      <c r="F314" s="19" t="s">
        <v>69</v>
      </c>
      <c r="G314" s="19" t="s">
        <v>461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hidden="1" x14ac:dyDescent="0.35">
      <c r="A315" s="70">
        <v>46197</v>
      </c>
      <c r="B315" s="71" t="s">
        <v>67</v>
      </c>
      <c r="C315" s="73">
        <v>1176.7759999954201</v>
      </c>
      <c r="D315" s="73">
        <v>40948.753804686399</v>
      </c>
      <c r="E315" s="62" t="s">
        <v>68</v>
      </c>
      <c r="F315" s="19" t="s">
        <v>69</v>
      </c>
      <c r="G315" s="19" t="s">
        <v>462</v>
      </c>
      <c r="H315" s="19" t="s">
        <v>99</v>
      </c>
      <c r="I315" s="6" t="s">
        <v>293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hidden="1" x14ac:dyDescent="0.35">
      <c r="A316" s="70">
        <v>46197</v>
      </c>
      <c r="B316" s="71" t="s">
        <v>67</v>
      </c>
      <c r="C316" s="73">
        <v>1176.7759999954201</v>
      </c>
      <c r="D316" s="73">
        <v>40948.753804686399</v>
      </c>
      <c r="E316" s="62" t="s">
        <v>68</v>
      </c>
      <c r="F316" s="19" t="s">
        <v>69</v>
      </c>
      <c r="G316" s="19" t="s">
        <v>463</v>
      </c>
      <c r="H316" s="19" t="s">
        <v>99</v>
      </c>
      <c r="I316" s="6" t="s">
        <v>309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hidden="1" x14ac:dyDescent="0.35">
      <c r="A317" s="70">
        <v>46197</v>
      </c>
      <c r="B317" s="71" t="s">
        <v>67</v>
      </c>
      <c r="C317" s="73">
        <v>1176.7759999954201</v>
      </c>
      <c r="D317" s="73">
        <v>40948.753804686399</v>
      </c>
      <c r="E317" s="62" t="s">
        <v>68</v>
      </c>
      <c r="F317" s="19" t="s">
        <v>69</v>
      </c>
      <c r="G317" s="19" t="s">
        <v>464</v>
      </c>
      <c r="H317" s="19" t="s">
        <v>99</v>
      </c>
      <c r="I317" s="6" t="s">
        <v>309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hidden="1" x14ac:dyDescent="0.35">
      <c r="A318" s="70">
        <v>46197</v>
      </c>
      <c r="B318" s="71" t="s">
        <v>67</v>
      </c>
      <c r="C318" s="73">
        <v>1176.7759999954201</v>
      </c>
      <c r="D318" s="73">
        <v>40948.753804686399</v>
      </c>
      <c r="E318" s="62" t="s">
        <v>68</v>
      </c>
      <c r="F318" s="19" t="s">
        <v>69</v>
      </c>
      <c r="G318" s="19" t="s">
        <v>465</v>
      </c>
      <c r="H318" s="19" t="s">
        <v>99</v>
      </c>
      <c r="I318" s="6" t="s">
        <v>466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x14ac:dyDescent="0.35">
      <c r="A319" s="70">
        <v>46196</v>
      </c>
      <c r="B319" s="71" t="s">
        <v>67</v>
      </c>
      <c r="C319" s="73">
        <v>1176.7759999954201</v>
      </c>
      <c r="D319" s="73">
        <v>40948.753804686399</v>
      </c>
      <c r="E319" s="62" t="s">
        <v>68</v>
      </c>
      <c r="F319" s="19" t="s">
        <v>208</v>
      </c>
      <c r="G319" s="19" t="s">
        <v>327</v>
      </c>
      <c r="H319" s="19" t="s">
        <v>212</v>
      </c>
      <c r="I319" s="6" t="s">
        <v>467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x14ac:dyDescent="0.35">
      <c r="A320" s="70">
        <v>46196</v>
      </c>
      <c r="B320" s="71" t="s">
        <v>67</v>
      </c>
      <c r="C320" s="73">
        <v>1176.7759999954201</v>
      </c>
      <c r="D320" s="73">
        <v>40948.753804686399</v>
      </c>
      <c r="E320" s="62" t="s">
        <v>68</v>
      </c>
      <c r="F320" s="19" t="s">
        <v>208</v>
      </c>
      <c r="G320" s="19" t="s">
        <v>327</v>
      </c>
      <c r="H320" s="19" t="s">
        <v>212</v>
      </c>
      <c r="I320" s="6" t="s">
        <v>468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x14ac:dyDescent="0.35">
      <c r="A321" s="70">
        <v>46196</v>
      </c>
      <c r="B321" s="71" t="s">
        <v>67</v>
      </c>
      <c r="C321" s="73">
        <v>1176.7759999954201</v>
      </c>
      <c r="D321" s="73">
        <v>40948.753804686399</v>
      </c>
      <c r="E321" s="62" t="s">
        <v>68</v>
      </c>
      <c r="F321" s="19" t="s">
        <v>208</v>
      </c>
      <c r="G321" s="19" t="s">
        <v>327</v>
      </c>
      <c r="H321" s="19" t="s">
        <v>212</v>
      </c>
      <c r="I321" s="6" t="s">
        <v>469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x14ac:dyDescent="0.35">
      <c r="A322" s="70">
        <v>46196</v>
      </c>
      <c r="B322" s="71" t="s">
        <v>67</v>
      </c>
      <c r="C322" s="73">
        <v>1176.7759999954201</v>
      </c>
      <c r="D322" s="73">
        <v>40948.753804686399</v>
      </c>
      <c r="E322" s="62" t="s">
        <v>68</v>
      </c>
      <c r="F322" s="19" t="s">
        <v>208</v>
      </c>
      <c r="G322" s="19" t="s">
        <v>327</v>
      </c>
      <c r="H322" s="19" t="s">
        <v>212</v>
      </c>
      <c r="I322" s="6" t="s">
        <v>470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x14ac:dyDescent="0.35">
      <c r="A323" s="70">
        <v>46196</v>
      </c>
      <c r="B323" s="71" t="s">
        <v>67</v>
      </c>
      <c r="C323" s="73">
        <v>1176.7759999954201</v>
      </c>
      <c r="D323" s="73">
        <v>40948.753804686399</v>
      </c>
      <c r="E323" s="62" t="s">
        <v>68</v>
      </c>
      <c r="F323" s="19" t="s">
        <v>208</v>
      </c>
      <c r="G323" s="19" t="s">
        <v>327</v>
      </c>
      <c r="H323" s="19" t="s">
        <v>212</v>
      </c>
      <c r="I323" s="6" t="s">
        <v>471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x14ac:dyDescent="0.35">
      <c r="A324" s="70">
        <v>46196</v>
      </c>
      <c r="B324" s="71" t="s">
        <v>67</v>
      </c>
      <c r="C324" s="73">
        <v>1176.7759999954201</v>
      </c>
      <c r="D324" s="73">
        <v>40948.753804686399</v>
      </c>
      <c r="E324" s="62" t="s">
        <v>68</v>
      </c>
      <c r="F324" s="19" t="s">
        <v>208</v>
      </c>
      <c r="G324" s="19" t="s">
        <v>327</v>
      </c>
      <c r="H324" s="19" t="s">
        <v>212</v>
      </c>
      <c r="I324" s="6" t="s">
        <v>472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x14ac:dyDescent="0.35">
      <c r="A325" s="70">
        <v>46196</v>
      </c>
      <c r="B325" s="71" t="s">
        <v>67</v>
      </c>
      <c r="C325" s="73">
        <v>1176.7759999954201</v>
      </c>
      <c r="D325" s="73">
        <v>40948.753804686399</v>
      </c>
      <c r="E325" s="62" t="s">
        <v>68</v>
      </c>
      <c r="F325" s="19" t="s">
        <v>208</v>
      </c>
      <c r="G325" s="19" t="s">
        <v>327</v>
      </c>
      <c r="H325" s="19" t="s">
        <v>212</v>
      </c>
      <c r="I325" s="6" t="s">
        <v>473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x14ac:dyDescent="0.35">
      <c r="A326" s="70">
        <v>46196</v>
      </c>
      <c r="B326" s="71" t="s">
        <v>67</v>
      </c>
      <c r="C326" s="73">
        <v>1176.7759999954201</v>
      </c>
      <c r="D326" s="73">
        <v>40948.753804686399</v>
      </c>
      <c r="E326" s="62" t="s">
        <v>68</v>
      </c>
      <c r="F326" s="19" t="s">
        <v>208</v>
      </c>
      <c r="G326" s="19" t="s">
        <v>327</v>
      </c>
      <c r="H326" s="19" t="s">
        <v>212</v>
      </c>
      <c r="I326" s="6" t="s">
        <v>474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x14ac:dyDescent="0.35">
      <c r="A327" s="70">
        <v>46196</v>
      </c>
      <c r="B327" s="71" t="s">
        <v>67</v>
      </c>
      <c r="C327" s="73">
        <v>1176.7759999954201</v>
      </c>
      <c r="D327" s="73">
        <v>40948.753804686399</v>
      </c>
      <c r="E327" s="62" t="s">
        <v>68</v>
      </c>
      <c r="F327" s="19" t="s">
        <v>208</v>
      </c>
      <c r="G327" s="19" t="s">
        <v>327</v>
      </c>
      <c r="H327" s="19" t="s">
        <v>212</v>
      </c>
      <c r="I327" s="6" t="s">
        <v>475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x14ac:dyDescent="0.35">
      <c r="A328" s="70">
        <v>46196</v>
      </c>
      <c r="B328" s="71" t="s">
        <v>67</v>
      </c>
      <c r="C328" s="73">
        <v>1176.7759999954201</v>
      </c>
      <c r="D328" s="73">
        <v>40948.753804686399</v>
      </c>
      <c r="E328" s="62" t="s">
        <v>68</v>
      </c>
      <c r="F328" s="19" t="s">
        <v>208</v>
      </c>
      <c r="G328" s="19" t="s">
        <v>327</v>
      </c>
      <c r="H328" s="19" t="s">
        <v>212</v>
      </c>
      <c r="I328" s="6" t="s">
        <v>476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x14ac:dyDescent="0.35">
      <c r="A329" s="70">
        <v>46196</v>
      </c>
      <c r="B329" s="71" t="s">
        <v>67</v>
      </c>
      <c r="C329" s="73">
        <v>1176.7759999954201</v>
      </c>
      <c r="D329" s="73">
        <v>40948.753804686399</v>
      </c>
      <c r="E329" s="62" t="s">
        <v>68</v>
      </c>
      <c r="F329" s="19" t="s">
        <v>208</v>
      </c>
      <c r="G329" s="110" t="s">
        <v>355</v>
      </c>
      <c r="H329" s="19" t="s">
        <v>212</v>
      </c>
      <c r="I329" s="6" t="s">
        <v>476</v>
      </c>
      <c r="J329" s="102"/>
      <c r="K329" s="105">
        <v>84</v>
      </c>
      <c r="L329" s="105">
        <v>84</v>
      </c>
      <c r="M329" s="105"/>
      <c r="N329" s="8">
        <f t="shared" si="109"/>
        <v>168</v>
      </c>
      <c r="O329" s="107">
        <v>168</v>
      </c>
      <c r="P329" s="107">
        <v>126</v>
      </c>
      <c r="Q329" s="107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x14ac:dyDescent="0.35">
      <c r="A330" s="70">
        <v>46197</v>
      </c>
      <c r="B330" s="71" t="s">
        <v>67</v>
      </c>
      <c r="C330" s="73">
        <v>1176.7759999954201</v>
      </c>
      <c r="D330" s="73">
        <v>40948.753804686399</v>
      </c>
      <c r="E330" s="62" t="s">
        <v>68</v>
      </c>
      <c r="F330" s="19" t="s">
        <v>208</v>
      </c>
      <c r="G330" s="110" t="s">
        <v>477</v>
      </c>
      <c r="H330" s="19" t="s">
        <v>212</v>
      </c>
      <c r="I330" s="6" t="s">
        <v>556</v>
      </c>
      <c r="J330" s="102">
        <v>80</v>
      </c>
      <c r="K330" s="105">
        <v>80</v>
      </c>
      <c r="L330" s="105">
        <v>80</v>
      </c>
      <c r="M330" s="105"/>
      <c r="N330" s="8">
        <f t="shared" si="109"/>
        <v>160</v>
      </c>
      <c r="O330" s="107">
        <v>80</v>
      </c>
      <c r="P330" s="107">
        <v>80</v>
      </c>
      <c r="Q330" s="107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x14ac:dyDescent="0.35">
      <c r="A331" s="70">
        <v>46197</v>
      </c>
      <c r="B331" s="71" t="s">
        <v>67</v>
      </c>
      <c r="C331" s="73">
        <v>1176.7759999954201</v>
      </c>
      <c r="D331" s="73">
        <v>40948.753804686399</v>
      </c>
      <c r="E331" s="62" t="s">
        <v>68</v>
      </c>
      <c r="F331" s="19" t="s">
        <v>208</v>
      </c>
      <c r="G331" s="19" t="s">
        <v>478</v>
      </c>
      <c r="H331" s="19" t="s">
        <v>212</v>
      </c>
      <c r="I331" s="6" t="s">
        <v>483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x14ac:dyDescent="0.35">
      <c r="A332" s="70">
        <v>46197</v>
      </c>
      <c r="B332" s="71" t="s">
        <v>67</v>
      </c>
      <c r="C332" s="73">
        <v>1176.7759999954201</v>
      </c>
      <c r="D332" s="73">
        <v>40948.753804686399</v>
      </c>
      <c r="E332" s="62" t="s">
        <v>68</v>
      </c>
      <c r="F332" s="19" t="s">
        <v>208</v>
      </c>
      <c r="G332" s="19" t="s">
        <v>479</v>
      </c>
      <c r="H332" s="19" t="s">
        <v>212</v>
      </c>
      <c r="I332" s="6" t="s">
        <v>484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x14ac:dyDescent="0.35">
      <c r="A333" s="70">
        <v>46197</v>
      </c>
      <c r="B333" s="71" t="s">
        <v>67</v>
      </c>
      <c r="C333" s="73">
        <v>1176.7759999954201</v>
      </c>
      <c r="D333" s="73">
        <v>40948.753804686399</v>
      </c>
      <c r="E333" s="62" t="s">
        <v>68</v>
      </c>
      <c r="F333" s="19" t="s">
        <v>208</v>
      </c>
      <c r="G333" s="110" t="s">
        <v>480</v>
      </c>
      <c r="H333" s="19" t="s">
        <v>212</v>
      </c>
      <c r="I333" s="6" t="s">
        <v>485</v>
      </c>
      <c r="J333" s="55"/>
      <c r="K333" s="105"/>
      <c r="L333" s="105"/>
      <c r="M333" s="105"/>
      <c r="N333" s="8">
        <f t="shared" si="109"/>
        <v>0</v>
      </c>
      <c r="O333" s="105">
        <v>40</v>
      </c>
      <c r="P333" s="105">
        <v>40</v>
      </c>
      <c r="Q333" s="105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x14ac:dyDescent="0.35">
      <c r="A334" s="70">
        <v>46197</v>
      </c>
      <c r="B334" s="71" t="s">
        <v>67</v>
      </c>
      <c r="C334" s="73">
        <v>1176.7759999954201</v>
      </c>
      <c r="D334" s="73">
        <v>40948.753804686399</v>
      </c>
      <c r="E334" s="62" t="s">
        <v>68</v>
      </c>
      <c r="F334" s="19" t="s">
        <v>208</v>
      </c>
      <c r="G334" s="110" t="s">
        <v>481</v>
      </c>
      <c r="H334" s="19" t="s">
        <v>212</v>
      </c>
      <c r="I334" s="6" t="s">
        <v>486</v>
      </c>
      <c r="J334" s="55"/>
      <c r="K334" s="105">
        <v>80</v>
      </c>
      <c r="L334" s="105">
        <v>80</v>
      </c>
      <c r="M334" s="105"/>
      <c r="N334" s="8">
        <f t="shared" si="109"/>
        <v>160</v>
      </c>
      <c r="O334" s="105">
        <v>80</v>
      </c>
      <c r="P334" s="105">
        <v>80</v>
      </c>
      <c r="Q334" s="105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x14ac:dyDescent="0.35">
      <c r="A335" s="70">
        <v>46197</v>
      </c>
      <c r="B335" s="71" t="s">
        <v>67</v>
      </c>
      <c r="C335" s="73">
        <v>1176.7759999954201</v>
      </c>
      <c r="D335" s="73">
        <v>40948.753804686399</v>
      </c>
      <c r="E335" s="62" t="s">
        <v>68</v>
      </c>
      <c r="F335" s="19" t="s">
        <v>208</v>
      </c>
      <c r="G335" s="110" t="s">
        <v>482</v>
      </c>
      <c r="H335" s="19" t="s">
        <v>212</v>
      </c>
      <c r="I335" s="6" t="s">
        <v>487</v>
      </c>
      <c r="J335" s="55"/>
      <c r="K335" s="107">
        <v>80</v>
      </c>
      <c r="L335" s="107">
        <v>80</v>
      </c>
      <c r="M335" s="107"/>
      <c r="N335" s="8">
        <f t="shared" si="109"/>
        <v>160</v>
      </c>
      <c r="O335" s="105">
        <v>80</v>
      </c>
      <c r="P335" s="105">
        <v>120</v>
      </c>
      <c r="Q335" s="105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hidden="1" x14ac:dyDescent="0.35">
      <c r="A336" s="70">
        <v>46202</v>
      </c>
      <c r="B336" s="71" t="s">
        <v>67</v>
      </c>
      <c r="C336" s="73">
        <v>1176.7759999954201</v>
      </c>
      <c r="D336" s="73">
        <v>40948.753804686399</v>
      </c>
      <c r="E336" s="62" t="s">
        <v>68</v>
      </c>
      <c r="F336" s="19" t="s">
        <v>69</v>
      </c>
      <c r="G336" s="19" t="s">
        <v>488</v>
      </c>
      <c r="H336" s="19" t="s">
        <v>103</v>
      </c>
      <c r="I336" s="6" t="s">
        <v>490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hidden="1" x14ac:dyDescent="0.35">
      <c r="A337" s="70">
        <v>46202</v>
      </c>
      <c r="B337" s="71" t="s">
        <v>67</v>
      </c>
      <c r="C337" s="73">
        <v>1176.7759999954201</v>
      </c>
      <c r="D337" s="73">
        <v>40948.753804686399</v>
      </c>
      <c r="E337" s="62" t="s">
        <v>68</v>
      </c>
      <c r="F337" s="19" t="s">
        <v>297</v>
      </c>
      <c r="G337" s="19" t="s">
        <v>489</v>
      </c>
      <c r="H337" s="19" t="s">
        <v>103</v>
      </c>
      <c r="I337" s="6" t="s">
        <v>491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hidden="1" x14ac:dyDescent="0.35">
      <c r="A338" s="70">
        <v>46202</v>
      </c>
      <c r="B338" s="71" t="s">
        <v>67</v>
      </c>
      <c r="C338" s="73">
        <v>1176.7759999954201</v>
      </c>
      <c r="D338" s="73">
        <v>40948.753804686399</v>
      </c>
      <c r="E338" s="62" t="s">
        <v>68</v>
      </c>
      <c r="F338" s="19" t="s">
        <v>69</v>
      </c>
      <c r="G338" s="19" t="s">
        <v>434</v>
      </c>
      <c r="H338" s="19" t="s">
        <v>103</v>
      </c>
      <c r="I338" s="6" t="s">
        <v>491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hidden="1" x14ac:dyDescent="0.35">
      <c r="A339" s="70">
        <v>46202</v>
      </c>
      <c r="B339" s="71" t="s">
        <v>67</v>
      </c>
      <c r="C339" s="73">
        <v>1176.7759999954201</v>
      </c>
      <c r="D339" s="73">
        <v>40948.753804686399</v>
      </c>
      <c r="E339" s="62" t="s">
        <v>68</v>
      </c>
      <c r="F339" s="19" t="s">
        <v>297</v>
      </c>
      <c r="G339" s="19" t="s">
        <v>302</v>
      </c>
      <c r="H339" s="19" t="s">
        <v>103</v>
      </c>
      <c r="I339" s="6" t="s">
        <v>491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hidden="1" x14ac:dyDescent="0.35">
      <c r="A340" s="70">
        <v>46202</v>
      </c>
      <c r="B340" s="71" t="s">
        <v>67</v>
      </c>
      <c r="C340" s="73">
        <v>1176.7759999954201</v>
      </c>
      <c r="D340" s="73">
        <v>40948.753804686399</v>
      </c>
      <c r="E340" s="62" t="s">
        <v>68</v>
      </c>
      <c r="F340" s="19" t="s">
        <v>297</v>
      </c>
      <c r="G340" s="19" t="s">
        <v>492</v>
      </c>
      <c r="H340" s="19" t="s">
        <v>402</v>
      </c>
      <c r="I340" s="6" t="s">
        <v>499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hidden="1" x14ac:dyDescent="0.35">
      <c r="A341" s="70">
        <v>46202</v>
      </c>
      <c r="B341" s="71" t="s">
        <v>67</v>
      </c>
      <c r="C341" s="73">
        <v>1176.7759999954201</v>
      </c>
      <c r="D341" s="73">
        <v>40948.753804686399</v>
      </c>
      <c r="E341" s="62" t="s">
        <v>68</v>
      </c>
      <c r="F341" s="19" t="s">
        <v>297</v>
      </c>
      <c r="G341" s="19" t="s">
        <v>493</v>
      </c>
      <c r="H341" s="19" t="s">
        <v>402</v>
      </c>
      <c r="I341" s="6" t="s">
        <v>500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hidden="1" x14ac:dyDescent="0.35">
      <c r="A342" s="70">
        <v>46202</v>
      </c>
      <c r="B342" s="71" t="s">
        <v>67</v>
      </c>
      <c r="C342" s="73">
        <v>1176.7759999954201</v>
      </c>
      <c r="D342" s="73">
        <v>40948.753804686399</v>
      </c>
      <c r="E342" s="62" t="s">
        <v>68</v>
      </c>
      <c r="F342" s="19" t="s">
        <v>69</v>
      </c>
      <c r="G342" s="19" t="s">
        <v>494</v>
      </c>
      <c r="H342" s="19" t="s">
        <v>402</v>
      </c>
      <c r="I342" s="6" t="s">
        <v>500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hidden="1" x14ac:dyDescent="0.35">
      <c r="A343" s="70">
        <v>46202</v>
      </c>
      <c r="B343" s="71" t="s">
        <v>67</v>
      </c>
      <c r="C343" s="73">
        <v>1176.7759999954201</v>
      </c>
      <c r="D343" s="73">
        <v>40948.753804686399</v>
      </c>
      <c r="E343" s="62" t="s">
        <v>68</v>
      </c>
      <c r="F343" s="19" t="s">
        <v>69</v>
      </c>
      <c r="G343" s="19" t="s">
        <v>495</v>
      </c>
      <c r="H343" s="19" t="s">
        <v>402</v>
      </c>
      <c r="I343" s="6" t="s">
        <v>500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hidden="1" x14ac:dyDescent="0.35">
      <c r="A344" s="70">
        <v>46202</v>
      </c>
      <c r="B344" s="71" t="s">
        <v>67</v>
      </c>
      <c r="C344" s="73">
        <v>1176.7759999954201</v>
      </c>
      <c r="D344" s="73">
        <v>40948.753804686399</v>
      </c>
      <c r="E344" s="62" t="s">
        <v>68</v>
      </c>
      <c r="F344" s="19" t="s">
        <v>69</v>
      </c>
      <c r="G344" s="19" t="s">
        <v>496</v>
      </c>
      <c r="H344" s="19" t="s">
        <v>402</v>
      </c>
      <c r="I344" s="6" t="s">
        <v>500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hidden="1" x14ac:dyDescent="0.35">
      <c r="A345" s="70">
        <v>46202</v>
      </c>
      <c r="B345" s="71" t="s">
        <v>67</v>
      </c>
      <c r="C345" s="73">
        <v>1176.7759999954201</v>
      </c>
      <c r="D345" s="73">
        <v>40948.753804686399</v>
      </c>
      <c r="E345" s="62" t="s">
        <v>68</v>
      </c>
      <c r="F345" s="19" t="s">
        <v>69</v>
      </c>
      <c r="G345" s="19" t="s">
        <v>497</v>
      </c>
      <c r="H345" s="19" t="s">
        <v>402</v>
      </c>
      <c r="I345" s="6" t="s">
        <v>500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hidden="1" x14ac:dyDescent="0.35">
      <c r="A346" s="70">
        <v>46202</v>
      </c>
      <c r="B346" s="71" t="s">
        <v>67</v>
      </c>
      <c r="C346" s="73">
        <v>1176.7759999954201</v>
      </c>
      <c r="D346" s="73">
        <v>40948.753804686399</v>
      </c>
      <c r="E346" s="62" t="s">
        <v>68</v>
      </c>
      <c r="F346" s="19" t="s">
        <v>69</v>
      </c>
      <c r="G346" s="19" t="s">
        <v>435</v>
      </c>
      <c r="H346" s="19" t="s">
        <v>402</v>
      </c>
      <c r="I346" s="6" t="s">
        <v>500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hidden="1" x14ac:dyDescent="0.35">
      <c r="A347" s="70">
        <v>46202</v>
      </c>
      <c r="B347" s="71" t="s">
        <v>67</v>
      </c>
      <c r="C347" s="73">
        <v>1176.7759999954201</v>
      </c>
      <c r="D347" s="73">
        <v>40948.753804686399</v>
      </c>
      <c r="E347" s="62" t="s">
        <v>68</v>
      </c>
      <c r="F347" s="19" t="s">
        <v>69</v>
      </c>
      <c r="G347" s="19" t="s">
        <v>498</v>
      </c>
      <c r="H347" s="19" t="s">
        <v>402</v>
      </c>
      <c r="I347" s="6" t="s">
        <v>501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hidden="1" x14ac:dyDescent="0.35">
      <c r="A348" s="70">
        <v>46202</v>
      </c>
      <c r="B348" s="71" t="s">
        <v>67</v>
      </c>
      <c r="C348" s="73">
        <v>1176.7759999954201</v>
      </c>
      <c r="D348" s="73">
        <v>40948.753804686399</v>
      </c>
      <c r="E348" s="62" t="s">
        <v>68</v>
      </c>
      <c r="F348" s="19" t="s">
        <v>69</v>
      </c>
      <c r="G348" s="19" t="s">
        <v>502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hidden="1" x14ac:dyDescent="0.35">
      <c r="A349" s="70">
        <v>46202</v>
      </c>
      <c r="B349" s="71" t="s">
        <v>67</v>
      </c>
      <c r="C349" s="73">
        <v>1176.7759999954201</v>
      </c>
      <c r="D349" s="73">
        <v>40948.753804686399</v>
      </c>
      <c r="E349" s="62" t="s">
        <v>68</v>
      </c>
      <c r="F349" s="19" t="s">
        <v>69</v>
      </c>
      <c r="G349" s="19" t="s">
        <v>503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x14ac:dyDescent="0.35">
      <c r="A350" s="70">
        <v>46202</v>
      </c>
      <c r="B350" s="71" t="s">
        <v>67</v>
      </c>
      <c r="C350" s="73">
        <v>1176.7759999954201</v>
      </c>
      <c r="D350" s="73">
        <v>40948.753804686399</v>
      </c>
      <c r="E350" s="62" t="s">
        <v>68</v>
      </c>
      <c r="F350" s="19" t="s">
        <v>208</v>
      </c>
      <c r="G350" s="19" t="s">
        <v>327</v>
      </c>
      <c r="H350" s="19" t="s">
        <v>212</v>
      </c>
      <c r="I350" s="6" t="s">
        <v>504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x14ac:dyDescent="0.35">
      <c r="A351" s="70">
        <v>46202</v>
      </c>
      <c r="B351" s="71" t="s">
        <v>67</v>
      </c>
      <c r="C351" s="73">
        <v>1176.7759999954201</v>
      </c>
      <c r="D351" s="73">
        <v>40948.753804686399</v>
      </c>
      <c r="E351" s="62" t="s">
        <v>68</v>
      </c>
      <c r="F351" s="19" t="s">
        <v>208</v>
      </c>
      <c r="G351" s="19" t="s">
        <v>327</v>
      </c>
      <c r="H351" s="19" t="s">
        <v>212</v>
      </c>
      <c r="I351" s="6" t="s">
        <v>505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x14ac:dyDescent="0.35">
      <c r="A352" s="70">
        <v>46202</v>
      </c>
      <c r="B352" s="71" t="s">
        <v>67</v>
      </c>
      <c r="C352" s="73">
        <v>1176.7759999954201</v>
      </c>
      <c r="D352" s="73">
        <v>40948.753804686399</v>
      </c>
      <c r="E352" s="62" t="s">
        <v>68</v>
      </c>
      <c r="F352" s="19" t="s">
        <v>208</v>
      </c>
      <c r="G352" s="19" t="s">
        <v>327</v>
      </c>
      <c r="H352" s="19" t="s">
        <v>212</v>
      </c>
      <c r="I352" s="6" t="s">
        <v>506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x14ac:dyDescent="0.35">
      <c r="A353" s="70">
        <v>46202</v>
      </c>
      <c r="B353" s="71" t="s">
        <v>67</v>
      </c>
      <c r="C353" s="73">
        <v>1176.7759999954201</v>
      </c>
      <c r="D353" s="73">
        <v>40948.753804686399</v>
      </c>
      <c r="E353" s="62" t="s">
        <v>68</v>
      </c>
      <c r="F353" s="19" t="s">
        <v>208</v>
      </c>
      <c r="G353" s="19" t="s">
        <v>327</v>
      </c>
      <c r="H353" s="19" t="s">
        <v>212</v>
      </c>
      <c r="I353" s="6" t="s">
        <v>507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x14ac:dyDescent="0.35">
      <c r="A354" s="70">
        <v>46202</v>
      </c>
      <c r="B354" s="71" t="s">
        <v>67</v>
      </c>
      <c r="C354" s="73">
        <v>1176.7759999954201</v>
      </c>
      <c r="D354" s="73">
        <v>40948.753804686399</v>
      </c>
      <c r="E354" s="62" t="s">
        <v>68</v>
      </c>
      <c r="F354" s="19" t="s">
        <v>208</v>
      </c>
      <c r="G354" s="19" t="s">
        <v>327</v>
      </c>
      <c r="H354" s="19" t="s">
        <v>212</v>
      </c>
      <c r="I354" s="6" t="s">
        <v>508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x14ac:dyDescent="0.35">
      <c r="A355" s="70">
        <v>46202</v>
      </c>
      <c r="B355" s="71" t="s">
        <v>67</v>
      </c>
      <c r="C355" s="73">
        <v>1176.7759999954201</v>
      </c>
      <c r="D355" s="73">
        <v>40948.753804686399</v>
      </c>
      <c r="E355" s="62" t="s">
        <v>68</v>
      </c>
      <c r="F355" s="19" t="s">
        <v>208</v>
      </c>
      <c r="G355" s="19" t="s">
        <v>327</v>
      </c>
      <c r="H355" s="19" t="s">
        <v>212</v>
      </c>
      <c r="I355" s="6" t="s">
        <v>509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405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x14ac:dyDescent="0.35">
      <c r="A356" s="70">
        <v>46202</v>
      </c>
      <c r="B356" s="71" t="s">
        <v>67</v>
      </c>
      <c r="C356" s="73">
        <v>1176.7759999954201</v>
      </c>
      <c r="D356" s="73">
        <v>40948.753804686399</v>
      </c>
      <c r="E356" s="62" t="s">
        <v>68</v>
      </c>
      <c r="F356" s="19" t="s">
        <v>208</v>
      </c>
      <c r="G356" s="19" t="s">
        <v>327</v>
      </c>
      <c r="H356" s="19" t="s">
        <v>212</v>
      </c>
      <c r="I356" s="6" t="s">
        <v>510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x14ac:dyDescent="0.35">
      <c r="A357" s="70">
        <v>46202</v>
      </c>
      <c r="B357" s="71" t="s">
        <v>67</v>
      </c>
      <c r="C357" s="73">
        <v>1176.7759999954201</v>
      </c>
      <c r="D357" s="73">
        <v>40948.753804686399</v>
      </c>
      <c r="E357" s="62" t="s">
        <v>68</v>
      </c>
      <c r="F357" s="19" t="s">
        <v>208</v>
      </c>
      <c r="G357" s="19" t="s">
        <v>327</v>
      </c>
      <c r="H357" s="19" t="s">
        <v>212</v>
      </c>
      <c r="I357" s="6" t="s">
        <v>511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x14ac:dyDescent="0.35">
      <c r="A358" s="70">
        <v>46202</v>
      </c>
      <c r="B358" s="71" t="s">
        <v>67</v>
      </c>
      <c r="C358" s="73">
        <v>1176.7759999954201</v>
      </c>
      <c r="D358" s="73">
        <v>40948.753804686399</v>
      </c>
      <c r="E358" s="62" t="s">
        <v>68</v>
      </c>
      <c r="F358" s="19" t="s">
        <v>208</v>
      </c>
      <c r="G358" s="19" t="s">
        <v>327</v>
      </c>
      <c r="H358" s="19" t="s">
        <v>212</v>
      </c>
      <c r="I358" s="6" t="s">
        <v>512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x14ac:dyDescent="0.35">
      <c r="A359" s="70">
        <v>46202</v>
      </c>
      <c r="B359" s="71" t="s">
        <v>67</v>
      </c>
      <c r="C359" s="73">
        <v>1176.7759999954201</v>
      </c>
      <c r="D359" s="73">
        <v>40948.753804686399</v>
      </c>
      <c r="E359" s="62" t="s">
        <v>68</v>
      </c>
      <c r="F359" s="19" t="s">
        <v>208</v>
      </c>
      <c r="G359" s="19" t="s">
        <v>327</v>
      </c>
      <c r="H359" s="19" t="s">
        <v>212</v>
      </c>
      <c r="I359" s="6" t="s">
        <v>513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x14ac:dyDescent="0.35">
      <c r="A360" s="70">
        <v>46202</v>
      </c>
      <c r="B360" s="71" t="s">
        <v>67</v>
      </c>
      <c r="C360" s="73">
        <v>1176.7759999954201</v>
      </c>
      <c r="D360" s="73">
        <v>40948.753804686399</v>
      </c>
      <c r="E360" s="62" t="s">
        <v>68</v>
      </c>
      <c r="F360" s="19" t="s">
        <v>208</v>
      </c>
      <c r="G360" s="19" t="s">
        <v>327</v>
      </c>
      <c r="H360" s="19" t="s">
        <v>212</v>
      </c>
      <c r="I360" s="6" t="s">
        <v>514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x14ac:dyDescent="0.35">
      <c r="A361" s="70">
        <v>46202</v>
      </c>
      <c r="B361" s="71" t="s">
        <v>67</v>
      </c>
      <c r="C361" s="73">
        <v>1176.7759999954201</v>
      </c>
      <c r="D361" s="73">
        <v>40948.753804686399</v>
      </c>
      <c r="E361" s="62" t="s">
        <v>68</v>
      </c>
      <c r="F361" s="19" t="s">
        <v>208</v>
      </c>
      <c r="G361" s="19" t="s">
        <v>327</v>
      </c>
      <c r="H361" s="19" t="s">
        <v>212</v>
      </c>
      <c r="I361" s="6" t="s">
        <v>515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x14ac:dyDescent="0.35">
      <c r="A362" s="70">
        <v>46202</v>
      </c>
      <c r="B362" s="71" t="s">
        <v>67</v>
      </c>
      <c r="C362" s="73">
        <v>1176.7759999954201</v>
      </c>
      <c r="D362" s="73">
        <v>40948.753804686399</v>
      </c>
      <c r="E362" s="62" t="s">
        <v>68</v>
      </c>
      <c r="F362" s="19" t="s">
        <v>208</v>
      </c>
      <c r="G362" s="110" t="s">
        <v>220</v>
      </c>
      <c r="H362" s="19" t="s">
        <v>212</v>
      </c>
      <c r="I362" s="6" t="s">
        <v>223</v>
      </c>
      <c r="J362" s="55"/>
      <c r="K362" s="107">
        <v>160</v>
      </c>
      <c r="L362" s="107">
        <v>280</v>
      </c>
      <c r="M362" s="107"/>
      <c r="N362" s="8">
        <f t="shared" si="109"/>
        <v>440</v>
      </c>
      <c r="O362" s="105">
        <v>280</v>
      </c>
      <c r="P362" s="107">
        <v>280</v>
      </c>
      <c r="Q362" s="107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x14ac:dyDescent="0.35">
      <c r="A363" s="70">
        <v>46202</v>
      </c>
      <c r="B363" s="71" t="s">
        <v>67</v>
      </c>
      <c r="C363" s="73">
        <v>1176.7759999954201</v>
      </c>
      <c r="D363" s="73">
        <v>40948.753804686399</v>
      </c>
      <c r="E363" s="62" t="s">
        <v>68</v>
      </c>
      <c r="F363" s="19" t="s">
        <v>208</v>
      </c>
      <c r="G363" s="110" t="s">
        <v>516</v>
      </c>
      <c r="H363" s="19" t="s">
        <v>212</v>
      </c>
      <c r="I363" s="6" t="s">
        <v>485</v>
      </c>
      <c r="J363" s="55"/>
      <c r="K363" s="105"/>
      <c r="L363" s="105"/>
      <c r="M363" s="107"/>
      <c r="N363" s="8">
        <f t="shared" si="109"/>
        <v>0</v>
      </c>
      <c r="O363" s="107">
        <v>40</v>
      </c>
      <c r="P363" s="107">
        <v>40</v>
      </c>
      <c r="Q363" s="107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x14ac:dyDescent="0.35">
      <c r="A364" s="70">
        <v>46202</v>
      </c>
      <c r="B364" s="71" t="s">
        <v>67</v>
      </c>
      <c r="C364" s="73">
        <v>1176.7759999954201</v>
      </c>
      <c r="D364" s="73">
        <v>40948.753804686399</v>
      </c>
      <c r="E364" s="62" t="s">
        <v>68</v>
      </c>
      <c r="F364" s="19" t="s">
        <v>208</v>
      </c>
      <c r="G364" s="110" t="s">
        <v>517</v>
      </c>
      <c r="H364" s="19" t="s">
        <v>212</v>
      </c>
      <c r="I364" s="6" t="s">
        <v>518</v>
      </c>
      <c r="J364" s="55"/>
      <c r="K364" s="107">
        <v>80</v>
      </c>
      <c r="L364" s="107">
        <v>40</v>
      </c>
      <c r="M364" s="107"/>
      <c r="N364" s="8">
        <f t="shared" si="109"/>
        <v>120</v>
      </c>
      <c r="O364" s="105">
        <v>80</v>
      </c>
      <c r="P364" s="105">
        <v>40</v>
      </c>
      <c r="Q364" s="107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hidden="1" x14ac:dyDescent="0.35">
      <c r="A365" s="70">
        <v>46203</v>
      </c>
      <c r="B365" s="71" t="s">
        <v>67</v>
      </c>
      <c r="C365" s="73">
        <v>1176.7759999954201</v>
      </c>
      <c r="D365" s="73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521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hidden="1" x14ac:dyDescent="0.35">
      <c r="A366" s="70">
        <v>46203</v>
      </c>
      <c r="B366" s="71" t="s">
        <v>67</v>
      </c>
      <c r="C366" s="73">
        <v>1176.7759999954201</v>
      </c>
      <c r="D366" s="73">
        <v>40948.753804686399</v>
      </c>
      <c r="E366" s="62" t="s">
        <v>68</v>
      </c>
      <c r="F366" s="19" t="s">
        <v>69</v>
      </c>
      <c r="G366" s="19" t="s">
        <v>519</v>
      </c>
      <c r="H366" s="19" t="s">
        <v>201</v>
      </c>
      <c r="I366" s="6" t="s">
        <v>521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hidden="1" x14ac:dyDescent="0.35">
      <c r="A367" s="70">
        <v>46203</v>
      </c>
      <c r="B367" s="71" t="s">
        <v>67</v>
      </c>
      <c r="C367" s="73">
        <v>1176.7759999954201</v>
      </c>
      <c r="D367" s="73">
        <v>40948.753804686399</v>
      </c>
      <c r="E367" s="62" t="s">
        <v>68</v>
      </c>
      <c r="F367" s="19" t="s">
        <v>297</v>
      </c>
      <c r="G367" s="19" t="s">
        <v>520</v>
      </c>
      <c r="H367" s="19" t="s">
        <v>201</v>
      </c>
      <c r="I367" s="6" t="s">
        <v>521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hidden="1" x14ac:dyDescent="0.35">
      <c r="A368" s="70">
        <v>46203</v>
      </c>
      <c r="B368" s="71" t="s">
        <v>67</v>
      </c>
      <c r="C368" s="73">
        <v>1176.7759999954201</v>
      </c>
      <c r="D368" s="73">
        <v>40948.753804686399</v>
      </c>
      <c r="E368" s="62" t="s">
        <v>68</v>
      </c>
      <c r="F368" s="19" t="s">
        <v>69</v>
      </c>
      <c r="G368" s="19" t="s">
        <v>522</v>
      </c>
      <c r="H368" s="19" t="s">
        <v>201</v>
      </c>
      <c r="I368" s="6" t="s">
        <v>521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hidden="1" x14ac:dyDescent="0.35">
      <c r="A369" s="70">
        <v>46203</v>
      </c>
      <c r="B369" s="71" t="s">
        <v>67</v>
      </c>
      <c r="C369" s="73">
        <v>1176.7759999954201</v>
      </c>
      <c r="D369" s="73">
        <v>40948.753804686399</v>
      </c>
      <c r="E369" s="62" t="s">
        <v>68</v>
      </c>
      <c r="F369" s="19" t="s">
        <v>69</v>
      </c>
      <c r="G369" s="19" t="s">
        <v>523</v>
      </c>
      <c r="H369" s="19" t="s">
        <v>103</v>
      </c>
      <c r="I369" s="6" t="s">
        <v>524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hidden="1" x14ac:dyDescent="0.35">
      <c r="A370" s="70">
        <v>46203</v>
      </c>
      <c r="B370" s="71" t="s">
        <v>67</v>
      </c>
      <c r="C370" s="73">
        <v>1176.7759999954201</v>
      </c>
      <c r="D370" s="73">
        <v>40948.753804686399</v>
      </c>
      <c r="E370" s="62" t="s">
        <v>68</v>
      </c>
      <c r="F370" s="19" t="s">
        <v>69</v>
      </c>
      <c r="G370" s="19" t="s">
        <v>266</v>
      </c>
      <c r="H370" s="19" t="s">
        <v>103</v>
      </c>
      <c r="I370" s="6" t="s">
        <v>524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hidden="1" x14ac:dyDescent="0.35">
      <c r="A371" s="70">
        <v>46203</v>
      </c>
      <c r="B371" s="71" t="s">
        <v>67</v>
      </c>
      <c r="C371" s="73">
        <v>1176.7759999954201</v>
      </c>
      <c r="D371" s="73">
        <v>40948.753804686399</v>
      </c>
      <c r="E371" s="62" t="s">
        <v>68</v>
      </c>
      <c r="F371" s="19" t="s">
        <v>69</v>
      </c>
      <c r="G371" s="19" t="s">
        <v>390</v>
      </c>
      <c r="H371" s="19" t="s">
        <v>103</v>
      </c>
      <c r="I371" s="6" t="s">
        <v>524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hidden="1" x14ac:dyDescent="0.35">
      <c r="A372" s="70">
        <v>46203</v>
      </c>
      <c r="B372" s="71" t="s">
        <v>67</v>
      </c>
      <c r="C372" s="73">
        <v>1176.7759999954201</v>
      </c>
      <c r="D372" s="73">
        <v>40948.753804686399</v>
      </c>
      <c r="E372" s="62" t="s">
        <v>68</v>
      </c>
      <c r="F372" s="19" t="s">
        <v>69</v>
      </c>
      <c r="G372" s="19" t="s">
        <v>525</v>
      </c>
      <c r="H372" s="19" t="s">
        <v>402</v>
      </c>
      <c r="I372" s="6" t="s">
        <v>530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hidden="1" x14ac:dyDescent="0.35">
      <c r="A373" s="70">
        <v>46203</v>
      </c>
      <c r="B373" s="71" t="s">
        <v>67</v>
      </c>
      <c r="C373" s="73">
        <v>1176.7759999954201</v>
      </c>
      <c r="D373" s="73">
        <v>40948.753804686399</v>
      </c>
      <c r="E373" s="62" t="s">
        <v>68</v>
      </c>
      <c r="F373" s="19" t="s">
        <v>69</v>
      </c>
      <c r="G373" s="19" t="s">
        <v>390</v>
      </c>
      <c r="H373" s="19" t="s">
        <v>402</v>
      </c>
      <c r="I373" s="6" t="s">
        <v>530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hidden="1" x14ac:dyDescent="0.35">
      <c r="A374" s="70">
        <v>46203</v>
      </c>
      <c r="B374" s="71" t="s">
        <v>67</v>
      </c>
      <c r="C374" s="73">
        <v>1176.7759999954201</v>
      </c>
      <c r="D374" s="73">
        <v>40948.753804686399</v>
      </c>
      <c r="E374" s="62" t="s">
        <v>68</v>
      </c>
      <c r="F374" s="19" t="s">
        <v>69</v>
      </c>
      <c r="G374" s="19" t="s">
        <v>526</v>
      </c>
      <c r="H374" s="19" t="s">
        <v>402</v>
      </c>
      <c r="I374" s="6" t="s">
        <v>530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hidden="1" x14ac:dyDescent="0.35">
      <c r="A375" s="70">
        <v>46203</v>
      </c>
      <c r="B375" s="71" t="s">
        <v>67</v>
      </c>
      <c r="C375" s="73">
        <v>1176.7759999954201</v>
      </c>
      <c r="D375" s="73">
        <v>40948.753804686399</v>
      </c>
      <c r="E375" s="62" t="s">
        <v>68</v>
      </c>
      <c r="F375" s="19" t="s">
        <v>69</v>
      </c>
      <c r="G375" s="19" t="s">
        <v>527</v>
      </c>
      <c r="H375" s="19" t="s">
        <v>402</v>
      </c>
      <c r="I375" s="6" t="s">
        <v>530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hidden="1" x14ac:dyDescent="0.35">
      <c r="A376" s="70">
        <v>46203</v>
      </c>
      <c r="B376" s="71" t="s">
        <v>67</v>
      </c>
      <c r="C376" s="73">
        <v>1176.7759999954201</v>
      </c>
      <c r="D376" s="73">
        <v>40948.753804686399</v>
      </c>
      <c r="E376" s="62" t="s">
        <v>68</v>
      </c>
      <c r="F376" s="19" t="s">
        <v>69</v>
      </c>
      <c r="G376" s="19" t="s">
        <v>528</v>
      </c>
      <c r="H376" s="19" t="s">
        <v>402</v>
      </c>
      <c r="I376" s="6" t="s">
        <v>530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hidden="1" x14ac:dyDescent="0.35">
      <c r="A377" s="70">
        <v>46203</v>
      </c>
      <c r="B377" s="71" t="s">
        <v>67</v>
      </c>
      <c r="C377" s="73">
        <v>1176.7759999954201</v>
      </c>
      <c r="D377" s="73">
        <v>40948.753804686399</v>
      </c>
      <c r="E377" s="62" t="s">
        <v>68</v>
      </c>
      <c r="F377" s="19" t="s">
        <v>297</v>
      </c>
      <c r="G377" s="19" t="s">
        <v>529</v>
      </c>
      <c r="H377" s="19" t="s">
        <v>402</v>
      </c>
      <c r="I377" s="6" t="s">
        <v>530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hidden="1" x14ac:dyDescent="0.35">
      <c r="A378" s="70">
        <v>46203</v>
      </c>
      <c r="B378" s="71" t="s">
        <v>67</v>
      </c>
      <c r="C378" s="73">
        <v>1176.7759999954201</v>
      </c>
      <c r="D378" s="73">
        <v>40948.753804686399</v>
      </c>
      <c r="E378" s="62" t="s">
        <v>68</v>
      </c>
      <c r="F378" s="19" t="s">
        <v>69</v>
      </c>
      <c r="G378" s="19" t="s">
        <v>531</v>
      </c>
      <c r="H378" s="19" t="s">
        <v>99</v>
      </c>
      <c r="I378" s="6" t="s">
        <v>309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hidden="1" x14ac:dyDescent="0.35">
      <c r="A379" s="70">
        <v>46203</v>
      </c>
      <c r="B379" s="71" t="s">
        <v>67</v>
      </c>
      <c r="C379" s="73">
        <v>1176.7759999954201</v>
      </c>
      <c r="D379" s="73">
        <v>40948.753804686399</v>
      </c>
      <c r="E379" s="62" t="s">
        <v>68</v>
      </c>
      <c r="F379" s="19" t="s">
        <v>69</v>
      </c>
      <c r="G379" s="19" t="s">
        <v>532</v>
      </c>
      <c r="H379" s="19" t="s">
        <v>99</v>
      </c>
      <c r="I379" s="6" t="s">
        <v>309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hidden="1" x14ac:dyDescent="0.35">
      <c r="A380" s="70">
        <v>46203</v>
      </c>
      <c r="B380" s="71" t="s">
        <v>67</v>
      </c>
      <c r="C380" s="73">
        <v>1176.7759999954201</v>
      </c>
      <c r="D380" s="73">
        <v>40948.753804686399</v>
      </c>
      <c r="E380" s="62" t="s">
        <v>68</v>
      </c>
      <c r="F380" s="19" t="s">
        <v>69</v>
      </c>
      <c r="G380" s="19" t="s">
        <v>533</v>
      </c>
      <c r="H380" s="19" t="s">
        <v>99</v>
      </c>
      <c r="I380" s="6" t="s">
        <v>309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hidden="1" x14ac:dyDescent="0.35">
      <c r="A381" s="70">
        <v>46203</v>
      </c>
      <c r="B381" s="71" t="s">
        <v>67</v>
      </c>
      <c r="C381" s="73">
        <v>1176.7759999954201</v>
      </c>
      <c r="D381" s="73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309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hidden="1" x14ac:dyDescent="0.35">
      <c r="A382" s="70">
        <v>46203</v>
      </c>
      <c r="B382" s="71" t="s">
        <v>67</v>
      </c>
      <c r="C382" s="73">
        <v>1176.7759999954201</v>
      </c>
      <c r="D382" s="73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309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hidden="1" x14ac:dyDescent="0.35">
      <c r="A383" s="70">
        <v>46203</v>
      </c>
      <c r="B383" s="71" t="s">
        <v>67</v>
      </c>
      <c r="C383" s="73">
        <v>1176.7759999954201</v>
      </c>
      <c r="D383" s="73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309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hidden="1" x14ac:dyDescent="0.35">
      <c r="A384" s="70">
        <v>46203</v>
      </c>
      <c r="B384" s="71" t="s">
        <v>67</v>
      </c>
      <c r="C384" s="73">
        <v>1176.7759999954201</v>
      </c>
      <c r="D384" s="73">
        <v>40948.753804686399</v>
      </c>
      <c r="E384" s="62" t="s">
        <v>68</v>
      </c>
      <c r="F384" s="19" t="s">
        <v>69</v>
      </c>
      <c r="G384" s="19" t="s">
        <v>534</v>
      </c>
      <c r="H384" s="19" t="s">
        <v>99</v>
      </c>
      <c r="I384" s="6" t="s">
        <v>309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hidden="1" x14ac:dyDescent="0.35">
      <c r="A385" s="70">
        <v>46203</v>
      </c>
      <c r="B385" s="71" t="s">
        <v>67</v>
      </c>
      <c r="C385" s="73">
        <v>1176.7759999954201</v>
      </c>
      <c r="D385" s="73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309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hidden="1" x14ac:dyDescent="0.35">
      <c r="A386" s="70">
        <v>46203</v>
      </c>
      <c r="B386" s="71" t="s">
        <v>67</v>
      </c>
      <c r="C386" s="73">
        <v>1176.7759999954201</v>
      </c>
      <c r="D386" s="73">
        <v>40948.753804686399</v>
      </c>
      <c r="E386" s="62" t="s">
        <v>68</v>
      </c>
      <c r="F386" s="19" t="s">
        <v>69</v>
      </c>
      <c r="G386" s="19" t="s">
        <v>535</v>
      </c>
      <c r="H386" s="19" t="s">
        <v>99</v>
      </c>
      <c r="I386" s="6" t="s">
        <v>309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hidden="1" x14ac:dyDescent="0.35">
      <c r="A387" s="70">
        <v>46203</v>
      </c>
      <c r="B387" s="71" t="s">
        <v>67</v>
      </c>
      <c r="C387" s="73">
        <v>1176.7759999954201</v>
      </c>
      <c r="D387" s="73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309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hidden="1" x14ac:dyDescent="0.35">
      <c r="A388" s="70">
        <v>46203</v>
      </c>
      <c r="B388" s="71" t="s">
        <v>67</v>
      </c>
      <c r="C388" s="73">
        <v>1176.7759999954201</v>
      </c>
      <c r="D388" s="73">
        <v>40948.753804686399</v>
      </c>
      <c r="E388" s="62" t="s">
        <v>68</v>
      </c>
      <c r="F388" s="19" t="s">
        <v>69</v>
      </c>
      <c r="G388" s="19" t="s">
        <v>536</v>
      </c>
      <c r="H388" s="19" t="s">
        <v>99</v>
      </c>
      <c r="I388" s="6" t="s">
        <v>309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hidden="1" x14ac:dyDescent="0.35">
      <c r="A389" s="70">
        <v>46203</v>
      </c>
      <c r="B389" s="71" t="s">
        <v>67</v>
      </c>
      <c r="C389" s="73">
        <v>1176.7759999954201</v>
      </c>
      <c r="D389" s="73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309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hidden="1" x14ac:dyDescent="0.35">
      <c r="A390" s="70">
        <v>46203</v>
      </c>
      <c r="B390" s="71" t="s">
        <v>67</v>
      </c>
      <c r="C390" s="73">
        <v>1176.7759999954201</v>
      </c>
      <c r="D390" s="73">
        <v>40948.753804686399</v>
      </c>
      <c r="E390" s="62" t="s">
        <v>68</v>
      </c>
      <c r="F390" s="19" t="s">
        <v>69</v>
      </c>
      <c r="G390" s="19" t="s">
        <v>537</v>
      </c>
      <c r="H390" s="19" t="s">
        <v>99</v>
      </c>
      <c r="I390" s="6" t="s">
        <v>309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hidden="1" x14ac:dyDescent="0.35">
      <c r="A391" s="70">
        <v>46203</v>
      </c>
      <c r="B391" s="71" t="s">
        <v>67</v>
      </c>
      <c r="C391" s="73">
        <v>1176.7759999954201</v>
      </c>
      <c r="D391" s="73">
        <v>40948.753804686399</v>
      </c>
      <c r="E391" s="62" t="s">
        <v>68</v>
      </c>
      <c r="F391" s="19" t="s">
        <v>69</v>
      </c>
      <c r="G391" s="19" t="s">
        <v>538</v>
      </c>
      <c r="H391" s="19" t="s">
        <v>99</v>
      </c>
      <c r="I391" s="6" t="s">
        <v>309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hidden="1" x14ac:dyDescent="0.35">
      <c r="A392" s="70">
        <v>46203</v>
      </c>
      <c r="B392" s="71" t="s">
        <v>67</v>
      </c>
      <c r="C392" s="73">
        <v>1176.7759999954201</v>
      </c>
      <c r="D392" s="73">
        <v>40948.753804686399</v>
      </c>
      <c r="E392" s="62" t="s">
        <v>68</v>
      </c>
      <c r="F392" s="19" t="s">
        <v>297</v>
      </c>
      <c r="G392" s="19" t="s">
        <v>539</v>
      </c>
      <c r="H392" s="19" t="s">
        <v>99</v>
      </c>
      <c r="I392" s="6" t="s">
        <v>309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hidden="1" x14ac:dyDescent="0.35">
      <c r="A393" s="70">
        <v>46203</v>
      </c>
      <c r="B393" s="71" t="s">
        <v>67</v>
      </c>
      <c r="C393" s="73">
        <v>1176.7759999954201</v>
      </c>
      <c r="D393" s="73">
        <v>40948.753804686399</v>
      </c>
      <c r="E393" s="62" t="s">
        <v>68</v>
      </c>
      <c r="F393" s="19" t="s">
        <v>297</v>
      </c>
      <c r="G393" s="19" t="s">
        <v>540</v>
      </c>
      <c r="H393" s="19" t="s">
        <v>99</v>
      </c>
      <c r="I393" s="6" t="s">
        <v>309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hidden="1" x14ac:dyDescent="0.35">
      <c r="A394" s="70">
        <v>46203</v>
      </c>
      <c r="B394" s="71" t="s">
        <v>67</v>
      </c>
      <c r="C394" s="73">
        <v>1176.7759999954201</v>
      </c>
      <c r="D394" s="73">
        <v>40948.753804686399</v>
      </c>
      <c r="E394" s="62" t="s">
        <v>68</v>
      </c>
      <c r="F394" s="19" t="s">
        <v>297</v>
      </c>
      <c r="G394" s="19" t="s">
        <v>541</v>
      </c>
      <c r="H394" s="19" t="s">
        <v>99</v>
      </c>
      <c r="I394" s="6" t="s">
        <v>309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x14ac:dyDescent="0.35">
      <c r="A395" s="70">
        <v>46203</v>
      </c>
      <c r="B395" s="71" t="s">
        <v>67</v>
      </c>
      <c r="C395" s="73">
        <v>1176.7759999954201</v>
      </c>
      <c r="D395" s="73">
        <v>40948.753804686399</v>
      </c>
      <c r="E395" s="62" t="s">
        <v>68</v>
      </c>
      <c r="F395" s="19" t="s">
        <v>208</v>
      </c>
      <c r="G395" s="101" t="s">
        <v>327</v>
      </c>
      <c r="H395" s="19" t="s">
        <v>212</v>
      </c>
      <c r="I395" s="6" t="s">
        <v>542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x14ac:dyDescent="0.35">
      <c r="A396" s="70">
        <v>46203</v>
      </c>
      <c r="B396" s="71" t="s">
        <v>67</v>
      </c>
      <c r="C396" s="73">
        <v>1176.7759999954201</v>
      </c>
      <c r="D396" s="73">
        <v>40948.753804686399</v>
      </c>
      <c r="E396" s="62" t="s">
        <v>68</v>
      </c>
      <c r="F396" s="19" t="s">
        <v>208</v>
      </c>
      <c r="G396" s="101" t="s">
        <v>327</v>
      </c>
      <c r="H396" s="19" t="s">
        <v>212</v>
      </c>
      <c r="I396" s="6" t="s">
        <v>543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x14ac:dyDescent="0.35">
      <c r="A397" s="70">
        <v>46203</v>
      </c>
      <c r="B397" s="71" t="s">
        <v>67</v>
      </c>
      <c r="C397" s="73">
        <v>1176.7759999954201</v>
      </c>
      <c r="D397" s="73">
        <v>40948.753804686399</v>
      </c>
      <c r="E397" s="62" t="s">
        <v>68</v>
      </c>
      <c r="F397" s="19" t="s">
        <v>208</v>
      </c>
      <c r="G397" s="101" t="s">
        <v>327</v>
      </c>
      <c r="H397" s="19" t="s">
        <v>212</v>
      </c>
      <c r="I397" s="6" t="s">
        <v>404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x14ac:dyDescent="0.35">
      <c r="A398" s="70">
        <v>46203</v>
      </c>
      <c r="B398" s="71" t="s">
        <v>67</v>
      </c>
      <c r="C398" s="73">
        <v>1176.7759999954201</v>
      </c>
      <c r="D398" s="73">
        <v>40948.753804686399</v>
      </c>
      <c r="E398" s="62" t="s">
        <v>68</v>
      </c>
      <c r="F398" s="19" t="s">
        <v>208</v>
      </c>
      <c r="G398" s="101" t="s">
        <v>327</v>
      </c>
      <c r="H398" s="19" t="s">
        <v>212</v>
      </c>
      <c r="I398" s="6" t="s">
        <v>544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x14ac:dyDescent="0.35">
      <c r="A399" s="70">
        <v>46203</v>
      </c>
      <c r="B399" s="71" t="s">
        <v>67</v>
      </c>
      <c r="C399" s="73">
        <v>1176.7759999954201</v>
      </c>
      <c r="D399" s="73">
        <v>40948.753804686399</v>
      </c>
      <c r="E399" s="62" t="s">
        <v>68</v>
      </c>
      <c r="F399" s="19" t="s">
        <v>208</v>
      </c>
      <c r="G399" s="101" t="s">
        <v>327</v>
      </c>
      <c r="H399" s="19" t="s">
        <v>212</v>
      </c>
      <c r="I399" s="6" t="s">
        <v>545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>
        <f t="shared" si="123"/>
        <v>200</v>
      </c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18725</v>
      </c>
      <c r="AF399" s="21">
        <v>6.5000000000000002E-2</v>
      </c>
      <c r="AG399" s="10">
        <f t="shared" si="124"/>
        <v>1217.125</v>
      </c>
      <c r="AH399" s="64">
        <f t="shared" si="136"/>
        <v>0</v>
      </c>
      <c r="AI399" s="9">
        <f t="shared" si="137"/>
        <v>17507.875</v>
      </c>
      <c r="AJ399" s="5">
        <v>0.18</v>
      </c>
      <c r="AK399" s="11">
        <f t="shared" si="138"/>
        <v>3151.4175</v>
      </c>
      <c r="AL399" s="9">
        <f t="shared" si="139"/>
        <v>20659.2925</v>
      </c>
      <c r="AP399" s="12"/>
    </row>
    <row r="400" spans="1:42" x14ac:dyDescent="0.35">
      <c r="A400" s="70">
        <v>46203</v>
      </c>
      <c r="B400" s="71" t="s">
        <v>67</v>
      </c>
      <c r="C400" s="73">
        <v>1176.7759999954201</v>
      </c>
      <c r="D400" s="73">
        <v>40948.753804686399</v>
      </c>
      <c r="E400" s="62" t="s">
        <v>68</v>
      </c>
      <c r="F400" s="19" t="s">
        <v>208</v>
      </c>
      <c r="G400" s="101" t="s">
        <v>327</v>
      </c>
      <c r="H400" s="19" t="s">
        <v>212</v>
      </c>
      <c r="I400" s="6" t="s">
        <v>546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>
        <f t="shared" si="123"/>
        <v>200</v>
      </c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18725</v>
      </c>
      <c r="AF400" s="21">
        <v>6.5000000000000002E-2</v>
      </c>
      <c r="AG400" s="10">
        <f t="shared" si="124"/>
        <v>1217.125</v>
      </c>
      <c r="AH400" s="64">
        <f t="shared" si="136"/>
        <v>0</v>
      </c>
      <c r="AI400" s="9">
        <f t="shared" si="137"/>
        <v>17507.875</v>
      </c>
      <c r="AJ400" s="5">
        <v>0.18</v>
      </c>
      <c r="AK400" s="11">
        <f t="shared" si="138"/>
        <v>3151.4175</v>
      </c>
      <c r="AL400" s="9">
        <f t="shared" si="139"/>
        <v>20659.2925</v>
      </c>
      <c r="AP400" s="12"/>
    </row>
    <row r="401" spans="1:42" x14ac:dyDescent="0.35">
      <c r="A401" s="70">
        <v>46203</v>
      </c>
      <c r="B401" s="71" t="s">
        <v>67</v>
      </c>
      <c r="C401" s="73">
        <v>1176.7759999954201</v>
      </c>
      <c r="D401" s="73">
        <v>40948.753804686399</v>
      </c>
      <c r="E401" s="62" t="s">
        <v>68</v>
      </c>
      <c r="F401" s="19" t="s">
        <v>208</v>
      </c>
      <c r="G401" s="101" t="s">
        <v>327</v>
      </c>
      <c r="H401" s="19" t="s">
        <v>212</v>
      </c>
      <c r="I401" s="6" t="s">
        <v>547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>
        <f t="shared" si="123"/>
        <v>200</v>
      </c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18725</v>
      </c>
      <c r="AF401" s="21">
        <v>6.5000000000000002E-2</v>
      </c>
      <c r="AG401" s="10">
        <f t="shared" si="124"/>
        <v>1217.125</v>
      </c>
      <c r="AH401" s="64">
        <f t="shared" si="136"/>
        <v>0</v>
      </c>
      <c r="AI401" s="9">
        <f t="shared" si="137"/>
        <v>17507.875</v>
      </c>
      <c r="AJ401" s="5">
        <v>0.18</v>
      </c>
      <c r="AK401" s="11">
        <f t="shared" si="138"/>
        <v>3151.4175</v>
      </c>
      <c r="AL401" s="9">
        <f t="shared" si="139"/>
        <v>20659.2925</v>
      </c>
      <c r="AP401" s="12"/>
    </row>
    <row r="402" spans="1:42" x14ac:dyDescent="0.35">
      <c r="A402" s="70">
        <v>46203</v>
      </c>
      <c r="B402" s="71" t="s">
        <v>67</v>
      </c>
      <c r="C402" s="73">
        <v>1176.7759999954201</v>
      </c>
      <c r="D402" s="73">
        <v>40948.753804686399</v>
      </c>
      <c r="E402" s="62" t="s">
        <v>68</v>
      </c>
      <c r="F402" s="19" t="s">
        <v>208</v>
      </c>
      <c r="G402" s="101" t="s">
        <v>327</v>
      </c>
      <c r="H402" s="19" t="s">
        <v>212</v>
      </c>
      <c r="I402" s="6" t="s">
        <v>548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>
        <f t="shared" si="123"/>
        <v>200</v>
      </c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18725</v>
      </c>
      <c r="AF402" s="21">
        <v>6.5000000000000002E-2</v>
      </c>
      <c r="AG402" s="10">
        <f t="shared" si="124"/>
        <v>1217.125</v>
      </c>
      <c r="AH402" s="64">
        <f t="shared" si="136"/>
        <v>0</v>
      </c>
      <c r="AI402" s="9">
        <f t="shared" si="137"/>
        <v>17507.875</v>
      </c>
      <c r="AJ402" s="5">
        <v>0.18</v>
      </c>
      <c r="AK402" s="11">
        <f t="shared" si="138"/>
        <v>3151.4175</v>
      </c>
      <c r="AL402" s="9">
        <f t="shared" si="139"/>
        <v>20659.2925</v>
      </c>
      <c r="AP402" s="12"/>
    </row>
    <row r="403" spans="1:42" x14ac:dyDescent="0.35">
      <c r="A403" s="70">
        <v>46203</v>
      </c>
      <c r="B403" s="71" t="s">
        <v>67</v>
      </c>
      <c r="C403" s="73">
        <v>1176.7759999954201</v>
      </c>
      <c r="D403" s="73">
        <v>40948.753804686399</v>
      </c>
      <c r="E403" s="62" t="s">
        <v>68</v>
      </c>
      <c r="F403" s="19" t="s">
        <v>208</v>
      </c>
      <c r="G403" s="101" t="s">
        <v>327</v>
      </c>
      <c r="H403" s="19" t="s">
        <v>212</v>
      </c>
      <c r="I403" s="6" t="s">
        <v>549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>
        <f t="shared" si="123"/>
        <v>400</v>
      </c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37450</v>
      </c>
      <c r="AF403" s="21">
        <v>6.5000000000000002E-2</v>
      </c>
      <c r="AG403" s="10">
        <f t="shared" si="124"/>
        <v>2434.25</v>
      </c>
      <c r="AH403" s="64">
        <f t="shared" si="136"/>
        <v>0</v>
      </c>
      <c r="AI403" s="9">
        <f t="shared" si="137"/>
        <v>35015.75</v>
      </c>
      <c r="AJ403" s="5">
        <v>0.18</v>
      </c>
      <c r="AK403" s="11">
        <f t="shared" si="138"/>
        <v>6302.835</v>
      </c>
      <c r="AL403" s="9">
        <f t="shared" si="139"/>
        <v>41318.584999999999</v>
      </c>
      <c r="AP403" s="12"/>
    </row>
    <row r="404" spans="1:42" x14ac:dyDescent="0.35">
      <c r="A404" s="70">
        <v>46203</v>
      </c>
      <c r="B404" s="71" t="s">
        <v>67</v>
      </c>
      <c r="C404" s="73">
        <v>1176.7759999954201</v>
      </c>
      <c r="D404" s="73">
        <v>40948.753804686399</v>
      </c>
      <c r="E404" s="62" t="s">
        <v>68</v>
      </c>
      <c r="F404" s="19" t="s">
        <v>208</v>
      </c>
      <c r="G404" s="101" t="s">
        <v>327</v>
      </c>
      <c r="H404" s="19" t="s">
        <v>212</v>
      </c>
      <c r="I404" s="6" t="s">
        <v>550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>
        <f t="shared" si="123"/>
        <v>200</v>
      </c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18725</v>
      </c>
      <c r="AF404" s="21">
        <v>6.5000000000000002E-2</v>
      </c>
      <c r="AG404" s="10">
        <f t="shared" si="124"/>
        <v>1217.125</v>
      </c>
      <c r="AH404" s="64">
        <f t="shared" si="136"/>
        <v>0</v>
      </c>
      <c r="AI404" s="9">
        <f t="shared" si="137"/>
        <v>17507.875</v>
      </c>
      <c r="AJ404" s="5">
        <v>0.18</v>
      </c>
      <c r="AK404" s="11">
        <f t="shared" si="138"/>
        <v>3151.4175</v>
      </c>
      <c r="AL404" s="9">
        <f t="shared" si="139"/>
        <v>20659.2925</v>
      </c>
      <c r="AP404" s="12"/>
    </row>
    <row r="405" spans="1:42" x14ac:dyDescent="0.35">
      <c r="A405" s="70">
        <v>46203</v>
      </c>
      <c r="B405" s="71" t="s">
        <v>67</v>
      </c>
      <c r="C405" s="73">
        <v>1176.7759999954201</v>
      </c>
      <c r="D405" s="73">
        <v>40948.753804686399</v>
      </c>
      <c r="E405" s="62" t="s">
        <v>68</v>
      </c>
      <c r="F405" s="19" t="s">
        <v>208</v>
      </c>
      <c r="G405" s="101" t="s">
        <v>327</v>
      </c>
      <c r="H405" s="19" t="s">
        <v>212</v>
      </c>
      <c r="I405" s="6" t="s">
        <v>551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>
        <f t="shared" si="123"/>
        <v>200</v>
      </c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18725</v>
      </c>
      <c r="AF405" s="21">
        <v>0.1</v>
      </c>
      <c r="AG405" s="10">
        <f t="shared" si="124"/>
        <v>1872.5</v>
      </c>
      <c r="AH405" s="64">
        <f t="shared" si="136"/>
        <v>0</v>
      </c>
      <c r="AI405" s="9">
        <f t="shared" si="137"/>
        <v>16852.5</v>
      </c>
      <c r="AJ405" s="5">
        <v>0.18</v>
      </c>
      <c r="AK405" s="11">
        <f t="shared" si="138"/>
        <v>3033.45</v>
      </c>
      <c r="AL405" s="9">
        <f t="shared" si="139"/>
        <v>19885.95</v>
      </c>
      <c r="AP405" s="12"/>
    </row>
    <row r="406" spans="1:42" hidden="1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hidden="1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hidden="1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hidden="1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hidden="1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hidden="1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hidden="1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hidden="1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hidden="1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hidden="1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hidden="1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hidden="1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hidden="1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hidden="1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hidden="1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hidden="1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hidden="1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hidden="1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hidden="1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hidden="1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138713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12982291.894999988</v>
      </c>
      <c r="AF425" s="7"/>
      <c r="AG425" s="6">
        <f>SUM(AG3:AG424)</f>
        <v>912654.07826250093</v>
      </c>
      <c r="AH425" s="6">
        <f>SUM(AH3:AH424)</f>
        <v>13957.539749999978</v>
      </c>
      <c r="AI425" s="6">
        <f>SUM(AI3:AI424)</f>
        <v>12069569.094237501</v>
      </c>
      <c r="AK425" s="6">
        <f>SUM(AK3:AK424)</f>
        <v>2172522.4369627498</v>
      </c>
      <c r="AL425" s="6">
        <f>SUM(AL3:AL424)</f>
        <v>14242091.531200251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353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79">
        <f t="shared" si="142"/>
        <v>3467.8249999999998</v>
      </c>
      <c r="T429" s="79">
        <f t="shared" si="142"/>
        <v>20.34375</v>
      </c>
      <c r="U429" s="79">
        <f t="shared" si="142"/>
        <v>21.125</v>
      </c>
      <c r="V429" s="79">
        <f t="shared" si="142"/>
        <v>18.273749999999996</v>
      </c>
      <c r="W429" s="79">
        <f t="shared" si="142"/>
        <v>59.742499999999993</v>
      </c>
      <c r="X429" s="79">
        <f t="shared" si="142"/>
        <v>31.310000000000002</v>
      </c>
      <c r="Y429" s="79">
        <f t="shared" si="142"/>
        <v>28.17625</v>
      </c>
      <c r="Z429" s="79">
        <f t="shared" si="142"/>
        <v>41.46875</v>
      </c>
      <c r="AA429" s="79">
        <f t="shared" si="142"/>
        <v>100.95500000000001</v>
      </c>
      <c r="AB429" s="80"/>
      <c r="AC429" s="57">
        <f t="shared" si="142"/>
        <v>0</v>
      </c>
      <c r="AD429" s="57">
        <f t="shared" si="142"/>
        <v>0</v>
      </c>
      <c r="AE429" s="57">
        <f t="shared" si="142"/>
        <v>324557.29737499973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0"/>
      <c r="AO429" s="80"/>
      <c r="AP429" s="57"/>
    </row>
    <row r="430" spans="1:42" x14ac:dyDescent="0.35">
      <c r="H430">
        <f>H428+H429</f>
        <v>24547</v>
      </c>
    </row>
    <row r="431" spans="1:42" x14ac:dyDescent="0.35">
      <c r="K431" s="78">
        <f>K429+T429</f>
        <v>427.21875</v>
      </c>
      <c r="L431" s="78">
        <f>L429+U429</f>
        <v>443.625</v>
      </c>
      <c r="M431" s="78">
        <f>M429+V429</f>
        <v>383.74875000000003</v>
      </c>
      <c r="S431" s="78">
        <f>S429+W429+AA429</f>
        <v>3628.5224999999996</v>
      </c>
      <c r="X431" t="s">
        <v>50</v>
      </c>
    </row>
  </sheetData>
  <autoFilter ref="A1:AP425" xr:uid="{4909E717-3884-4AA3-A82A-69FACD0ADABD}">
    <filterColumn colId="7">
      <filters>
        <filter val="Shakoor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2" t="s">
        <v>36</v>
      </c>
      <c r="E4" s="123"/>
      <c r="F4" s="123"/>
      <c r="G4" s="123"/>
      <c r="H4" s="124"/>
    </row>
    <row r="5" spans="4:8" ht="15" thickBot="1" x14ac:dyDescent="0.4">
      <c r="D5" s="22" t="s">
        <v>354</v>
      </c>
      <c r="E5" s="125"/>
      <c r="F5" s="125"/>
      <c r="G5" s="125"/>
      <c r="H5" s="125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1" t="s">
        <v>52</v>
      </c>
      <c r="D23" s="82" t="s">
        <v>363</v>
      </c>
      <c r="E23" s="83" t="s">
        <v>365</v>
      </c>
      <c r="F23" s="83" t="s">
        <v>53</v>
      </c>
      <c r="G23" s="82" t="s">
        <v>54</v>
      </c>
      <c r="H23" s="82" t="s">
        <v>55</v>
      </c>
      <c r="I23" s="82" t="s">
        <v>56</v>
      </c>
      <c r="J23" s="82" t="s">
        <v>57</v>
      </c>
      <c r="K23" s="82" t="s">
        <v>64</v>
      </c>
      <c r="L23" s="42" t="s">
        <v>58</v>
      </c>
      <c r="M23" s="43" t="s">
        <v>59</v>
      </c>
    </row>
    <row r="24" spans="3:13" x14ac:dyDescent="0.35">
      <c r="C24" s="97" t="s">
        <v>356</v>
      </c>
      <c r="D24" s="44" t="s">
        <v>364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4"/>
      <c r="L24" s="86">
        <f t="shared" ref="L24:L30" si="3">I24+J24+G24+H24+K24</f>
        <v>0</v>
      </c>
      <c r="M24" s="90">
        <f t="shared" ref="M24:M30" si="4">L24/E24</f>
        <v>0</v>
      </c>
    </row>
    <row r="25" spans="3:13" x14ac:dyDescent="0.35">
      <c r="C25" s="98" t="s">
        <v>357</v>
      </c>
      <c r="D25" s="47" t="s">
        <v>364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5"/>
      <c r="L25" s="87">
        <f t="shared" si="3"/>
        <v>0</v>
      </c>
      <c r="M25" s="91">
        <f t="shared" si="4"/>
        <v>0</v>
      </c>
    </row>
    <row r="26" spans="3:13" x14ac:dyDescent="0.35">
      <c r="C26" s="98" t="s">
        <v>358</v>
      </c>
      <c r="D26" s="47" t="s">
        <v>364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5"/>
      <c r="L26" s="87">
        <f t="shared" si="3"/>
        <v>0</v>
      </c>
      <c r="M26" s="91">
        <f t="shared" si="4"/>
        <v>0</v>
      </c>
    </row>
    <row r="27" spans="3:13" x14ac:dyDescent="0.35">
      <c r="C27" s="98" t="s">
        <v>360</v>
      </c>
      <c r="D27" s="47" t="s">
        <v>364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5"/>
      <c r="L27" s="88">
        <f t="shared" si="3"/>
        <v>0</v>
      </c>
      <c r="M27" s="92">
        <f t="shared" si="4"/>
        <v>0</v>
      </c>
    </row>
    <row r="28" spans="3:13" x14ac:dyDescent="0.35">
      <c r="C28" s="98" t="s">
        <v>359</v>
      </c>
      <c r="D28" s="47" t="s">
        <v>364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5"/>
      <c r="L28" s="88">
        <f t="shared" si="3"/>
        <v>0</v>
      </c>
      <c r="M28" s="92">
        <f t="shared" si="4"/>
        <v>0</v>
      </c>
    </row>
    <row r="29" spans="3:13" x14ac:dyDescent="0.35">
      <c r="C29" s="98" t="s">
        <v>361</v>
      </c>
      <c r="D29" s="47" t="s">
        <v>364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5"/>
      <c r="L29" s="88">
        <f t="shared" si="3"/>
        <v>0</v>
      </c>
      <c r="M29" s="92">
        <f t="shared" si="4"/>
        <v>0</v>
      </c>
    </row>
    <row r="30" spans="3:13" ht="15" thickBot="1" x14ac:dyDescent="0.4">
      <c r="C30" s="99" t="s">
        <v>362</v>
      </c>
      <c r="D30" s="93" t="s">
        <v>364</v>
      </c>
      <c r="E30" s="93">
        <v>5000</v>
      </c>
      <c r="F30" s="60">
        <f t="shared" si="1"/>
        <v>0</v>
      </c>
      <c r="G30" s="94">
        <f t="shared" si="5"/>
        <v>0</v>
      </c>
      <c r="H30" s="94">
        <f t="shared" si="2"/>
        <v>0</v>
      </c>
      <c r="I30" s="95"/>
      <c r="J30" s="95"/>
      <c r="K30" s="96"/>
      <c r="L30" s="89">
        <f t="shared" si="3"/>
        <v>0</v>
      </c>
      <c r="M30" s="92">
        <f t="shared" si="4"/>
        <v>0</v>
      </c>
    </row>
    <row r="31" spans="3:13" ht="16" thickBot="1" x14ac:dyDescent="0.4">
      <c r="C31" s="126" t="s">
        <v>60</v>
      </c>
      <c r="D31" s="127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2026-08-06T09:06:11Z</dcterms:modified>
</cp:coreProperties>
</file>