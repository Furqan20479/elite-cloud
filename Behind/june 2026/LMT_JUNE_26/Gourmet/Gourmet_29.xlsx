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93ADA4A1-2D39-4781-8149-6B41EA083ACB}" xr6:coauthVersionLast="47" xr6:coauthVersionMax="47" xr10:uidLastSave="{00000000-0000-0000-0000-000000000000}"/>
  <bookViews>
    <workbookView xWindow="-110" yWindow="-110" windowWidth="19420" windowHeight="10420" tabRatio="949" activeTab="21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4">'2'!$A$1:$P$36</definedName>
    <definedName name="_xlnm.Print_Area" localSheetId="6">'4'!$A$1:$P$36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5" i="36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5" i="42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5" i="4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5" i="40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5" i="39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5" i="38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5" i="37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K21" i="40" s="1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K20" i="41" s="1"/>
  <c r="M20" i="41" s="1"/>
  <c r="I21" i="41"/>
  <c r="K21" i="41" s="1"/>
  <c r="I22" i="41"/>
  <c r="I23" i="41"/>
  <c r="I24" i="41"/>
  <c r="L24" i="41" s="1"/>
  <c r="I16" i="36"/>
  <c r="K16" i="36" s="1"/>
  <c r="I17" i="36"/>
  <c r="I18" i="36"/>
  <c r="I19" i="36"/>
  <c r="I20" i="36"/>
  <c r="K20" i="36" s="1"/>
  <c r="I21" i="36"/>
  <c r="I22" i="36"/>
  <c r="I23" i="36"/>
  <c r="I24" i="36"/>
  <c r="K24" i="36" s="1"/>
  <c r="K18" i="36"/>
  <c r="L18" i="36"/>
  <c r="K19" i="36"/>
  <c r="L19" i="36"/>
  <c r="K22" i="36"/>
  <c r="L22" i="36"/>
  <c r="M22" i="36"/>
  <c r="I25" i="36"/>
  <c r="P28" i="36" s="1"/>
  <c r="K21" i="36"/>
  <c r="L21" i="36"/>
  <c r="K17" i="36"/>
  <c r="L17" i="36"/>
  <c r="K23" i="36"/>
  <c r="L23" i="36"/>
  <c r="I25" i="42"/>
  <c r="P28" i="42" s="1"/>
  <c r="K16" i="42"/>
  <c r="L16" i="42"/>
  <c r="K18" i="42"/>
  <c r="L18" i="42"/>
  <c r="K20" i="42"/>
  <c r="L20" i="42"/>
  <c r="K22" i="42"/>
  <c r="M22" i="42" s="1"/>
  <c r="L22" i="42"/>
  <c r="K23" i="42"/>
  <c r="L23" i="42"/>
  <c r="M23" i="42"/>
  <c r="K17" i="42"/>
  <c r="L17" i="42"/>
  <c r="K19" i="42"/>
  <c r="L19" i="42"/>
  <c r="K21" i="42"/>
  <c r="L21" i="42"/>
  <c r="K24" i="42"/>
  <c r="L24" i="42"/>
  <c r="M24" i="42" s="1"/>
  <c r="L16" i="41"/>
  <c r="K17" i="41"/>
  <c r="K18" i="41"/>
  <c r="L18" i="41"/>
  <c r="K19" i="41"/>
  <c r="L19" i="41"/>
  <c r="L20" i="41"/>
  <c r="K22" i="41"/>
  <c r="L22" i="41"/>
  <c r="K23" i="41"/>
  <c r="M23" i="41" s="1"/>
  <c r="L23" i="41"/>
  <c r="K24" i="41"/>
  <c r="K16" i="40"/>
  <c r="M16" i="40"/>
  <c r="L16" i="40"/>
  <c r="L17" i="40"/>
  <c r="K18" i="40"/>
  <c r="K19" i="40"/>
  <c r="L19" i="40"/>
  <c r="K20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K16" i="39"/>
  <c r="L16" i="39"/>
  <c r="M16" i="39"/>
  <c r="K17" i="39"/>
  <c r="L17" i="39"/>
  <c r="K18" i="39"/>
  <c r="L18" i="39"/>
  <c r="K19" i="39"/>
  <c r="L19" i="39"/>
  <c r="K20" i="39"/>
  <c r="L20" i="39"/>
  <c r="K21" i="39"/>
  <c r="M21" i="39" s="1"/>
  <c r="L21" i="39"/>
  <c r="K22" i="39"/>
  <c r="L22" i="39"/>
  <c r="K17" i="38"/>
  <c r="L17" i="38"/>
  <c r="K20" i="38"/>
  <c r="L20" i="38"/>
  <c r="K22" i="38"/>
  <c r="L22" i="38"/>
  <c r="K23" i="38"/>
  <c r="L23" i="38"/>
  <c r="K16" i="38"/>
  <c r="L16" i="38"/>
  <c r="K18" i="38"/>
  <c r="L18" i="38"/>
  <c r="M18" i="38" s="1"/>
  <c r="K19" i="38"/>
  <c r="L19" i="38"/>
  <c r="K21" i="38"/>
  <c r="L21" i="38"/>
  <c r="K24" i="38"/>
  <c r="L24" i="38"/>
  <c r="I25" i="37"/>
  <c r="P28" i="37" s="1"/>
  <c r="K16" i="37"/>
  <c r="L16" i="37"/>
  <c r="K17" i="37"/>
  <c r="L17" i="37"/>
  <c r="K20" i="37"/>
  <c r="L20" i="37"/>
  <c r="K22" i="37"/>
  <c r="L22" i="37"/>
  <c r="K24" i="37"/>
  <c r="L24" i="37"/>
  <c r="K19" i="37"/>
  <c r="L19" i="37"/>
  <c r="K23" i="37"/>
  <c r="L23" i="37"/>
  <c r="K18" i="37"/>
  <c r="L18" i="37"/>
  <c r="M18" i="37" s="1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5" i="35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5" i="34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5" i="33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5" i="32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5" i="3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5" i="30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5" i="29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5" i="28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K17" i="40"/>
  <c r="L21" i="41"/>
  <c r="M21" i="41" s="1"/>
  <c r="N21" i="41" s="1"/>
  <c r="M18" i="41"/>
  <c r="K16" i="41"/>
  <c r="M21" i="42"/>
  <c r="M16" i="42"/>
  <c r="L20" i="36"/>
  <c r="L24" i="36"/>
  <c r="M24" i="36" s="1"/>
  <c r="L16" i="36"/>
  <c r="M16" i="36" s="1"/>
  <c r="N16" i="36" s="1"/>
  <c r="I17" i="33"/>
  <c r="K17" i="33" s="1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P20" i="40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P17" i="38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K22" i="28" s="1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K22" i="29" s="1"/>
  <c r="I23" i="29"/>
  <c r="L23" i="29" s="1"/>
  <c r="I24" i="29"/>
  <c r="L24" i="29" s="1"/>
  <c r="I24" i="32"/>
  <c r="K24" i="32" s="1"/>
  <c r="I19" i="33"/>
  <c r="L19" i="33" s="1"/>
  <c r="I23" i="33"/>
  <c r="L23" i="33" s="1"/>
  <c r="K16" i="35"/>
  <c r="K17" i="35"/>
  <c r="K18" i="35"/>
  <c r="K19" i="35"/>
  <c r="K20" i="35"/>
  <c r="K21" i="35"/>
  <c r="K22" i="35"/>
  <c r="L22" i="35"/>
  <c r="M22" i="35"/>
  <c r="K23" i="35"/>
  <c r="L23" i="35"/>
  <c r="L24" i="35"/>
  <c r="K23" i="34"/>
  <c r="L23" i="34"/>
  <c r="K21" i="33"/>
  <c r="K22" i="33"/>
  <c r="L22" i="33"/>
  <c r="K19" i="33"/>
  <c r="K24" i="33"/>
  <c r="L24" i="33"/>
  <c r="K16" i="32"/>
  <c r="K24" i="31"/>
  <c r="L24" i="31"/>
  <c r="L23" i="31"/>
  <c r="L23" i="30"/>
  <c r="K24" i="30"/>
  <c r="L24" i="30"/>
  <c r="K24" i="29"/>
  <c r="L22" i="29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5" i="27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5" i="26"/>
  <c r="L22" i="30" l="1"/>
  <c r="L22" i="28"/>
  <c r="N24" i="36"/>
  <c r="O24" i="36" s="1"/>
  <c r="O17" i="36"/>
  <c r="P17" i="36"/>
  <c r="O24" i="41"/>
  <c r="P24" i="41" s="1"/>
  <c r="O21" i="41"/>
  <c r="P21" i="41" s="1"/>
  <c r="M24" i="29"/>
  <c r="K17" i="30"/>
  <c r="M17" i="30" s="1"/>
  <c r="N17" i="30" s="1"/>
  <c r="O17" i="30" s="1"/>
  <c r="L24" i="32"/>
  <c r="I25" i="35"/>
  <c r="P28" i="35" s="1"/>
  <c r="P19" i="4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K17" i="34"/>
  <c r="P18" i="38"/>
  <c r="N19" i="41"/>
  <c r="O19" i="41" s="1"/>
  <c r="P18" i="41"/>
  <c r="K16" i="28"/>
  <c r="L22" i="34"/>
  <c r="M22" i="34" s="1"/>
  <c r="N22" i="34" s="1"/>
  <c r="O22" i="34" s="1"/>
  <c r="L22" i="32"/>
  <c r="P22" i="37"/>
  <c r="P22" i="36"/>
  <c r="K21" i="30"/>
  <c r="M21" i="30" s="1"/>
  <c r="N21" i="30" s="1"/>
  <c r="O21" i="30" s="1"/>
  <c r="K21" i="32"/>
  <c r="P19" i="40"/>
  <c r="M25" i="36"/>
  <c r="M25" i="41"/>
  <c r="M25" i="39"/>
  <c r="P31" i="38"/>
  <c r="K17" i="32"/>
  <c r="K17" i="28"/>
  <c r="K17" i="31"/>
  <c r="P17" i="39"/>
  <c r="K16" i="30"/>
  <c r="M16" i="30" s="1"/>
  <c r="N16" i="30" s="1"/>
  <c r="K16" i="31"/>
  <c r="M16" i="31" s="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M18" i="34" s="1"/>
  <c r="N18" i="34" s="1"/>
  <c r="O18" i="34" s="1"/>
  <c r="P18" i="34" s="1"/>
  <c r="L18" i="34"/>
  <c r="K21" i="34"/>
  <c r="M21" i="34" s="1"/>
  <c r="N21" i="34" s="1"/>
  <c r="O21" i="34" s="1"/>
  <c r="K20" i="34"/>
  <c r="L20" i="34"/>
  <c r="K19" i="34"/>
  <c r="L19" i="34"/>
  <c r="K20" i="33"/>
  <c r="L20" i="33"/>
  <c r="K18" i="33"/>
  <c r="M18" i="33" s="1"/>
  <c r="N18" i="33" s="1"/>
  <c r="O18" i="33" s="1"/>
  <c r="L18" i="33"/>
  <c r="K20" i="32"/>
  <c r="M20" i="32" s="1"/>
  <c r="N20" i="32" s="1"/>
  <c r="O20" i="32" s="1"/>
  <c r="L20" i="32"/>
  <c r="K19" i="32"/>
  <c r="K18" i="32"/>
  <c r="L18" i="32"/>
  <c r="K21" i="31"/>
  <c r="L21" i="31"/>
  <c r="K20" i="31"/>
  <c r="M20" i="31" s="1"/>
  <c r="N20" i="31" s="1"/>
  <c r="O20" i="31" s="1"/>
  <c r="K19" i="31"/>
  <c r="L19" i="31"/>
  <c r="K18" i="31"/>
  <c r="L18" i="31"/>
  <c r="K18" i="30"/>
  <c r="L18" i="30"/>
  <c r="K20" i="30"/>
  <c r="L20" i="30"/>
  <c r="K21" i="28"/>
  <c r="K19" i="29"/>
  <c r="L19" i="29"/>
  <c r="K16" i="29"/>
  <c r="M16" i="29" s="1"/>
  <c r="N16" i="29" s="1"/>
  <c r="K18" i="29"/>
  <c r="L18" i="29"/>
  <c r="K17" i="29"/>
  <c r="L17" i="29"/>
  <c r="K20" i="29"/>
  <c r="L20" i="29"/>
  <c r="K19" i="28"/>
  <c r="L19" i="28"/>
  <c r="K18" i="28"/>
  <c r="L18" i="28"/>
  <c r="K20" i="28"/>
  <c r="L20" i="28"/>
  <c r="K21" i="29"/>
  <c r="M21" i="29" s="1"/>
  <c r="N21" i="29" s="1"/>
  <c r="O21" i="29" s="1"/>
  <c r="I25" i="28"/>
  <c r="P28" i="28" s="1"/>
  <c r="M17" i="28"/>
  <c r="N17" i="28" s="1"/>
  <c r="O17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16" i="27"/>
  <c r="K17" i="27"/>
  <c r="K20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M19" i="34" l="1"/>
  <c r="N19" i="34" s="1"/>
  <c r="O19" i="34" s="1"/>
  <c r="L25" i="34"/>
  <c r="P29" i="34" s="1"/>
  <c r="L25" i="30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K21" i="27"/>
  <c r="M21" i="27" s="1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I25" i="26"/>
  <c r="P28" i="26" s="1"/>
  <c r="M23" i="27"/>
  <c r="P23" i="32"/>
  <c r="P23" i="31"/>
  <c r="P17" i="31"/>
  <c r="P19" i="32"/>
  <c r="P22" i="35"/>
  <c r="P17" i="32"/>
  <c r="P17" i="33"/>
  <c r="P20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P19" i="31"/>
  <c r="N16" i="31"/>
  <c r="O16" i="30"/>
  <c r="P23" i="30"/>
  <c r="P17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5" i="25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5" i="24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5" i="23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5" i="22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5" i="2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5" i="20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5" i="19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5" i="18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5" i="17"/>
  <c r="P31" i="34" l="1"/>
  <c r="M21" i="26"/>
  <c r="N21" i="26" s="1"/>
  <c r="O21" i="26" s="1"/>
  <c r="P21" i="31"/>
  <c r="P20" i="29"/>
  <c r="M25" i="31"/>
  <c r="P18" i="31"/>
  <c r="P19" i="29"/>
  <c r="P19" i="28"/>
  <c r="M25" i="28"/>
  <c r="O25" i="30"/>
  <c r="M25" i="30"/>
  <c r="P31" i="28"/>
  <c r="K25" i="27"/>
  <c r="P30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L25" i="26"/>
  <c r="P29" i="26" s="1"/>
  <c r="P31" i="29"/>
  <c r="M16" i="26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16" i="32"/>
  <c r="P25" i="32" s="1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4" i="19"/>
  <c r="L24" i="19"/>
  <c r="K22" i="19"/>
  <c r="L22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5" i="16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K20" i="19"/>
  <c r="P18" i="26"/>
  <c r="M25" i="26"/>
  <c r="P31" i="26"/>
  <c r="P33" i="28"/>
  <c r="P34" i="28" s="1"/>
  <c r="P35" i="28" s="1"/>
  <c r="U26" i="15" s="1"/>
  <c r="P25" i="30"/>
  <c r="P33" i="29"/>
  <c r="P34" i="29" s="1"/>
  <c r="P35" i="29" s="1"/>
  <c r="U27" i="15" s="1"/>
  <c r="N16" i="26"/>
  <c r="K16" i="25"/>
  <c r="K18" i="19"/>
  <c r="M18" i="19" s="1"/>
  <c r="N18" i="19" s="1"/>
  <c r="O18" i="19" s="1"/>
  <c r="K22" i="18"/>
  <c r="M22" i="18" s="1"/>
  <c r="K21" i="19"/>
  <c r="M21" i="19" s="1"/>
  <c r="K20" i="17"/>
  <c r="L20" i="17"/>
  <c r="K16" i="17"/>
  <c r="M16" i="17" s="1"/>
  <c r="L16" i="17"/>
  <c r="K19" i="17"/>
  <c r="L19" i="17"/>
  <c r="K17" i="17"/>
  <c r="L17" i="17"/>
  <c r="K18" i="17"/>
  <c r="L18" i="17"/>
  <c r="K19" i="18"/>
  <c r="L19" i="18"/>
  <c r="L25" i="18" s="1"/>
  <c r="P29" i="18" s="1"/>
  <c r="K17" i="20"/>
  <c r="M17" i="20" s="1"/>
  <c r="N17" i="20" s="1"/>
  <c r="O17" i="20" s="1"/>
  <c r="L17" i="20"/>
  <c r="K19" i="20"/>
  <c r="L19" i="20"/>
  <c r="K18" i="20"/>
  <c r="M18" i="20" s="1"/>
  <c r="N18" i="20" s="1"/>
  <c r="O18" i="20" s="1"/>
  <c r="L18" i="20"/>
  <c r="K19" i="23"/>
  <c r="M19" i="23" s="1"/>
  <c r="N19" i="23" s="1"/>
  <c r="O19" i="23" s="1"/>
  <c r="L19" i="23"/>
  <c r="K21" i="23"/>
  <c r="L21" i="23"/>
  <c r="K17" i="25"/>
  <c r="M17" i="25" s="1"/>
  <c r="N17" i="25" s="1"/>
  <c r="O17" i="25" s="1"/>
  <c r="L22" i="25"/>
  <c r="K21" i="24"/>
  <c r="M21" i="24" s="1"/>
  <c r="N21" i="24" s="1"/>
  <c r="O21" i="24" s="1"/>
  <c r="K18" i="24"/>
  <c r="L18" i="24"/>
  <c r="K20" i="24"/>
  <c r="L20" i="24"/>
  <c r="K21" i="21"/>
  <c r="L21" i="21"/>
  <c r="K20" i="21"/>
  <c r="L20" i="21"/>
  <c r="K19" i="21"/>
  <c r="L19" i="21"/>
  <c r="K18" i="21"/>
  <c r="L18" i="2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L25" i="19"/>
  <c r="P29" i="19" s="1"/>
  <c r="N24" i="18"/>
  <c r="O24" i="18" s="1"/>
  <c r="N22" i="18"/>
  <c r="O22" i="18" s="1"/>
  <c r="I23" i="15"/>
  <c r="P33" i="26" l="1"/>
  <c r="M20" i="2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N16" i="17"/>
  <c r="P24" i="17"/>
  <c r="P18" i="17"/>
  <c r="P22" i="17"/>
  <c r="M25" i="20" l="1"/>
  <c r="P17" i="17"/>
  <c r="P21" i="23"/>
  <c r="P20" i="24"/>
  <c r="M25" i="24"/>
  <c r="N25" i="24"/>
  <c r="P32" i="24" s="1"/>
  <c r="P33" i="24" s="1"/>
  <c r="P34" i="24" s="1"/>
  <c r="P35" i="24" s="1"/>
  <c r="U22" i="15" s="1"/>
  <c r="P19" i="2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O22" i="16" s="1"/>
  <c r="O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P16" i="23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O25" i="21" l="1"/>
  <c r="P33" i="20"/>
  <c r="P34" i="20" s="1"/>
  <c r="P35" i="20" s="1"/>
  <c r="U18" i="15" s="1"/>
  <c r="N22" i="15"/>
  <c r="P25" i="24"/>
  <c r="P33" i="2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<sst xmlns="http://schemas.openxmlformats.org/spreadsheetml/2006/main" count="2007" uniqueCount="129">
  <si>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</si>
  <si>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</si>
  <si>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</si>
  <si>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</si>
  <si>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</si>
  <si>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</si>
  <si>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</si>
  <si>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</si>
  <si>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</si>
  <si>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</si>
  <si>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</si>
  <si>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</si>
  <si>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</si>
  <si>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</si>
  <si>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</si>
  <si>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</si>
  <si>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</si>
  <si>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</si>
  <si>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</si>
  <si>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</si>
  <si>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</si>
  <si>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</si>
  <si>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</si>
  <si>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</si>
  <si>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</si>
  <si>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</si>
  <si>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</si>
  <si>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</si>
  <si>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</si>
  <si>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</si>
  <si>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</si>
  <si>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</si>
  <si>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</si>
  <si>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</si>
  <si>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</si>
  <si>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</si>
  <si>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</si>
  <si>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</si>
  <si>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</si>
  <si>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</si>
  <si>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</si>
  <si>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</si>
  <si>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</si>
  <si>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</si>
  <si>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</si>
  <si>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</si>
  <si>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</si>
  <si>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</si>
  <si>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</si>
  <si>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</si>
  <si>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</si>
  <si>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</si>
  <si>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</si>
  <si>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</si>
  <si>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</si>
  <si>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</si>
  <si>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</si>
  <si>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</si>
  <si>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</si>
  <si>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</si>
  <si>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</si>
  <si>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</si>
  <si>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</si>
  <si>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</si>
  <si>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</si>
  <si>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</si>
  <si>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</si>
  <si>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</si>
  <si>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</si>
  <si>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</si>
  <si>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</si>
  <si>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</si>
  <si>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</si>
  <si>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</si>
  <si>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</si>
  <si>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</si>
  <si>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</si>
  <si>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</si>
  <si>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</si>
  <si>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</si>
  <si>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</si>
  <si>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</si>
  <si>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</si>
  <si>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</si>
  <si>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</si>
  <si>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</si>
  <si>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</si>
  <si>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</si>
  <si>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</si>
  <si>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</si>
  <si>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</si>
  <si>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</si>
  <si>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</si>
  <si>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</si>
  <si>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</si>
  <si>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</si>
  <si>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</si>
  <si>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</si>
  <si>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</si>
  <si>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</si>
  <si>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</si>
  <si>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</si>
  <si>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</si>
  <si>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</si>
  <si>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</si>
  <si>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>mm</t>
  </si>
  <si>
    <t xml:space="preserve">Address: </t>
  </si>
  <si>
    <t xml:space="preserve">Customer Name : Gourmet Food Iqbal Town </t>
  </si>
  <si>
    <t>Address: 18 g iqbal town LHR</t>
  </si>
  <si>
    <t xml:space="preserve">Customer Name : Gourmet Food Central Park </t>
  </si>
  <si>
    <t xml:space="preserve">Address: Central Park </t>
  </si>
  <si>
    <t xml:space="preserve">Customer Name : Gourmet Food Ferozpur Road </t>
  </si>
  <si>
    <t xml:space="preserve">Address: Ferozpura Road Awan Market </t>
  </si>
  <si>
    <t>Customer Name : Gourmet Food Ghazi Road</t>
  </si>
  <si>
    <t>Address: Ghazi Road LHR</t>
  </si>
  <si>
    <t>Customer Name : Gourmet Food Ismail Nager Lahore</t>
  </si>
  <si>
    <t>Address: Ismail Nager LHR</t>
  </si>
  <si>
    <t xml:space="preserve">Customer Name : Gourmet Food Kahna </t>
  </si>
  <si>
    <t>Address: Kahna Now LHR</t>
  </si>
  <si>
    <t xml:space="preserve">Customer Name : Gourmet Food Muslim Town </t>
  </si>
  <si>
    <t xml:space="preserve">Address: Muslim Town </t>
  </si>
  <si>
    <t xml:space="preserve">Customer Name : Gourmet Food Muslim Town Ayubia </t>
  </si>
  <si>
    <t>Address: Muslim Town Ayoubia Market LHR</t>
  </si>
  <si>
    <t xml:space="preserve">Customer Name : Gourmet Food Pak Arab Society </t>
  </si>
  <si>
    <t xml:space="preserve">Address: Pak Arab Society </t>
  </si>
  <si>
    <t xml:space="preserve">Customer Name : Gourmet Food Walton Road </t>
  </si>
  <si>
    <t>Address: Walton Road LHR</t>
  </si>
  <si>
    <t>Customer Name : Gourmet Food Youhaba Abad</t>
  </si>
  <si>
    <t>Address: Younaha 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</si>
</sst>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14" fontId="0" fillId="0" borderId="0" xfId="0" applyNumberForma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 wrapText="1"/>
    </xf>
    <xf numFmtId="166" fontId="4" fillId="0" borderId="0" xfId="0" applyNumberFormat="1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/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/>
      <selection pane="bottomLeft"/>
      <selection pane="bottomRight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9"/>
      <c r="B3" s="279"/>
      <c r="C3" s="279"/>
      <c r="D3" s="279"/>
      <c r="E3" s="279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</row>
    <row r="4" spans="1:29" x14ac:dyDescent="0.35">
      <c r="A4" s="281" t="s">
        <v>6</v>
      </c>
      <c r="B4" s="5" t="s">
        <v>7</v>
      </c>
      <c r="C4" s="5"/>
      <c r="D4" s="283" t="s">
        <v>8</v>
      </c>
      <c r="E4" s="285" t="s">
        <v>9</v>
      </c>
      <c r="F4" s="287" t="s">
        <v>3</v>
      </c>
      <c r="G4" s="287"/>
      <c r="H4" s="288" t="s">
        <v>10</v>
      </c>
      <c r="I4" s="288"/>
      <c r="J4" s="289" t="s">
        <v>11</v>
      </c>
      <c r="K4" s="290"/>
      <c r="L4" s="289" t="s">
        <v>12</v>
      </c>
      <c r="M4" s="290"/>
      <c r="N4" s="291" t="s">
        <v>13</v>
      </c>
      <c r="O4" s="291"/>
      <c r="P4" s="289" t="s">
        <v>4</v>
      </c>
      <c r="Q4" s="290"/>
      <c r="R4" s="289" t="s">
        <v>14</v>
      </c>
      <c r="S4" s="290"/>
      <c r="T4" s="292" t="s">
        <v>15</v>
      </c>
      <c r="U4" s="292"/>
      <c r="V4" s="293" t="s">
        <v>16</v>
      </c>
      <c r="W4" s="294"/>
      <c r="X4" s="293" t="s">
        <v>17</v>
      </c>
      <c r="Y4" s="294"/>
    </row>
    <row r="5" spans="1:29" ht="26.25" customHeight="1" thickBot="1" x14ac:dyDescent="0.4">
      <c r="A5" s="282"/>
      <c r="B5" s="7" t="s">
        <v>18</v>
      </c>
      <c r="C5" s="7" t="s">
        <v>8</v>
      </c>
      <c r="D5" s="284"/>
      <c r="E5" s="286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topLeftCell="A13" zoomScale="70" zoomScaleNormal="70" workbookViewId="0">
      <selection activeCell="S25" sqref="S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341" t="s">
        <v>45</v>
      </c>
      <c r="B2" s="341"/>
      <c r="C2" s="341"/>
    </row>
    <row r="3" spans="1:21 16383:16384" ht="15" customHeight="1" x14ac:dyDescent="0.35">
      <c r="A3" s="326" t="s">
        <v>46</v>
      </c>
      <c r="B3" s="326"/>
      <c r="C3" s="326"/>
      <c r="F3" s="70"/>
      <c r="G3" s="71"/>
      <c r="K3" s="325" t="s">
        <v>47</v>
      </c>
      <c r="L3" s="325"/>
      <c r="M3" s="325"/>
      <c r="N3" s="326">
        <v>1</v>
      </c>
      <c r="O3" s="326"/>
      <c r="P3" s="326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326" t="s">
        <v>94</v>
      </c>
      <c r="B4" s="326"/>
      <c r="C4" s="326"/>
      <c r="F4" s="70"/>
      <c r="G4" s="71"/>
      <c r="K4" s="325" t="s">
        <v>49</v>
      </c>
      <c r="L4" s="325"/>
      <c r="M4" s="325"/>
      <c r="N4" s="339">
        <f ca="1">TODAY()</f>
        <v>46246</v>
      </c>
      <c r="O4" s="339"/>
      <c r="P4" s="339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340" t="s">
        <v>103</v>
      </c>
      <c r="B5" s="340"/>
      <c r="C5" s="340"/>
      <c r="F5" s="70"/>
      <c r="G5" s="71"/>
      <c r="K5" s="325" t="s">
        <v>51</v>
      </c>
      <c r="L5" s="325"/>
      <c r="M5" s="325"/>
      <c r="N5" s="339">
        <f ca="1">N4-1</f>
        <v>46245</v>
      </c>
      <c r="O5" s="326"/>
      <c r="P5" s="326"/>
      <c r="R5" s="70"/>
      <c r="S5" s="71"/>
    </row>
    <row r="6" spans="1:21 16383:16384" ht="15" customHeight="1" x14ac:dyDescent="0.35">
      <c r="A6" s="340"/>
      <c r="B6" s="340"/>
      <c r="C6" s="340"/>
      <c r="F6" s="70"/>
      <c r="G6" s="74"/>
      <c r="K6" s="325" t="s">
        <v>52</v>
      </c>
      <c r="L6" s="325"/>
      <c r="M6" s="325"/>
      <c r="N6" s="338" t="s">
        <v>42</v>
      </c>
      <c r="O6" s="338"/>
      <c r="P6" s="338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325"/>
      <c r="B7" s="325"/>
      <c r="C7" s="325"/>
      <c r="F7" s="70"/>
      <c r="G7" s="74"/>
      <c r="K7" s="325"/>
      <c r="L7" s="325"/>
      <c r="M7" s="325"/>
      <c r="N7" s="338"/>
      <c r="O7" s="338"/>
      <c r="P7" s="338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37"/>
      <c r="B8" s="337"/>
      <c r="C8" s="337"/>
      <c r="F8" s="70"/>
      <c r="G8" s="74"/>
      <c r="K8" s="325"/>
      <c r="L8" s="325"/>
      <c r="M8" s="325"/>
      <c r="N8" s="338"/>
      <c r="O8" s="338"/>
      <c r="P8" s="338"/>
      <c r="R8" s="70"/>
      <c r="S8" s="74"/>
    </row>
    <row r="9" spans="1:21 16383:16384" hidden="1" x14ac:dyDescent="0.35">
      <c r="A9" s="337"/>
      <c r="B9" s="337"/>
      <c r="C9" s="337"/>
      <c r="F9" s="70"/>
      <c r="G9" s="74"/>
      <c r="K9" s="325"/>
      <c r="L9" s="325"/>
      <c r="M9" s="325"/>
      <c r="N9" s="338"/>
      <c r="O9" s="338"/>
      <c r="P9" s="338"/>
      <c r="R9" s="70"/>
      <c r="S9" s="74"/>
      <c r="XFD9" t="s">
        <v>55</v>
      </c>
    </row>
    <row r="10" spans="1:21 16383:16384" x14ac:dyDescent="0.35">
      <c r="A10" s="323"/>
      <c r="B10" s="75"/>
      <c r="C10" s="75"/>
      <c r="F10" s="70"/>
      <c r="G10" s="71"/>
      <c r="K10" s="325" t="s">
        <v>56</v>
      </c>
      <c r="L10" s="325"/>
      <c r="M10" s="325"/>
      <c r="N10" s="326" t="s">
        <v>57</v>
      </c>
      <c r="O10" s="326"/>
      <c r="P10" s="326"/>
      <c r="R10" s="70"/>
      <c r="S10" s="71"/>
      <c r="XFD10" t="s">
        <v>58</v>
      </c>
    </row>
    <row r="11" spans="1:21 16383:16384" ht="15" thickBot="1" x14ac:dyDescent="0.4">
      <c r="A11" s="323"/>
      <c r="B11" s="76"/>
      <c r="C11" s="77"/>
      <c r="F11" s="70"/>
      <c r="G11" s="71"/>
      <c r="K11" s="325" t="s">
        <v>59</v>
      </c>
      <c r="L11" s="325"/>
      <c r="M11" s="325"/>
      <c r="N11" s="326" t="s">
        <v>55</v>
      </c>
      <c r="O11" s="326"/>
      <c r="P11" s="326"/>
      <c r="R11" s="70"/>
      <c r="S11" s="71"/>
    </row>
    <row r="12" spans="1:21 16383:16384" ht="14.65" customHeight="1" x14ac:dyDescent="0.35">
      <c r="A12" s="323"/>
      <c r="B12" s="76"/>
      <c r="C12" s="77"/>
      <c r="F12" s="70"/>
      <c r="G12" s="71"/>
      <c r="K12" s="325" t="s">
        <v>61</v>
      </c>
      <c r="L12" s="325"/>
      <c r="M12" s="325"/>
      <c r="N12" s="326"/>
      <c r="O12" s="326"/>
      <c r="P12" s="326"/>
      <c r="R12" s="70"/>
      <c r="S12" s="71"/>
      <c r="T12" s="295" t="s">
        <v>104</v>
      </c>
      <c r="U12" s="296"/>
      <c r="XFD12" t="s">
        <v>62</v>
      </c>
    </row>
    <row r="13" spans="1:21 16383:16384" ht="15" thickBot="1" x14ac:dyDescent="0.4">
      <c r="A13" s="324"/>
      <c r="J13" s="78"/>
      <c r="K13" s="78"/>
      <c r="L13" s="79">
        <v>0.05</v>
      </c>
      <c r="T13" s="297"/>
      <c r="U13" s="298"/>
      <c r="XFD13" t="s">
        <v>63</v>
      </c>
    </row>
    <row r="14" spans="1:21 16383:16384" ht="29.25" customHeight="1" x14ac:dyDescent="0.6">
      <c r="A14" s="327" t="s">
        <v>64</v>
      </c>
      <c r="B14" s="328"/>
      <c r="C14" s="331" t="s">
        <v>65</v>
      </c>
      <c r="D14" s="80" t="s">
        <v>2</v>
      </c>
      <c r="E14" s="81" t="s">
        <v>66</v>
      </c>
      <c r="F14" s="82" t="s">
        <v>67</v>
      </c>
      <c r="G14" s="333" t="s">
        <v>68</v>
      </c>
      <c r="H14" s="334"/>
      <c r="I14" s="334" t="s">
        <v>69</v>
      </c>
      <c r="J14" s="334" t="s">
        <v>70</v>
      </c>
      <c r="K14" s="334"/>
      <c r="L14" s="336"/>
      <c r="M14" s="328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Gourmet Food Iqbal Town </v>
      </c>
      <c r="U14" s="163">
        <f>+'1'!P35</f>
        <v>12557.869844400004</v>
      </c>
      <c r="XFD14" t="s">
        <v>75</v>
      </c>
    </row>
    <row r="15" spans="1:21 16383:16384" ht="29.25" customHeight="1" thickBot="1" x14ac:dyDescent="0.65">
      <c r="A15" s="329"/>
      <c r="B15" s="330"/>
      <c r="C15" s="332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35"/>
      <c r="J15" s="170" t="s">
        <v>78</v>
      </c>
      <c r="K15" s="170" t="s">
        <v>79</v>
      </c>
      <c r="L15" s="173" t="s">
        <v>80</v>
      </c>
      <c r="M15" s="33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Gourmet Food Central Park </v>
      </c>
      <c r="U15" s="163">
        <f>+'2'!P35</f>
        <v>25115.739688800008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520</v>
      </c>
      <c r="I16" s="1">
        <f>(G16*D16)*F16+H16*F16</f>
        <v>27280.5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4532.7599999999993</v>
      </c>
      <c r="M16" s="105">
        <f>I16-K16-L16</f>
        <v>22747.74</v>
      </c>
      <c r="N16" s="100">
        <f>+'1'!N16+'2'!N16+'4'!N16+'3'!N16+'5'!N16+'6'!N16+'7'!N16+'8'!N16+'9'!N16+'10'!N16</f>
        <v>3716.8631999999998</v>
      </c>
      <c r="O16" s="100">
        <f>+'1'!O16+'2'!O16+'4'!O16+'3'!O16+'5'!O16+'6'!O16+'7'!O16+'8'!O16+'9'!O16+'10'!O16</f>
        <v>121.83051599999999</v>
      </c>
      <c r="P16" s="104">
        <f t="shared" ref="P16:P24" si="0">M16+N16+O16</f>
        <v>26586.433716</v>
      </c>
      <c r="Q16" s="107"/>
      <c r="T16" s="162" t="str">
        <f>+'4'!A5</f>
        <v>Customer Name : Gourmet Food Ghazi Road</v>
      </c>
      <c r="U16" s="163">
        <f>+'4'!P35</f>
        <v>12557.869844400004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520</v>
      </c>
      <c r="I17" s="1">
        <f t="shared" ref="I17:I23" si="1">(G17*D17)*F17+H17*F17</f>
        <v>27280.5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4532.7599999999993</v>
      </c>
      <c r="M17" s="117">
        <f t="shared" ref="M17:M23" si="2">I17-K17-L17</f>
        <v>22747.74</v>
      </c>
      <c r="N17" s="100">
        <f>+'1'!N17+'2'!N17+'4'!N17+'3'!N17+'5'!N17+'6'!N17+'7'!N17+'8'!N17+'9'!N17+'10'!N17</f>
        <v>3716.8631999999998</v>
      </c>
      <c r="O17" s="100">
        <f>+'1'!O17+'2'!O17+'4'!O17+'3'!O17+'5'!O17+'6'!O17+'7'!O17+'8'!O17+'9'!O17+'10'!O17</f>
        <v>121.83051599999999</v>
      </c>
      <c r="P17" s="119">
        <f t="shared" si="0"/>
        <v>26586.433716</v>
      </c>
      <c r="S17" s="64"/>
      <c r="T17" s="162" t="str">
        <f>+'3'!A5</f>
        <v xml:space="preserve">Customer Name : Gourmet Food Ferozpur Road </v>
      </c>
      <c r="U17" s="163">
        <f>+'3'!P35</f>
        <v>12557.869844400004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Gourmet Food Ismail Nager Lahore</v>
      </c>
      <c r="U18" s="163">
        <f>+'5'!P35</f>
        <v>12557.869844400004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520</v>
      </c>
      <c r="I19" s="1">
        <f t="shared" si="1"/>
        <v>37772.800000000003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6276.0959999999986</v>
      </c>
      <c r="M19" s="117">
        <f t="shared" si="2"/>
        <v>31496.704000000005</v>
      </c>
      <c r="N19" s="100">
        <f>+'1'!N19+'2'!N19+'4'!N19+'3'!N19+'5'!N19+'6'!N19+'7'!N19+'8'!N19+'9'!N19+'10'!N19</f>
        <v>5146.3987200000001</v>
      </c>
      <c r="O19" s="100">
        <f>+'1'!O19+'2'!O19+'4'!O19+'3'!O19+'5'!O19+'6'!O19+'7'!O19+'8'!O19+'9'!O19+'10'!O19</f>
        <v>168.68751360000002</v>
      </c>
      <c r="P19" s="119">
        <f t="shared" si="0"/>
        <v>36811.790233600004</v>
      </c>
      <c r="T19" s="162" t="str">
        <f>+'6'!A5</f>
        <v xml:space="preserve">Customer Name : Gourmet Food Kahna </v>
      </c>
      <c r="U19" s="163">
        <f>+'6'!P35</f>
        <v>12557.869844400004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520</v>
      </c>
      <c r="I20" s="1">
        <f t="shared" si="1"/>
        <v>37772.800000000003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6276.0959999999986</v>
      </c>
      <c r="M20" s="117">
        <f t="shared" si="2"/>
        <v>31496.704000000005</v>
      </c>
      <c r="N20" s="100">
        <f>+'1'!N20+'2'!N20+'4'!N20+'3'!N20+'5'!N20+'6'!N20+'7'!N20+'8'!N20+'9'!N20+'10'!N20</f>
        <v>5146.3987200000001</v>
      </c>
      <c r="O20" s="100">
        <f>+'1'!O20+'2'!O20+'4'!O20+'3'!O20+'5'!O20+'6'!O20+'7'!O20+'8'!O20+'9'!O20+'10'!O20</f>
        <v>168.68751360000002</v>
      </c>
      <c r="P20" s="119">
        <f t="shared" si="0"/>
        <v>36811.790233600004</v>
      </c>
      <c r="T20" s="162" t="str">
        <f>+'7'!A5</f>
        <v xml:space="preserve">Customer Name : Gourmet Food Muslim Town </v>
      </c>
      <c r="U20" s="163">
        <f>+'7'!P35</f>
        <v>12557.869844400004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520</v>
      </c>
      <c r="I21" s="1">
        <f t="shared" si="1"/>
        <v>37772.800000000003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6276.0959999999986</v>
      </c>
      <c r="M21" s="117">
        <f t="shared" si="2"/>
        <v>31496.704000000005</v>
      </c>
      <c r="N21" s="100">
        <f>+'1'!N21+'2'!N21+'4'!N21+'3'!N21+'5'!N21+'6'!N21+'7'!N21+'8'!N21+'9'!N21+'10'!N21</f>
        <v>5146.3987200000001</v>
      </c>
      <c r="O21" s="100">
        <f>+'1'!O21+'2'!O21+'4'!O21+'3'!O21+'5'!O21+'6'!O21+'7'!O21+'8'!O21+'9'!O21+'10'!O21</f>
        <v>168.68751360000002</v>
      </c>
      <c r="P21" s="119">
        <f t="shared" si="0"/>
        <v>36811.790233600004</v>
      </c>
      <c r="T21" s="162" t="str">
        <f>+'8'!A5</f>
        <v xml:space="preserve">Customer Name : Gourmet Food Muslim Town Ayubia </v>
      </c>
      <c r="U21" s="163">
        <f>+'8'!P35</f>
        <v>12557.869844400004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Gourmet Food Pak Arab Society </v>
      </c>
      <c r="U22" s="163">
        <f>+'9'!P35</f>
        <v>25115.739688800008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Gourmet Food Walton Road </v>
      </c>
      <c r="U23" s="163">
        <f>+'10'!P35</f>
        <v>12557.869844400004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 Youhaba Abad</v>
      </c>
      <c r="U24" s="163">
        <f>+'11'!P35</f>
        <v>12557.869844400004</v>
      </c>
    </row>
    <row r="25" spans="1:21 16384:16384" ht="26.5" thickBot="1" x14ac:dyDescent="0.65">
      <c r="A25" s="305" t="s">
        <v>84</v>
      </c>
      <c r="B25" s="306"/>
      <c r="C25" s="307">
        <f>H25/40</f>
        <v>65</v>
      </c>
      <c r="D25" s="301"/>
      <c r="E25" s="301"/>
      <c r="F25" s="301"/>
      <c r="G25" s="175">
        <f t="shared" ref="G25:M25" si="3">SUM(G16:G24)</f>
        <v>0</v>
      </c>
      <c r="H25" s="176">
        <f t="shared" si="3"/>
        <v>2600</v>
      </c>
      <c r="I25" s="177">
        <f t="shared" si="3"/>
        <v>167879.40000000002</v>
      </c>
      <c r="J25" s="176">
        <f t="shared" si="3"/>
        <v>0</v>
      </c>
      <c r="K25" s="177">
        <f t="shared" si="3"/>
        <v>0</v>
      </c>
      <c r="L25" s="178">
        <f t="shared" si="3"/>
        <v>27893.807999999994</v>
      </c>
      <c r="M25" s="140">
        <f t="shared" si="3"/>
        <v>139985.592</v>
      </c>
      <c r="N25" s="141">
        <f>SUM(N16:N24)</f>
        <v>22872.922560000003</v>
      </c>
      <c r="O25" s="142">
        <f>SUM(O16:O24)</f>
        <v>749.72357279999994</v>
      </c>
      <c r="P25" s="143">
        <f>SUM(P16:P24)</f>
        <v>163608.23813280003</v>
      </c>
      <c r="T25" s="162" t="str">
        <f>+'12'!A5</f>
        <v>Customer Name : Gourmet Food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S31" t="s">
        <v>105</v>
      </c>
      <c r="T31" s="162" t="str">
        <f>+'18'!A5</f>
        <v>Customer Name : Gourmet Food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S35" t="s">
        <v>105</v>
      </c>
      <c r="T35" s="162" t="str">
        <f>+'22'!A5</f>
        <v>Customer Name : Gourmet Food</v>
      </c>
      <c r="U35" s="181">
        <f>+'22'!P35</f>
        <v>0</v>
      </c>
    </row>
    <row r="36" spans="1:21" ht="26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S37" t="s">
        <v>105</v>
      </c>
      <c r="T37" s="162" t="str">
        <f>+'24'!A5</f>
        <v>Customer Name : Gourmet Food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S38" t="s">
        <v>105</v>
      </c>
      <c r="T38" s="162" t="str">
        <f>+'25'!A5</f>
        <v>Customer Name : Gourmet Food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S39" t="s">
        <v>105</v>
      </c>
      <c r="T39" s="162" t="str">
        <f>+'26'!A5</f>
        <v>Customer Name : Gourmet Food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S40" t="s">
        <v>105</v>
      </c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SUM(U14:U40)</f>
        <v>163252.30797720005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08" t="s">
        <v>85</v>
      </c>
      <c r="C44" s="309"/>
      <c r="D44" s="309"/>
      <c r="E44" s="309"/>
      <c r="F44" s="309"/>
      <c r="G44" s="309"/>
      <c r="H44" s="309"/>
      <c r="I44" s="309"/>
      <c r="J44" s="309"/>
      <c r="K44" s="309"/>
      <c r="L44" s="310"/>
      <c r="N44" s="317" t="s">
        <v>86</v>
      </c>
      <c r="O44" s="318"/>
      <c r="P44" s="151">
        <f>I25</f>
        <v>167879.40000000002</v>
      </c>
    </row>
    <row r="45" spans="1:21" ht="15" customHeight="1" x14ac:dyDescent="0.35">
      <c r="B45" s="311"/>
      <c r="C45" s="312"/>
      <c r="D45" s="312"/>
      <c r="E45" s="312"/>
      <c r="F45" s="312"/>
      <c r="G45" s="312"/>
      <c r="H45" s="312"/>
      <c r="I45" s="312"/>
      <c r="J45" s="312"/>
      <c r="K45" s="312"/>
      <c r="L45" s="313"/>
      <c r="N45" s="319" t="s">
        <v>87</v>
      </c>
      <c r="O45" s="320"/>
      <c r="P45" s="152">
        <f>L25</f>
        <v>27893.807999999994</v>
      </c>
    </row>
    <row r="46" spans="1:21" ht="15" customHeight="1" x14ac:dyDescent="0.35">
      <c r="B46" s="311"/>
      <c r="C46" s="312"/>
      <c r="D46" s="312"/>
      <c r="E46" s="312"/>
      <c r="F46" s="312"/>
      <c r="G46" s="312"/>
      <c r="H46" s="312"/>
      <c r="I46" s="312"/>
      <c r="J46" s="312"/>
      <c r="K46" s="312"/>
      <c r="L46" s="313"/>
      <c r="N46" s="319" t="s">
        <v>4</v>
      </c>
      <c r="O46" s="320"/>
      <c r="P46" s="153">
        <f>K25</f>
        <v>0</v>
      </c>
    </row>
    <row r="47" spans="1:21" ht="15" customHeight="1" x14ac:dyDescent="0.35">
      <c r="B47" s="311"/>
      <c r="C47" s="312"/>
      <c r="D47" s="312"/>
      <c r="E47" s="312"/>
      <c r="F47" s="312"/>
      <c r="G47" s="312"/>
      <c r="H47" s="312"/>
      <c r="I47" s="312"/>
      <c r="J47" s="312"/>
      <c r="K47" s="312"/>
      <c r="L47" s="313"/>
      <c r="M47" s="2"/>
      <c r="N47" s="319" t="s">
        <v>88</v>
      </c>
      <c r="O47" s="320"/>
      <c r="P47" s="152">
        <f>P44-P45-P46</f>
        <v>139985.59200000003</v>
      </c>
    </row>
    <row r="48" spans="1:21" ht="15" customHeight="1" x14ac:dyDescent="0.35">
      <c r="B48" s="311"/>
      <c r="C48" s="312"/>
      <c r="D48" s="312"/>
      <c r="E48" s="312"/>
      <c r="F48" s="312"/>
      <c r="G48" s="312"/>
      <c r="H48" s="312"/>
      <c r="I48" s="312"/>
      <c r="J48" s="312"/>
      <c r="K48" s="312"/>
      <c r="L48" s="313"/>
      <c r="M48" s="2"/>
      <c r="N48" s="154" t="s">
        <v>89</v>
      </c>
      <c r="O48" s="155">
        <f>IF(B12="Registered",18%,22%)</f>
        <v>0.22</v>
      </c>
      <c r="P48" s="152">
        <f>N25</f>
        <v>22872.922560000003</v>
      </c>
    </row>
    <row r="49" spans="2:16" ht="15" customHeight="1" x14ac:dyDescent="0.35">
      <c r="B49" s="311"/>
      <c r="C49" s="312"/>
      <c r="D49" s="312"/>
      <c r="E49" s="312"/>
      <c r="F49" s="312"/>
      <c r="G49" s="312"/>
      <c r="H49" s="312"/>
      <c r="I49" s="312"/>
      <c r="J49" s="312"/>
      <c r="K49" s="312"/>
      <c r="L49" s="313"/>
      <c r="M49" s="2"/>
      <c r="N49" s="321" t="s">
        <v>90</v>
      </c>
      <c r="O49" s="322"/>
      <c r="P49" s="152">
        <f>P47+P48</f>
        <v>162858.51456000004</v>
      </c>
    </row>
    <row r="50" spans="2:16" ht="15" customHeight="1" thickBot="1" x14ac:dyDescent="0.4">
      <c r="B50" s="314"/>
      <c r="C50" s="315"/>
      <c r="D50" s="315"/>
      <c r="E50" s="315"/>
      <c r="F50" s="315"/>
      <c r="G50" s="315"/>
      <c r="H50" s="315"/>
      <c r="I50" s="315"/>
      <c r="J50" s="315"/>
      <c r="K50" s="315"/>
      <c r="L50" s="316"/>
      <c r="M50" s="156"/>
      <c r="N50" s="157" t="s">
        <v>91</v>
      </c>
      <c r="O50" s="158">
        <f>IF(B11="Filer",0.5%,2.5%)</f>
        <v>2.5000000000000001E-2</v>
      </c>
      <c r="P50" s="152">
        <f>O50*P49</f>
        <v>4071.462864000001</v>
      </c>
    </row>
    <row r="51" spans="2:16" ht="15.75" customHeight="1" thickBot="1" x14ac:dyDescent="0.4">
      <c r="N51" s="299" t="s">
        <v>92</v>
      </c>
      <c r="O51" s="300"/>
      <c r="P51" s="159">
        <f>P49+P50</f>
        <v>166929.97742400004</v>
      </c>
    </row>
    <row r="52" spans="2:16" ht="15" thickBot="1" x14ac:dyDescent="0.4">
      <c r="B52" s="160" t="s">
        <v>93</v>
      </c>
      <c r="C52" s="301"/>
      <c r="D52" s="301"/>
      <c r="E52" s="301"/>
      <c r="F52" s="301"/>
      <c r="G52" s="301"/>
      <c r="H52" s="301"/>
      <c r="I52" s="302"/>
      <c r="J52" s="303"/>
      <c r="K52" s="304"/>
    </row>
    <row r="53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N5" sqref="N5:P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341" t="s">
        <v>45</v>
      </c>
      <c r="B2" s="341"/>
      <c r="C2" s="341"/>
    </row>
    <row r="3" spans="1:19 16383:16384" ht="15" customHeight="1" x14ac:dyDescent="0.35">
      <c r="A3" s="326" t="s">
        <v>46</v>
      </c>
      <c r="B3" s="326"/>
      <c r="C3" s="326"/>
      <c r="F3" s="70"/>
      <c r="G3" s="71"/>
      <c r="K3" s="325" t="s">
        <v>47</v>
      </c>
      <c r="L3" s="325"/>
      <c r="M3" s="325"/>
      <c r="N3" s="326">
        <v>1001</v>
      </c>
      <c r="O3" s="326"/>
      <c r="P3" s="32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6" t="s">
        <v>94</v>
      </c>
      <c r="B4" s="326"/>
      <c r="C4" s="326"/>
      <c r="F4" s="70"/>
      <c r="G4" s="71"/>
      <c r="K4" s="325" t="s">
        <v>49</v>
      </c>
      <c r="L4" s="325"/>
      <c r="M4" s="325"/>
      <c r="N4" s="339">
        <v>46202</v>
      </c>
      <c r="O4" s="339"/>
      <c r="P4" s="33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8" t="s">
        <v>107</v>
      </c>
      <c r="B5" s="348"/>
      <c r="C5" s="348"/>
      <c r="F5" s="70"/>
      <c r="G5" s="71"/>
      <c r="K5" s="325" t="s">
        <v>51</v>
      </c>
      <c r="L5" s="325"/>
      <c r="M5" s="325"/>
      <c r="N5" s="339">
        <f>N4-1</f>
        <v>46201</v>
      </c>
      <c r="O5" s="326"/>
      <c r="P5" s="326"/>
      <c r="R5" s="70"/>
      <c r="S5" s="71"/>
    </row>
    <row r="6" spans="1:19 16383:16384" ht="15" customHeight="1" x14ac:dyDescent="0.35">
      <c r="A6" s="325" t="s">
        <v>108</v>
      </c>
      <c r="B6" s="325"/>
      <c r="C6" s="325"/>
      <c r="F6" s="70"/>
      <c r="G6" s="74"/>
      <c r="K6" s="325" t="s">
        <v>52</v>
      </c>
      <c r="L6" s="325"/>
      <c r="M6" s="325"/>
      <c r="N6" s="338" t="s">
        <v>100</v>
      </c>
      <c r="O6" s="338"/>
      <c r="P6" s="33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5"/>
      <c r="B7" s="325"/>
      <c r="C7" s="325"/>
      <c r="F7" s="70"/>
      <c r="G7" s="74"/>
      <c r="K7" s="325"/>
      <c r="L7" s="325"/>
      <c r="M7" s="325"/>
      <c r="N7" s="338"/>
      <c r="O7" s="338"/>
      <c r="P7" s="33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7"/>
      <c r="B8" s="337"/>
      <c r="C8" s="337"/>
      <c r="F8" s="70"/>
      <c r="G8" s="74"/>
      <c r="K8" s="325"/>
      <c r="L8" s="325"/>
      <c r="M8" s="325"/>
      <c r="N8" s="338"/>
      <c r="O8" s="338"/>
      <c r="P8" s="338"/>
      <c r="R8" s="70"/>
      <c r="S8" s="74"/>
    </row>
    <row r="9" spans="1:19 16383:16384" x14ac:dyDescent="0.35">
      <c r="A9" s="337"/>
      <c r="B9" s="337"/>
      <c r="C9" s="337"/>
      <c r="F9" s="70"/>
      <c r="G9" s="74"/>
      <c r="K9" s="325"/>
      <c r="L9" s="325"/>
      <c r="M9" s="325"/>
      <c r="N9" s="338"/>
      <c r="O9" s="338"/>
      <c r="P9" s="338"/>
      <c r="R9" s="70"/>
      <c r="S9" s="74"/>
      <c r="XFD9" t="s">
        <v>55</v>
      </c>
    </row>
    <row r="10" spans="1:19 16383:16384" x14ac:dyDescent="0.35">
      <c r="A10" s="323" t="s">
        <v>95</v>
      </c>
      <c r="B10" s="75" t="s">
        <v>102</v>
      </c>
      <c r="C10" s="75"/>
      <c r="F10" s="70"/>
      <c r="G10" s="71"/>
      <c r="K10" s="325" t="s">
        <v>56</v>
      </c>
      <c r="L10" s="325"/>
      <c r="M10" s="325"/>
      <c r="N10" s="326" t="s">
        <v>57</v>
      </c>
      <c r="O10" s="326"/>
      <c r="P10" s="326"/>
      <c r="R10" s="70"/>
      <c r="S10" s="71"/>
      <c r="XFD10" t="s">
        <v>58</v>
      </c>
    </row>
    <row r="11" spans="1:19 16383:16384" x14ac:dyDescent="0.35">
      <c r="A11" s="323"/>
      <c r="B11" s="76" t="s">
        <v>48</v>
      </c>
      <c r="C11" s="77" t="str">
        <f>IF($O34&gt;2.49%,"No","Yes")</f>
        <v>Yes</v>
      </c>
      <c r="F11" s="70"/>
      <c r="G11" s="71"/>
      <c r="K11" s="325" t="s">
        <v>59</v>
      </c>
      <c r="L11" s="325"/>
      <c r="M11" s="325"/>
      <c r="N11" s="326" t="s">
        <v>55</v>
      </c>
      <c r="O11" s="326"/>
      <c r="P11" s="326"/>
      <c r="R11" s="70"/>
      <c r="S11" s="71"/>
    </row>
    <row r="12" spans="1:19 16383:16384" ht="14.65" customHeight="1" x14ac:dyDescent="0.35">
      <c r="A12" s="323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5" t="s">
        <v>61</v>
      </c>
      <c r="L12" s="325"/>
      <c r="M12" s="325"/>
      <c r="N12" s="326"/>
      <c r="O12" s="326"/>
      <c r="P12" s="326"/>
      <c r="R12" s="70"/>
      <c r="S12" s="71"/>
      <c r="XFD12" t="s">
        <v>62</v>
      </c>
    </row>
    <row r="13" spans="1:19 16383:16384" ht="15" thickBot="1" x14ac:dyDescent="0.4">
      <c r="A13" s="324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7" t="s">
        <v>64</v>
      </c>
      <c r="B14" s="328"/>
      <c r="C14" s="331" t="s">
        <v>65</v>
      </c>
      <c r="D14" s="80" t="s">
        <v>2</v>
      </c>
      <c r="E14" s="81" t="s">
        <v>66</v>
      </c>
      <c r="F14" s="82" t="s">
        <v>67</v>
      </c>
      <c r="G14" s="343" t="s">
        <v>68</v>
      </c>
      <c r="H14" s="344"/>
      <c r="I14" s="345" t="s">
        <v>69</v>
      </c>
      <c r="J14" s="343" t="s">
        <v>70</v>
      </c>
      <c r="K14" s="347"/>
      <c r="L14" s="344"/>
      <c r="M14" s="3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9"/>
      <c r="B15" s="330"/>
      <c r="C15" s="33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6"/>
      <c r="J15" s="88" t="s">
        <v>78</v>
      </c>
      <c r="K15" s="90" t="s">
        <v>79</v>
      </c>
      <c r="L15" s="276">
        <v>0.18</v>
      </c>
      <c r="M15" s="3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 t="shared" ref="O16:O24" si="1">(N16+M16)*$O$15</f>
        <v>10.152543</v>
      </c>
      <c r="P16" s="104">
        <f t="shared" ref="P16:P24" si="2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3">(G17*D17)*F17+H17*F17</f>
        <v>2098.5</v>
      </c>
      <c r="J17" s="116"/>
      <c r="K17" s="1">
        <f t="shared" ref="K17:K21" si="4">I17*$K$13</f>
        <v>0</v>
      </c>
      <c r="L17" s="104">
        <f t="shared" ref="L17:L21" si="5">I17*18%</f>
        <v>377.72999999999996</v>
      </c>
      <c r="M17" s="117">
        <f t="shared" ref="M17:M23" si="6">I17-K17-L17</f>
        <v>1720.77</v>
      </c>
      <c r="N17" s="117">
        <f t="shared" si="0"/>
        <v>309.73859999999996</v>
      </c>
      <c r="O17" s="118">
        <f t="shared" si="1"/>
        <v>10.152543</v>
      </c>
      <c r="P17" s="119">
        <f t="shared" si="2"/>
        <v>2040.6611429999998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3"/>
        <v>2905.6</v>
      </c>
      <c r="J19" s="116"/>
      <c r="K19" s="1">
        <f t="shared" si="4"/>
        <v>0</v>
      </c>
      <c r="L19" s="104">
        <f t="shared" si="5"/>
        <v>523.00799999999992</v>
      </c>
      <c r="M19" s="117">
        <f t="shared" si="6"/>
        <v>2382.5920000000001</v>
      </c>
      <c r="N19" s="117">
        <f t="shared" si="0"/>
        <v>428.86655999999999</v>
      </c>
      <c r="O19" s="118">
        <f t="shared" si="1"/>
        <v>14.057292800000001</v>
      </c>
      <c r="P19" s="119">
        <f t="shared" si="2"/>
        <v>2825.5158528000002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3"/>
        <v>2905.6</v>
      </c>
      <c r="J20" s="116"/>
      <c r="K20" s="1">
        <f t="shared" si="4"/>
        <v>0</v>
      </c>
      <c r="L20" s="104">
        <f t="shared" si="5"/>
        <v>523.00799999999992</v>
      </c>
      <c r="M20" s="117">
        <f t="shared" si="6"/>
        <v>2382.5920000000001</v>
      </c>
      <c r="N20" s="117">
        <f t="shared" si="0"/>
        <v>428.86655999999999</v>
      </c>
      <c r="O20" s="118">
        <f t="shared" si="1"/>
        <v>14.057292800000001</v>
      </c>
      <c r="P20" s="119">
        <f t="shared" si="2"/>
        <v>2825.5158528000002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3"/>
        <v>2905.6</v>
      </c>
      <c r="J21" s="116"/>
      <c r="K21" s="1">
        <f t="shared" si="4"/>
        <v>0</v>
      </c>
      <c r="L21" s="104">
        <f t="shared" si="5"/>
        <v>523.00799999999992</v>
      </c>
      <c r="M21" s="117">
        <f t="shared" si="6"/>
        <v>2382.5920000000001</v>
      </c>
      <c r="N21" s="117">
        <f t="shared" si="0"/>
        <v>428.86655999999999</v>
      </c>
      <c r="O21" s="118">
        <f t="shared" si="1"/>
        <v>14.057292800000001</v>
      </c>
      <c r="P21" s="119">
        <f t="shared" si="2"/>
        <v>2825.5158528000002</v>
      </c>
      <c r="Q21" s="114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00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05" t="s">
        <v>84</v>
      </c>
      <c r="B25" s="306"/>
      <c r="C25" s="307"/>
      <c r="D25" s="301"/>
      <c r="E25" s="301"/>
      <c r="F25" s="342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8" t="s">
        <v>85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10"/>
      <c r="N28" s="317" t="s">
        <v>86</v>
      </c>
      <c r="O28" s="318"/>
      <c r="P28" s="151">
        <f>I25</f>
        <v>12913.800000000001</v>
      </c>
    </row>
    <row r="29" spans="1:19 16384:16384" ht="15" customHeight="1" x14ac:dyDescent="0.35">
      <c r="B29" s="311"/>
      <c r="C29" s="312"/>
      <c r="D29" s="312"/>
      <c r="E29" s="312"/>
      <c r="F29" s="312"/>
      <c r="G29" s="312"/>
      <c r="H29" s="312"/>
      <c r="I29" s="312"/>
      <c r="J29" s="312"/>
      <c r="K29" s="312"/>
      <c r="L29" s="313"/>
      <c r="N29" s="319" t="s">
        <v>87</v>
      </c>
      <c r="O29" s="320"/>
      <c r="P29" s="152">
        <f>L25</f>
        <v>2324.4839999999995</v>
      </c>
    </row>
    <row r="30" spans="1:19 16384:16384" ht="15" customHeight="1" x14ac:dyDescent="0.35">
      <c r="B30" s="311"/>
      <c r="C30" s="312"/>
      <c r="D30" s="312"/>
      <c r="E30" s="312"/>
      <c r="F30" s="312"/>
      <c r="G30" s="312"/>
      <c r="H30" s="312"/>
      <c r="I30" s="312"/>
      <c r="J30" s="312"/>
      <c r="K30" s="312"/>
      <c r="L30" s="313"/>
      <c r="N30" s="319" t="s">
        <v>4</v>
      </c>
      <c r="O30" s="320"/>
      <c r="P30" s="153">
        <f>K25</f>
        <v>0</v>
      </c>
    </row>
    <row r="31" spans="1:19 16384:16384" ht="15" customHeight="1" x14ac:dyDescent="0.35">
      <c r="B31" s="311"/>
      <c r="C31" s="312"/>
      <c r="D31" s="312"/>
      <c r="E31" s="312"/>
      <c r="F31" s="312"/>
      <c r="G31" s="312"/>
      <c r="H31" s="312"/>
      <c r="I31" s="312"/>
      <c r="J31" s="312"/>
      <c r="K31" s="312"/>
      <c r="L31" s="313"/>
      <c r="M31" s="2"/>
      <c r="N31" s="319" t="s">
        <v>88</v>
      </c>
      <c r="O31" s="320"/>
      <c r="P31" s="152">
        <f>P28-P29-P30</f>
        <v>10589.316000000003</v>
      </c>
    </row>
    <row r="32" spans="1:19 16384:16384" ht="15" customHeight="1" x14ac:dyDescent="0.35">
      <c r="B32" s="311"/>
      <c r="C32" s="312"/>
      <c r="D32" s="312"/>
      <c r="E32" s="312"/>
      <c r="F32" s="312"/>
      <c r="G32" s="312"/>
      <c r="H32" s="312"/>
      <c r="I32" s="312"/>
      <c r="J32" s="312"/>
      <c r="K32" s="312"/>
      <c r="L32" s="313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1"/>
      <c r="C33" s="312"/>
      <c r="D33" s="312"/>
      <c r="E33" s="312"/>
      <c r="F33" s="312"/>
      <c r="G33" s="312"/>
      <c r="H33" s="312"/>
      <c r="I33" s="312"/>
      <c r="J33" s="312"/>
      <c r="K33" s="312"/>
      <c r="L33" s="313"/>
      <c r="M33" s="2"/>
      <c r="N33" s="321" t="s">
        <v>90</v>
      </c>
      <c r="O33" s="322"/>
      <c r="P33" s="152">
        <f>P31+P32</f>
        <v>12495.392880000003</v>
      </c>
    </row>
    <row r="34" spans="2:16" ht="15" customHeight="1" thickBot="1" x14ac:dyDescent="0.4">
      <c r="B34" s="314"/>
      <c r="C34" s="315"/>
      <c r="D34" s="315"/>
      <c r="E34" s="315"/>
      <c r="F34" s="315"/>
      <c r="G34" s="315"/>
      <c r="H34" s="315"/>
      <c r="I34" s="315"/>
      <c r="J34" s="315"/>
      <c r="K34" s="315"/>
      <c r="L34" s="316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9" t="s">
        <v>92</v>
      </c>
      <c r="O35" s="300"/>
      <c r="P35" s="159">
        <f>P33+P34</f>
        <v>12557.869844400004</v>
      </c>
    </row>
    <row r="36" spans="2:16" ht="15" thickBot="1" x14ac:dyDescent="0.4">
      <c r="B36" s="160" t="s">
        <v>93</v>
      </c>
      <c r="C36" s="301"/>
      <c r="D36" s="301"/>
      <c r="E36" s="301"/>
      <c r="F36" s="301"/>
      <c r="G36" s="301"/>
      <c r="H36" s="301"/>
      <c r="I36" s="302"/>
      <c r="J36" s="303"/>
      <c r="K36" s="30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N5" sqref="N5:P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1" t="s">
        <v>45</v>
      </c>
      <c r="B2" s="341"/>
      <c r="C2" s="341"/>
    </row>
    <row r="3" spans="1:19 16383:16384" ht="15" customHeight="1" x14ac:dyDescent="0.35">
      <c r="A3" s="326" t="s">
        <v>46</v>
      </c>
      <c r="B3" s="326"/>
      <c r="C3" s="326"/>
      <c r="F3" s="70"/>
      <c r="G3" s="71"/>
      <c r="K3" s="325" t="s">
        <v>47</v>
      </c>
      <c r="L3" s="325"/>
      <c r="M3" s="325"/>
      <c r="N3" s="326">
        <v>1002</v>
      </c>
      <c r="O3" s="326"/>
      <c r="P3" s="32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6" t="s">
        <v>94</v>
      </c>
      <c r="B4" s="326"/>
      <c r="C4" s="326"/>
      <c r="F4" s="70"/>
      <c r="G4" s="71"/>
      <c r="K4" s="325" t="s">
        <v>49</v>
      </c>
      <c r="L4" s="325"/>
      <c r="M4" s="325"/>
      <c r="N4" s="339">
        <v>46202</v>
      </c>
      <c r="O4" s="339"/>
      <c r="P4" s="33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8" t="s">
        <v>109</v>
      </c>
      <c r="B5" s="348"/>
      <c r="C5" s="348"/>
      <c r="F5" s="70"/>
      <c r="G5" s="71"/>
      <c r="K5" s="325" t="s">
        <v>51</v>
      </c>
      <c r="L5" s="325"/>
      <c r="M5" s="325"/>
      <c r="N5" s="339">
        <f>N4-1</f>
        <v>46201</v>
      </c>
      <c r="O5" s="326"/>
      <c r="P5" s="326"/>
      <c r="R5" s="70"/>
      <c r="S5" s="71"/>
    </row>
    <row r="6" spans="1:19 16383:16384" ht="15" customHeight="1" x14ac:dyDescent="0.35">
      <c r="A6" s="325" t="s">
        <v>110</v>
      </c>
      <c r="B6" s="325"/>
      <c r="C6" s="325"/>
      <c r="F6" s="70"/>
      <c r="G6" s="74"/>
      <c r="K6" s="325" t="s">
        <v>52</v>
      </c>
      <c r="L6" s="325"/>
      <c r="M6" s="325"/>
      <c r="N6" s="338" t="s">
        <v>100</v>
      </c>
      <c r="O6" s="338"/>
      <c r="P6" s="33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5"/>
      <c r="B7" s="325"/>
      <c r="C7" s="325"/>
      <c r="F7" s="70"/>
      <c r="G7" s="74"/>
      <c r="K7" s="325"/>
      <c r="L7" s="325"/>
      <c r="M7" s="325"/>
      <c r="N7" s="338"/>
      <c r="O7" s="338"/>
      <c r="P7" s="33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7"/>
      <c r="B8" s="337"/>
      <c r="C8" s="337"/>
      <c r="F8" s="70"/>
      <c r="G8" s="74"/>
      <c r="K8" s="325"/>
      <c r="L8" s="325"/>
      <c r="M8" s="325"/>
      <c r="N8" s="338"/>
      <c r="O8" s="338"/>
      <c r="P8" s="338"/>
      <c r="R8" s="70"/>
      <c r="S8" s="74"/>
    </row>
    <row r="9" spans="1:19 16383:16384" x14ac:dyDescent="0.35">
      <c r="A9" s="337"/>
      <c r="B9" s="337"/>
      <c r="C9" s="337"/>
      <c r="F9" s="70"/>
      <c r="G9" s="74"/>
      <c r="K9" s="325"/>
      <c r="L9" s="325"/>
      <c r="M9" s="325"/>
      <c r="N9" s="338"/>
      <c r="O9" s="338"/>
      <c r="P9" s="338"/>
      <c r="R9" s="70"/>
      <c r="S9" s="74"/>
      <c r="XFD9" t="s">
        <v>55</v>
      </c>
    </row>
    <row r="10" spans="1:19 16383:16384" x14ac:dyDescent="0.35">
      <c r="A10" s="323" t="s">
        <v>95</v>
      </c>
      <c r="B10" s="75" t="s">
        <v>102</v>
      </c>
      <c r="C10" s="75"/>
      <c r="F10" s="70"/>
      <c r="G10" s="71"/>
      <c r="K10" s="325" t="s">
        <v>56</v>
      </c>
      <c r="L10" s="325"/>
      <c r="M10" s="325"/>
      <c r="N10" s="326" t="s">
        <v>57</v>
      </c>
      <c r="O10" s="326"/>
      <c r="P10" s="326"/>
      <c r="R10" s="70"/>
      <c r="S10" s="71"/>
      <c r="XFD10" t="s">
        <v>58</v>
      </c>
    </row>
    <row r="11" spans="1:19 16383:16384" x14ac:dyDescent="0.35">
      <c r="A11" s="323"/>
      <c r="B11" s="76" t="s">
        <v>48</v>
      </c>
      <c r="C11" s="77" t="str">
        <f>IF($O34&gt;2.49%,"No","Yes")</f>
        <v>Yes</v>
      </c>
      <c r="F11" s="70"/>
      <c r="G11" s="71"/>
      <c r="K11" s="325" t="s">
        <v>59</v>
      </c>
      <c r="L11" s="325"/>
      <c r="M11" s="325"/>
      <c r="N11" s="326" t="s">
        <v>55</v>
      </c>
      <c r="O11" s="326"/>
      <c r="P11" s="326"/>
      <c r="R11" s="70"/>
      <c r="S11" s="71"/>
    </row>
    <row r="12" spans="1:19 16383:16384" ht="14.65" customHeight="1" x14ac:dyDescent="0.35">
      <c r="A12" s="323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5" t="s">
        <v>61</v>
      </c>
      <c r="L12" s="325"/>
      <c r="M12" s="325"/>
      <c r="N12" s="326"/>
      <c r="O12" s="326"/>
      <c r="P12" s="326"/>
      <c r="R12" s="70"/>
      <c r="S12" s="71"/>
      <c r="XFD12" t="s">
        <v>62</v>
      </c>
    </row>
    <row r="13" spans="1:19 16383:16384" ht="15" thickBot="1" x14ac:dyDescent="0.4">
      <c r="A13" s="324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7" t="s">
        <v>64</v>
      </c>
      <c r="B14" s="328"/>
      <c r="C14" s="331" t="s">
        <v>65</v>
      </c>
      <c r="D14" s="80" t="s">
        <v>2</v>
      </c>
      <c r="E14" s="81" t="s">
        <v>66</v>
      </c>
      <c r="F14" s="82" t="s">
        <v>67</v>
      </c>
      <c r="G14" s="343" t="s">
        <v>68</v>
      </c>
      <c r="H14" s="344"/>
      <c r="I14" s="345" t="s">
        <v>69</v>
      </c>
      <c r="J14" s="343" t="s">
        <v>70</v>
      </c>
      <c r="K14" s="347"/>
      <c r="L14" s="344"/>
      <c r="M14" s="3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9"/>
      <c r="B15" s="330"/>
      <c r="C15" s="33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6"/>
      <c r="J15" s="88" t="s">
        <v>78</v>
      </c>
      <c r="K15" s="90" t="s">
        <v>79</v>
      </c>
      <c r="L15" s="276">
        <v>0.18</v>
      </c>
      <c r="M15" s="3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5" t="s">
        <v>84</v>
      </c>
      <c r="B25" s="306"/>
      <c r="C25" s="307"/>
      <c r="D25" s="301"/>
      <c r="E25" s="301"/>
      <c r="F25" s="342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8" t="s">
        <v>85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10"/>
      <c r="N28" s="317" t="s">
        <v>86</v>
      </c>
      <c r="O28" s="318"/>
      <c r="P28" s="151">
        <f>I25</f>
        <v>25827.600000000002</v>
      </c>
    </row>
    <row r="29" spans="1:19 16384:16384" ht="15" customHeight="1" x14ac:dyDescent="0.35">
      <c r="B29" s="311"/>
      <c r="C29" s="312"/>
      <c r="D29" s="312"/>
      <c r="E29" s="312"/>
      <c r="F29" s="312"/>
      <c r="G29" s="312"/>
      <c r="H29" s="312"/>
      <c r="I29" s="312"/>
      <c r="J29" s="312"/>
      <c r="K29" s="312"/>
      <c r="L29" s="313"/>
      <c r="N29" s="319" t="s">
        <v>87</v>
      </c>
      <c r="O29" s="320"/>
      <c r="P29" s="152">
        <f>L25</f>
        <v>4648.9679999999989</v>
      </c>
    </row>
    <row r="30" spans="1:19 16384:16384" ht="15" customHeight="1" x14ac:dyDescent="0.35">
      <c r="B30" s="311"/>
      <c r="C30" s="312"/>
      <c r="D30" s="312"/>
      <c r="E30" s="312"/>
      <c r="F30" s="312"/>
      <c r="G30" s="312"/>
      <c r="H30" s="312"/>
      <c r="I30" s="312"/>
      <c r="J30" s="312"/>
      <c r="K30" s="312"/>
      <c r="L30" s="313"/>
      <c r="N30" s="319" t="s">
        <v>4</v>
      </c>
      <c r="O30" s="320"/>
      <c r="P30" s="153">
        <f>K25</f>
        <v>0</v>
      </c>
    </row>
    <row r="31" spans="1:19 16384:16384" ht="15" customHeight="1" x14ac:dyDescent="0.35">
      <c r="B31" s="311"/>
      <c r="C31" s="312"/>
      <c r="D31" s="312"/>
      <c r="E31" s="312"/>
      <c r="F31" s="312"/>
      <c r="G31" s="312"/>
      <c r="H31" s="312"/>
      <c r="I31" s="312"/>
      <c r="J31" s="312"/>
      <c r="K31" s="312"/>
      <c r="L31" s="313"/>
      <c r="M31" s="2"/>
      <c r="N31" s="319" t="s">
        <v>88</v>
      </c>
      <c r="O31" s="320"/>
      <c r="P31" s="152">
        <f>P28-P29-P30</f>
        <v>21178.632000000005</v>
      </c>
    </row>
    <row r="32" spans="1:19 16384:16384" ht="15" customHeight="1" x14ac:dyDescent="0.35">
      <c r="B32" s="311"/>
      <c r="C32" s="312"/>
      <c r="D32" s="312"/>
      <c r="E32" s="312"/>
      <c r="F32" s="312"/>
      <c r="G32" s="312"/>
      <c r="H32" s="312"/>
      <c r="I32" s="312"/>
      <c r="J32" s="312"/>
      <c r="K32" s="312"/>
      <c r="L32" s="313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11"/>
      <c r="C33" s="312"/>
      <c r="D33" s="312"/>
      <c r="E33" s="312"/>
      <c r="F33" s="312"/>
      <c r="G33" s="312"/>
      <c r="H33" s="312"/>
      <c r="I33" s="312"/>
      <c r="J33" s="312"/>
      <c r="K33" s="312"/>
      <c r="L33" s="313"/>
      <c r="M33" s="2"/>
      <c r="N33" s="321" t="s">
        <v>90</v>
      </c>
      <c r="O33" s="322"/>
      <c r="P33" s="152">
        <f>P31+P32</f>
        <v>24990.785760000006</v>
      </c>
    </row>
    <row r="34" spans="2:16" ht="15" customHeight="1" thickBot="1" x14ac:dyDescent="0.4">
      <c r="B34" s="314"/>
      <c r="C34" s="315"/>
      <c r="D34" s="315"/>
      <c r="E34" s="315"/>
      <c r="F34" s="315"/>
      <c r="G34" s="315"/>
      <c r="H34" s="315"/>
      <c r="I34" s="315"/>
      <c r="J34" s="315"/>
      <c r="K34" s="315"/>
      <c r="L34" s="316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299" t="s">
        <v>92</v>
      </c>
      <c r="O35" s="300"/>
      <c r="P35" s="159">
        <f>P33+P34</f>
        <v>25115.739688800008</v>
      </c>
    </row>
    <row r="36" spans="2:16" ht="15" thickBot="1" x14ac:dyDescent="0.4">
      <c r="B36" s="160" t="s">
        <v>93</v>
      </c>
      <c r="C36" s="301"/>
      <c r="D36" s="301"/>
      <c r="E36" s="301"/>
      <c r="F36" s="301"/>
      <c r="G36" s="301"/>
      <c r="H36" s="301"/>
      <c r="I36" s="302"/>
      <c r="J36" s="303"/>
      <c r="K36" s="30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N5" sqref="N5:P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1" t="s">
        <v>45</v>
      </c>
      <c r="B2" s="341"/>
      <c r="C2" s="341"/>
    </row>
    <row r="3" spans="1:19 16383:16384" ht="15" customHeight="1" x14ac:dyDescent="0.35">
      <c r="A3" s="326" t="s">
        <v>46</v>
      </c>
      <c r="B3" s="326"/>
      <c r="C3" s="326"/>
      <c r="F3" s="70"/>
      <c r="G3" s="71"/>
      <c r="K3" s="325" t="s">
        <v>47</v>
      </c>
      <c r="L3" s="325"/>
      <c r="M3" s="325"/>
      <c r="N3" s="326">
        <v>1003</v>
      </c>
      <c r="O3" s="326"/>
      <c r="P3" s="32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6" t="s">
        <v>94</v>
      </c>
      <c r="B4" s="326"/>
      <c r="C4" s="326"/>
      <c r="F4" s="70"/>
      <c r="G4" s="71"/>
      <c r="K4" s="325" t="s">
        <v>49</v>
      </c>
      <c r="L4" s="325"/>
      <c r="M4" s="325"/>
      <c r="N4" s="339">
        <v>46202</v>
      </c>
      <c r="O4" s="339"/>
      <c r="P4" s="33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8" t="s">
        <v>111</v>
      </c>
      <c r="B5" s="348"/>
      <c r="C5" s="348"/>
      <c r="F5" s="70"/>
      <c r="G5" s="71"/>
      <c r="K5" s="325" t="s">
        <v>51</v>
      </c>
      <c r="L5" s="325"/>
      <c r="M5" s="325"/>
      <c r="N5" s="339">
        <f>N4-1</f>
        <v>46201</v>
      </c>
      <c r="O5" s="326"/>
      <c r="P5" s="326"/>
      <c r="R5" s="70"/>
      <c r="S5" s="71"/>
    </row>
    <row r="6" spans="1:19 16383:16384" ht="15" customHeight="1" x14ac:dyDescent="0.35">
      <c r="A6" s="325" t="s">
        <v>112</v>
      </c>
      <c r="B6" s="325"/>
      <c r="C6" s="325"/>
      <c r="F6" s="70"/>
      <c r="G6" s="74"/>
      <c r="K6" s="325" t="s">
        <v>52</v>
      </c>
      <c r="L6" s="325"/>
      <c r="M6" s="325"/>
      <c r="N6" s="338" t="s">
        <v>100</v>
      </c>
      <c r="O6" s="338"/>
      <c r="P6" s="33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5"/>
      <c r="B7" s="325"/>
      <c r="C7" s="325"/>
      <c r="F7" s="70"/>
      <c r="G7" s="74"/>
      <c r="K7" s="325"/>
      <c r="L7" s="325"/>
      <c r="M7" s="325"/>
      <c r="N7" s="338"/>
      <c r="O7" s="338"/>
      <c r="P7" s="33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7"/>
      <c r="B8" s="337"/>
      <c r="C8" s="337"/>
      <c r="F8" s="70"/>
      <c r="G8" s="74"/>
      <c r="K8" s="325"/>
      <c r="L8" s="325"/>
      <c r="M8" s="325"/>
      <c r="N8" s="338"/>
      <c r="O8" s="338"/>
      <c r="P8" s="338"/>
      <c r="R8" s="70"/>
      <c r="S8" s="74"/>
    </row>
    <row r="9" spans="1:19 16383:16384" x14ac:dyDescent="0.35">
      <c r="A9" s="337"/>
      <c r="B9" s="337"/>
      <c r="C9" s="337"/>
      <c r="F9" s="70"/>
      <c r="G9" s="74"/>
      <c r="K9" s="325"/>
      <c r="L9" s="325"/>
      <c r="M9" s="325"/>
      <c r="N9" s="338"/>
      <c r="O9" s="338"/>
      <c r="P9" s="338"/>
      <c r="R9" s="70"/>
      <c r="S9" s="74"/>
      <c r="XFD9" t="s">
        <v>55</v>
      </c>
    </row>
    <row r="10" spans="1:19 16383:16384" x14ac:dyDescent="0.35">
      <c r="A10" s="323" t="s">
        <v>95</v>
      </c>
      <c r="B10" s="168" t="s">
        <v>102</v>
      </c>
      <c r="C10" s="75"/>
      <c r="F10" s="70"/>
      <c r="G10" s="71"/>
      <c r="K10" s="325" t="s">
        <v>56</v>
      </c>
      <c r="L10" s="325"/>
      <c r="M10" s="325"/>
      <c r="N10" s="326" t="s">
        <v>57</v>
      </c>
      <c r="O10" s="326"/>
      <c r="P10" s="326"/>
      <c r="R10" s="70"/>
      <c r="S10" s="71"/>
      <c r="XFD10" t="s">
        <v>58</v>
      </c>
    </row>
    <row r="11" spans="1:19 16383:16384" x14ac:dyDescent="0.35">
      <c r="A11" s="323"/>
      <c r="B11" s="76" t="s">
        <v>48</v>
      </c>
      <c r="C11" s="77" t="str">
        <f>IF($O34&gt;2.49%,"No","Yes")</f>
        <v>Yes</v>
      </c>
      <c r="F11" s="70"/>
      <c r="G11" s="71"/>
      <c r="K11" s="325" t="s">
        <v>59</v>
      </c>
      <c r="L11" s="325"/>
      <c r="M11" s="325"/>
      <c r="N11" s="326" t="s">
        <v>55</v>
      </c>
      <c r="O11" s="326"/>
      <c r="P11" s="326"/>
      <c r="R11" s="70"/>
      <c r="S11" s="71"/>
    </row>
    <row r="12" spans="1:19 16383:16384" ht="14.65" customHeight="1" x14ac:dyDescent="0.35">
      <c r="A12" s="323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5" t="s">
        <v>61</v>
      </c>
      <c r="L12" s="325"/>
      <c r="M12" s="325"/>
      <c r="N12" s="326"/>
      <c r="O12" s="326"/>
      <c r="P12" s="326"/>
      <c r="R12" s="70"/>
      <c r="S12" s="71"/>
      <c r="XFD12" t="s">
        <v>62</v>
      </c>
    </row>
    <row r="13" spans="1:19 16383:16384" ht="15" thickBot="1" x14ac:dyDescent="0.4">
      <c r="A13" s="324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7" t="s">
        <v>64</v>
      </c>
      <c r="B14" s="328"/>
      <c r="C14" s="331" t="s">
        <v>65</v>
      </c>
      <c r="D14" s="80" t="s">
        <v>2</v>
      </c>
      <c r="E14" s="81" t="s">
        <v>66</v>
      </c>
      <c r="F14" s="82" t="s">
        <v>67</v>
      </c>
      <c r="G14" s="343" t="s">
        <v>68</v>
      </c>
      <c r="H14" s="344"/>
      <c r="I14" s="345" t="s">
        <v>69</v>
      </c>
      <c r="J14" s="343" t="s">
        <v>70</v>
      </c>
      <c r="K14" s="347"/>
      <c r="L14" s="344"/>
      <c r="M14" s="3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9"/>
      <c r="B15" s="330"/>
      <c r="C15" s="33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6"/>
      <c r="J15" s="88" t="s">
        <v>78</v>
      </c>
      <c r="K15" s="90" t="s">
        <v>79</v>
      </c>
      <c r="L15" s="276">
        <v>0.18</v>
      </c>
      <c r="M15" s="3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5" t="s">
        <v>84</v>
      </c>
      <c r="B25" s="306"/>
      <c r="C25" s="307"/>
      <c r="D25" s="301"/>
      <c r="E25" s="301"/>
      <c r="F25" s="342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8" t="s">
        <v>85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10"/>
      <c r="N28" s="317" t="s">
        <v>86</v>
      </c>
      <c r="O28" s="318"/>
      <c r="P28" s="151">
        <f>I25</f>
        <v>12913.800000000001</v>
      </c>
    </row>
    <row r="29" spans="1:19 16384:16384" ht="15" customHeight="1" x14ac:dyDescent="0.35">
      <c r="B29" s="311"/>
      <c r="C29" s="312"/>
      <c r="D29" s="312"/>
      <c r="E29" s="312"/>
      <c r="F29" s="312"/>
      <c r="G29" s="312"/>
      <c r="H29" s="312"/>
      <c r="I29" s="312"/>
      <c r="J29" s="312"/>
      <c r="K29" s="312"/>
      <c r="L29" s="313"/>
      <c r="N29" s="319" t="s">
        <v>87</v>
      </c>
      <c r="O29" s="320"/>
      <c r="P29" s="152">
        <f>L25</f>
        <v>2324.4839999999995</v>
      </c>
    </row>
    <row r="30" spans="1:19 16384:16384" ht="15" customHeight="1" x14ac:dyDescent="0.35">
      <c r="B30" s="311"/>
      <c r="C30" s="312"/>
      <c r="D30" s="312"/>
      <c r="E30" s="312"/>
      <c r="F30" s="312"/>
      <c r="G30" s="312"/>
      <c r="H30" s="312"/>
      <c r="I30" s="312"/>
      <c r="J30" s="312"/>
      <c r="K30" s="312"/>
      <c r="L30" s="313"/>
      <c r="N30" s="319" t="s">
        <v>4</v>
      </c>
      <c r="O30" s="320"/>
      <c r="P30" s="153">
        <f>K25</f>
        <v>0</v>
      </c>
    </row>
    <row r="31" spans="1:19 16384:16384" ht="15" customHeight="1" x14ac:dyDescent="0.35">
      <c r="B31" s="311"/>
      <c r="C31" s="312"/>
      <c r="D31" s="312"/>
      <c r="E31" s="312"/>
      <c r="F31" s="312"/>
      <c r="G31" s="312"/>
      <c r="H31" s="312"/>
      <c r="I31" s="312"/>
      <c r="J31" s="312"/>
      <c r="K31" s="312"/>
      <c r="L31" s="313"/>
      <c r="M31" s="2"/>
      <c r="N31" s="319" t="s">
        <v>88</v>
      </c>
      <c r="O31" s="320"/>
      <c r="P31" s="152">
        <f>P28-P29-P30</f>
        <v>10589.316000000003</v>
      </c>
    </row>
    <row r="32" spans="1:19 16384:16384" ht="15" customHeight="1" x14ac:dyDescent="0.35">
      <c r="B32" s="311"/>
      <c r="C32" s="312"/>
      <c r="D32" s="312"/>
      <c r="E32" s="312"/>
      <c r="F32" s="312"/>
      <c r="G32" s="312"/>
      <c r="H32" s="312"/>
      <c r="I32" s="312"/>
      <c r="J32" s="312"/>
      <c r="K32" s="312"/>
      <c r="L32" s="313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1"/>
      <c r="C33" s="312"/>
      <c r="D33" s="312"/>
      <c r="E33" s="312"/>
      <c r="F33" s="312"/>
      <c r="G33" s="312"/>
      <c r="H33" s="312"/>
      <c r="I33" s="312"/>
      <c r="J33" s="312"/>
      <c r="K33" s="312"/>
      <c r="L33" s="313"/>
      <c r="M33" s="2"/>
      <c r="N33" s="321" t="s">
        <v>90</v>
      </c>
      <c r="O33" s="322"/>
      <c r="P33" s="152">
        <f>P31+P32</f>
        <v>12495.392880000003</v>
      </c>
    </row>
    <row r="34" spans="2:16" ht="15" customHeight="1" thickBot="1" x14ac:dyDescent="0.4">
      <c r="B34" s="314"/>
      <c r="C34" s="315"/>
      <c r="D34" s="315"/>
      <c r="E34" s="315"/>
      <c r="F34" s="315"/>
      <c r="G34" s="315"/>
      <c r="H34" s="315"/>
      <c r="I34" s="315"/>
      <c r="J34" s="315"/>
      <c r="K34" s="315"/>
      <c r="L34" s="316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9" t="s">
        <v>92</v>
      </c>
      <c r="O35" s="300"/>
      <c r="P35" s="159">
        <f>P33+P34</f>
        <v>12557.869844400004</v>
      </c>
    </row>
    <row r="36" spans="2:16" ht="15" thickBot="1" x14ac:dyDescent="0.4">
      <c r="B36" s="160" t="s">
        <v>93</v>
      </c>
      <c r="C36" s="301"/>
      <c r="D36" s="301"/>
      <c r="E36" s="301"/>
      <c r="F36" s="301"/>
      <c r="G36" s="301"/>
      <c r="H36" s="301"/>
      <c r="I36" s="302"/>
      <c r="J36" s="303"/>
      <c r="K36" s="30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I9" sqref="I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1" t="s">
        <v>45</v>
      </c>
      <c r="B2" s="341"/>
      <c r="C2" s="341"/>
    </row>
    <row r="3" spans="1:19 16383:16384" ht="15" customHeight="1" x14ac:dyDescent="0.35">
      <c r="A3" s="326" t="s">
        <v>46</v>
      </c>
      <c r="B3" s="326"/>
      <c r="C3" s="326"/>
      <c r="F3" s="70"/>
      <c r="G3" s="71"/>
      <c r="K3" s="325" t="s">
        <v>47</v>
      </c>
      <c r="L3" s="325"/>
      <c r="M3" s="325"/>
      <c r="N3" s="326">
        <v>1004</v>
      </c>
      <c r="O3" s="326"/>
      <c r="P3" s="32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6" t="s">
        <v>94</v>
      </c>
      <c r="B4" s="326"/>
      <c r="C4" s="326"/>
      <c r="F4" s="70"/>
      <c r="G4" s="71"/>
      <c r="K4" s="325" t="s">
        <v>49</v>
      </c>
      <c r="L4" s="325"/>
      <c r="M4" s="325"/>
      <c r="N4" s="339">
        <v>46202</v>
      </c>
      <c r="O4" s="339"/>
      <c r="P4" s="33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8" t="s">
        <v>113</v>
      </c>
      <c r="B5" s="348"/>
      <c r="C5" s="348"/>
      <c r="F5" s="70"/>
      <c r="G5" s="71"/>
      <c r="K5" s="325" t="s">
        <v>51</v>
      </c>
      <c r="L5" s="325"/>
      <c r="M5" s="325"/>
      <c r="N5" s="339">
        <f>N4-1</f>
        <v>46201</v>
      </c>
      <c r="O5" s="326"/>
      <c r="P5" s="326"/>
      <c r="R5" s="70"/>
      <c r="S5" s="71"/>
    </row>
    <row r="6" spans="1:19 16383:16384" ht="15" customHeight="1" x14ac:dyDescent="0.35">
      <c r="A6" s="325" t="s">
        <v>114</v>
      </c>
      <c r="B6" s="325"/>
      <c r="C6" s="325"/>
      <c r="F6" s="70"/>
      <c r="G6" s="74"/>
      <c r="K6" s="325" t="s">
        <v>52</v>
      </c>
      <c r="L6" s="325"/>
      <c r="M6" s="325"/>
      <c r="N6" s="338" t="s">
        <v>100</v>
      </c>
      <c r="O6" s="338"/>
      <c r="P6" s="33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5"/>
      <c r="B7" s="325"/>
      <c r="C7" s="325"/>
      <c r="F7" s="70"/>
      <c r="G7" s="74"/>
      <c r="K7" s="325"/>
      <c r="L7" s="325"/>
      <c r="M7" s="325"/>
      <c r="N7" s="338"/>
      <c r="O7" s="338"/>
      <c r="P7" s="33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7"/>
      <c r="B8" s="337"/>
      <c r="C8" s="337"/>
      <c r="F8" s="70"/>
      <c r="G8" s="74"/>
      <c r="K8" s="325"/>
      <c r="L8" s="325"/>
      <c r="M8" s="325"/>
      <c r="N8" s="338"/>
      <c r="O8" s="338"/>
      <c r="P8" s="338"/>
      <c r="R8" s="70"/>
      <c r="S8" s="74"/>
    </row>
    <row r="9" spans="1:19 16383:16384" x14ac:dyDescent="0.35">
      <c r="A9" s="337"/>
      <c r="B9" s="337"/>
      <c r="C9" s="337"/>
      <c r="F9" s="70"/>
      <c r="G9" s="74"/>
      <c r="K9" s="325"/>
      <c r="L9" s="325"/>
      <c r="M9" s="325"/>
      <c r="N9" s="338"/>
      <c r="O9" s="338"/>
      <c r="P9" s="338"/>
      <c r="R9" s="70"/>
      <c r="S9" s="74"/>
      <c r="XFD9" t="s">
        <v>55</v>
      </c>
    </row>
    <row r="10" spans="1:19 16383:16384" x14ac:dyDescent="0.35">
      <c r="A10" s="323" t="s">
        <v>95</v>
      </c>
      <c r="B10" s="75" t="s">
        <v>102</v>
      </c>
      <c r="C10" s="75"/>
      <c r="F10" s="70"/>
      <c r="G10" s="71"/>
      <c r="K10" s="325" t="s">
        <v>56</v>
      </c>
      <c r="L10" s="325"/>
      <c r="M10" s="325"/>
      <c r="N10" s="326" t="s">
        <v>57</v>
      </c>
      <c r="O10" s="326"/>
      <c r="P10" s="326"/>
      <c r="R10" s="70"/>
      <c r="S10" s="71"/>
      <c r="XFD10" t="s">
        <v>58</v>
      </c>
    </row>
    <row r="11" spans="1:19 16383:16384" x14ac:dyDescent="0.35">
      <c r="A11" s="323"/>
      <c r="B11" s="76" t="s">
        <v>48</v>
      </c>
      <c r="C11" s="77" t="str">
        <f>IF($O34&gt;2.49%,"No","Yes")</f>
        <v>Yes</v>
      </c>
      <c r="F11" s="70"/>
      <c r="G11" s="71"/>
      <c r="K11" s="325" t="s">
        <v>59</v>
      </c>
      <c r="L11" s="325"/>
      <c r="M11" s="325"/>
      <c r="N11" s="326" t="s">
        <v>55</v>
      </c>
      <c r="O11" s="326"/>
      <c r="P11" s="326"/>
      <c r="R11" s="70"/>
      <c r="S11" s="71"/>
    </row>
    <row r="12" spans="1:19 16383:16384" ht="14.65" customHeight="1" x14ac:dyDescent="0.35">
      <c r="A12" s="323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5" t="s">
        <v>61</v>
      </c>
      <c r="L12" s="325"/>
      <c r="M12" s="325"/>
      <c r="N12" s="326"/>
      <c r="O12" s="326"/>
      <c r="P12" s="326"/>
      <c r="R12" s="70"/>
      <c r="S12" s="71"/>
      <c r="XFD12" t="s">
        <v>62</v>
      </c>
    </row>
    <row r="13" spans="1:19 16383:16384" ht="15" thickBot="1" x14ac:dyDescent="0.4">
      <c r="A13" s="32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7" t="s">
        <v>64</v>
      </c>
      <c r="B14" s="328"/>
      <c r="C14" s="331" t="s">
        <v>65</v>
      </c>
      <c r="D14" s="80" t="s">
        <v>2</v>
      </c>
      <c r="E14" s="81" t="s">
        <v>66</v>
      </c>
      <c r="F14" s="82" t="s">
        <v>67</v>
      </c>
      <c r="G14" s="343" t="s">
        <v>68</v>
      </c>
      <c r="H14" s="344"/>
      <c r="I14" s="345" t="s">
        <v>69</v>
      </c>
      <c r="J14" s="343" t="s">
        <v>70</v>
      </c>
      <c r="K14" s="347"/>
      <c r="L14" s="344"/>
      <c r="M14" s="3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9"/>
      <c r="B15" s="330"/>
      <c r="C15" s="33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6"/>
      <c r="J15" s="88" t="s">
        <v>78</v>
      </c>
      <c r="K15" s="90" t="s">
        <v>79</v>
      </c>
      <c r="L15" s="276">
        <v>0.18</v>
      </c>
      <c r="M15" s="3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5" t="s">
        <v>84</v>
      </c>
      <c r="B25" s="306"/>
      <c r="C25" s="307"/>
      <c r="D25" s="301"/>
      <c r="E25" s="301"/>
      <c r="F25" s="342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8" t="s">
        <v>85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10"/>
      <c r="N28" s="317" t="s">
        <v>86</v>
      </c>
      <c r="O28" s="318"/>
      <c r="P28" s="151">
        <f>I25</f>
        <v>12913.800000000001</v>
      </c>
    </row>
    <row r="29" spans="1:19 16384:16384" ht="15" customHeight="1" x14ac:dyDescent="0.35">
      <c r="B29" s="311"/>
      <c r="C29" s="312"/>
      <c r="D29" s="312"/>
      <c r="E29" s="312"/>
      <c r="F29" s="312"/>
      <c r="G29" s="312"/>
      <c r="H29" s="312"/>
      <c r="I29" s="312"/>
      <c r="J29" s="312"/>
      <c r="K29" s="312"/>
      <c r="L29" s="313"/>
      <c r="N29" s="319" t="s">
        <v>87</v>
      </c>
      <c r="O29" s="320"/>
      <c r="P29" s="152">
        <f>L25</f>
        <v>2324.4839999999995</v>
      </c>
    </row>
    <row r="30" spans="1:19 16384:16384" ht="15" customHeight="1" x14ac:dyDescent="0.35">
      <c r="B30" s="311"/>
      <c r="C30" s="312"/>
      <c r="D30" s="312"/>
      <c r="E30" s="312"/>
      <c r="F30" s="312"/>
      <c r="G30" s="312"/>
      <c r="H30" s="312"/>
      <c r="I30" s="312"/>
      <c r="J30" s="312"/>
      <c r="K30" s="312"/>
      <c r="L30" s="313"/>
      <c r="N30" s="319" t="s">
        <v>4</v>
      </c>
      <c r="O30" s="320"/>
      <c r="P30" s="153">
        <f>K25</f>
        <v>0</v>
      </c>
    </row>
    <row r="31" spans="1:19 16384:16384" ht="15" customHeight="1" x14ac:dyDescent="0.35">
      <c r="B31" s="311"/>
      <c r="C31" s="312"/>
      <c r="D31" s="312"/>
      <c r="E31" s="312"/>
      <c r="F31" s="312"/>
      <c r="G31" s="312"/>
      <c r="H31" s="312"/>
      <c r="I31" s="312"/>
      <c r="J31" s="312"/>
      <c r="K31" s="312"/>
      <c r="L31" s="313"/>
      <c r="M31" s="2"/>
      <c r="N31" s="319" t="s">
        <v>88</v>
      </c>
      <c r="O31" s="320"/>
      <c r="P31" s="152">
        <f>P28-P29-P30</f>
        <v>10589.316000000003</v>
      </c>
    </row>
    <row r="32" spans="1:19 16384:16384" ht="15" customHeight="1" x14ac:dyDescent="0.35">
      <c r="B32" s="311"/>
      <c r="C32" s="312"/>
      <c r="D32" s="312"/>
      <c r="E32" s="312"/>
      <c r="F32" s="312"/>
      <c r="G32" s="312"/>
      <c r="H32" s="312"/>
      <c r="I32" s="312"/>
      <c r="J32" s="312"/>
      <c r="K32" s="312"/>
      <c r="L32" s="313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1"/>
      <c r="C33" s="312"/>
      <c r="D33" s="312"/>
      <c r="E33" s="312"/>
      <c r="F33" s="312"/>
      <c r="G33" s="312"/>
      <c r="H33" s="312"/>
      <c r="I33" s="312"/>
      <c r="J33" s="312"/>
      <c r="K33" s="312"/>
      <c r="L33" s="313"/>
      <c r="M33" s="2"/>
      <c r="N33" s="321" t="s">
        <v>90</v>
      </c>
      <c r="O33" s="322"/>
      <c r="P33" s="152">
        <f>P31+P32</f>
        <v>12495.392880000003</v>
      </c>
    </row>
    <row r="34" spans="2:16" ht="15" customHeight="1" thickBot="1" x14ac:dyDescent="0.4">
      <c r="B34" s="314"/>
      <c r="C34" s="315"/>
      <c r="D34" s="315"/>
      <c r="E34" s="315"/>
      <c r="F34" s="315"/>
      <c r="G34" s="315"/>
      <c r="H34" s="315"/>
      <c r="I34" s="315"/>
      <c r="J34" s="315"/>
      <c r="K34" s="315"/>
      <c r="L34" s="316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9" t="s">
        <v>92</v>
      </c>
      <c r="O35" s="300"/>
      <c r="P35" s="159">
        <f>P33+P34</f>
        <v>12557.869844400004</v>
      </c>
    </row>
    <row r="36" spans="2:16" ht="15" thickBot="1" x14ac:dyDescent="0.4">
      <c r="B36" s="160" t="s">
        <v>93</v>
      </c>
      <c r="C36" s="301"/>
      <c r="D36" s="301"/>
      <c r="E36" s="301"/>
      <c r="F36" s="301"/>
      <c r="G36" s="301"/>
      <c r="H36" s="301"/>
      <c r="I36" s="302"/>
      <c r="J36" s="303"/>
      <c r="K36" s="30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8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3" workbookViewId="0">
      <selection activeCell="N5" sqref="N5:P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1" t="s">
        <v>45</v>
      </c>
      <c r="B2" s="341"/>
      <c r="C2" s="341"/>
    </row>
    <row r="3" spans="1:19 16383:16384" ht="15" customHeight="1" x14ac:dyDescent="0.35">
      <c r="A3" s="326" t="s">
        <v>46</v>
      </c>
      <c r="B3" s="326"/>
      <c r="C3" s="326"/>
      <c r="F3" s="70"/>
      <c r="G3" s="71"/>
      <c r="K3" s="325" t="s">
        <v>47</v>
      </c>
      <c r="L3" s="325"/>
      <c r="M3" s="325"/>
      <c r="N3" s="326">
        <v>1005</v>
      </c>
      <c r="O3" s="326"/>
      <c r="P3" s="32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6" t="s">
        <v>94</v>
      </c>
      <c r="B4" s="326"/>
      <c r="C4" s="326"/>
      <c r="F4" s="70"/>
      <c r="G4" s="71"/>
      <c r="K4" s="325" t="s">
        <v>49</v>
      </c>
      <c r="L4" s="325"/>
      <c r="M4" s="325"/>
      <c r="N4" s="339">
        <v>46202</v>
      </c>
      <c r="O4" s="339"/>
      <c r="P4" s="33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8" t="s">
        <v>115</v>
      </c>
      <c r="B5" s="348"/>
      <c r="C5" s="348"/>
      <c r="F5" s="70"/>
      <c r="G5" s="71"/>
      <c r="K5" s="325" t="s">
        <v>51</v>
      </c>
      <c r="L5" s="325"/>
      <c r="M5" s="325"/>
      <c r="N5" s="339">
        <f>N4-1</f>
        <v>46201</v>
      </c>
      <c r="O5" s="326"/>
      <c r="P5" s="326"/>
      <c r="R5" s="70"/>
      <c r="S5" s="71"/>
    </row>
    <row r="6" spans="1:19 16383:16384" ht="15" customHeight="1" x14ac:dyDescent="0.35">
      <c r="A6" s="325" t="s">
        <v>116</v>
      </c>
      <c r="B6" s="325"/>
      <c r="C6" s="325"/>
      <c r="F6" s="70"/>
      <c r="G6" s="74"/>
      <c r="K6" s="325" t="s">
        <v>52</v>
      </c>
      <c r="L6" s="325"/>
      <c r="M6" s="325"/>
      <c r="N6" s="338" t="s">
        <v>100</v>
      </c>
      <c r="O6" s="338"/>
      <c r="P6" s="33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5"/>
      <c r="B7" s="325"/>
      <c r="C7" s="325"/>
      <c r="F7" s="70"/>
      <c r="G7" s="74"/>
      <c r="K7" s="325"/>
      <c r="L7" s="325"/>
      <c r="M7" s="325"/>
      <c r="N7" s="338"/>
      <c r="O7" s="338"/>
      <c r="P7" s="33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7"/>
      <c r="B8" s="337"/>
      <c r="C8" s="337"/>
      <c r="F8" s="70"/>
      <c r="G8" s="74"/>
      <c r="K8" s="325"/>
      <c r="L8" s="325"/>
      <c r="M8" s="325"/>
      <c r="N8" s="338"/>
      <c r="O8" s="338"/>
      <c r="P8" s="338"/>
      <c r="R8" s="70"/>
      <c r="S8" s="74"/>
    </row>
    <row r="9" spans="1:19 16383:16384" x14ac:dyDescent="0.35">
      <c r="A9" s="337"/>
      <c r="B9" s="337"/>
      <c r="C9" s="337"/>
      <c r="F9" s="70"/>
      <c r="G9" s="74"/>
      <c r="K9" s="325"/>
      <c r="L9" s="325"/>
      <c r="M9" s="325"/>
      <c r="N9" s="338"/>
      <c r="O9" s="338"/>
      <c r="P9" s="338"/>
      <c r="R9" s="70"/>
      <c r="S9" s="74"/>
      <c r="XFD9" t="s">
        <v>55</v>
      </c>
    </row>
    <row r="10" spans="1:19 16383:16384" x14ac:dyDescent="0.35">
      <c r="A10" s="323" t="s">
        <v>95</v>
      </c>
      <c r="B10" s="168" t="s">
        <v>102</v>
      </c>
      <c r="C10" s="75"/>
      <c r="F10" s="70"/>
      <c r="G10" s="71"/>
      <c r="K10" s="325" t="s">
        <v>56</v>
      </c>
      <c r="L10" s="325"/>
      <c r="M10" s="325"/>
      <c r="N10" s="326" t="s">
        <v>57</v>
      </c>
      <c r="O10" s="326"/>
      <c r="P10" s="326"/>
      <c r="R10" s="70"/>
      <c r="S10" s="71"/>
      <c r="XFD10" t="s">
        <v>58</v>
      </c>
    </row>
    <row r="11" spans="1:19 16383:16384" x14ac:dyDescent="0.35">
      <c r="A11" s="323"/>
      <c r="B11" s="76" t="s">
        <v>48</v>
      </c>
      <c r="C11" s="77" t="str">
        <f>IF($O34&gt;2.49%,"No","Yes")</f>
        <v>Yes</v>
      </c>
      <c r="F11" s="70"/>
      <c r="G11" s="71"/>
      <c r="K11" s="325" t="s">
        <v>59</v>
      </c>
      <c r="L11" s="325"/>
      <c r="M11" s="325"/>
      <c r="N11" s="326" t="s">
        <v>55</v>
      </c>
      <c r="O11" s="326"/>
      <c r="P11" s="326"/>
      <c r="R11" s="70"/>
      <c r="S11" s="71"/>
    </row>
    <row r="12" spans="1:19 16383:16384" ht="14.65" customHeight="1" x14ac:dyDescent="0.35">
      <c r="A12" s="323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5" t="s">
        <v>61</v>
      </c>
      <c r="L12" s="325"/>
      <c r="M12" s="325"/>
      <c r="N12" s="326"/>
      <c r="O12" s="326"/>
      <c r="P12" s="326"/>
      <c r="R12" s="70"/>
      <c r="S12" s="71"/>
      <c r="XFD12" t="s">
        <v>62</v>
      </c>
    </row>
    <row r="13" spans="1:19 16383:16384" ht="15" thickBot="1" x14ac:dyDescent="0.4">
      <c r="A13" s="32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7" t="s">
        <v>64</v>
      </c>
      <c r="B14" s="328"/>
      <c r="C14" s="331" t="s">
        <v>65</v>
      </c>
      <c r="D14" s="80" t="s">
        <v>2</v>
      </c>
      <c r="E14" s="81" t="s">
        <v>66</v>
      </c>
      <c r="F14" s="82" t="s">
        <v>67</v>
      </c>
      <c r="G14" s="343" t="s">
        <v>68</v>
      </c>
      <c r="H14" s="344"/>
      <c r="I14" s="345" t="s">
        <v>69</v>
      </c>
      <c r="J14" s="343" t="s">
        <v>70</v>
      </c>
      <c r="K14" s="347"/>
      <c r="L14" s="344"/>
      <c r="M14" s="3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9"/>
      <c r="B15" s="330"/>
      <c r="C15" s="33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6"/>
      <c r="J15" s="88" t="s">
        <v>78</v>
      </c>
      <c r="K15" s="90" t="s">
        <v>79</v>
      </c>
      <c r="L15" s="276">
        <v>0.18</v>
      </c>
      <c r="M15" s="3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5" t="s">
        <v>84</v>
      </c>
      <c r="B25" s="306"/>
      <c r="C25" s="307"/>
      <c r="D25" s="301"/>
      <c r="E25" s="301"/>
      <c r="F25" s="342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8" t="s">
        <v>85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10"/>
      <c r="N28" s="317" t="s">
        <v>86</v>
      </c>
      <c r="O28" s="318"/>
      <c r="P28" s="151">
        <f>I25</f>
        <v>12913.800000000001</v>
      </c>
    </row>
    <row r="29" spans="1:19 16384:16384" ht="15" customHeight="1" x14ac:dyDescent="0.35">
      <c r="B29" s="311"/>
      <c r="C29" s="312"/>
      <c r="D29" s="312"/>
      <c r="E29" s="312"/>
      <c r="F29" s="312"/>
      <c r="G29" s="312"/>
      <c r="H29" s="312"/>
      <c r="I29" s="312"/>
      <c r="J29" s="312"/>
      <c r="K29" s="312"/>
      <c r="L29" s="313"/>
      <c r="N29" s="319" t="s">
        <v>87</v>
      </c>
      <c r="O29" s="320"/>
      <c r="P29" s="152">
        <f>L25</f>
        <v>2324.4839999999995</v>
      </c>
    </row>
    <row r="30" spans="1:19 16384:16384" ht="15" customHeight="1" x14ac:dyDescent="0.35">
      <c r="B30" s="311"/>
      <c r="C30" s="312"/>
      <c r="D30" s="312"/>
      <c r="E30" s="312"/>
      <c r="F30" s="312"/>
      <c r="G30" s="312"/>
      <c r="H30" s="312"/>
      <c r="I30" s="312"/>
      <c r="J30" s="312"/>
      <c r="K30" s="312"/>
      <c r="L30" s="313"/>
      <c r="N30" s="319" t="s">
        <v>4</v>
      </c>
      <c r="O30" s="320"/>
      <c r="P30" s="153">
        <f>K25</f>
        <v>0</v>
      </c>
    </row>
    <row r="31" spans="1:19 16384:16384" ht="15" customHeight="1" x14ac:dyDescent="0.35">
      <c r="B31" s="311"/>
      <c r="C31" s="312"/>
      <c r="D31" s="312"/>
      <c r="E31" s="312"/>
      <c r="F31" s="312"/>
      <c r="G31" s="312"/>
      <c r="H31" s="312"/>
      <c r="I31" s="312"/>
      <c r="J31" s="312"/>
      <c r="K31" s="312"/>
      <c r="L31" s="313"/>
      <c r="M31" s="2"/>
      <c r="N31" s="319" t="s">
        <v>88</v>
      </c>
      <c r="O31" s="320"/>
      <c r="P31" s="152">
        <f>P28-P29-P30</f>
        <v>10589.316000000003</v>
      </c>
    </row>
    <row r="32" spans="1:19 16384:16384" ht="15" customHeight="1" x14ac:dyDescent="0.35">
      <c r="B32" s="311"/>
      <c r="C32" s="312"/>
      <c r="D32" s="312"/>
      <c r="E32" s="312"/>
      <c r="F32" s="312"/>
      <c r="G32" s="312"/>
      <c r="H32" s="312"/>
      <c r="I32" s="312"/>
      <c r="J32" s="312"/>
      <c r="K32" s="312"/>
      <c r="L32" s="313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1"/>
      <c r="C33" s="312"/>
      <c r="D33" s="312"/>
      <c r="E33" s="312"/>
      <c r="F33" s="312"/>
      <c r="G33" s="312"/>
      <c r="H33" s="312"/>
      <c r="I33" s="312"/>
      <c r="J33" s="312"/>
      <c r="K33" s="312"/>
      <c r="L33" s="313"/>
      <c r="M33" s="2"/>
      <c r="N33" s="321" t="s">
        <v>90</v>
      </c>
      <c r="O33" s="322"/>
      <c r="P33" s="152">
        <f>P31+P32</f>
        <v>12495.392880000003</v>
      </c>
    </row>
    <row r="34" spans="2:16" ht="15" customHeight="1" thickBot="1" x14ac:dyDescent="0.4">
      <c r="B34" s="314"/>
      <c r="C34" s="315"/>
      <c r="D34" s="315"/>
      <c r="E34" s="315"/>
      <c r="F34" s="315"/>
      <c r="G34" s="315"/>
      <c r="H34" s="315"/>
      <c r="I34" s="315"/>
      <c r="J34" s="315"/>
      <c r="K34" s="315"/>
      <c r="L34" s="316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9" t="s">
        <v>92</v>
      </c>
      <c r="O35" s="300"/>
      <c r="P35" s="159">
        <f>P33+P34</f>
        <v>12557.869844400004</v>
      </c>
    </row>
    <row r="36" spans="2:16" ht="15" thickBot="1" x14ac:dyDescent="0.4">
      <c r="B36" s="160" t="s">
        <v>93</v>
      </c>
      <c r="C36" s="301"/>
      <c r="D36" s="301"/>
      <c r="E36" s="301"/>
      <c r="F36" s="301"/>
      <c r="G36" s="301"/>
      <c r="H36" s="301"/>
      <c r="I36" s="302"/>
      <c r="J36" s="303"/>
      <c r="K36" s="30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N5" sqref="N5:P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1" t="s">
        <v>45</v>
      </c>
      <c r="B2" s="341"/>
      <c r="C2" s="341"/>
    </row>
    <row r="3" spans="1:19 16383:16384" ht="15" customHeight="1" x14ac:dyDescent="0.35">
      <c r="A3" s="326" t="s">
        <v>46</v>
      </c>
      <c r="B3" s="326"/>
      <c r="C3" s="326"/>
      <c r="F3" s="70"/>
      <c r="G3" s="71"/>
      <c r="K3" s="325" t="s">
        <v>47</v>
      </c>
      <c r="L3" s="325"/>
      <c r="M3" s="325"/>
      <c r="N3" s="326">
        <v>1006</v>
      </c>
      <c r="O3" s="326"/>
      <c r="P3" s="32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6" t="s">
        <v>94</v>
      </c>
      <c r="B4" s="326"/>
      <c r="C4" s="326"/>
      <c r="F4" s="70"/>
      <c r="G4" s="71"/>
      <c r="K4" s="325" t="s">
        <v>49</v>
      </c>
      <c r="L4" s="325"/>
      <c r="M4" s="325"/>
      <c r="N4" s="339">
        <v>46202</v>
      </c>
      <c r="O4" s="339"/>
      <c r="P4" s="33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8" t="s">
        <v>117</v>
      </c>
      <c r="B5" s="348"/>
      <c r="C5" s="348"/>
      <c r="F5" s="70"/>
      <c r="G5" s="71"/>
      <c r="K5" s="325" t="s">
        <v>51</v>
      </c>
      <c r="L5" s="325"/>
      <c r="M5" s="325"/>
      <c r="N5" s="339">
        <f>N4-1</f>
        <v>46201</v>
      </c>
      <c r="O5" s="326"/>
      <c r="P5" s="326"/>
      <c r="R5" s="70"/>
      <c r="S5" s="71"/>
    </row>
    <row r="6" spans="1:19 16383:16384" ht="15" customHeight="1" x14ac:dyDescent="0.35">
      <c r="A6" s="325" t="s">
        <v>118</v>
      </c>
      <c r="B6" s="325"/>
      <c r="C6" s="325"/>
      <c r="F6" s="70"/>
      <c r="G6" s="74"/>
      <c r="K6" s="325" t="s">
        <v>52</v>
      </c>
      <c r="L6" s="325"/>
      <c r="M6" s="325"/>
      <c r="N6" s="338" t="s">
        <v>100</v>
      </c>
      <c r="O6" s="338"/>
      <c r="P6" s="33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5"/>
      <c r="B7" s="325"/>
      <c r="C7" s="325"/>
      <c r="F7" s="70"/>
      <c r="G7" s="74"/>
      <c r="K7" s="325"/>
      <c r="L7" s="325"/>
      <c r="M7" s="325"/>
      <c r="N7" s="338"/>
      <c r="O7" s="338"/>
      <c r="P7" s="33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7"/>
      <c r="B8" s="337"/>
      <c r="C8" s="337"/>
      <c r="F8" s="70"/>
      <c r="G8" s="74"/>
      <c r="K8" s="325"/>
      <c r="L8" s="325"/>
      <c r="M8" s="325"/>
      <c r="N8" s="338"/>
      <c r="O8" s="338"/>
      <c r="P8" s="338"/>
      <c r="R8" s="70"/>
      <c r="S8" s="74"/>
    </row>
    <row r="9" spans="1:19 16383:16384" x14ac:dyDescent="0.35">
      <c r="A9" s="337"/>
      <c r="B9" s="337"/>
      <c r="C9" s="337"/>
      <c r="F9" s="70"/>
      <c r="G9" s="74"/>
      <c r="K9" s="325"/>
      <c r="L9" s="325"/>
      <c r="M9" s="325"/>
      <c r="N9" s="338"/>
      <c r="O9" s="338"/>
      <c r="P9" s="338"/>
      <c r="R9" s="70"/>
      <c r="S9" s="74"/>
      <c r="XFD9" t="s">
        <v>55</v>
      </c>
    </row>
    <row r="10" spans="1:19 16383:16384" x14ac:dyDescent="0.35">
      <c r="A10" s="323" t="s">
        <v>95</v>
      </c>
      <c r="B10" s="75" t="s">
        <v>102</v>
      </c>
      <c r="C10" s="75"/>
      <c r="F10" s="70"/>
      <c r="G10" s="71"/>
      <c r="K10" s="325" t="s">
        <v>56</v>
      </c>
      <c r="L10" s="325"/>
      <c r="M10" s="325"/>
      <c r="N10" s="326" t="s">
        <v>57</v>
      </c>
      <c r="O10" s="326"/>
      <c r="P10" s="326"/>
      <c r="R10" s="70"/>
      <c r="S10" s="71"/>
      <c r="XFD10" t="s">
        <v>58</v>
      </c>
    </row>
    <row r="11" spans="1:19 16383:16384" x14ac:dyDescent="0.35">
      <c r="A11" s="323"/>
      <c r="B11" s="76" t="s">
        <v>48</v>
      </c>
      <c r="C11" s="77" t="str">
        <f>IF($O34&gt;2.49%,"No","Yes")</f>
        <v>Yes</v>
      </c>
      <c r="F11" s="70"/>
      <c r="G11" s="71"/>
      <c r="K11" s="325" t="s">
        <v>59</v>
      </c>
      <c r="L11" s="325"/>
      <c r="M11" s="325"/>
      <c r="N11" s="326" t="s">
        <v>55</v>
      </c>
      <c r="O11" s="326"/>
      <c r="P11" s="326"/>
      <c r="R11" s="70"/>
      <c r="S11" s="71"/>
    </row>
    <row r="12" spans="1:19 16383:16384" ht="14.65" customHeight="1" x14ac:dyDescent="0.35">
      <c r="A12" s="323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5" t="s">
        <v>61</v>
      </c>
      <c r="L12" s="325"/>
      <c r="M12" s="325"/>
      <c r="N12" s="326"/>
      <c r="O12" s="326"/>
      <c r="P12" s="326"/>
      <c r="R12" s="70"/>
      <c r="S12" s="71"/>
      <c r="XFD12" t="s">
        <v>62</v>
      </c>
    </row>
    <row r="13" spans="1:19 16383:16384" ht="15" thickBot="1" x14ac:dyDescent="0.4">
      <c r="A13" s="32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7" t="s">
        <v>64</v>
      </c>
      <c r="B14" s="328"/>
      <c r="C14" s="331" t="s">
        <v>65</v>
      </c>
      <c r="D14" s="80" t="s">
        <v>2</v>
      </c>
      <c r="E14" s="81" t="s">
        <v>66</v>
      </c>
      <c r="F14" s="82" t="s">
        <v>67</v>
      </c>
      <c r="G14" s="343" t="s">
        <v>68</v>
      </c>
      <c r="H14" s="344"/>
      <c r="I14" s="345" t="s">
        <v>69</v>
      </c>
      <c r="J14" s="343" t="s">
        <v>70</v>
      </c>
      <c r="K14" s="347"/>
      <c r="L14" s="344"/>
      <c r="M14" s="3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9"/>
      <c r="B15" s="330"/>
      <c r="C15" s="33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6"/>
      <c r="J15" s="88" t="s">
        <v>78</v>
      </c>
      <c r="K15" s="90" t="s">
        <v>79</v>
      </c>
      <c r="L15" s="276">
        <v>0.18</v>
      </c>
      <c r="M15" s="3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5" t="s">
        <v>84</v>
      </c>
      <c r="B25" s="306"/>
      <c r="C25" s="307"/>
      <c r="D25" s="301"/>
      <c r="E25" s="301"/>
      <c r="F25" s="342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8" t="s">
        <v>85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10"/>
      <c r="N28" s="317" t="s">
        <v>86</v>
      </c>
      <c r="O28" s="318"/>
      <c r="P28" s="151">
        <f>I25</f>
        <v>12913.800000000001</v>
      </c>
    </row>
    <row r="29" spans="1:19 16384:16384" ht="15" customHeight="1" x14ac:dyDescent="0.35">
      <c r="B29" s="311"/>
      <c r="C29" s="312"/>
      <c r="D29" s="312"/>
      <c r="E29" s="312"/>
      <c r="F29" s="312"/>
      <c r="G29" s="312"/>
      <c r="H29" s="312"/>
      <c r="I29" s="312"/>
      <c r="J29" s="312"/>
      <c r="K29" s="312"/>
      <c r="L29" s="313"/>
      <c r="N29" s="319" t="s">
        <v>87</v>
      </c>
      <c r="O29" s="320"/>
      <c r="P29" s="152">
        <f>L25</f>
        <v>2324.4839999999995</v>
      </c>
    </row>
    <row r="30" spans="1:19 16384:16384" ht="15" customHeight="1" x14ac:dyDescent="0.35">
      <c r="B30" s="311"/>
      <c r="C30" s="312"/>
      <c r="D30" s="312"/>
      <c r="E30" s="312"/>
      <c r="F30" s="312"/>
      <c r="G30" s="312"/>
      <c r="H30" s="312"/>
      <c r="I30" s="312"/>
      <c r="J30" s="312"/>
      <c r="K30" s="312"/>
      <c r="L30" s="313"/>
      <c r="N30" s="319" t="s">
        <v>4</v>
      </c>
      <c r="O30" s="320"/>
      <c r="P30" s="153">
        <f>K25</f>
        <v>0</v>
      </c>
    </row>
    <row r="31" spans="1:19 16384:16384" ht="15" customHeight="1" x14ac:dyDescent="0.35">
      <c r="B31" s="311"/>
      <c r="C31" s="312"/>
      <c r="D31" s="312"/>
      <c r="E31" s="312"/>
      <c r="F31" s="312"/>
      <c r="G31" s="312"/>
      <c r="H31" s="312"/>
      <c r="I31" s="312"/>
      <c r="J31" s="312"/>
      <c r="K31" s="312"/>
      <c r="L31" s="313"/>
      <c r="M31" s="2"/>
      <c r="N31" s="319" t="s">
        <v>88</v>
      </c>
      <c r="O31" s="320"/>
      <c r="P31" s="152">
        <f>P28-P29-P30</f>
        <v>10589.316000000003</v>
      </c>
    </row>
    <row r="32" spans="1:19 16384:16384" ht="15" customHeight="1" x14ac:dyDescent="0.35">
      <c r="B32" s="311"/>
      <c r="C32" s="312"/>
      <c r="D32" s="312"/>
      <c r="E32" s="312"/>
      <c r="F32" s="312"/>
      <c r="G32" s="312"/>
      <c r="H32" s="312"/>
      <c r="I32" s="312"/>
      <c r="J32" s="312"/>
      <c r="K32" s="312"/>
      <c r="L32" s="313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1"/>
      <c r="C33" s="312"/>
      <c r="D33" s="312"/>
      <c r="E33" s="312"/>
      <c r="F33" s="312"/>
      <c r="G33" s="312"/>
      <c r="H33" s="312"/>
      <c r="I33" s="312"/>
      <c r="J33" s="312"/>
      <c r="K33" s="312"/>
      <c r="L33" s="313"/>
      <c r="M33" s="2"/>
      <c r="N33" s="321" t="s">
        <v>90</v>
      </c>
      <c r="O33" s="322"/>
      <c r="P33" s="152">
        <f>P31+P32</f>
        <v>12495.392880000003</v>
      </c>
    </row>
    <row r="34" spans="2:16" ht="15" customHeight="1" thickBot="1" x14ac:dyDescent="0.4">
      <c r="B34" s="314"/>
      <c r="C34" s="315"/>
      <c r="D34" s="315"/>
      <c r="E34" s="315"/>
      <c r="F34" s="315"/>
      <c r="G34" s="315"/>
      <c r="H34" s="315"/>
      <c r="I34" s="315"/>
      <c r="J34" s="315"/>
      <c r="K34" s="315"/>
      <c r="L34" s="316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9" t="s">
        <v>92</v>
      </c>
      <c r="O35" s="300"/>
      <c r="P35" s="159">
        <f>P33+P34</f>
        <v>12557.869844400004</v>
      </c>
    </row>
    <row r="36" spans="2:16" ht="15" thickBot="1" x14ac:dyDescent="0.4">
      <c r="B36" s="160" t="s">
        <v>93</v>
      </c>
      <c r="C36" s="301"/>
      <c r="D36" s="301"/>
      <c r="E36" s="301"/>
      <c r="F36" s="301"/>
      <c r="G36" s="301"/>
      <c r="H36" s="301"/>
      <c r="I36" s="302"/>
      <c r="J36" s="303"/>
      <c r="K36" s="30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activeCell="N5" sqref="N5:P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1" t="s">
        <v>45</v>
      </c>
      <c r="B2" s="341"/>
      <c r="C2" s="341"/>
    </row>
    <row r="3" spans="1:19 16383:16384" ht="15" customHeight="1" x14ac:dyDescent="0.35">
      <c r="A3" s="326" t="s">
        <v>46</v>
      </c>
      <c r="B3" s="326"/>
      <c r="C3" s="326"/>
      <c r="F3" s="70"/>
      <c r="G3" s="71"/>
      <c r="K3" s="325" t="s">
        <v>47</v>
      </c>
      <c r="L3" s="325"/>
      <c r="M3" s="325"/>
      <c r="N3" s="326">
        <v>1007</v>
      </c>
      <c r="O3" s="326"/>
      <c r="P3" s="32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6" t="s">
        <v>94</v>
      </c>
      <c r="B4" s="326"/>
      <c r="C4" s="326"/>
      <c r="F4" s="70"/>
      <c r="G4" s="71"/>
      <c r="K4" s="325" t="s">
        <v>49</v>
      </c>
      <c r="L4" s="325"/>
      <c r="M4" s="325"/>
      <c r="N4" s="339">
        <v>46202</v>
      </c>
      <c r="O4" s="339"/>
      <c r="P4" s="33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8" t="s">
        <v>119</v>
      </c>
      <c r="B5" s="348"/>
      <c r="C5" s="348"/>
      <c r="F5" s="70"/>
      <c r="G5" s="71"/>
      <c r="K5" s="325" t="s">
        <v>51</v>
      </c>
      <c r="L5" s="325"/>
      <c r="M5" s="325"/>
      <c r="N5" s="339">
        <f>N4-1</f>
        <v>46201</v>
      </c>
      <c r="O5" s="326"/>
      <c r="P5" s="326"/>
      <c r="R5" s="70"/>
      <c r="S5" s="71"/>
    </row>
    <row r="6" spans="1:19 16383:16384" ht="15" customHeight="1" x14ac:dyDescent="0.35">
      <c r="A6" s="325" t="s">
        <v>120</v>
      </c>
      <c r="B6" s="325"/>
      <c r="C6" s="325"/>
      <c r="F6" s="70"/>
      <c r="G6" s="74"/>
      <c r="K6" s="325" t="s">
        <v>52</v>
      </c>
      <c r="L6" s="325"/>
      <c r="M6" s="325"/>
      <c r="N6" s="338" t="s">
        <v>100</v>
      </c>
      <c r="O6" s="338"/>
      <c r="P6" s="33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5"/>
      <c r="B7" s="325"/>
      <c r="C7" s="325"/>
      <c r="F7" s="70"/>
      <c r="G7" s="74"/>
      <c r="K7" s="325"/>
      <c r="L7" s="325"/>
      <c r="M7" s="325"/>
      <c r="N7" s="338"/>
      <c r="O7" s="338"/>
      <c r="P7" s="33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7"/>
      <c r="B8" s="337"/>
      <c r="C8" s="337"/>
      <c r="F8" s="70"/>
      <c r="G8" s="74"/>
      <c r="K8" s="325"/>
      <c r="L8" s="325"/>
      <c r="M8" s="325"/>
      <c r="N8" s="338"/>
      <c r="O8" s="338"/>
      <c r="P8" s="338"/>
      <c r="R8" s="70"/>
      <c r="S8" s="74"/>
    </row>
    <row r="9" spans="1:19 16383:16384" x14ac:dyDescent="0.35">
      <c r="A9" s="337"/>
      <c r="B9" s="337"/>
      <c r="C9" s="337"/>
      <c r="F9" s="70"/>
      <c r="G9" s="74"/>
      <c r="K9" s="325"/>
      <c r="L9" s="325"/>
      <c r="M9" s="325"/>
      <c r="N9" s="338"/>
      <c r="O9" s="338"/>
      <c r="P9" s="338"/>
      <c r="R9" s="70"/>
      <c r="S9" s="74"/>
      <c r="XFD9" t="s">
        <v>55</v>
      </c>
    </row>
    <row r="10" spans="1:19 16383:16384" x14ac:dyDescent="0.35">
      <c r="A10" s="323" t="s">
        <v>95</v>
      </c>
      <c r="B10" s="168" t="s">
        <v>102</v>
      </c>
      <c r="C10" s="75"/>
      <c r="F10" s="70"/>
      <c r="G10" s="71"/>
      <c r="K10" s="325" t="s">
        <v>56</v>
      </c>
      <c r="L10" s="325"/>
      <c r="M10" s="325"/>
      <c r="N10" s="326" t="s">
        <v>57</v>
      </c>
      <c r="O10" s="326"/>
      <c r="P10" s="326"/>
      <c r="R10" s="70"/>
      <c r="S10" s="71"/>
      <c r="XFD10" t="s">
        <v>58</v>
      </c>
    </row>
    <row r="11" spans="1:19 16383:16384" x14ac:dyDescent="0.35">
      <c r="A11" s="323"/>
      <c r="B11" s="76" t="s">
        <v>48</v>
      </c>
      <c r="C11" s="77" t="str">
        <f>IF($O34&gt;2.49%,"No","Yes")</f>
        <v>Yes</v>
      </c>
      <c r="F11" s="70"/>
      <c r="G11" s="71"/>
      <c r="K11" s="325" t="s">
        <v>59</v>
      </c>
      <c r="L11" s="325"/>
      <c r="M11" s="325"/>
      <c r="N11" s="326" t="s">
        <v>55</v>
      </c>
      <c r="O11" s="326"/>
      <c r="P11" s="326"/>
      <c r="R11" s="70"/>
      <c r="S11" s="71"/>
    </row>
    <row r="12" spans="1:19 16383:16384" ht="14.65" customHeight="1" x14ac:dyDescent="0.35">
      <c r="A12" s="323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5" t="s">
        <v>61</v>
      </c>
      <c r="L12" s="325"/>
      <c r="M12" s="325"/>
      <c r="N12" s="326"/>
      <c r="O12" s="326"/>
      <c r="P12" s="326"/>
      <c r="R12" s="70"/>
      <c r="S12" s="71"/>
      <c r="XFD12" t="s">
        <v>62</v>
      </c>
    </row>
    <row r="13" spans="1:19 16383:16384" ht="15" thickBot="1" x14ac:dyDescent="0.4">
      <c r="A13" s="32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7" t="s">
        <v>64</v>
      </c>
      <c r="B14" s="328"/>
      <c r="C14" s="331" t="s">
        <v>65</v>
      </c>
      <c r="D14" s="80" t="s">
        <v>2</v>
      </c>
      <c r="E14" s="81" t="s">
        <v>66</v>
      </c>
      <c r="F14" s="82" t="s">
        <v>67</v>
      </c>
      <c r="G14" s="343" t="s">
        <v>68</v>
      </c>
      <c r="H14" s="344"/>
      <c r="I14" s="345" t="s">
        <v>69</v>
      </c>
      <c r="J14" s="343" t="s">
        <v>70</v>
      </c>
      <c r="K14" s="347"/>
      <c r="L14" s="344"/>
      <c r="M14" s="3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9"/>
      <c r="B15" s="330"/>
      <c r="C15" s="33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6"/>
      <c r="J15" s="88" t="s">
        <v>78</v>
      </c>
      <c r="K15" s="90" t="s">
        <v>79</v>
      </c>
      <c r="L15" s="276">
        <v>0.18</v>
      </c>
      <c r="M15" s="3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5" t="s">
        <v>84</v>
      </c>
      <c r="B25" s="306"/>
      <c r="C25" s="307"/>
      <c r="D25" s="301"/>
      <c r="E25" s="301"/>
      <c r="F25" s="342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8" t="s">
        <v>85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10"/>
      <c r="N28" s="317" t="s">
        <v>86</v>
      </c>
      <c r="O28" s="318"/>
      <c r="P28" s="151">
        <f>I25</f>
        <v>12913.800000000001</v>
      </c>
    </row>
    <row r="29" spans="1:19 16384:16384" ht="15" customHeight="1" x14ac:dyDescent="0.35">
      <c r="B29" s="311"/>
      <c r="C29" s="312"/>
      <c r="D29" s="312"/>
      <c r="E29" s="312"/>
      <c r="F29" s="312"/>
      <c r="G29" s="312"/>
      <c r="H29" s="312"/>
      <c r="I29" s="312"/>
      <c r="J29" s="312"/>
      <c r="K29" s="312"/>
      <c r="L29" s="313"/>
      <c r="N29" s="319" t="s">
        <v>87</v>
      </c>
      <c r="O29" s="320"/>
      <c r="P29" s="152">
        <f>L25</f>
        <v>2324.4839999999995</v>
      </c>
    </row>
    <row r="30" spans="1:19 16384:16384" ht="15" customHeight="1" x14ac:dyDescent="0.35">
      <c r="B30" s="311"/>
      <c r="C30" s="312"/>
      <c r="D30" s="312"/>
      <c r="E30" s="312"/>
      <c r="F30" s="312"/>
      <c r="G30" s="312"/>
      <c r="H30" s="312"/>
      <c r="I30" s="312"/>
      <c r="J30" s="312"/>
      <c r="K30" s="312"/>
      <c r="L30" s="313"/>
      <c r="N30" s="319" t="s">
        <v>4</v>
      </c>
      <c r="O30" s="320"/>
      <c r="P30" s="153">
        <f>K25</f>
        <v>0</v>
      </c>
    </row>
    <row r="31" spans="1:19 16384:16384" ht="15" customHeight="1" x14ac:dyDescent="0.35">
      <c r="B31" s="311"/>
      <c r="C31" s="312"/>
      <c r="D31" s="312"/>
      <c r="E31" s="312"/>
      <c r="F31" s="312"/>
      <c r="G31" s="312"/>
      <c r="H31" s="312"/>
      <c r="I31" s="312"/>
      <c r="J31" s="312"/>
      <c r="K31" s="312"/>
      <c r="L31" s="313"/>
      <c r="M31" s="2"/>
      <c r="N31" s="319" t="s">
        <v>88</v>
      </c>
      <c r="O31" s="320"/>
      <c r="P31" s="152">
        <f>P28-P29-P30</f>
        <v>10589.316000000003</v>
      </c>
    </row>
    <row r="32" spans="1:19 16384:16384" ht="15" customHeight="1" x14ac:dyDescent="0.35">
      <c r="B32" s="311"/>
      <c r="C32" s="312"/>
      <c r="D32" s="312"/>
      <c r="E32" s="312"/>
      <c r="F32" s="312"/>
      <c r="G32" s="312"/>
      <c r="H32" s="312"/>
      <c r="I32" s="312"/>
      <c r="J32" s="312"/>
      <c r="K32" s="312"/>
      <c r="L32" s="313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1"/>
      <c r="C33" s="312"/>
      <c r="D33" s="312"/>
      <c r="E33" s="312"/>
      <c r="F33" s="312"/>
      <c r="G33" s="312"/>
      <c r="H33" s="312"/>
      <c r="I33" s="312"/>
      <c r="J33" s="312"/>
      <c r="K33" s="312"/>
      <c r="L33" s="313"/>
      <c r="M33" s="2"/>
      <c r="N33" s="321" t="s">
        <v>90</v>
      </c>
      <c r="O33" s="322"/>
      <c r="P33" s="152">
        <f>P31+P32</f>
        <v>12495.392880000003</v>
      </c>
    </row>
    <row r="34" spans="2:16" ht="15" customHeight="1" thickBot="1" x14ac:dyDescent="0.4">
      <c r="B34" s="314"/>
      <c r="C34" s="315"/>
      <c r="D34" s="315"/>
      <c r="E34" s="315"/>
      <c r="F34" s="315"/>
      <c r="G34" s="315"/>
      <c r="H34" s="315"/>
      <c r="I34" s="315"/>
      <c r="J34" s="315"/>
      <c r="K34" s="315"/>
      <c r="L34" s="316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9" t="s">
        <v>92</v>
      </c>
      <c r="O35" s="300"/>
      <c r="P35" s="159">
        <f>P33+P34</f>
        <v>12557.869844400004</v>
      </c>
    </row>
    <row r="36" spans="2:16" ht="15" thickBot="1" x14ac:dyDescent="0.4">
      <c r="B36" s="160" t="s">
        <v>93</v>
      </c>
      <c r="C36" s="301"/>
      <c r="D36" s="301"/>
      <c r="E36" s="301"/>
      <c r="F36" s="301"/>
      <c r="G36" s="301"/>
      <c r="H36" s="301"/>
      <c r="I36" s="302"/>
      <c r="J36" s="303"/>
      <c r="K36" s="30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6" workbookViewId="0">
      <selection activeCell="N5" sqref="N5:P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1" t="s">
        <v>45</v>
      </c>
      <c r="B2" s="341"/>
      <c r="C2" s="341"/>
    </row>
    <row r="3" spans="1:19 16383:16384" ht="15" customHeight="1" x14ac:dyDescent="0.35">
      <c r="A3" s="326" t="s">
        <v>46</v>
      </c>
      <c r="B3" s="326"/>
      <c r="C3" s="326"/>
      <c r="F3" s="70"/>
      <c r="G3" s="71"/>
      <c r="K3" s="325" t="s">
        <v>47</v>
      </c>
      <c r="L3" s="325"/>
      <c r="M3" s="325"/>
      <c r="N3" s="326">
        <v>1008</v>
      </c>
      <c r="O3" s="326"/>
      <c r="P3" s="32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6" t="s">
        <v>94</v>
      </c>
      <c r="B4" s="326"/>
      <c r="C4" s="326"/>
      <c r="F4" s="70"/>
      <c r="G4" s="71"/>
      <c r="K4" s="325" t="s">
        <v>49</v>
      </c>
      <c r="L4" s="325"/>
      <c r="M4" s="325"/>
      <c r="N4" s="339">
        <v>46202</v>
      </c>
      <c r="O4" s="339"/>
      <c r="P4" s="33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8" t="s">
        <v>121</v>
      </c>
      <c r="B5" s="348"/>
      <c r="C5" s="348"/>
      <c r="F5" s="70"/>
      <c r="G5" s="71"/>
      <c r="K5" s="325" t="s">
        <v>51</v>
      </c>
      <c r="L5" s="325"/>
      <c r="M5" s="325"/>
      <c r="N5" s="339">
        <f>N4-1</f>
        <v>46201</v>
      </c>
      <c r="O5" s="326"/>
      <c r="P5" s="326"/>
      <c r="R5" s="70"/>
      <c r="S5" s="71"/>
    </row>
    <row r="6" spans="1:19 16383:16384" ht="15" customHeight="1" x14ac:dyDescent="0.35">
      <c r="A6" s="325" t="s">
        <v>122</v>
      </c>
      <c r="B6" s="325"/>
      <c r="C6" s="325"/>
      <c r="F6" s="70"/>
      <c r="G6" s="74"/>
      <c r="K6" s="325" t="s">
        <v>52</v>
      </c>
      <c r="L6" s="325"/>
      <c r="M6" s="325"/>
      <c r="N6" s="338" t="s">
        <v>100</v>
      </c>
      <c r="O6" s="338"/>
      <c r="P6" s="33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5"/>
      <c r="B7" s="325"/>
      <c r="C7" s="325"/>
      <c r="F7" s="70"/>
      <c r="G7" s="74"/>
      <c r="K7" s="325"/>
      <c r="L7" s="325"/>
      <c r="M7" s="325"/>
      <c r="N7" s="338"/>
      <c r="O7" s="338"/>
      <c r="P7" s="33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7"/>
      <c r="B8" s="337"/>
      <c r="C8" s="337"/>
      <c r="F8" s="70"/>
      <c r="G8" s="74"/>
      <c r="K8" s="325"/>
      <c r="L8" s="325"/>
      <c r="M8" s="325"/>
      <c r="N8" s="338"/>
      <c r="O8" s="338"/>
      <c r="P8" s="338"/>
      <c r="R8" s="70"/>
      <c r="S8" s="74"/>
    </row>
    <row r="9" spans="1:19 16383:16384" x14ac:dyDescent="0.35">
      <c r="A9" s="337"/>
      <c r="B9" s="337"/>
      <c r="C9" s="337"/>
      <c r="F9" s="70"/>
      <c r="G9" s="74"/>
      <c r="K9" s="325"/>
      <c r="L9" s="325"/>
      <c r="M9" s="325"/>
      <c r="N9" s="338"/>
      <c r="O9" s="338"/>
      <c r="P9" s="338"/>
      <c r="R9" s="70"/>
      <c r="S9" s="74"/>
      <c r="XFD9" t="s">
        <v>55</v>
      </c>
    </row>
    <row r="10" spans="1:19 16383:16384" x14ac:dyDescent="0.35">
      <c r="A10" s="323" t="s">
        <v>95</v>
      </c>
      <c r="B10" s="75" t="s">
        <v>102</v>
      </c>
      <c r="C10" s="75"/>
      <c r="F10" s="70"/>
      <c r="G10" s="71"/>
      <c r="K10" s="325" t="s">
        <v>56</v>
      </c>
      <c r="L10" s="325"/>
      <c r="M10" s="325"/>
      <c r="N10" s="326" t="s">
        <v>57</v>
      </c>
      <c r="O10" s="326"/>
      <c r="P10" s="326"/>
      <c r="R10" s="70"/>
      <c r="S10" s="71"/>
      <c r="XFD10" t="s">
        <v>58</v>
      </c>
    </row>
    <row r="11" spans="1:19 16383:16384" x14ac:dyDescent="0.35">
      <c r="A11" s="323"/>
      <c r="B11" s="76" t="s">
        <v>48</v>
      </c>
      <c r="C11" s="77" t="str">
        <f>IF($O34&gt;2.49%,"No","Yes")</f>
        <v>Yes</v>
      </c>
      <c r="F11" s="70"/>
      <c r="G11" s="71"/>
      <c r="K11" s="325" t="s">
        <v>59</v>
      </c>
      <c r="L11" s="325"/>
      <c r="M11" s="325"/>
      <c r="N11" s="326" t="s">
        <v>55</v>
      </c>
      <c r="O11" s="326"/>
      <c r="P11" s="326"/>
      <c r="R11" s="70"/>
      <c r="S11" s="71"/>
    </row>
    <row r="12" spans="1:19 16383:16384" ht="14.65" customHeight="1" x14ac:dyDescent="0.35">
      <c r="A12" s="323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5" t="s">
        <v>61</v>
      </c>
      <c r="L12" s="325"/>
      <c r="M12" s="325"/>
      <c r="N12" s="326"/>
      <c r="O12" s="326"/>
      <c r="P12" s="326"/>
      <c r="R12" s="70"/>
      <c r="S12" s="71"/>
      <c r="XFD12" t="s">
        <v>62</v>
      </c>
    </row>
    <row r="13" spans="1:19 16383:16384" ht="15" thickBot="1" x14ac:dyDescent="0.4">
      <c r="A13" s="32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7" t="s">
        <v>64</v>
      </c>
      <c r="B14" s="328"/>
      <c r="C14" s="331" t="s">
        <v>65</v>
      </c>
      <c r="D14" s="80" t="s">
        <v>2</v>
      </c>
      <c r="E14" s="81" t="s">
        <v>66</v>
      </c>
      <c r="F14" s="82" t="s">
        <v>67</v>
      </c>
      <c r="G14" s="343" t="s">
        <v>68</v>
      </c>
      <c r="H14" s="344"/>
      <c r="I14" s="345" t="s">
        <v>69</v>
      </c>
      <c r="J14" s="343" t="s">
        <v>70</v>
      </c>
      <c r="K14" s="347"/>
      <c r="L14" s="344"/>
      <c r="M14" s="3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9"/>
      <c r="B15" s="330"/>
      <c r="C15" s="33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6"/>
      <c r="J15" s="88" t="s">
        <v>78</v>
      </c>
      <c r="K15" s="90" t="s">
        <v>79</v>
      </c>
      <c r="L15" s="276">
        <v>0.18</v>
      </c>
      <c r="M15" s="3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5" t="s">
        <v>84</v>
      </c>
      <c r="B25" s="306"/>
      <c r="C25" s="307"/>
      <c r="D25" s="301"/>
      <c r="E25" s="301"/>
      <c r="F25" s="342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8" t="s">
        <v>85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10"/>
      <c r="N28" s="317" t="s">
        <v>86</v>
      </c>
      <c r="O28" s="318"/>
      <c r="P28" s="151">
        <f>I25</f>
        <v>12913.800000000001</v>
      </c>
    </row>
    <row r="29" spans="1:19 16384:16384" ht="15" customHeight="1" x14ac:dyDescent="0.35">
      <c r="B29" s="311"/>
      <c r="C29" s="312"/>
      <c r="D29" s="312"/>
      <c r="E29" s="312"/>
      <c r="F29" s="312"/>
      <c r="G29" s="312"/>
      <c r="H29" s="312"/>
      <c r="I29" s="312"/>
      <c r="J29" s="312"/>
      <c r="K29" s="312"/>
      <c r="L29" s="313"/>
      <c r="N29" s="319" t="s">
        <v>87</v>
      </c>
      <c r="O29" s="320"/>
      <c r="P29" s="152">
        <f>L25</f>
        <v>2324.4839999999995</v>
      </c>
    </row>
    <row r="30" spans="1:19 16384:16384" ht="15" customHeight="1" x14ac:dyDescent="0.35">
      <c r="B30" s="311"/>
      <c r="C30" s="312"/>
      <c r="D30" s="312"/>
      <c r="E30" s="312"/>
      <c r="F30" s="312"/>
      <c r="G30" s="312"/>
      <c r="H30" s="312"/>
      <c r="I30" s="312"/>
      <c r="J30" s="312"/>
      <c r="K30" s="312"/>
      <c r="L30" s="313"/>
      <c r="N30" s="319" t="s">
        <v>4</v>
      </c>
      <c r="O30" s="320"/>
      <c r="P30" s="153">
        <f>K25</f>
        <v>0</v>
      </c>
    </row>
    <row r="31" spans="1:19 16384:16384" ht="15" customHeight="1" x14ac:dyDescent="0.35">
      <c r="B31" s="311"/>
      <c r="C31" s="312"/>
      <c r="D31" s="312"/>
      <c r="E31" s="312"/>
      <c r="F31" s="312"/>
      <c r="G31" s="312"/>
      <c r="H31" s="312"/>
      <c r="I31" s="312"/>
      <c r="J31" s="312"/>
      <c r="K31" s="312"/>
      <c r="L31" s="313"/>
      <c r="M31" s="2"/>
      <c r="N31" s="319" t="s">
        <v>88</v>
      </c>
      <c r="O31" s="320"/>
      <c r="P31" s="152">
        <f>P28-P29-P30</f>
        <v>10589.316000000003</v>
      </c>
    </row>
    <row r="32" spans="1:19 16384:16384" ht="15" customHeight="1" x14ac:dyDescent="0.35">
      <c r="B32" s="311"/>
      <c r="C32" s="312"/>
      <c r="D32" s="312"/>
      <c r="E32" s="312"/>
      <c r="F32" s="312"/>
      <c r="G32" s="312"/>
      <c r="H32" s="312"/>
      <c r="I32" s="312"/>
      <c r="J32" s="312"/>
      <c r="K32" s="312"/>
      <c r="L32" s="313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1"/>
      <c r="C33" s="312"/>
      <c r="D33" s="312"/>
      <c r="E33" s="312"/>
      <c r="F33" s="312"/>
      <c r="G33" s="312"/>
      <c r="H33" s="312"/>
      <c r="I33" s="312"/>
      <c r="J33" s="312"/>
      <c r="K33" s="312"/>
      <c r="L33" s="313"/>
      <c r="M33" s="2"/>
      <c r="N33" s="321" t="s">
        <v>90</v>
      </c>
      <c r="O33" s="322"/>
      <c r="P33" s="152">
        <f>P31+P32</f>
        <v>12495.392880000003</v>
      </c>
    </row>
    <row r="34" spans="2:16" ht="15" customHeight="1" thickBot="1" x14ac:dyDescent="0.4">
      <c r="B34" s="314"/>
      <c r="C34" s="315"/>
      <c r="D34" s="315"/>
      <c r="E34" s="315"/>
      <c r="F34" s="315"/>
      <c r="G34" s="315"/>
      <c r="H34" s="315"/>
      <c r="I34" s="315"/>
      <c r="J34" s="315"/>
      <c r="K34" s="315"/>
      <c r="L34" s="316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9" t="s">
        <v>92</v>
      </c>
      <c r="O35" s="300"/>
      <c r="P35" s="159">
        <f>P33+P34</f>
        <v>12557.869844400004</v>
      </c>
    </row>
    <row r="36" spans="2:16" ht="15" thickBot="1" x14ac:dyDescent="0.4">
      <c r="B36" s="160" t="s">
        <v>93</v>
      </c>
      <c r="C36" s="301"/>
      <c r="D36" s="301"/>
      <c r="E36" s="301"/>
      <c r="F36" s="301"/>
      <c r="G36" s="301"/>
      <c r="H36" s="301"/>
      <c r="I36" s="302"/>
      <c r="J36" s="303"/>
      <c r="K36" s="30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N5" sqref="N5:P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1" t="s">
        <v>45</v>
      </c>
      <c r="B2" s="341"/>
      <c r="C2" s="341"/>
    </row>
    <row r="3" spans="1:19 16383:16384" ht="15" customHeight="1" x14ac:dyDescent="0.35">
      <c r="A3" s="326" t="s">
        <v>46</v>
      </c>
      <c r="B3" s="326"/>
      <c r="C3" s="326"/>
      <c r="F3" s="70"/>
      <c r="G3" s="71"/>
      <c r="K3" s="325" t="s">
        <v>47</v>
      </c>
      <c r="L3" s="325"/>
      <c r="M3" s="325"/>
      <c r="N3" s="326">
        <v>1009</v>
      </c>
      <c r="O3" s="326"/>
      <c r="P3" s="32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6" t="s">
        <v>94</v>
      </c>
      <c r="B4" s="326"/>
      <c r="C4" s="326"/>
      <c r="F4" s="70"/>
      <c r="G4" s="71"/>
      <c r="K4" s="325" t="s">
        <v>49</v>
      </c>
      <c r="L4" s="325"/>
      <c r="M4" s="325"/>
      <c r="N4" s="339">
        <v>46202</v>
      </c>
      <c r="O4" s="339"/>
      <c r="P4" s="33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8" t="s">
        <v>123</v>
      </c>
      <c r="B5" s="348"/>
      <c r="C5" s="348"/>
      <c r="F5" s="70"/>
      <c r="G5" s="71"/>
      <c r="K5" s="325" t="s">
        <v>51</v>
      </c>
      <c r="L5" s="325"/>
      <c r="M5" s="325"/>
      <c r="N5" s="339">
        <f>N4-1</f>
        <v>46201</v>
      </c>
      <c r="O5" s="326"/>
      <c r="P5" s="326"/>
      <c r="R5" s="70"/>
      <c r="S5" s="71"/>
    </row>
    <row r="6" spans="1:19 16383:16384" ht="15" customHeight="1" x14ac:dyDescent="0.35">
      <c r="A6" s="325" t="s">
        <v>124</v>
      </c>
      <c r="B6" s="325"/>
      <c r="C6" s="325"/>
      <c r="F6" s="70"/>
      <c r="G6" s="74"/>
      <c r="K6" s="325" t="s">
        <v>52</v>
      </c>
      <c r="L6" s="325"/>
      <c r="M6" s="325"/>
      <c r="N6" s="338" t="s">
        <v>100</v>
      </c>
      <c r="O6" s="338"/>
      <c r="P6" s="33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5"/>
      <c r="B7" s="325"/>
      <c r="C7" s="325"/>
      <c r="F7" s="70"/>
      <c r="G7" s="74"/>
      <c r="K7" s="325"/>
      <c r="L7" s="325"/>
      <c r="M7" s="325"/>
      <c r="N7" s="338"/>
      <c r="O7" s="338"/>
      <c r="P7" s="33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7"/>
      <c r="B8" s="337"/>
      <c r="C8" s="337"/>
      <c r="F8" s="70"/>
      <c r="G8" s="74"/>
      <c r="K8" s="325"/>
      <c r="L8" s="325"/>
      <c r="M8" s="325"/>
      <c r="N8" s="338"/>
      <c r="O8" s="338"/>
      <c r="P8" s="338"/>
      <c r="R8" s="70"/>
      <c r="S8" s="74"/>
    </row>
    <row r="9" spans="1:19 16383:16384" x14ac:dyDescent="0.35">
      <c r="A9" s="337"/>
      <c r="B9" s="337"/>
      <c r="C9" s="337"/>
      <c r="F9" s="70"/>
      <c r="G9" s="74"/>
      <c r="K9" s="325"/>
      <c r="L9" s="325"/>
      <c r="M9" s="325"/>
      <c r="N9" s="338"/>
      <c r="O9" s="338"/>
      <c r="P9" s="338"/>
      <c r="R9" s="70"/>
      <c r="S9" s="74"/>
      <c r="XFD9" t="s">
        <v>55</v>
      </c>
    </row>
    <row r="10" spans="1:19 16383:16384" x14ac:dyDescent="0.35">
      <c r="A10" s="323" t="s">
        <v>95</v>
      </c>
      <c r="B10" s="166" t="s">
        <v>102</v>
      </c>
      <c r="C10" s="75"/>
      <c r="F10" s="70"/>
      <c r="G10" s="71"/>
      <c r="K10" s="325" t="s">
        <v>56</v>
      </c>
      <c r="L10" s="325"/>
      <c r="M10" s="325"/>
      <c r="N10" s="326" t="s">
        <v>57</v>
      </c>
      <c r="O10" s="326"/>
      <c r="P10" s="326"/>
      <c r="R10" s="70"/>
      <c r="S10" s="71"/>
      <c r="XFD10" t="s">
        <v>58</v>
      </c>
    </row>
    <row r="11" spans="1:19 16383:16384" x14ac:dyDescent="0.35">
      <c r="A11" s="323"/>
      <c r="B11" s="76" t="s">
        <v>48</v>
      </c>
      <c r="C11" s="77" t="str">
        <f>IF($O34&gt;2.49%,"No","Yes")</f>
        <v>Yes</v>
      </c>
      <c r="F11" s="70"/>
      <c r="G11" s="71"/>
      <c r="K11" s="325" t="s">
        <v>59</v>
      </c>
      <c r="L11" s="325"/>
      <c r="M11" s="325"/>
      <c r="N11" s="326" t="s">
        <v>55</v>
      </c>
      <c r="O11" s="326"/>
      <c r="P11" s="326"/>
      <c r="R11" s="70"/>
      <c r="S11" s="71"/>
    </row>
    <row r="12" spans="1:19 16383:16384" ht="14.65" customHeight="1" x14ac:dyDescent="0.35">
      <c r="A12" s="323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5" t="s">
        <v>61</v>
      </c>
      <c r="L12" s="325"/>
      <c r="M12" s="325"/>
      <c r="N12" s="326"/>
      <c r="O12" s="326"/>
      <c r="P12" s="326"/>
      <c r="R12" s="70"/>
      <c r="S12" s="71"/>
      <c r="XFD12" t="s">
        <v>62</v>
      </c>
    </row>
    <row r="13" spans="1:19 16383:16384" ht="15" thickBot="1" x14ac:dyDescent="0.4">
      <c r="A13" s="32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7" t="s">
        <v>64</v>
      </c>
      <c r="B14" s="328"/>
      <c r="C14" s="331" t="s">
        <v>65</v>
      </c>
      <c r="D14" s="80" t="s">
        <v>2</v>
      </c>
      <c r="E14" s="81" t="s">
        <v>66</v>
      </c>
      <c r="F14" s="82" t="s">
        <v>67</v>
      </c>
      <c r="G14" s="343" t="s">
        <v>68</v>
      </c>
      <c r="H14" s="344"/>
      <c r="I14" s="345" t="s">
        <v>69</v>
      </c>
      <c r="J14" s="343" t="s">
        <v>70</v>
      </c>
      <c r="K14" s="347"/>
      <c r="L14" s="344"/>
      <c r="M14" s="3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9"/>
      <c r="B15" s="330"/>
      <c r="C15" s="33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6"/>
      <c r="J15" s="88" t="s">
        <v>78</v>
      </c>
      <c r="K15" s="90" t="s">
        <v>79</v>
      </c>
      <c r="L15" s="276">
        <v>0.18</v>
      </c>
      <c r="M15" s="3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5" t="s">
        <v>84</v>
      </c>
      <c r="B25" s="306"/>
      <c r="C25" s="307"/>
      <c r="D25" s="301"/>
      <c r="E25" s="301"/>
      <c r="F25" s="342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8" t="s">
        <v>85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10"/>
      <c r="N28" s="317" t="s">
        <v>86</v>
      </c>
      <c r="O28" s="318"/>
      <c r="P28" s="151">
        <f>I25</f>
        <v>25827.600000000002</v>
      </c>
    </row>
    <row r="29" spans="1:19 16384:16384" ht="15" customHeight="1" x14ac:dyDescent="0.35">
      <c r="B29" s="311"/>
      <c r="C29" s="312"/>
      <c r="D29" s="312"/>
      <c r="E29" s="312"/>
      <c r="F29" s="312"/>
      <c r="G29" s="312"/>
      <c r="H29" s="312"/>
      <c r="I29" s="312"/>
      <c r="J29" s="312"/>
      <c r="K29" s="312"/>
      <c r="L29" s="313"/>
      <c r="N29" s="319" t="s">
        <v>87</v>
      </c>
      <c r="O29" s="320"/>
      <c r="P29" s="152">
        <f>L25</f>
        <v>4648.9679999999989</v>
      </c>
    </row>
    <row r="30" spans="1:19 16384:16384" ht="15" customHeight="1" x14ac:dyDescent="0.35">
      <c r="B30" s="311"/>
      <c r="C30" s="312"/>
      <c r="D30" s="312"/>
      <c r="E30" s="312"/>
      <c r="F30" s="312"/>
      <c r="G30" s="312"/>
      <c r="H30" s="312"/>
      <c r="I30" s="312"/>
      <c r="J30" s="312"/>
      <c r="K30" s="312"/>
      <c r="L30" s="313"/>
      <c r="N30" s="319" t="s">
        <v>4</v>
      </c>
      <c r="O30" s="320"/>
      <c r="P30" s="153">
        <f>K25</f>
        <v>0</v>
      </c>
    </row>
    <row r="31" spans="1:19 16384:16384" ht="15" customHeight="1" x14ac:dyDescent="0.35">
      <c r="B31" s="311"/>
      <c r="C31" s="312"/>
      <c r="D31" s="312"/>
      <c r="E31" s="312"/>
      <c r="F31" s="312"/>
      <c r="G31" s="312"/>
      <c r="H31" s="312"/>
      <c r="I31" s="312"/>
      <c r="J31" s="312"/>
      <c r="K31" s="312"/>
      <c r="L31" s="313"/>
      <c r="M31" s="2"/>
      <c r="N31" s="319" t="s">
        <v>88</v>
      </c>
      <c r="O31" s="320"/>
      <c r="P31" s="152">
        <f>P28-P29-P30</f>
        <v>21178.632000000005</v>
      </c>
    </row>
    <row r="32" spans="1:19 16384:16384" ht="15" customHeight="1" x14ac:dyDescent="0.35">
      <c r="B32" s="311"/>
      <c r="C32" s="312"/>
      <c r="D32" s="312"/>
      <c r="E32" s="312"/>
      <c r="F32" s="312"/>
      <c r="G32" s="312"/>
      <c r="H32" s="312"/>
      <c r="I32" s="312"/>
      <c r="J32" s="312"/>
      <c r="K32" s="312"/>
      <c r="L32" s="313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11"/>
      <c r="C33" s="312"/>
      <c r="D33" s="312"/>
      <c r="E33" s="312"/>
      <c r="F33" s="312"/>
      <c r="G33" s="312"/>
      <c r="H33" s="312"/>
      <c r="I33" s="312"/>
      <c r="J33" s="312"/>
      <c r="K33" s="312"/>
      <c r="L33" s="313"/>
      <c r="M33" s="2"/>
      <c r="N33" s="321" t="s">
        <v>90</v>
      </c>
      <c r="O33" s="322"/>
      <c r="P33" s="152">
        <f>P31+P32</f>
        <v>24990.785760000006</v>
      </c>
    </row>
    <row r="34" spans="2:16" ht="15" customHeight="1" thickBot="1" x14ac:dyDescent="0.4">
      <c r="B34" s="314"/>
      <c r="C34" s="315"/>
      <c r="D34" s="315"/>
      <c r="E34" s="315"/>
      <c r="F34" s="315"/>
      <c r="G34" s="315"/>
      <c r="H34" s="315"/>
      <c r="I34" s="315"/>
      <c r="J34" s="315"/>
      <c r="K34" s="315"/>
      <c r="L34" s="316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299" t="s">
        <v>92</v>
      </c>
      <c r="O35" s="300"/>
      <c r="P35" s="159">
        <f>P33+P34</f>
        <v>25115.739688800008</v>
      </c>
    </row>
    <row r="36" spans="2:16" ht="15" thickBot="1" x14ac:dyDescent="0.4">
      <c r="B36" s="160" t="s">
        <v>93</v>
      </c>
      <c r="C36" s="301"/>
      <c r="D36" s="301"/>
      <c r="E36" s="301"/>
      <c r="F36" s="301"/>
      <c r="G36" s="301"/>
      <c r="H36" s="301"/>
      <c r="I36" s="302"/>
      <c r="J36" s="303"/>
      <c r="K36" s="30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2" workbookViewId="0">
      <selection activeCell="N5" sqref="N5:P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1" t="s">
        <v>45</v>
      </c>
      <c r="B2" s="341"/>
      <c r="C2" s="341"/>
    </row>
    <row r="3" spans="1:19 16383:16384" ht="15" customHeight="1" x14ac:dyDescent="0.35">
      <c r="A3" s="326" t="s">
        <v>46</v>
      </c>
      <c r="B3" s="326"/>
      <c r="C3" s="326"/>
      <c r="F3" s="70"/>
      <c r="G3" s="71"/>
      <c r="K3" s="325" t="s">
        <v>47</v>
      </c>
      <c r="L3" s="325"/>
      <c r="M3" s="325"/>
      <c r="N3" s="326">
        <v>1010</v>
      </c>
      <c r="O3" s="326"/>
      <c r="P3" s="32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6" t="s">
        <v>94</v>
      </c>
      <c r="B4" s="326"/>
      <c r="C4" s="326"/>
      <c r="F4" s="70"/>
      <c r="G4" s="71"/>
      <c r="K4" s="325" t="s">
        <v>49</v>
      </c>
      <c r="L4" s="325"/>
      <c r="M4" s="325"/>
      <c r="N4" s="339">
        <v>46202</v>
      </c>
      <c r="O4" s="339"/>
      <c r="P4" s="33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8" t="s">
        <v>125</v>
      </c>
      <c r="B5" s="348"/>
      <c r="C5" s="348"/>
      <c r="F5" s="70"/>
      <c r="G5" s="71"/>
      <c r="K5" s="325" t="s">
        <v>51</v>
      </c>
      <c r="L5" s="325"/>
      <c r="M5" s="325"/>
      <c r="N5" s="339">
        <f>N4-1</f>
        <v>46201</v>
      </c>
      <c r="O5" s="326"/>
      <c r="P5" s="326"/>
      <c r="R5" s="70"/>
      <c r="S5" s="71"/>
    </row>
    <row r="6" spans="1:19 16383:16384" ht="15" customHeight="1" x14ac:dyDescent="0.35">
      <c r="A6" s="325" t="s">
        <v>126</v>
      </c>
      <c r="B6" s="325"/>
      <c r="C6" s="325"/>
      <c r="F6" s="70"/>
      <c r="G6" s="74"/>
      <c r="K6" s="325" t="s">
        <v>52</v>
      </c>
      <c r="L6" s="325"/>
      <c r="M6" s="325"/>
      <c r="N6" s="338" t="s">
        <v>100</v>
      </c>
      <c r="O6" s="338"/>
      <c r="P6" s="33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5"/>
      <c r="B7" s="325"/>
      <c r="C7" s="325"/>
      <c r="F7" s="70"/>
      <c r="G7" s="74"/>
      <c r="K7" s="325"/>
      <c r="L7" s="325"/>
      <c r="M7" s="325"/>
      <c r="N7" s="338"/>
      <c r="O7" s="338"/>
      <c r="P7" s="33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7"/>
      <c r="B8" s="337"/>
      <c r="C8" s="337"/>
      <c r="F8" s="70"/>
      <c r="G8" s="74"/>
      <c r="K8" s="325"/>
      <c r="L8" s="325"/>
      <c r="M8" s="325"/>
      <c r="N8" s="338"/>
      <c r="O8" s="338"/>
      <c r="P8" s="338"/>
      <c r="R8" s="70"/>
      <c r="S8" s="74"/>
    </row>
    <row r="9" spans="1:19 16383:16384" x14ac:dyDescent="0.35">
      <c r="A9" s="337"/>
      <c r="B9" s="337"/>
      <c r="C9" s="337"/>
      <c r="F9" s="70"/>
      <c r="G9" s="74"/>
      <c r="K9" s="325"/>
      <c r="L9" s="325"/>
      <c r="M9" s="325"/>
      <c r="N9" s="338"/>
      <c r="O9" s="338"/>
      <c r="P9" s="338"/>
      <c r="R9" s="70"/>
      <c r="S9" s="74"/>
      <c r="XFD9" t="s">
        <v>55</v>
      </c>
    </row>
    <row r="10" spans="1:19 16383:16384" x14ac:dyDescent="0.35">
      <c r="A10" s="323" t="s">
        <v>95</v>
      </c>
      <c r="B10" s="75" t="s">
        <v>102</v>
      </c>
      <c r="C10" s="75"/>
      <c r="F10" s="70"/>
      <c r="G10" s="71"/>
      <c r="K10" s="325" t="s">
        <v>56</v>
      </c>
      <c r="L10" s="325"/>
      <c r="M10" s="325"/>
      <c r="N10" s="326" t="s">
        <v>57</v>
      </c>
      <c r="O10" s="326"/>
      <c r="P10" s="326"/>
      <c r="R10" s="70"/>
      <c r="S10" s="71"/>
      <c r="XFD10" t="s">
        <v>58</v>
      </c>
    </row>
    <row r="11" spans="1:19 16383:16384" x14ac:dyDescent="0.35">
      <c r="A11" s="323"/>
      <c r="B11" s="76" t="s">
        <v>48</v>
      </c>
      <c r="C11" s="77" t="str">
        <f>IF($O34&gt;2.49%,"No","Yes")</f>
        <v>Yes</v>
      </c>
      <c r="F11" s="70"/>
      <c r="G11" s="71"/>
      <c r="K11" s="325" t="s">
        <v>59</v>
      </c>
      <c r="L11" s="325"/>
      <c r="M11" s="325"/>
      <c r="N11" s="326" t="s">
        <v>55</v>
      </c>
      <c r="O11" s="326"/>
      <c r="P11" s="326"/>
      <c r="R11" s="70"/>
      <c r="S11" s="71"/>
    </row>
    <row r="12" spans="1:19 16383:16384" ht="14.65" customHeight="1" x14ac:dyDescent="0.35">
      <c r="A12" s="323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5" t="s">
        <v>61</v>
      </c>
      <c r="L12" s="325"/>
      <c r="M12" s="325"/>
      <c r="N12" s="326"/>
      <c r="O12" s="326"/>
      <c r="P12" s="326"/>
      <c r="R12" s="70"/>
      <c r="S12" s="71"/>
      <c r="XFD12" t="s">
        <v>62</v>
      </c>
    </row>
    <row r="13" spans="1:19 16383:16384" ht="15" thickBot="1" x14ac:dyDescent="0.4">
      <c r="A13" s="32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7" t="s">
        <v>64</v>
      </c>
      <c r="B14" s="328"/>
      <c r="C14" s="331" t="s">
        <v>65</v>
      </c>
      <c r="D14" s="80" t="s">
        <v>2</v>
      </c>
      <c r="E14" s="81" t="s">
        <v>66</v>
      </c>
      <c r="F14" s="82" t="s">
        <v>67</v>
      </c>
      <c r="G14" s="343" t="s">
        <v>68</v>
      </c>
      <c r="H14" s="344"/>
      <c r="I14" s="345" t="s">
        <v>69</v>
      </c>
      <c r="J14" s="343" t="s">
        <v>70</v>
      </c>
      <c r="K14" s="347"/>
      <c r="L14" s="344"/>
      <c r="M14" s="3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9"/>
      <c r="B15" s="330"/>
      <c r="C15" s="33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6"/>
      <c r="J15" s="88" t="s">
        <v>78</v>
      </c>
      <c r="K15" s="90" t="s">
        <v>79</v>
      </c>
      <c r="L15" s="276">
        <v>0.18</v>
      </c>
      <c r="M15" s="3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5" t="s">
        <v>84</v>
      </c>
      <c r="B25" s="306"/>
      <c r="C25" s="307"/>
      <c r="D25" s="301"/>
      <c r="E25" s="301"/>
      <c r="F25" s="342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8" t="s">
        <v>85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10"/>
      <c r="N28" s="317" t="s">
        <v>86</v>
      </c>
      <c r="O28" s="318"/>
      <c r="P28" s="151">
        <f>I25</f>
        <v>12913.800000000001</v>
      </c>
    </row>
    <row r="29" spans="1:19 16384:16384" ht="15" customHeight="1" x14ac:dyDescent="0.35">
      <c r="B29" s="311"/>
      <c r="C29" s="312"/>
      <c r="D29" s="312"/>
      <c r="E29" s="312"/>
      <c r="F29" s="312"/>
      <c r="G29" s="312"/>
      <c r="H29" s="312"/>
      <c r="I29" s="312"/>
      <c r="J29" s="312"/>
      <c r="K29" s="312"/>
      <c r="L29" s="313"/>
      <c r="N29" s="319" t="s">
        <v>87</v>
      </c>
      <c r="O29" s="320"/>
      <c r="P29" s="152">
        <f>L25</f>
        <v>2324.4839999999995</v>
      </c>
    </row>
    <row r="30" spans="1:19 16384:16384" ht="15" customHeight="1" x14ac:dyDescent="0.35">
      <c r="B30" s="311"/>
      <c r="C30" s="312"/>
      <c r="D30" s="312"/>
      <c r="E30" s="312"/>
      <c r="F30" s="312"/>
      <c r="G30" s="312"/>
      <c r="H30" s="312"/>
      <c r="I30" s="312"/>
      <c r="J30" s="312"/>
      <c r="K30" s="312"/>
      <c r="L30" s="313"/>
      <c r="N30" s="319" t="s">
        <v>4</v>
      </c>
      <c r="O30" s="320"/>
      <c r="P30" s="153">
        <f>K25</f>
        <v>0</v>
      </c>
    </row>
    <row r="31" spans="1:19 16384:16384" ht="15" customHeight="1" x14ac:dyDescent="0.35">
      <c r="B31" s="311"/>
      <c r="C31" s="312"/>
      <c r="D31" s="312"/>
      <c r="E31" s="312"/>
      <c r="F31" s="312"/>
      <c r="G31" s="312"/>
      <c r="H31" s="312"/>
      <c r="I31" s="312"/>
      <c r="J31" s="312"/>
      <c r="K31" s="312"/>
      <c r="L31" s="313"/>
      <c r="M31" s="2"/>
      <c r="N31" s="319" t="s">
        <v>88</v>
      </c>
      <c r="O31" s="320"/>
      <c r="P31" s="152">
        <f>P28-P29-P30</f>
        <v>10589.316000000003</v>
      </c>
    </row>
    <row r="32" spans="1:19 16384:16384" ht="15" customHeight="1" x14ac:dyDescent="0.35">
      <c r="B32" s="311"/>
      <c r="C32" s="312"/>
      <c r="D32" s="312"/>
      <c r="E32" s="312"/>
      <c r="F32" s="312"/>
      <c r="G32" s="312"/>
      <c r="H32" s="312"/>
      <c r="I32" s="312"/>
      <c r="J32" s="312"/>
      <c r="K32" s="312"/>
      <c r="L32" s="313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1"/>
      <c r="C33" s="312"/>
      <c r="D33" s="312"/>
      <c r="E33" s="312"/>
      <c r="F33" s="312"/>
      <c r="G33" s="312"/>
      <c r="H33" s="312"/>
      <c r="I33" s="312"/>
      <c r="J33" s="312"/>
      <c r="K33" s="312"/>
      <c r="L33" s="313"/>
      <c r="M33" s="2"/>
      <c r="N33" s="321" t="s">
        <v>90</v>
      </c>
      <c r="O33" s="322"/>
      <c r="P33" s="152">
        <f>P31+P32</f>
        <v>12495.392880000003</v>
      </c>
    </row>
    <row r="34" spans="2:16" ht="15" customHeight="1" thickBot="1" x14ac:dyDescent="0.4">
      <c r="B34" s="314"/>
      <c r="C34" s="315"/>
      <c r="D34" s="315"/>
      <c r="E34" s="315"/>
      <c r="F34" s="315"/>
      <c r="G34" s="315"/>
      <c r="H34" s="315"/>
      <c r="I34" s="315"/>
      <c r="J34" s="315"/>
      <c r="K34" s="315"/>
      <c r="L34" s="316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9" t="s">
        <v>92</v>
      </c>
      <c r="O35" s="300"/>
      <c r="P35" s="159">
        <f>P33+P34</f>
        <v>12557.869844400004</v>
      </c>
    </row>
    <row r="36" spans="2:16" ht="15" thickBot="1" x14ac:dyDescent="0.4">
      <c r="B36" s="160" t="s">
        <v>93</v>
      </c>
      <c r="C36" s="301"/>
      <c r="D36" s="301"/>
      <c r="E36" s="301"/>
      <c r="F36" s="301"/>
      <c r="G36" s="301"/>
      <c r="H36" s="301"/>
      <c r="I36" s="302"/>
      <c r="J36" s="303"/>
      <c r="K36" s="30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3" workbookViewId="0">
      <selection activeCell="N5" sqref="N5:P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1" t="s">
        <v>45</v>
      </c>
      <c r="B2" s="341"/>
      <c r="C2" s="341"/>
    </row>
    <row r="3" spans="1:19 16383:16384" ht="15" customHeight="1" x14ac:dyDescent="0.35">
      <c r="A3" s="326" t="s">
        <v>46</v>
      </c>
      <c r="B3" s="326"/>
      <c r="C3" s="326"/>
      <c r="F3" s="70"/>
      <c r="G3" s="71"/>
      <c r="K3" s="325" t="s">
        <v>47</v>
      </c>
      <c r="L3" s="325"/>
      <c r="M3" s="325"/>
      <c r="N3" s="326">
        <v>1011</v>
      </c>
      <c r="O3" s="326"/>
      <c r="P3" s="32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6" t="s">
        <v>94</v>
      </c>
      <c r="B4" s="326"/>
      <c r="C4" s="326"/>
      <c r="F4" s="70"/>
      <c r="G4" s="71"/>
      <c r="K4" s="325" t="s">
        <v>49</v>
      </c>
      <c r="L4" s="325"/>
      <c r="M4" s="325"/>
      <c r="N4" s="339">
        <v>46202</v>
      </c>
      <c r="O4" s="339"/>
      <c r="P4" s="33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8" t="s">
        <v>127</v>
      </c>
      <c r="B5" s="348"/>
      <c r="C5" s="348"/>
      <c r="F5" s="70"/>
      <c r="G5" s="71"/>
      <c r="K5" s="325" t="s">
        <v>51</v>
      </c>
      <c r="L5" s="325"/>
      <c r="M5" s="325"/>
      <c r="N5" s="339">
        <f>N4-1</f>
        <v>46201</v>
      </c>
      <c r="O5" s="326"/>
      <c r="P5" s="326"/>
      <c r="R5" s="70"/>
      <c r="S5" s="71"/>
    </row>
    <row r="6" spans="1:19 16383:16384" ht="15" customHeight="1" x14ac:dyDescent="0.35">
      <c r="A6" s="325" t="s">
        <v>128</v>
      </c>
      <c r="B6" s="325"/>
      <c r="C6" s="325"/>
      <c r="F6" s="70"/>
      <c r="G6" s="74"/>
      <c r="K6" s="325" t="s">
        <v>52</v>
      </c>
      <c r="L6" s="325"/>
      <c r="M6" s="325"/>
      <c r="N6" s="338" t="s">
        <v>100</v>
      </c>
      <c r="O6" s="338"/>
      <c r="P6" s="33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5"/>
      <c r="B7" s="325"/>
      <c r="C7" s="325"/>
      <c r="F7" s="70"/>
      <c r="G7" s="74"/>
      <c r="K7" s="325"/>
      <c r="L7" s="325"/>
      <c r="M7" s="325"/>
      <c r="N7" s="338"/>
      <c r="O7" s="338"/>
      <c r="P7" s="33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7"/>
      <c r="B8" s="337"/>
      <c r="C8" s="337"/>
      <c r="F8" s="70"/>
      <c r="G8" s="74"/>
      <c r="K8" s="325"/>
      <c r="L8" s="325"/>
      <c r="M8" s="325"/>
      <c r="N8" s="338"/>
      <c r="O8" s="338"/>
      <c r="P8" s="338"/>
      <c r="R8" s="70"/>
      <c r="S8" s="74"/>
    </row>
    <row r="9" spans="1:19 16383:16384" x14ac:dyDescent="0.35">
      <c r="A9" s="337"/>
      <c r="B9" s="337"/>
      <c r="C9" s="337"/>
      <c r="F9" s="70"/>
      <c r="G9" s="74"/>
      <c r="K9" s="325"/>
      <c r="L9" s="325"/>
      <c r="M9" s="325"/>
      <c r="N9" s="338"/>
      <c r="O9" s="338"/>
      <c r="P9" s="338"/>
      <c r="R9" s="70"/>
      <c r="S9" s="74"/>
      <c r="XFD9" t="s">
        <v>55</v>
      </c>
    </row>
    <row r="10" spans="1:19 16383:16384" x14ac:dyDescent="0.35">
      <c r="A10" s="323" t="s">
        <v>95</v>
      </c>
      <c r="B10" s="75" t="s">
        <v>102</v>
      </c>
      <c r="C10" s="75"/>
      <c r="F10" s="70"/>
      <c r="G10" s="71"/>
      <c r="K10" s="325" t="s">
        <v>56</v>
      </c>
      <c r="L10" s="325"/>
      <c r="M10" s="325"/>
      <c r="N10" s="326" t="s">
        <v>57</v>
      </c>
      <c r="O10" s="326"/>
      <c r="P10" s="326"/>
      <c r="R10" s="70"/>
      <c r="S10" s="71"/>
      <c r="XFD10" t="s">
        <v>58</v>
      </c>
    </row>
    <row r="11" spans="1:19 16383:16384" x14ac:dyDescent="0.35">
      <c r="A11" s="323"/>
      <c r="B11" s="76" t="s">
        <v>48</v>
      </c>
      <c r="C11" s="77" t="str">
        <f>IF($O34&gt;2.49%,"No","Yes")</f>
        <v>Yes</v>
      </c>
      <c r="F11" s="70"/>
      <c r="G11" s="71"/>
      <c r="K11" s="325" t="s">
        <v>59</v>
      </c>
      <c r="L11" s="325"/>
      <c r="M11" s="325"/>
      <c r="N11" s="326" t="s">
        <v>55</v>
      </c>
      <c r="O11" s="326"/>
      <c r="P11" s="326"/>
      <c r="R11" s="70"/>
      <c r="S11" s="71"/>
    </row>
    <row r="12" spans="1:19 16383:16384" ht="14.65" customHeight="1" x14ac:dyDescent="0.35">
      <c r="A12" s="323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5" t="s">
        <v>61</v>
      </c>
      <c r="L12" s="325"/>
      <c r="M12" s="325"/>
      <c r="N12" s="326"/>
      <c r="O12" s="326"/>
      <c r="P12" s="326"/>
      <c r="R12" s="70"/>
      <c r="S12" s="71"/>
      <c r="XFD12" t="s">
        <v>62</v>
      </c>
    </row>
    <row r="13" spans="1:19 16383:16384" ht="15" thickBot="1" x14ac:dyDescent="0.4">
      <c r="A13" s="32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7" t="s">
        <v>64</v>
      </c>
      <c r="B14" s="328"/>
      <c r="C14" s="331" t="s">
        <v>65</v>
      </c>
      <c r="D14" s="80" t="s">
        <v>2</v>
      </c>
      <c r="E14" s="81" t="s">
        <v>66</v>
      </c>
      <c r="F14" s="82" t="s">
        <v>67</v>
      </c>
      <c r="G14" s="343" t="s">
        <v>68</v>
      </c>
      <c r="H14" s="344"/>
      <c r="I14" s="345" t="s">
        <v>69</v>
      </c>
      <c r="J14" s="343" t="s">
        <v>70</v>
      </c>
      <c r="K14" s="347"/>
      <c r="L14" s="344"/>
      <c r="M14" s="3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9"/>
      <c r="B15" s="330"/>
      <c r="C15" s="33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6"/>
      <c r="J15" s="88" t="s">
        <v>78</v>
      </c>
      <c r="K15" s="90" t="s">
        <v>79</v>
      </c>
      <c r="L15" s="276">
        <v>0.18</v>
      </c>
      <c r="M15" s="3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5" t="s">
        <v>84</v>
      </c>
      <c r="B25" s="306"/>
      <c r="C25" s="307"/>
      <c r="D25" s="301"/>
      <c r="E25" s="301"/>
      <c r="F25" s="342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8" t="s">
        <v>85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10"/>
      <c r="N28" s="317" t="s">
        <v>86</v>
      </c>
      <c r="O28" s="318"/>
      <c r="P28" s="151">
        <f>I25</f>
        <v>12913.800000000001</v>
      </c>
    </row>
    <row r="29" spans="1:19 16384:16384" ht="15" customHeight="1" x14ac:dyDescent="0.35">
      <c r="B29" s="311"/>
      <c r="C29" s="312"/>
      <c r="D29" s="312"/>
      <c r="E29" s="312"/>
      <c r="F29" s="312"/>
      <c r="G29" s="312"/>
      <c r="H29" s="312"/>
      <c r="I29" s="312"/>
      <c r="J29" s="312"/>
      <c r="K29" s="312"/>
      <c r="L29" s="313"/>
      <c r="N29" s="319" t="s">
        <v>87</v>
      </c>
      <c r="O29" s="320"/>
      <c r="P29" s="152">
        <f>L25</f>
        <v>2324.4839999999995</v>
      </c>
    </row>
    <row r="30" spans="1:19 16384:16384" ht="15" customHeight="1" x14ac:dyDescent="0.35">
      <c r="B30" s="311"/>
      <c r="C30" s="312"/>
      <c r="D30" s="312"/>
      <c r="E30" s="312"/>
      <c r="F30" s="312"/>
      <c r="G30" s="312"/>
      <c r="H30" s="312"/>
      <c r="I30" s="312"/>
      <c r="J30" s="312"/>
      <c r="K30" s="312"/>
      <c r="L30" s="313"/>
      <c r="N30" s="319" t="s">
        <v>4</v>
      </c>
      <c r="O30" s="320"/>
      <c r="P30" s="153">
        <f>K25</f>
        <v>0</v>
      </c>
    </row>
    <row r="31" spans="1:19 16384:16384" ht="15" customHeight="1" x14ac:dyDescent="0.35">
      <c r="B31" s="311"/>
      <c r="C31" s="312"/>
      <c r="D31" s="312"/>
      <c r="E31" s="312"/>
      <c r="F31" s="312"/>
      <c r="G31" s="312"/>
      <c r="H31" s="312"/>
      <c r="I31" s="312"/>
      <c r="J31" s="312"/>
      <c r="K31" s="312"/>
      <c r="L31" s="313"/>
      <c r="M31" s="2"/>
      <c r="N31" s="319" t="s">
        <v>88</v>
      </c>
      <c r="O31" s="320"/>
      <c r="P31" s="152">
        <f>P28-P29-P30</f>
        <v>10589.316000000003</v>
      </c>
    </row>
    <row r="32" spans="1:19 16384:16384" ht="15" customHeight="1" x14ac:dyDescent="0.35">
      <c r="B32" s="311"/>
      <c r="C32" s="312"/>
      <c r="D32" s="312"/>
      <c r="E32" s="312"/>
      <c r="F32" s="312"/>
      <c r="G32" s="312"/>
      <c r="H32" s="312"/>
      <c r="I32" s="312"/>
      <c r="J32" s="312"/>
      <c r="K32" s="312"/>
      <c r="L32" s="313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1"/>
      <c r="C33" s="312"/>
      <c r="D33" s="312"/>
      <c r="E33" s="312"/>
      <c r="F33" s="312"/>
      <c r="G33" s="312"/>
      <c r="H33" s="312"/>
      <c r="I33" s="312"/>
      <c r="J33" s="312"/>
      <c r="K33" s="312"/>
      <c r="L33" s="313"/>
      <c r="M33" s="2"/>
      <c r="N33" s="321" t="s">
        <v>90</v>
      </c>
      <c r="O33" s="322"/>
      <c r="P33" s="152">
        <f>P31+P32</f>
        <v>12495.392880000003</v>
      </c>
    </row>
    <row r="34" spans="2:16" ht="15" customHeight="1" thickBot="1" x14ac:dyDescent="0.4">
      <c r="B34" s="314"/>
      <c r="C34" s="315"/>
      <c r="D34" s="315"/>
      <c r="E34" s="315"/>
      <c r="F34" s="315"/>
      <c r="G34" s="315"/>
      <c r="H34" s="315"/>
      <c r="I34" s="315"/>
      <c r="J34" s="315"/>
      <c r="K34" s="315"/>
      <c r="L34" s="316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9" t="s">
        <v>92</v>
      </c>
      <c r="O35" s="300"/>
      <c r="P35" s="159">
        <f>P33+P34</f>
        <v>12557.869844400004</v>
      </c>
    </row>
    <row r="36" spans="2:16" ht="15" thickBot="1" x14ac:dyDescent="0.4">
      <c r="B36" s="160" t="s">
        <v>93</v>
      </c>
      <c r="C36" s="301"/>
      <c r="D36" s="301"/>
      <c r="E36" s="301"/>
      <c r="F36" s="301"/>
      <c r="G36" s="301"/>
      <c r="H36" s="301"/>
      <c r="I36" s="302"/>
      <c r="J36" s="303"/>
      <c r="K36" s="30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0" zoomScale="106" zoomScaleNormal="106" workbookViewId="0">
      <selection activeCell="N5" sqref="N5:P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1" t="s">
        <v>45</v>
      </c>
      <c r="B2" s="341"/>
      <c r="C2" s="341"/>
    </row>
    <row r="3" spans="1:19 16383:16384" ht="15" customHeight="1" x14ac:dyDescent="0.35">
      <c r="A3" s="326" t="s">
        <v>46</v>
      </c>
      <c r="B3" s="326"/>
      <c r="C3" s="326"/>
      <c r="F3" s="70"/>
      <c r="G3" s="71"/>
      <c r="K3" s="325" t="s">
        <v>47</v>
      </c>
      <c r="L3" s="325"/>
      <c r="M3" s="325"/>
      <c r="N3" s="326">
        <v>1012</v>
      </c>
      <c r="O3" s="326"/>
      <c r="P3" s="32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6" t="s">
        <v>94</v>
      </c>
      <c r="B4" s="326"/>
      <c r="C4" s="326"/>
      <c r="F4" s="70"/>
      <c r="G4" s="71"/>
      <c r="K4" s="325" t="s">
        <v>49</v>
      </c>
      <c r="L4" s="325"/>
      <c r="M4" s="325"/>
      <c r="N4" s="339">
        <v>46202</v>
      </c>
      <c r="O4" s="339"/>
      <c r="P4" s="33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8" t="s">
        <v>101</v>
      </c>
      <c r="B5" s="348"/>
      <c r="C5" s="348"/>
      <c r="F5" s="70"/>
      <c r="G5" s="71"/>
      <c r="K5" s="325" t="s">
        <v>51</v>
      </c>
      <c r="L5" s="325"/>
      <c r="M5" s="325"/>
      <c r="N5" s="339">
        <f>N4-1</f>
        <v>46201</v>
      </c>
      <c r="O5" s="326"/>
      <c r="P5" s="326"/>
      <c r="R5" s="70"/>
      <c r="S5" s="71"/>
    </row>
    <row r="6" spans="1:19 16383:16384" ht="15" customHeight="1" x14ac:dyDescent="0.35">
      <c r="A6" s="325" t="s">
        <v>106</v>
      </c>
      <c r="B6" s="325"/>
      <c r="C6" s="325"/>
      <c r="F6" s="70"/>
      <c r="G6" s="74"/>
      <c r="K6" s="325" t="s">
        <v>52</v>
      </c>
      <c r="L6" s="325"/>
      <c r="M6" s="325"/>
      <c r="N6" s="338" t="s">
        <v>100</v>
      </c>
      <c r="O6" s="338"/>
      <c r="P6" s="33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5"/>
      <c r="B7" s="325"/>
      <c r="C7" s="325"/>
      <c r="F7" s="70"/>
      <c r="G7" s="74"/>
      <c r="K7" s="325"/>
      <c r="L7" s="325"/>
      <c r="M7" s="325"/>
      <c r="N7" s="338"/>
      <c r="O7" s="338"/>
      <c r="P7" s="33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7"/>
      <c r="B8" s="337"/>
      <c r="C8" s="337"/>
      <c r="F8" s="70"/>
      <c r="G8" s="74"/>
      <c r="K8" s="325"/>
      <c r="L8" s="325"/>
      <c r="M8" s="325"/>
      <c r="N8" s="338"/>
      <c r="O8" s="338"/>
      <c r="P8" s="338"/>
      <c r="R8" s="70"/>
      <c r="S8" s="74"/>
    </row>
    <row r="9" spans="1:19 16383:16384" x14ac:dyDescent="0.35">
      <c r="A9" s="337"/>
      <c r="B9" s="337"/>
      <c r="C9" s="337"/>
      <c r="F9" s="70"/>
      <c r="G9" s="74"/>
      <c r="K9" s="325"/>
      <c r="L9" s="325"/>
      <c r="M9" s="325"/>
      <c r="N9" s="338"/>
      <c r="O9" s="338"/>
      <c r="P9" s="338"/>
      <c r="R9" s="70"/>
      <c r="S9" s="74"/>
      <c r="XFD9" t="s">
        <v>55</v>
      </c>
    </row>
    <row r="10" spans="1:19 16383:16384" x14ac:dyDescent="0.35">
      <c r="A10" s="323" t="s">
        <v>95</v>
      </c>
      <c r="B10" s="75" t="s">
        <v>102</v>
      </c>
      <c r="C10" s="75"/>
      <c r="F10" s="70"/>
      <c r="G10" s="71"/>
      <c r="K10" s="325" t="s">
        <v>56</v>
      </c>
      <c r="L10" s="325"/>
      <c r="M10" s="325"/>
      <c r="N10" s="326" t="s">
        <v>57</v>
      </c>
      <c r="O10" s="326"/>
      <c r="P10" s="326"/>
      <c r="R10" s="70"/>
      <c r="S10" s="71"/>
      <c r="XFD10" t="s">
        <v>58</v>
      </c>
    </row>
    <row r="11" spans="1:19 16383:16384" x14ac:dyDescent="0.35">
      <c r="A11" s="323"/>
      <c r="B11" s="76" t="s">
        <v>48</v>
      </c>
      <c r="C11" s="77" t="str">
        <f>IF($O34&gt;2.49%,"No","Yes")</f>
        <v>Yes</v>
      </c>
      <c r="F11" s="70"/>
      <c r="G11" s="71"/>
      <c r="K11" s="325" t="s">
        <v>59</v>
      </c>
      <c r="L11" s="325"/>
      <c r="M11" s="325"/>
      <c r="N11" s="326" t="s">
        <v>55</v>
      </c>
      <c r="O11" s="326"/>
      <c r="P11" s="326"/>
      <c r="R11" s="70"/>
      <c r="S11" s="71"/>
    </row>
    <row r="12" spans="1:19 16383:16384" ht="14.65" customHeight="1" x14ac:dyDescent="0.35">
      <c r="A12" s="323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5" t="s">
        <v>61</v>
      </c>
      <c r="L12" s="325"/>
      <c r="M12" s="325"/>
      <c r="N12" s="326"/>
      <c r="O12" s="326"/>
      <c r="P12" s="326"/>
      <c r="R12" s="70"/>
      <c r="S12" s="71"/>
      <c r="XFD12" t="s">
        <v>62</v>
      </c>
    </row>
    <row r="13" spans="1:19 16383:16384" ht="15" thickBot="1" x14ac:dyDescent="0.4">
      <c r="A13" s="32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7" t="s">
        <v>64</v>
      </c>
      <c r="B14" s="328"/>
      <c r="C14" s="331" t="s">
        <v>65</v>
      </c>
      <c r="D14" s="80" t="s">
        <v>2</v>
      </c>
      <c r="E14" s="81" t="s">
        <v>66</v>
      </c>
      <c r="F14" s="82" t="s">
        <v>67</v>
      </c>
      <c r="G14" s="343" t="s">
        <v>68</v>
      </c>
      <c r="H14" s="344"/>
      <c r="I14" s="345" t="s">
        <v>69</v>
      </c>
      <c r="J14" s="343" t="s">
        <v>70</v>
      </c>
      <c r="K14" s="347"/>
      <c r="L14" s="344"/>
      <c r="M14" s="3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9"/>
      <c r="B15" s="330"/>
      <c r="C15" s="33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6"/>
      <c r="J15" s="88" t="s">
        <v>78</v>
      </c>
      <c r="K15" s="90" t="s">
        <v>79</v>
      </c>
      <c r="L15" s="276">
        <v>0.18</v>
      </c>
      <c r="M15" s="3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5" t="s">
        <v>84</v>
      </c>
      <c r="B25" s="306"/>
      <c r="C25" s="307"/>
      <c r="D25" s="301"/>
      <c r="E25" s="301"/>
      <c r="F25" s="34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8" t="s">
        <v>85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10"/>
      <c r="N28" s="317" t="s">
        <v>86</v>
      </c>
      <c r="O28" s="318"/>
      <c r="P28" s="151">
        <f>I25</f>
        <v>0</v>
      </c>
    </row>
    <row r="29" spans="1:19 16384:16384" ht="15" customHeight="1" x14ac:dyDescent="0.35">
      <c r="B29" s="311"/>
      <c r="C29" s="312"/>
      <c r="D29" s="312"/>
      <c r="E29" s="312"/>
      <c r="F29" s="312"/>
      <c r="G29" s="312"/>
      <c r="H29" s="312"/>
      <c r="I29" s="312"/>
      <c r="J29" s="312"/>
      <c r="K29" s="312"/>
      <c r="L29" s="313"/>
      <c r="N29" s="319" t="s">
        <v>87</v>
      </c>
      <c r="O29" s="320"/>
      <c r="P29" s="152">
        <f>L25</f>
        <v>0</v>
      </c>
    </row>
    <row r="30" spans="1:19 16384:16384" ht="15" customHeight="1" x14ac:dyDescent="0.35">
      <c r="B30" s="311"/>
      <c r="C30" s="312"/>
      <c r="D30" s="312"/>
      <c r="E30" s="312"/>
      <c r="F30" s="312"/>
      <c r="G30" s="312"/>
      <c r="H30" s="312"/>
      <c r="I30" s="312"/>
      <c r="J30" s="312"/>
      <c r="K30" s="312"/>
      <c r="L30" s="313"/>
      <c r="N30" s="319" t="s">
        <v>4</v>
      </c>
      <c r="O30" s="320"/>
      <c r="P30" s="153">
        <f>K25</f>
        <v>0</v>
      </c>
    </row>
    <row r="31" spans="1:19 16384:16384" ht="15" customHeight="1" x14ac:dyDescent="0.35">
      <c r="B31" s="311"/>
      <c r="C31" s="312"/>
      <c r="D31" s="312"/>
      <c r="E31" s="312"/>
      <c r="F31" s="312"/>
      <c r="G31" s="312"/>
      <c r="H31" s="312"/>
      <c r="I31" s="312"/>
      <c r="J31" s="312"/>
      <c r="K31" s="312"/>
      <c r="L31" s="313"/>
      <c r="M31" s="2"/>
      <c r="N31" s="319" t="s">
        <v>88</v>
      </c>
      <c r="O31" s="320"/>
      <c r="P31" s="152">
        <f>P28-P29-P30</f>
        <v>0</v>
      </c>
    </row>
    <row r="32" spans="1:19 16384:16384" ht="15" customHeight="1" x14ac:dyDescent="0.35">
      <c r="B32" s="311"/>
      <c r="C32" s="312"/>
      <c r="D32" s="312"/>
      <c r="E32" s="312"/>
      <c r="F32" s="312"/>
      <c r="G32" s="312"/>
      <c r="H32" s="312"/>
      <c r="I32" s="312"/>
      <c r="J32" s="312"/>
      <c r="K32" s="312"/>
      <c r="L32" s="31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1"/>
      <c r="C33" s="312"/>
      <c r="D33" s="312"/>
      <c r="E33" s="312"/>
      <c r="F33" s="312"/>
      <c r="G33" s="312"/>
      <c r="H33" s="312"/>
      <c r="I33" s="312"/>
      <c r="J33" s="312"/>
      <c r="K33" s="312"/>
      <c r="L33" s="313"/>
      <c r="M33" s="2"/>
      <c r="N33" s="321" t="s">
        <v>90</v>
      </c>
      <c r="O33" s="322"/>
      <c r="P33" s="152">
        <f>P31+P32</f>
        <v>0</v>
      </c>
    </row>
    <row r="34" spans="2:16" ht="15" customHeight="1" thickBot="1" x14ac:dyDescent="0.4">
      <c r="B34" s="314"/>
      <c r="C34" s="315"/>
      <c r="D34" s="315"/>
      <c r="E34" s="315"/>
      <c r="F34" s="315"/>
      <c r="G34" s="315"/>
      <c r="H34" s="315"/>
      <c r="I34" s="315"/>
      <c r="J34" s="315"/>
      <c r="K34" s="315"/>
      <c r="L34" s="31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9" t="s">
        <v>92</v>
      </c>
      <c r="O35" s="300"/>
      <c r="P35" s="159">
        <f>P33+P34</f>
        <v>0</v>
      </c>
    </row>
    <row r="36" spans="2:16" ht="15" thickBot="1" x14ac:dyDescent="0.4">
      <c r="B36" s="160" t="s">
        <v>93</v>
      </c>
      <c r="C36" s="301"/>
      <c r="D36" s="301"/>
      <c r="E36" s="301"/>
      <c r="F36" s="301"/>
      <c r="G36" s="301"/>
      <c r="H36" s="301"/>
      <c r="I36" s="302"/>
      <c r="J36" s="303"/>
      <c r="K36" s="30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opLeftCell="A18" workbookViewId="0">
      <selection activeCell="N5" sqref="N5:P5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49" t="s">
        <v>45</v>
      </c>
      <c r="B2" s="349"/>
      <c r="C2" s="349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50" t="s">
        <v>46</v>
      </c>
      <c r="B3" s="350"/>
      <c r="C3" s="350"/>
      <c r="D3" s="182"/>
      <c r="E3" s="182"/>
      <c r="F3" s="184"/>
      <c r="G3" s="185"/>
      <c r="H3" s="182"/>
      <c r="I3" s="182"/>
      <c r="J3" s="182"/>
      <c r="K3" s="351" t="s">
        <v>47</v>
      </c>
      <c r="L3" s="351"/>
      <c r="M3" s="351"/>
      <c r="N3" s="350">
        <v>1013</v>
      </c>
      <c r="O3" s="350"/>
      <c r="P3" s="350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50" t="s">
        <v>94</v>
      </c>
      <c r="B4" s="350"/>
      <c r="C4" s="350"/>
      <c r="D4" s="182"/>
      <c r="E4" s="182"/>
      <c r="F4" s="184"/>
      <c r="G4" s="185"/>
      <c r="H4" s="182"/>
      <c r="I4" s="182"/>
      <c r="J4" s="182"/>
      <c r="K4" s="351" t="s">
        <v>49</v>
      </c>
      <c r="L4" s="351"/>
      <c r="M4" s="351"/>
      <c r="N4" s="352">
        <v>46202</v>
      </c>
      <c r="O4" s="352"/>
      <c r="P4" s="352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53" t="s">
        <v>101</v>
      </c>
      <c r="B5" s="353"/>
      <c r="C5" s="353"/>
      <c r="D5" s="182"/>
      <c r="E5" s="182"/>
      <c r="F5" s="184"/>
      <c r="G5" s="185"/>
      <c r="H5" s="182"/>
      <c r="I5" s="182"/>
      <c r="J5" s="182"/>
      <c r="K5" s="351" t="s">
        <v>51</v>
      </c>
      <c r="L5" s="351"/>
      <c r="M5" s="351"/>
      <c r="N5" s="352">
        <f>N4-1</f>
        <v>46201</v>
      </c>
      <c r="O5" s="350"/>
      <c r="P5" s="350"/>
      <c r="Q5" s="182"/>
      <c r="R5" s="70"/>
      <c r="S5" s="71"/>
    </row>
    <row r="6" spans="1:19 16383:16384" ht="15" customHeight="1" x14ac:dyDescent="0.35">
      <c r="A6" s="351" t="s">
        <v>106</v>
      </c>
      <c r="B6" s="351"/>
      <c r="C6" s="351"/>
      <c r="D6" s="182"/>
      <c r="E6" s="182"/>
      <c r="F6" s="184"/>
      <c r="G6" s="186"/>
      <c r="H6" s="182"/>
      <c r="I6" s="182"/>
      <c r="J6" s="182"/>
      <c r="K6" s="351" t="s">
        <v>52</v>
      </c>
      <c r="L6" s="351"/>
      <c r="M6" s="351"/>
      <c r="N6" s="354" t="s">
        <v>100</v>
      </c>
      <c r="O6" s="354"/>
      <c r="P6" s="354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51"/>
      <c r="B7" s="351"/>
      <c r="C7" s="351"/>
      <c r="D7" s="187"/>
      <c r="E7" s="187"/>
      <c r="F7" s="184"/>
      <c r="G7" s="186"/>
      <c r="H7" s="187"/>
      <c r="I7" s="187"/>
      <c r="J7" s="187"/>
      <c r="K7" s="351"/>
      <c r="L7" s="351"/>
      <c r="M7" s="351"/>
      <c r="N7" s="354"/>
      <c r="O7" s="354"/>
      <c r="P7" s="354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55"/>
      <c r="B8" s="355"/>
      <c r="C8" s="355"/>
      <c r="D8" s="182"/>
      <c r="E8" s="182"/>
      <c r="F8" s="184"/>
      <c r="G8" s="186"/>
      <c r="H8" s="182"/>
      <c r="I8" s="182"/>
      <c r="J8" s="182"/>
      <c r="K8" s="351"/>
      <c r="L8" s="351"/>
      <c r="M8" s="351"/>
      <c r="N8" s="354"/>
      <c r="O8" s="354"/>
      <c r="P8" s="354"/>
      <c r="Q8" s="182"/>
      <c r="R8" s="70"/>
      <c r="S8" s="74"/>
    </row>
    <row r="9" spans="1:19 16383:16384" x14ac:dyDescent="0.35">
      <c r="A9" s="355"/>
      <c r="B9" s="355"/>
      <c r="C9" s="355"/>
      <c r="D9" s="182"/>
      <c r="E9" s="182"/>
      <c r="F9" s="184"/>
      <c r="G9" s="186"/>
      <c r="H9" s="182"/>
      <c r="I9" s="182"/>
      <c r="J9" s="182"/>
      <c r="K9" s="351"/>
      <c r="L9" s="351"/>
      <c r="M9" s="351"/>
      <c r="N9" s="354"/>
      <c r="O9" s="354"/>
      <c r="P9" s="354"/>
      <c r="Q9" s="182"/>
      <c r="R9" s="70"/>
      <c r="S9" s="74"/>
      <c r="XFD9" t="s">
        <v>55</v>
      </c>
    </row>
    <row r="10" spans="1:19 16383:16384" x14ac:dyDescent="0.35">
      <c r="A10" s="356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51" t="s">
        <v>56</v>
      </c>
      <c r="L10" s="351"/>
      <c r="M10" s="351"/>
      <c r="N10" s="350" t="s">
        <v>57</v>
      </c>
      <c r="O10" s="350"/>
      <c r="P10" s="350"/>
      <c r="Q10" s="182"/>
      <c r="R10" s="70"/>
      <c r="S10" s="71"/>
      <c r="XFD10" t="s">
        <v>58</v>
      </c>
    </row>
    <row r="11" spans="1:19 16383:16384" x14ac:dyDescent="0.35">
      <c r="A11" s="356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51" t="s">
        <v>59</v>
      </c>
      <c r="L11" s="351"/>
      <c r="M11" s="351"/>
      <c r="N11" s="350" t="s">
        <v>55</v>
      </c>
      <c r="O11" s="350"/>
      <c r="P11" s="350"/>
      <c r="Q11" s="182"/>
      <c r="R11" s="70"/>
      <c r="S11" s="71"/>
    </row>
    <row r="12" spans="1:19 16383:16384" ht="14.65" customHeight="1" x14ac:dyDescent="0.35">
      <c r="A12" s="356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51" t="s">
        <v>61</v>
      </c>
      <c r="L12" s="351"/>
      <c r="M12" s="351"/>
      <c r="N12" s="350"/>
      <c r="O12" s="350"/>
      <c r="P12" s="350"/>
      <c r="Q12" s="182"/>
      <c r="R12" s="70"/>
      <c r="S12" s="71"/>
      <c r="XFD12" t="s">
        <v>62</v>
      </c>
    </row>
    <row r="13" spans="1:19 16383:16384" ht="15" thickBot="1" x14ac:dyDescent="0.4">
      <c r="A13" s="357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58" t="s">
        <v>64</v>
      </c>
      <c r="B14" s="359"/>
      <c r="C14" s="362" t="s">
        <v>65</v>
      </c>
      <c r="D14" s="194" t="s">
        <v>2</v>
      </c>
      <c r="E14" s="195" t="s">
        <v>66</v>
      </c>
      <c r="F14" s="196" t="s">
        <v>67</v>
      </c>
      <c r="G14" s="364" t="s">
        <v>68</v>
      </c>
      <c r="H14" s="365"/>
      <c r="I14" s="366" t="s">
        <v>69</v>
      </c>
      <c r="J14" s="364" t="s">
        <v>70</v>
      </c>
      <c r="K14" s="368"/>
      <c r="L14" s="365"/>
      <c r="M14" s="366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60"/>
      <c r="B15" s="361"/>
      <c r="C15" s="363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67"/>
      <c r="J15" s="203" t="s">
        <v>78</v>
      </c>
      <c r="K15" s="205" t="s">
        <v>79</v>
      </c>
      <c r="L15" s="277">
        <v>0.18</v>
      </c>
      <c r="M15" s="367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0</v>
      </c>
      <c r="I16" s="216">
        <f>(G16*D16)*F16+H16*F16</f>
        <v>0</v>
      </c>
      <c r="J16" s="217"/>
      <c r="K16" s="218">
        <f>I16*$K$13</f>
        <v>0</v>
      </c>
      <c r="L16" s="219">
        <f>I16*18%</f>
        <v>0</v>
      </c>
      <c r="M16" s="220">
        <f>I16-K16-L16</f>
        <v>0</v>
      </c>
      <c r="N16" s="220">
        <f t="shared" ref="N16:N24" si="0">(M16*$N$15)+(J16*F16)*$N$15</f>
        <v>0</v>
      </c>
      <c r="O16" s="221">
        <f>(N16+M16)*$O$15</f>
        <v>0</v>
      </c>
      <c r="P16" s="219">
        <f t="shared" ref="P16:P24" si="1">M16+N16+O16</f>
        <v>0</v>
      </c>
      <c r="Q16" s="222">
        <v>0</v>
      </c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0</v>
      </c>
      <c r="I17" s="228">
        <f t="shared" ref="I17:I23" si="2">(G17*D17)*F17+H17*F17</f>
        <v>0</v>
      </c>
      <c r="J17" s="229"/>
      <c r="K17" s="230">
        <f t="shared" ref="K17:K21" si="3">I17*$K$13</f>
        <v>0</v>
      </c>
      <c r="L17" s="219">
        <f t="shared" ref="L17:L21" si="4">I17*18%</f>
        <v>0</v>
      </c>
      <c r="M17" s="231">
        <f t="shared" ref="M17:M23" si="5">I17-K17-L17</f>
        <v>0</v>
      </c>
      <c r="N17" s="231">
        <f t="shared" si="0"/>
        <v>0</v>
      </c>
      <c r="O17" s="232">
        <f t="shared" ref="O17:O24" si="6">(N17+M17)*$O$15</f>
        <v>0</v>
      </c>
      <c r="P17" s="233">
        <f t="shared" si="1"/>
        <v>0</v>
      </c>
      <c r="Q17" s="182">
        <v>0</v>
      </c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0</v>
      </c>
      <c r="I18" s="228">
        <f t="shared" si="2"/>
        <v>0</v>
      </c>
      <c r="J18" s="229"/>
      <c r="K18" s="230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>
        <v>0</v>
      </c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0</v>
      </c>
      <c r="I19" s="228">
        <f t="shared" si="2"/>
        <v>0</v>
      </c>
      <c r="J19" s="229"/>
      <c r="K19" s="230">
        <f t="shared" si="3"/>
        <v>0</v>
      </c>
      <c r="L19" s="219">
        <f t="shared" si="4"/>
        <v>0</v>
      </c>
      <c r="M19" s="231">
        <f t="shared" si="5"/>
        <v>0</v>
      </c>
      <c r="N19" s="231">
        <f t="shared" si="0"/>
        <v>0</v>
      </c>
      <c r="O19" s="232">
        <f t="shared" si="6"/>
        <v>0</v>
      </c>
      <c r="P19" s="233">
        <f t="shared" si="1"/>
        <v>0</v>
      </c>
      <c r="Q19" s="182">
        <v>0</v>
      </c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0</v>
      </c>
      <c r="I20" s="228">
        <f t="shared" si="2"/>
        <v>0</v>
      </c>
      <c r="J20" s="229"/>
      <c r="K20" s="230">
        <f t="shared" si="3"/>
        <v>0</v>
      </c>
      <c r="L20" s="219">
        <f t="shared" si="4"/>
        <v>0</v>
      </c>
      <c r="M20" s="231">
        <f t="shared" si="5"/>
        <v>0</v>
      </c>
      <c r="N20" s="231">
        <f t="shared" si="0"/>
        <v>0</v>
      </c>
      <c r="O20" s="232">
        <f t="shared" si="6"/>
        <v>0</v>
      </c>
      <c r="P20" s="233">
        <f t="shared" si="1"/>
        <v>0</v>
      </c>
      <c r="Q20" s="182">
        <v>0</v>
      </c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0</v>
      </c>
      <c r="I21" s="228">
        <f t="shared" si="2"/>
        <v>0</v>
      </c>
      <c r="J21" s="229"/>
      <c r="K21" s="230">
        <f t="shared" si="3"/>
        <v>0</v>
      </c>
      <c r="L21" s="219">
        <f t="shared" si="4"/>
        <v>0</v>
      </c>
      <c r="M21" s="231">
        <f t="shared" si="5"/>
        <v>0</v>
      </c>
      <c r="N21" s="231">
        <f t="shared" si="0"/>
        <v>0</v>
      </c>
      <c r="O21" s="232">
        <f t="shared" si="6"/>
        <v>0</v>
      </c>
      <c r="P21" s="233">
        <f t="shared" si="1"/>
        <v>0</v>
      </c>
      <c r="Q21" s="182">
        <v>0</v>
      </c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>
        <v>0</v>
      </c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75" t="s">
        <v>84</v>
      </c>
      <c r="B25" s="376"/>
      <c r="C25" s="377"/>
      <c r="D25" s="371"/>
      <c r="E25" s="371"/>
      <c r="F25" s="378"/>
      <c r="G25" s="249">
        <f t="shared" ref="G25:M25" si="9">SUM(G16:G24)</f>
        <v>0</v>
      </c>
      <c r="H25" s="250">
        <f t="shared" si="9"/>
        <v>0</v>
      </c>
      <c r="I25" s="251">
        <f t="shared" si="9"/>
        <v>0</v>
      </c>
      <c r="J25" s="252"/>
      <c r="K25" s="253">
        <f t="shared" si="9"/>
        <v>0</v>
      </c>
      <c r="L25" s="254">
        <f t="shared" si="9"/>
        <v>0</v>
      </c>
      <c r="M25" s="255">
        <f t="shared" si="9"/>
        <v>0</v>
      </c>
      <c r="N25" s="256">
        <f>SUM(N16:N24)</f>
        <v>0</v>
      </c>
      <c r="O25" s="257">
        <f>SUM(O16:O24)</f>
        <v>0</v>
      </c>
      <c r="P25" s="258">
        <f>SUM(P16:P24)</f>
        <v>0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79" t="s">
        <v>85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M28" s="182"/>
      <c r="N28" s="388" t="s">
        <v>86</v>
      </c>
      <c r="O28" s="389"/>
      <c r="P28" s="266">
        <f>I25</f>
        <v>0</v>
      </c>
      <c r="Q28" s="182"/>
    </row>
    <row r="29" spans="1:19 16384:16384" ht="15" customHeight="1" x14ac:dyDescent="0.35">
      <c r="A29" s="182"/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M29" s="182"/>
      <c r="N29" s="390" t="s">
        <v>87</v>
      </c>
      <c r="O29" s="391"/>
      <c r="P29" s="268">
        <f>L25</f>
        <v>0</v>
      </c>
      <c r="Q29" s="182"/>
    </row>
    <row r="30" spans="1:19 16384:16384" ht="15" customHeight="1" x14ac:dyDescent="0.35">
      <c r="A30" s="182"/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M30" s="182"/>
      <c r="N30" s="390" t="s">
        <v>4</v>
      </c>
      <c r="O30" s="391"/>
      <c r="P30" s="269">
        <f>K25</f>
        <v>0</v>
      </c>
      <c r="Q30" s="182"/>
    </row>
    <row r="31" spans="1:19 16384:16384" ht="15" customHeight="1" x14ac:dyDescent="0.35">
      <c r="A31" s="182"/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270"/>
      <c r="N31" s="390" t="s">
        <v>88</v>
      </c>
      <c r="O31" s="391"/>
      <c r="P31" s="268">
        <f>P28-P29-P30</f>
        <v>0</v>
      </c>
      <c r="Q31" s="182"/>
    </row>
    <row r="32" spans="1:19 16384:16384" ht="15" customHeight="1" x14ac:dyDescent="0.35">
      <c r="A32" s="182"/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270"/>
      <c r="N32" s="267" t="s">
        <v>89</v>
      </c>
      <c r="O32" s="271">
        <f>IF(B12="Registered",18%,22%)</f>
        <v>0.18</v>
      </c>
      <c r="P32" s="268">
        <f>N25</f>
        <v>0</v>
      </c>
      <c r="Q32" s="182"/>
    </row>
    <row r="33" spans="1:17" ht="15" customHeight="1" x14ac:dyDescent="0.35">
      <c r="A33" s="182"/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270"/>
      <c r="N33" s="392" t="s">
        <v>90</v>
      </c>
      <c r="O33" s="393"/>
      <c r="P33" s="268">
        <f>P31+P32</f>
        <v>0</v>
      </c>
      <c r="Q33" s="182"/>
    </row>
    <row r="34" spans="1:17" ht="15" customHeight="1" thickBot="1" x14ac:dyDescent="0.4">
      <c r="A34" s="182"/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273"/>
      <c r="N34" s="272" t="s">
        <v>91</v>
      </c>
      <c r="O34" s="274">
        <f>IF(B11="Filer",0.5%,2.5%)</f>
        <v>5.0000000000000001E-3</v>
      </c>
      <c r="P34" s="268">
        <f>O34*P33</f>
        <v>0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69" t="s">
        <v>92</v>
      </c>
      <c r="O35" s="370"/>
      <c r="P35" s="275">
        <f>P33+P34</f>
        <v>0</v>
      </c>
      <c r="Q35" s="182"/>
    </row>
    <row r="36" spans="1:17" ht="15" thickBot="1" x14ac:dyDescent="0.4">
      <c r="A36" s="182"/>
      <c r="B36" s="197" t="s">
        <v>93</v>
      </c>
      <c r="C36" s="371"/>
      <c r="D36" s="371"/>
      <c r="E36" s="371"/>
      <c r="F36" s="371"/>
      <c r="G36" s="371"/>
      <c r="H36" s="371"/>
      <c r="I36" s="372"/>
      <c r="J36" s="373"/>
      <c r="K36" s="374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20" workbookViewId="0">
      <selection activeCell="N5" sqref="N5:P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1" t="s">
        <v>45</v>
      </c>
      <c r="B2" s="341"/>
      <c r="C2" s="341"/>
    </row>
    <row r="3" spans="1:19 16383:16384" ht="15" customHeight="1" x14ac:dyDescent="0.35">
      <c r="A3" s="326" t="s">
        <v>46</v>
      </c>
      <c r="B3" s="326"/>
      <c r="C3" s="326"/>
      <c r="F3" s="70"/>
      <c r="G3" s="71"/>
      <c r="K3" s="325" t="s">
        <v>47</v>
      </c>
      <c r="L3" s="325"/>
      <c r="M3" s="325"/>
      <c r="N3" s="326">
        <v>1014</v>
      </c>
      <c r="O3" s="326"/>
      <c r="P3" s="32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6" t="s">
        <v>94</v>
      </c>
      <c r="B4" s="326"/>
      <c r="C4" s="326"/>
      <c r="F4" s="70"/>
      <c r="G4" s="71"/>
      <c r="K4" s="325" t="s">
        <v>49</v>
      </c>
      <c r="L4" s="325"/>
      <c r="M4" s="325"/>
      <c r="N4" s="339">
        <v>46202</v>
      </c>
      <c r="O4" s="339"/>
      <c r="P4" s="33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8" t="s">
        <v>101</v>
      </c>
      <c r="B5" s="348"/>
      <c r="C5" s="348"/>
      <c r="F5" s="70"/>
      <c r="G5" s="71"/>
      <c r="K5" s="325" t="s">
        <v>51</v>
      </c>
      <c r="L5" s="325"/>
      <c r="M5" s="325"/>
      <c r="N5" s="339">
        <f>N4-1</f>
        <v>46201</v>
      </c>
      <c r="O5" s="326"/>
      <c r="P5" s="326"/>
      <c r="R5" s="70"/>
      <c r="S5" s="71"/>
    </row>
    <row r="6" spans="1:19 16383:16384" ht="15" customHeight="1" x14ac:dyDescent="0.35">
      <c r="A6" s="325" t="s">
        <v>106</v>
      </c>
      <c r="B6" s="325"/>
      <c r="C6" s="325"/>
      <c r="F6" s="70"/>
      <c r="G6" s="74"/>
      <c r="K6" s="325" t="s">
        <v>52</v>
      </c>
      <c r="L6" s="325"/>
      <c r="M6" s="325"/>
      <c r="N6" s="338" t="s">
        <v>100</v>
      </c>
      <c r="O6" s="338"/>
      <c r="P6" s="33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5"/>
      <c r="B7" s="325"/>
      <c r="C7" s="325"/>
      <c r="F7" s="70"/>
      <c r="G7" s="74"/>
      <c r="K7" s="325"/>
      <c r="L7" s="325"/>
      <c r="M7" s="325"/>
      <c r="N7" s="338"/>
      <c r="O7" s="338"/>
      <c r="P7" s="33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7"/>
      <c r="B8" s="337"/>
      <c r="C8" s="337"/>
      <c r="F8" s="70"/>
      <c r="G8" s="74"/>
      <c r="K8" s="325"/>
      <c r="L8" s="325"/>
      <c r="M8" s="325"/>
      <c r="N8" s="338"/>
      <c r="O8" s="338"/>
      <c r="P8" s="338"/>
      <c r="R8" s="70"/>
      <c r="S8" s="74"/>
    </row>
    <row r="9" spans="1:19 16383:16384" x14ac:dyDescent="0.35">
      <c r="A9" s="337"/>
      <c r="B9" s="337"/>
      <c r="C9" s="337"/>
      <c r="F9" s="70"/>
      <c r="G9" s="74"/>
      <c r="K9" s="325"/>
      <c r="L9" s="325"/>
      <c r="M9" s="325"/>
      <c r="N9" s="338"/>
      <c r="O9" s="338"/>
      <c r="P9" s="338"/>
      <c r="R9" s="70"/>
      <c r="S9" s="74"/>
      <c r="XFD9" t="s">
        <v>55</v>
      </c>
    </row>
    <row r="10" spans="1:19 16383:16384" x14ac:dyDescent="0.35">
      <c r="A10" s="323" t="s">
        <v>95</v>
      </c>
      <c r="B10" s="75" t="s">
        <v>102</v>
      </c>
      <c r="C10" s="75"/>
      <c r="F10" s="70"/>
      <c r="G10" s="71"/>
      <c r="K10" s="325" t="s">
        <v>56</v>
      </c>
      <c r="L10" s="325"/>
      <c r="M10" s="325"/>
      <c r="N10" s="326" t="s">
        <v>57</v>
      </c>
      <c r="O10" s="326"/>
      <c r="P10" s="326"/>
      <c r="R10" s="70"/>
      <c r="S10" s="71"/>
      <c r="XFD10" t="s">
        <v>58</v>
      </c>
    </row>
    <row r="11" spans="1:19 16383:16384" x14ac:dyDescent="0.35">
      <c r="A11" s="323"/>
      <c r="B11" s="76" t="s">
        <v>48</v>
      </c>
      <c r="C11" s="77" t="str">
        <f>IF($O34&gt;2.49%,"No","Yes")</f>
        <v>Yes</v>
      </c>
      <c r="F11" s="70"/>
      <c r="G11" s="71"/>
      <c r="K11" s="325" t="s">
        <v>59</v>
      </c>
      <c r="L11" s="325"/>
      <c r="M11" s="325"/>
      <c r="N11" s="326" t="s">
        <v>55</v>
      </c>
      <c r="O11" s="326"/>
      <c r="P11" s="326"/>
      <c r="R11" s="70"/>
      <c r="S11" s="71"/>
    </row>
    <row r="12" spans="1:19 16383:16384" ht="14.65" customHeight="1" x14ac:dyDescent="0.35">
      <c r="A12" s="323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5" t="s">
        <v>61</v>
      </c>
      <c r="L12" s="325"/>
      <c r="M12" s="325"/>
      <c r="N12" s="326"/>
      <c r="O12" s="326"/>
      <c r="P12" s="326"/>
      <c r="R12" s="70"/>
      <c r="S12" s="71"/>
      <c r="XFD12" t="s">
        <v>62</v>
      </c>
    </row>
    <row r="13" spans="1:19 16383:16384" ht="15" thickBot="1" x14ac:dyDescent="0.4">
      <c r="A13" s="32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7" t="s">
        <v>64</v>
      </c>
      <c r="B14" s="328"/>
      <c r="C14" s="331" t="s">
        <v>65</v>
      </c>
      <c r="D14" s="80" t="s">
        <v>2</v>
      </c>
      <c r="E14" s="81" t="s">
        <v>66</v>
      </c>
      <c r="F14" s="82" t="s">
        <v>67</v>
      </c>
      <c r="G14" s="343" t="s">
        <v>68</v>
      </c>
      <c r="H14" s="344"/>
      <c r="I14" s="345" t="s">
        <v>69</v>
      </c>
      <c r="J14" s="343" t="s">
        <v>70</v>
      </c>
      <c r="K14" s="347"/>
      <c r="L14" s="344"/>
      <c r="M14" s="3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9"/>
      <c r="B15" s="330"/>
      <c r="C15" s="33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6"/>
      <c r="J15" s="88" t="s">
        <v>78</v>
      </c>
      <c r="K15" s="90" t="s">
        <v>79</v>
      </c>
      <c r="L15" s="276">
        <v>0.18</v>
      </c>
      <c r="M15" s="3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5" t="s">
        <v>84</v>
      </c>
      <c r="B25" s="306"/>
      <c r="C25" s="307"/>
      <c r="D25" s="301"/>
      <c r="E25" s="301"/>
      <c r="F25" s="34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8" t="s">
        <v>85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10"/>
      <c r="N28" s="317" t="s">
        <v>86</v>
      </c>
      <c r="O28" s="318"/>
      <c r="P28" s="151">
        <f>I25</f>
        <v>0</v>
      </c>
    </row>
    <row r="29" spans="1:19 16384:16384" ht="15" customHeight="1" x14ac:dyDescent="0.35">
      <c r="B29" s="311"/>
      <c r="C29" s="312"/>
      <c r="D29" s="312"/>
      <c r="E29" s="312"/>
      <c r="F29" s="312"/>
      <c r="G29" s="312"/>
      <c r="H29" s="312"/>
      <c r="I29" s="312"/>
      <c r="J29" s="312"/>
      <c r="K29" s="312"/>
      <c r="L29" s="313"/>
      <c r="N29" s="319" t="s">
        <v>87</v>
      </c>
      <c r="O29" s="320"/>
      <c r="P29" s="152">
        <f>L25</f>
        <v>0</v>
      </c>
    </row>
    <row r="30" spans="1:19 16384:16384" ht="15" customHeight="1" x14ac:dyDescent="0.35">
      <c r="B30" s="311"/>
      <c r="C30" s="312"/>
      <c r="D30" s="312"/>
      <c r="E30" s="312"/>
      <c r="F30" s="312"/>
      <c r="G30" s="312"/>
      <c r="H30" s="312"/>
      <c r="I30" s="312"/>
      <c r="J30" s="312"/>
      <c r="K30" s="312"/>
      <c r="L30" s="313"/>
      <c r="N30" s="319" t="s">
        <v>4</v>
      </c>
      <c r="O30" s="320"/>
      <c r="P30" s="153">
        <f>K25</f>
        <v>0</v>
      </c>
    </row>
    <row r="31" spans="1:19 16384:16384" ht="15" customHeight="1" x14ac:dyDescent="0.35">
      <c r="B31" s="311"/>
      <c r="C31" s="312"/>
      <c r="D31" s="312"/>
      <c r="E31" s="312"/>
      <c r="F31" s="312"/>
      <c r="G31" s="312"/>
      <c r="H31" s="312"/>
      <c r="I31" s="312"/>
      <c r="J31" s="312"/>
      <c r="K31" s="312"/>
      <c r="L31" s="313"/>
      <c r="M31" s="2"/>
      <c r="N31" s="319" t="s">
        <v>88</v>
      </c>
      <c r="O31" s="320"/>
      <c r="P31" s="152">
        <f>P28-P29-P30</f>
        <v>0</v>
      </c>
    </row>
    <row r="32" spans="1:19 16384:16384" ht="15" customHeight="1" x14ac:dyDescent="0.35">
      <c r="B32" s="311"/>
      <c r="C32" s="312"/>
      <c r="D32" s="312"/>
      <c r="E32" s="312"/>
      <c r="F32" s="312"/>
      <c r="G32" s="312"/>
      <c r="H32" s="312"/>
      <c r="I32" s="312"/>
      <c r="J32" s="312"/>
      <c r="K32" s="312"/>
      <c r="L32" s="31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1"/>
      <c r="C33" s="312"/>
      <c r="D33" s="312"/>
      <c r="E33" s="312"/>
      <c r="F33" s="312"/>
      <c r="G33" s="312"/>
      <c r="H33" s="312"/>
      <c r="I33" s="312"/>
      <c r="J33" s="312"/>
      <c r="K33" s="312"/>
      <c r="L33" s="313"/>
      <c r="M33" s="2"/>
      <c r="N33" s="321" t="s">
        <v>90</v>
      </c>
      <c r="O33" s="322"/>
      <c r="P33" s="152">
        <f>P31+P32</f>
        <v>0</v>
      </c>
    </row>
    <row r="34" spans="2:16" ht="15" customHeight="1" thickBot="1" x14ac:dyDescent="0.4">
      <c r="B34" s="314"/>
      <c r="C34" s="315"/>
      <c r="D34" s="315"/>
      <c r="E34" s="315"/>
      <c r="F34" s="315"/>
      <c r="G34" s="315"/>
      <c r="H34" s="315"/>
      <c r="I34" s="315"/>
      <c r="J34" s="315"/>
      <c r="K34" s="315"/>
      <c r="L34" s="31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9" t="s">
        <v>92</v>
      </c>
      <c r="O35" s="300"/>
      <c r="P35" s="159">
        <f>P33+P34</f>
        <v>0</v>
      </c>
    </row>
    <row r="36" spans="2:16" ht="15" thickBot="1" x14ac:dyDescent="0.4">
      <c r="B36" s="160" t="s">
        <v>93</v>
      </c>
      <c r="C36" s="301"/>
      <c r="D36" s="301"/>
      <c r="E36" s="301"/>
      <c r="F36" s="301"/>
      <c r="G36" s="301"/>
      <c r="H36" s="301"/>
      <c r="I36" s="302"/>
      <c r="J36" s="303"/>
      <c r="K36" s="30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activeCell="N5" sqref="N5:P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1" t="s">
        <v>45</v>
      </c>
      <c r="B2" s="341"/>
      <c r="C2" s="341"/>
    </row>
    <row r="3" spans="1:19 16383:16384" ht="15" customHeight="1" x14ac:dyDescent="0.35">
      <c r="A3" s="326" t="s">
        <v>46</v>
      </c>
      <c r="B3" s="326"/>
      <c r="C3" s="326"/>
      <c r="F3" s="70"/>
      <c r="G3" s="71"/>
      <c r="K3" s="325" t="s">
        <v>47</v>
      </c>
      <c r="L3" s="325"/>
      <c r="M3" s="325"/>
      <c r="N3" s="326">
        <v>100</v>
      </c>
      <c r="O3" s="326"/>
      <c r="P3" s="32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6" t="s">
        <v>94</v>
      </c>
      <c r="B4" s="326"/>
      <c r="C4" s="326"/>
      <c r="F4" s="70"/>
      <c r="G4" s="71"/>
      <c r="K4" s="325" t="s">
        <v>49</v>
      </c>
      <c r="L4" s="325"/>
      <c r="M4" s="325"/>
      <c r="N4" s="339">
        <v>46202</v>
      </c>
      <c r="O4" s="339"/>
      <c r="P4" s="33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8" t="s">
        <v>101</v>
      </c>
      <c r="B5" s="348"/>
      <c r="C5" s="348"/>
      <c r="F5" s="70"/>
      <c r="G5" s="71"/>
      <c r="K5" s="325" t="s">
        <v>51</v>
      </c>
      <c r="L5" s="325"/>
      <c r="M5" s="325"/>
      <c r="N5" s="339">
        <f>N4-1</f>
        <v>46201</v>
      </c>
      <c r="O5" s="326"/>
      <c r="P5" s="326"/>
      <c r="R5" s="70"/>
      <c r="S5" s="71"/>
    </row>
    <row r="6" spans="1:19 16383:16384" ht="15" customHeight="1" x14ac:dyDescent="0.35">
      <c r="A6" s="325" t="s">
        <v>106</v>
      </c>
      <c r="B6" s="325"/>
      <c r="C6" s="325"/>
      <c r="F6" s="70"/>
      <c r="G6" s="74"/>
      <c r="K6" s="325" t="s">
        <v>52</v>
      </c>
      <c r="L6" s="325"/>
      <c r="M6" s="325"/>
      <c r="N6" s="338" t="s">
        <v>100</v>
      </c>
      <c r="O6" s="338"/>
      <c r="P6" s="33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5"/>
      <c r="B7" s="325"/>
      <c r="C7" s="325"/>
      <c r="F7" s="70"/>
      <c r="G7" s="74"/>
      <c r="K7" s="325"/>
      <c r="L7" s="325"/>
      <c r="M7" s="325"/>
      <c r="N7" s="338"/>
      <c r="O7" s="338"/>
      <c r="P7" s="33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7"/>
      <c r="B8" s="337"/>
      <c r="C8" s="337"/>
      <c r="F8" s="70"/>
      <c r="G8" s="74"/>
      <c r="K8" s="325"/>
      <c r="L8" s="325"/>
      <c r="M8" s="325"/>
      <c r="N8" s="338"/>
      <c r="O8" s="338"/>
      <c r="P8" s="338"/>
      <c r="R8" s="70"/>
      <c r="S8" s="74"/>
    </row>
    <row r="9" spans="1:19 16383:16384" x14ac:dyDescent="0.35">
      <c r="A9" s="337"/>
      <c r="B9" s="337"/>
      <c r="C9" s="337"/>
      <c r="F9" s="70"/>
      <c r="G9" s="74"/>
      <c r="K9" s="325"/>
      <c r="L9" s="325"/>
      <c r="M9" s="325"/>
      <c r="N9" s="338"/>
      <c r="O9" s="338"/>
      <c r="P9" s="338"/>
      <c r="R9" s="70"/>
      <c r="S9" s="74"/>
      <c r="XFD9" t="s">
        <v>55</v>
      </c>
    </row>
    <row r="10" spans="1:19 16383:16384" x14ac:dyDescent="0.35">
      <c r="A10" s="323" t="s">
        <v>95</v>
      </c>
      <c r="B10" s="179" t="s">
        <v>102</v>
      </c>
      <c r="C10" s="75"/>
      <c r="F10" s="70"/>
      <c r="G10" s="71"/>
      <c r="K10" s="325" t="s">
        <v>56</v>
      </c>
      <c r="L10" s="325"/>
      <c r="M10" s="325"/>
      <c r="N10" s="326" t="s">
        <v>57</v>
      </c>
      <c r="O10" s="326"/>
      <c r="P10" s="326"/>
      <c r="R10" s="70"/>
      <c r="S10" s="71"/>
      <c r="XFD10" t="s">
        <v>58</v>
      </c>
    </row>
    <row r="11" spans="1:19 16383:16384" x14ac:dyDescent="0.35">
      <c r="A11" s="323"/>
      <c r="B11" s="76" t="s">
        <v>48</v>
      </c>
      <c r="C11" s="77" t="str">
        <f>IF($O34&gt;2.49%,"No","Yes")</f>
        <v>Yes</v>
      </c>
      <c r="F11" s="70"/>
      <c r="G11" s="71"/>
      <c r="K11" s="325" t="s">
        <v>59</v>
      </c>
      <c r="L11" s="325"/>
      <c r="M11" s="325"/>
      <c r="N11" s="326" t="s">
        <v>55</v>
      </c>
      <c r="O11" s="326"/>
      <c r="P11" s="326"/>
      <c r="R11" s="70"/>
      <c r="S11" s="71"/>
    </row>
    <row r="12" spans="1:19 16383:16384" ht="14.65" customHeight="1" x14ac:dyDescent="0.35">
      <c r="A12" s="323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5" t="s">
        <v>61</v>
      </c>
      <c r="L12" s="325"/>
      <c r="M12" s="325"/>
      <c r="N12" s="326"/>
      <c r="O12" s="326"/>
      <c r="P12" s="326"/>
      <c r="R12" s="70"/>
      <c r="S12" s="71"/>
      <c r="XFD12" t="s">
        <v>62</v>
      </c>
    </row>
    <row r="13" spans="1:19 16383:16384" ht="15" thickBot="1" x14ac:dyDescent="0.4">
      <c r="A13" s="32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7" t="s">
        <v>64</v>
      </c>
      <c r="B14" s="328"/>
      <c r="C14" s="331" t="s">
        <v>65</v>
      </c>
      <c r="D14" s="80" t="s">
        <v>2</v>
      </c>
      <c r="E14" s="81" t="s">
        <v>66</v>
      </c>
      <c r="F14" s="82" t="s">
        <v>67</v>
      </c>
      <c r="G14" s="343" t="s">
        <v>68</v>
      </c>
      <c r="H14" s="344"/>
      <c r="I14" s="345" t="s">
        <v>69</v>
      </c>
      <c r="J14" s="343" t="s">
        <v>70</v>
      </c>
      <c r="K14" s="347"/>
      <c r="L14" s="344"/>
      <c r="M14" s="3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9"/>
      <c r="B15" s="330"/>
      <c r="C15" s="33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6"/>
      <c r="J15" s="88" t="s">
        <v>78</v>
      </c>
      <c r="K15" s="90" t="s">
        <v>79</v>
      </c>
      <c r="L15" s="276">
        <v>0.18</v>
      </c>
      <c r="M15" s="3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5" t="s">
        <v>84</v>
      </c>
      <c r="B25" s="306"/>
      <c r="C25" s="307"/>
      <c r="D25" s="301"/>
      <c r="E25" s="301"/>
      <c r="F25" s="34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8" t="s">
        <v>85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10"/>
      <c r="N28" s="317" t="s">
        <v>86</v>
      </c>
      <c r="O28" s="318"/>
      <c r="P28" s="151">
        <f>I25</f>
        <v>0</v>
      </c>
    </row>
    <row r="29" spans="1:19 16384:16384" ht="15" customHeight="1" x14ac:dyDescent="0.35">
      <c r="B29" s="311"/>
      <c r="C29" s="312"/>
      <c r="D29" s="312"/>
      <c r="E29" s="312"/>
      <c r="F29" s="312"/>
      <c r="G29" s="312"/>
      <c r="H29" s="312"/>
      <c r="I29" s="312"/>
      <c r="J29" s="312"/>
      <c r="K29" s="312"/>
      <c r="L29" s="313"/>
      <c r="N29" s="319" t="s">
        <v>87</v>
      </c>
      <c r="O29" s="320"/>
      <c r="P29" s="152">
        <f>L25</f>
        <v>0</v>
      </c>
    </row>
    <row r="30" spans="1:19 16384:16384" ht="15" customHeight="1" x14ac:dyDescent="0.35">
      <c r="B30" s="311"/>
      <c r="C30" s="312"/>
      <c r="D30" s="312"/>
      <c r="E30" s="312"/>
      <c r="F30" s="312"/>
      <c r="G30" s="312"/>
      <c r="H30" s="312"/>
      <c r="I30" s="312"/>
      <c r="J30" s="312"/>
      <c r="K30" s="312"/>
      <c r="L30" s="313"/>
      <c r="N30" s="319" t="s">
        <v>4</v>
      </c>
      <c r="O30" s="320"/>
      <c r="P30" s="153">
        <f>K25</f>
        <v>0</v>
      </c>
    </row>
    <row r="31" spans="1:19 16384:16384" ht="15" customHeight="1" x14ac:dyDescent="0.35">
      <c r="B31" s="311"/>
      <c r="C31" s="312"/>
      <c r="D31" s="312"/>
      <c r="E31" s="312"/>
      <c r="F31" s="312"/>
      <c r="G31" s="312"/>
      <c r="H31" s="312"/>
      <c r="I31" s="312"/>
      <c r="J31" s="312"/>
      <c r="K31" s="312"/>
      <c r="L31" s="313"/>
      <c r="M31" s="2"/>
      <c r="N31" s="319" t="s">
        <v>88</v>
      </c>
      <c r="O31" s="320"/>
      <c r="P31" s="152">
        <f>P28-P29-P30</f>
        <v>0</v>
      </c>
    </row>
    <row r="32" spans="1:19 16384:16384" ht="15" customHeight="1" x14ac:dyDescent="0.35">
      <c r="B32" s="311"/>
      <c r="C32" s="312"/>
      <c r="D32" s="312"/>
      <c r="E32" s="312"/>
      <c r="F32" s="312"/>
      <c r="G32" s="312"/>
      <c r="H32" s="312"/>
      <c r="I32" s="312"/>
      <c r="J32" s="312"/>
      <c r="K32" s="312"/>
      <c r="L32" s="31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1"/>
      <c r="C33" s="312"/>
      <c r="D33" s="312"/>
      <c r="E33" s="312"/>
      <c r="F33" s="312"/>
      <c r="G33" s="312"/>
      <c r="H33" s="312"/>
      <c r="I33" s="312"/>
      <c r="J33" s="312"/>
      <c r="K33" s="312"/>
      <c r="L33" s="313"/>
      <c r="M33" s="2"/>
      <c r="N33" s="321" t="s">
        <v>90</v>
      </c>
      <c r="O33" s="322"/>
      <c r="P33" s="152">
        <f>P31+P32</f>
        <v>0</v>
      </c>
    </row>
    <row r="34" spans="2:16" ht="15" customHeight="1" thickBot="1" x14ac:dyDescent="0.4">
      <c r="B34" s="314"/>
      <c r="C34" s="315"/>
      <c r="D34" s="315"/>
      <c r="E34" s="315"/>
      <c r="F34" s="315"/>
      <c r="G34" s="315"/>
      <c r="H34" s="315"/>
      <c r="I34" s="315"/>
      <c r="J34" s="315"/>
      <c r="K34" s="315"/>
      <c r="L34" s="31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9" t="s">
        <v>92</v>
      </c>
      <c r="O35" s="300"/>
      <c r="P35" s="159">
        <f>P33+P34</f>
        <v>0</v>
      </c>
    </row>
    <row r="36" spans="2:16" ht="15" thickBot="1" x14ac:dyDescent="0.4">
      <c r="B36" s="160" t="s">
        <v>93</v>
      </c>
      <c r="C36" s="301"/>
      <c r="D36" s="301"/>
      <c r="E36" s="301"/>
      <c r="F36" s="301"/>
      <c r="G36" s="301"/>
      <c r="H36" s="301"/>
      <c r="I36" s="302"/>
      <c r="J36" s="303"/>
      <c r="K36" s="30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activeCell="N5" sqref="N5:P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1" t="s">
        <v>45</v>
      </c>
      <c r="B2" s="341"/>
      <c r="C2" s="341"/>
    </row>
    <row r="3" spans="1:19 16383:16384" ht="15" customHeight="1" x14ac:dyDescent="0.35">
      <c r="A3" s="326" t="s">
        <v>46</v>
      </c>
      <c r="B3" s="326"/>
      <c r="C3" s="326"/>
      <c r="F3" s="70"/>
      <c r="G3" s="71"/>
      <c r="K3" s="325" t="s">
        <v>47</v>
      </c>
      <c r="L3" s="325"/>
      <c r="M3" s="325"/>
      <c r="N3" s="326">
        <v>100</v>
      </c>
      <c r="O3" s="326"/>
      <c r="P3" s="32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6" t="s">
        <v>94</v>
      </c>
      <c r="B4" s="326"/>
      <c r="C4" s="326"/>
      <c r="F4" s="70"/>
      <c r="G4" s="71"/>
      <c r="K4" s="325" t="s">
        <v>49</v>
      </c>
      <c r="L4" s="325"/>
      <c r="M4" s="325"/>
      <c r="N4" s="339">
        <v>46202</v>
      </c>
      <c r="O4" s="339"/>
      <c r="P4" s="33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8" t="s">
        <v>101</v>
      </c>
      <c r="B5" s="348"/>
      <c r="C5" s="348"/>
      <c r="F5" s="70"/>
      <c r="G5" s="71"/>
      <c r="K5" s="325" t="s">
        <v>51</v>
      </c>
      <c r="L5" s="325"/>
      <c r="M5" s="325"/>
      <c r="N5" s="339">
        <f>N4-1</f>
        <v>46201</v>
      </c>
      <c r="O5" s="326"/>
      <c r="P5" s="326"/>
      <c r="R5" s="70"/>
      <c r="S5" s="71"/>
    </row>
    <row r="6" spans="1:19 16383:16384" ht="15" customHeight="1" x14ac:dyDescent="0.35">
      <c r="A6" s="325" t="s">
        <v>106</v>
      </c>
      <c r="B6" s="325"/>
      <c r="C6" s="325"/>
      <c r="F6" s="70"/>
      <c r="G6" s="74"/>
      <c r="K6" s="325" t="s">
        <v>52</v>
      </c>
      <c r="L6" s="325"/>
      <c r="M6" s="325"/>
      <c r="N6" s="338" t="s">
        <v>100</v>
      </c>
      <c r="O6" s="338"/>
      <c r="P6" s="33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5"/>
      <c r="B7" s="325"/>
      <c r="C7" s="325"/>
      <c r="F7" s="70"/>
      <c r="G7" s="74"/>
      <c r="K7" s="325"/>
      <c r="L7" s="325"/>
      <c r="M7" s="325"/>
      <c r="N7" s="338"/>
      <c r="O7" s="338"/>
      <c r="P7" s="33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7"/>
      <c r="B8" s="337"/>
      <c r="C8" s="337"/>
      <c r="F8" s="70"/>
      <c r="G8" s="74"/>
      <c r="K8" s="325"/>
      <c r="L8" s="325"/>
      <c r="M8" s="325"/>
      <c r="N8" s="338"/>
      <c r="O8" s="338"/>
      <c r="P8" s="338"/>
      <c r="R8" s="70"/>
      <c r="S8" s="74"/>
    </row>
    <row r="9" spans="1:19 16383:16384" x14ac:dyDescent="0.35">
      <c r="A9" s="337"/>
      <c r="B9" s="337"/>
      <c r="C9" s="337"/>
      <c r="F9" s="70"/>
      <c r="G9" s="74"/>
      <c r="K9" s="325"/>
      <c r="L9" s="325"/>
      <c r="M9" s="325"/>
      <c r="N9" s="338"/>
      <c r="O9" s="338"/>
      <c r="P9" s="338"/>
      <c r="R9" s="70"/>
      <c r="S9" s="74"/>
      <c r="XFD9" t="s">
        <v>55</v>
      </c>
    </row>
    <row r="10" spans="1:19 16383:16384" x14ac:dyDescent="0.35">
      <c r="A10" s="323" t="s">
        <v>95</v>
      </c>
      <c r="B10" s="75" t="s">
        <v>102</v>
      </c>
      <c r="C10" s="75"/>
      <c r="F10" s="70"/>
      <c r="G10" s="71"/>
      <c r="K10" s="325" t="s">
        <v>56</v>
      </c>
      <c r="L10" s="325"/>
      <c r="M10" s="325"/>
      <c r="N10" s="326" t="s">
        <v>57</v>
      </c>
      <c r="O10" s="326"/>
      <c r="P10" s="326"/>
      <c r="R10" s="70"/>
      <c r="S10" s="71"/>
      <c r="XFD10" t="s">
        <v>58</v>
      </c>
    </row>
    <row r="11" spans="1:19 16383:16384" x14ac:dyDescent="0.35">
      <c r="A11" s="323"/>
      <c r="B11" s="76" t="s">
        <v>48</v>
      </c>
      <c r="C11" s="77" t="str">
        <f>IF($O34&gt;2.49%,"No","Yes")</f>
        <v>Yes</v>
      </c>
      <c r="F11" s="70"/>
      <c r="G11" s="71"/>
      <c r="K11" s="325" t="s">
        <v>59</v>
      </c>
      <c r="L11" s="325"/>
      <c r="M11" s="325"/>
      <c r="N11" s="326" t="s">
        <v>55</v>
      </c>
      <c r="O11" s="326"/>
      <c r="P11" s="326"/>
      <c r="R11" s="70"/>
      <c r="S11" s="71"/>
    </row>
    <row r="12" spans="1:19 16383:16384" ht="14.65" customHeight="1" x14ac:dyDescent="0.35">
      <c r="A12" s="323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5" t="s">
        <v>61</v>
      </c>
      <c r="L12" s="325"/>
      <c r="M12" s="325"/>
      <c r="N12" s="326"/>
      <c r="O12" s="326"/>
      <c r="P12" s="326"/>
      <c r="R12" s="70"/>
      <c r="S12" s="71"/>
      <c r="XFD12" t="s">
        <v>62</v>
      </c>
    </row>
    <row r="13" spans="1:19 16383:16384" ht="15" thickBot="1" x14ac:dyDescent="0.4">
      <c r="A13" s="32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7" t="s">
        <v>64</v>
      </c>
      <c r="B14" s="328"/>
      <c r="C14" s="331" t="s">
        <v>65</v>
      </c>
      <c r="D14" s="80" t="s">
        <v>2</v>
      </c>
      <c r="E14" s="81" t="s">
        <v>66</v>
      </c>
      <c r="F14" s="82" t="s">
        <v>67</v>
      </c>
      <c r="G14" s="343" t="s">
        <v>68</v>
      </c>
      <c r="H14" s="344"/>
      <c r="I14" s="345" t="s">
        <v>69</v>
      </c>
      <c r="J14" s="343" t="s">
        <v>70</v>
      </c>
      <c r="K14" s="347"/>
      <c r="L14" s="344"/>
      <c r="M14" s="3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9"/>
      <c r="B15" s="330"/>
      <c r="C15" s="33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6"/>
      <c r="J15" s="88" t="s">
        <v>78</v>
      </c>
      <c r="K15" s="90" t="s">
        <v>79</v>
      </c>
      <c r="L15" s="276">
        <v>0.18</v>
      </c>
      <c r="M15" s="3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5" t="s">
        <v>84</v>
      </c>
      <c r="B25" s="306"/>
      <c r="C25" s="307"/>
      <c r="D25" s="301"/>
      <c r="E25" s="301"/>
      <c r="F25" s="34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8" t="s">
        <v>85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10"/>
      <c r="N28" s="317" t="s">
        <v>86</v>
      </c>
      <c r="O28" s="318"/>
      <c r="P28" s="151">
        <f>I25</f>
        <v>0</v>
      </c>
    </row>
    <row r="29" spans="1:19 16384:16384" ht="15" customHeight="1" x14ac:dyDescent="0.35">
      <c r="B29" s="311"/>
      <c r="C29" s="312"/>
      <c r="D29" s="312"/>
      <c r="E29" s="312"/>
      <c r="F29" s="312"/>
      <c r="G29" s="312"/>
      <c r="H29" s="312"/>
      <c r="I29" s="312"/>
      <c r="J29" s="312"/>
      <c r="K29" s="312"/>
      <c r="L29" s="313"/>
      <c r="N29" s="319" t="s">
        <v>87</v>
      </c>
      <c r="O29" s="320"/>
      <c r="P29" s="152">
        <f>L25</f>
        <v>0</v>
      </c>
    </row>
    <row r="30" spans="1:19 16384:16384" ht="15" customHeight="1" x14ac:dyDescent="0.35">
      <c r="B30" s="311"/>
      <c r="C30" s="312"/>
      <c r="D30" s="312"/>
      <c r="E30" s="312"/>
      <c r="F30" s="312"/>
      <c r="G30" s="312"/>
      <c r="H30" s="312"/>
      <c r="I30" s="312"/>
      <c r="J30" s="312"/>
      <c r="K30" s="312"/>
      <c r="L30" s="313"/>
      <c r="N30" s="319" t="s">
        <v>4</v>
      </c>
      <c r="O30" s="320"/>
      <c r="P30" s="153">
        <f>K25</f>
        <v>0</v>
      </c>
    </row>
    <row r="31" spans="1:19 16384:16384" ht="15" customHeight="1" x14ac:dyDescent="0.35">
      <c r="B31" s="311"/>
      <c r="C31" s="312"/>
      <c r="D31" s="312"/>
      <c r="E31" s="312"/>
      <c r="F31" s="312"/>
      <c r="G31" s="312"/>
      <c r="H31" s="312"/>
      <c r="I31" s="312"/>
      <c r="J31" s="312"/>
      <c r="K31" s="312"/>
      <c r="L31" s="313"/>
      <c r="M31" s="2"/>
      <c r="N31" s="319" t="s">
        <v>88</v>
      </c>
      <c r="O31" s="320"/>
      <c r="P31" s="152">
        <f>P28-P29-P30</f>
        <v>0</v>
      </c>
    </row>
    <row r="32" spans="1:19 16384:16384" ht="15" customHeight="1" x14ac:dyDescent="0.35">
      <c r="B32" s="311"/>
      <c r="C32" s="312"/>
      <c r="D32" s="312"/>
      <c r="E32" s="312"/>
      <c r="F32" s="312"/>
      <c r="G32" s="312"/>
      <c r="H32" s="312"/>
      <c r="I32" s="312"/>
      <c r="J32" s="312"/>
      <c r="K32" s="312"/>
      <c r="L32" s="31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1"/>
      <c r="C33" s="312"/>
      <c r="D33" s="312"/>
      <c r="E33" s="312"/>
      <c r="F33" s="312"/>
      <c r="G33" s="312"/>
      <c r="H33" s="312"/>
      <c r="I33" s="312"/>
      <c r="J33" s="312"/>
      <c r="K33" s="312"/>
      <c r="L33" s="313"/>
      <c r="M33" s="2"/>
      <c r="N33" s="321" t="s">
        <v>90</v>
      </c>
      <c r="O33" s="322"/>
      <c r="P33" s="152">
        <f>P31+P32</f>
        <v>0</v>
      </c>
    </row>
    <row r="34" spans="2:16" ht="15" customHeight="1" thickBot="1" x14ac:dyDescent="0.4">
      <c r="B34" s="314"/>
      <c r="C34" s="315"/>
      <c r="D34" s="315"/>
      <c r="E34" s="315"/>
      <c r="F34" s="315"/>
      <c r="G34" s="315"/>
      <c r="H34" s="315"/>
      <c r="I34" s="315"/>
      <c r="J34" s="315"/>
      <c r="K34" s="315"/>
      <c r="L34" s="31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9" t="s">
        <v>92</v>
      </c>
      <c r="O35" s="300"/>
      <c r="P35" s="159">
        <f>P33+P34</f>
        <v>0</v>
      </c>
    </row>
    <row r="36" spans="2:16" ht="15" thickBot="1" x14ac:dyDescent="0.4">
      <c r="B36" s="160" t="s">
        <v>93</v>
      </c>
      <c r="C36" s="301"/>
      <c r="D36" s="301"/>
      <c r="E36" s="301"/>
      <c r="F36" s="301"/>
      <c r="G36" s="301"/>
      <c r="H36" s="301"/>
      <c r="I36" s="302"/>
      <c r="J36" s="303"/>
      <c r="K36" s="30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N5" sqref="N5:P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1" t="s">
        <v>45</v>
      </c>
      <c r="B2" s="341"/>
      <c r="C2" s="341"/>
    </row>
    <row r="3" spans="1:19 16383:16384" ht="15" customHeight="1" x14ac:dyDescent="0.35">
      <c r="A3" s="326" t="s">
        <v>46</v>
      </c>
      <c r="B3" s="326"/>
      <c r="C3" s="326"/>
      <c r="F3" s="70"/>
      <c r="G3" s="71"/>
      <c r="K3" s="325" t="s">
        <v>47</v>
      </c>
      <c r="L3" s="325"/>
      <c r="M3" s="325"/>
      <c r="N3" s="326">
        <v>100</v>
      </c>
      <c r="O3" s="326"/>
      <c r="P3" s="32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6" t="s">
        <v>94</v>
      </c>
      <c r="B4" s="326"/>
      <c r="C4" s="326"/>
      <c r="F4" s="70"/>
      <c r="G4" s="71"/>
      <c r="K4" s="325" t="s">
        <v>49</v>
      </c>
      <c r="L4" s="325"/>
      <c r="M4" s="325"/>
      <c r="N4" s="339">
        <v>46202</v>
      </c>
      <c r="O4" s="339"/>
      <c r="P4" s="33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8" t="s">
        <v>101</v>
      </c>
      <c r="B5" s="348"/>
      <c r="C5" s="348"/>
      <c r="F5" s="70"/>
      <c r="G5" s="71"/>
      <c r="K5" s="325" t="s">
        <v>51</v>
      </c>
      <c r="L5" s="325"/>
      <c r="M5" s="325"/>
      <c r="N5" s="339">
        <f>N4-1</f>
        <v>46201</v>
      </c>
      <c r="O5" s="326"/>
      <c r="P5" s="326"/>
      <c r="R5" s="70"/>
      <c r="S5" s="71"/>
    </row>
    <row r="6" spans="1:19 16383:16384" ht="15" customHeight="1" x14ac:dyDescent="0.35">
      <c r="A6" s="325" t="s">
        <v>106</v>
      </c>
      <c r="B6" s="325"/>
      <c r="C6" s="325"/>
      <c r="F6" s="70"/>
      <c r="G6" s="74"/>
      <c r="K6" s="325" t="s">
        <v>52</v>
      </c>
      <c r="L6" s="325"/>
      <c r="M6" s="325"/>
      <c r="N6" s="338" t="s">
        <v>100</v>
      </c>
      <c r="O6" s="338"/>
      <c r="P6" s="33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5"/>
      <c r="B7" s="325"/>
      <c r="C7" s="325"/>
      <c r="F7" s="70"/>
      <c r="G7" s="74"/>
      <c r="K7" s="325"/>
      <c r="L7" s="325"/>
      <c r="M7" s="325"/>
      <c r="N7" s="338"/>
      <c r="O7" s="338"/>
      <c r="P7" s="33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7"/>
      <c r="B8" s="337"/>
      <c r="C8" s="337"/>
      <c r="F8" s="70"/>
      <c r="G8" s="74"/>
      <c r="K8" s="325"/>
      <c r="L8" s="325"/>
      <c r="M8" s="325"/>
      <c r="N8" s="338"/>
      <c r="O8" s="338"/>
      <c r="P8" s="338"/>
      <c r="R8" s="70"/>
      <c r="S8" s="74"/>
    </row>
    <row r="9" spans="1:19 16383:16384" x14ac:dyDescent="0.35">
      <c r="A9" s="337"/>
      <c r="B9" s="337"/>
      <c r="C9" s="337"/>
      <c r="F9" s="70"/>
      <c r="G9" s="74"/>
      <c r="K9" s="325"/>
      <c r="L9" s="325"/>
      <c r="M9" s="325"/>
      <c r="N9" s="338"/>
      <c r="O9" s="338"/>
      <c r="P9" s="338"/>
      <c r="R9" s="70"/>
      <c r="S9" s="74"/>
      <c r="XFD9" t="s">
        <v>55</v>
      </c>
    </row>
    <row r="10" spans="1:19 16383:16384" x14ac:dyDescent="0.35">
      <c r="A10" s="323" t="s">
        <v>95</v>
      </c>
      <c r="B10" s="75" t="s">
        <v>102</v>
      </c>
      <c r="C10" s="75"/>
      <c r="F10" s="70"/>
      <c r="G10" s="71"/>
      <c r="K10" s="325" t="s">
        <v>56</v>
      </c>
      <c r="L10" s="325"/>
      <c r="M10" s="325"/>
      <c r="N10" s="326" t="s">
        <v>57</v>
      </c>
      <c r="O10" s="326"/>
      <c r="P10" s="326"/>
      <c r="R10" s="70"/>
      <c r="S10" s="71"/>
      <c r="XFD10" t="s">
        <v>58</v>
      </c>
    </row>
    <row r="11" spans="1:19 16383:16384" x14ac:dyDescent="0.35">
      <c r="A11" s="323"/>
      <c r="B11" s="76" t="s">
        <v>48</v>
      </c>
      <c r="C11" s="77" t="str">
        <f>IF($O34&gt;2.49%,"No","Yes")</f>
        <v>Yes</v>
      </c>
      <c r="F11" s="70"/>
      <c r="G11" s="71"/>
      <c r="K11" s="325" t="s">
        <v>59</v>
      </c>
      <c r="L11" s="325"/>
      <c r="M11" s="325"/>
      <c r="N11" s="326" t="s">
        <v>55</v>
      </c>
      <c r="O11" s="326"/>
      <c r="P11" s="326"/>
      <c r="R11" s="70"/>
      <c r="S11" s="71"/>
    </row>
    <row r="12" spans="1:19 16383:16384" ht="14.65" customHeight="1" x14ac:dyDescent="0.35">
      <c r="A12" s="323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5" t="s">
        <v>61</v>
      </c>
      <c r="L12" s="325"/>
      <c r="M12" s="325"/>
      <c r="N12" s="326"/>
      <c r="O12" s="326"/>
      <c r="P12" s="326"/>
      <c r="R12" s="70"/>
      <c r="S12" s="71"/>
      <c r="XFD12" t="s">
        <v>62</v>
      </c>
    </row>
    <row r="13" spans="1:19 16383:16384" ht="15" thickBot="1" x14ac:dyDescent="0.4">
      <c r="A13" s="32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7" t="s">
        <v>64</v>
      </c>
      <c r="B14" s="328"/>
      <c r="C14" s="331" t="s">
        <v>65</v>
      </c>
      <c r="D14" s="80" t="s">
        <v>2</v>
      </c>
      <c r="E14" s="81" t="s">
        <v>66</v>
      </c>
      <c r="F14" s="82" t="s">
        <v>67</v>
      </c>
      <c r="G14" s="343" t="s">
        <v>68</v>
      </c>
      <c r="H14" s="344"/>
      <c r="I14" s="345" t="s">
        <v>69</v>
      </c>
      <c r="J14" s="343" t="s">
        <v>70</v>
      </c>
      <c r="K14" s="347"/>
      <c r="L14" s="344"/>
      <c r="M14" s="3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9"/>
      <c r="B15" s="330"/>
      <c r="C15" s="33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6"/>
      <c r="J15" s="88" t="s">
        <v>78</v>
      </c>
      <c r="K15" s="90" t="s">
        <v>79</v>
      </c>
      <c r="L15" s="276">
        <v>0.18</v>
      </c>
      <c r="M15" s="3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5" t="s">
        <v>84</v>
      </c>
      <c r="B25" s="306"/>
      <c r="C25" s="307"/>
      <c r="D25" s="301"/>
      <c r="E25" s="301"/>
      <c r="F25" s="34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8" t="s">
        <v>85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10"/>
      <c r="N28" s="317" t="s">
        <v>86</v>
      </c>
      <c r="O28" s="318"/>
      <c r="P28" s="151">
        <f>I25</f>
        <v>0</v>
      </c>
    </row>
    <row r="29" spans="1:19 16384:16384" ht="15" customHeight="1" x14ac:dyDescent="0.35">
      <c r="B29" s="311"/>
      <c r="C29" s="312"/>
      <c r="D29" s="312"/>
      <c r="E29" s="312"/>
      <c r="F29" s="312"/>
      <c r="G29" s="312"/>
      <c r="H29" s="312"/>
      <c r="I29" s="312"/>
      <c r="J29" s="312"/>
      <c r="K29" s="312"/>
      <c r="L29" s="313"/>
      <c r="N29" s="319" t="s">
        <v>87</v>
      </c>
      <c r="O29" s="320"/>
      <c r="P29" s="152">
        <f>L25</f>
        <v>0</v>
      </c>
    </row>
    <row r="30" spans="1:19 16384:16384" ht="15" customHeight="1" x14ac:dyDescent="0.35">
      <c r="B30" s="311"/>
      <c r="C30" s="312"/>
      <c r="D30" s="312"/>
      <c r="E30" s="312"/>
      <c r="F30" s="312"/>
      <c r="G30" s="312"/>
      <c r="H30" s="312"/>
      <c r="I30" s="312"/>
      <c r="J30" s="312"/>
      <c r="K30" s="312"/>
      <c r="L30" s="313"/>
      <c r="N30" s="319" t="s">
        <v>4</v>
      </c>
      <c r="O30" s="320"/>
      <c r="P30" s="153">
        <f>K25</f>
        <v>0</v>
      </c>
    </row>
    <row r="31" spans="1:19 16384:16384" ht="15" customHeight="1" x14ac:dyDescent="0.35">
      <c r="B31" s="311"/>
      <c r="C31" s="312"/>
      <c r="D31" s="312"/>
      <c r="E31" s="312"/>
      <c r="F31" s="312"/>
      <c r="G31" s="312"/>
      <c r="H31" s="312"/>
      <c r="I31" s="312"/>
      <c r="J31" s="312"/>
      <c r="K31" s="312"/>
      <c r="L31" s="313"/>
      <c r="M31" s="2"/>
      <c r="N31" s="319" t="s">
        <v>88</v>
      </c>
      <c r="O31" s="320"/>
      <c r="P31" s="152">
        <f>P28-P29-P30</f>
        <v>0</v>
      </c>
    </row>
    <row r="32" spans="1:19 16384:16384" ht="15" customHeight="1" x14ac:dyDescent="0.35">
      <c r="B32" s="311"/>
      <c r="C32" s="312"/>
      <c r="D32" s="312"/>
      <c r="E32" s="312"/>
      <c r="F32" s="312"/>
      <c r="G32" s="312"/>
      <c r="H32" s="312"/>
      <c r="I32" s="312"/>
      <c r="J32" s="312"/>
      <c r="K32" s="312"/>
      <c r="L32" s="31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1"/>
      <c r="C33" s="312"/>
      <c r="D33" s="312"/>
      <c r="E33" s="312"/>
      <c r="F33" s="312"/>
      <c r="G33" s="312"/>
      <c r="H33" s="312"/>
      <c r="I33" s="312"/>
      <c r="J33" s="312"/>
      <c r="K33" s="312"/>
      <c r="L33" s="313"/>
      <c r="M33" s="2"/>
      <c r="N33" s="321" t="s">
        <v>90</v>
      </c>
      <c r="O33" s="322"/>
      <c r="P33" s="152">
        <f>P31+P32</f>
        <v>0</v>
      </c>
    </row>
    <row r="34" spans="2:16" ht="15" customHeight="1" thickBot="1" x14ac:dyDescent="0.4">
      <c r="B34" s="314"/>
      <c r="C34" s="315"/>
      <c r="D34" s="315"/>
      <c r="E34" s="315"/>
      <c r="F34" s="315"/>
      <c r="G34" s="315"/>
      <c r="H34" s="315"/>
      <c r="I34" s="315"/>
      <c r="J34" s="315"/>
      <c r="K34" s="315"/>
      <c r="L34" s="31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9" t="s">
        <v>92</v>
      </c>
      <c r="O35" s="300"/>
      <c r="P35" s="159">
        <f>P33+P34</f>
        <v>0</v>
      </c>
    </row>
    <row r="36" spans="2:16" ht="15" thickBot="1" x14ac:dyDescent="0.4">
      <c r="B36" s="160" t="s">
        <v>93</v>
      </c>
      <c r="C36" s="301"/>
      <c r="D36" s="301"/>
      <c r="E36" s="301"/>
      <c r="F36" s="301"/>
      <c r="G36" s="301"/>
      <c r="H36" s="301"/>
      <c r="I36" s="302"/>
      <c r="J36" s="303"/>
      <c r="K36" s="30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N5" sqref="N5:P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1" t="s">
        <v>45</v>
      </c>
      <c r="B2" s="341"/>
      <c r="C2" s="341"/>
    </row>
    <row r="3" spans="1:19 16383:16384" ht="15" customHeight="1" x14ac:dyDescent="0.35">
      <c r="A3" s="326" t="s">
        <v>46</v>
      </c>
      <c r="B3" s="326"/>
      <c r="C3" s="326"/>
      <c r="F3" s="70"/>
      <c r="G3" s="71"/>
      <c r="K3" s="325" t="s">
        <v>47</v>
      </c>
      <c r="L3" s="325"/>
      <c r="M3" s="325"/>
      <c r="N3" s="326">
        <v>100</v>
      </c>
      <c r="O3" s="326"/>
      <c r="P3" s="32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6" t="s">
        <v>94</v>
      </c>
      <c r="B4" s="326"/>
      <c r="C4" s="326"/>
      <c r="F4" s="70"/>
      <c r="G4" s="71"/>
      <c r="K4" s="325" t="s">
        <v>49</v>
      </c>
      <c r="L4" s="325"/>
      <c r="M4" s="325"/>
      <c r="N4" s="339">
        <v>46202</v>
      </c>
      <c r="O4" s="339"/>
      <c r="P4" s="33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8" t="s">
        <v>101</v>
      </c>
      <c r="B5" s="348"/>
      <c r="C5" s="348"/>
      <c r="F5" s="70"/>
      <c r="G5" s="71"/>
      <c r="K5" s="325" t="s">
        <v>51</v>
      </c>
      <c r="L5" s="325"/>
      <c r="M5" s="325"/>
      <c r="N5" s="339">
        <f>N4-1</f>
        <v>46201</v>
      </c>
      <c r="O5" s="326"/>
      <c r="P5" s="326"/>
      <c r="R5" s="70"/>
      <c r="S5" s="71"/>
    </row>
    <row r="6" spans="1:19 16383:16384" ht="15" customHeight="1" x14ac:dyDescent="0.35">
      <c r="A6" s="325" t="s">
        <v>106</v>
      </c>
      <c r="B6" s="325"/>
      <c r="C6" s="325"/>
      <c r="F6" s="70"/>
      <c r="G6" s="74"/>
      <c r="K6" s="325" t="s">
        <v>52</v>
      </c>
      <c r="L6" s="325"/>
      <c r="M6" s="325"/>
      <c r="N6" s="338" t="s">
        <v>100</v>
      </c>
      <c r="O6" s="338"/>
      <c r="P6" s="33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5"/>
      <c r="B7" s="325"/>
      <c r="C7" s="325"/>
      <c r="F7" s="70"/>
      <c r="G7" s="74"/>
      <c r="K7" s="325"/>
      <c r="L7" s="325"/>
      <c r="M7" s="325"/>
      <c r="N7" s="338"/>
      <c r="O7" s="338"/>
      <c r="P7" s="33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7"/>
      <c r="B8" s="337"/>
      <c r="C8" s="337"/>
      <c r="F8" s="70"/>
      <c r="G8" s="74"/>
      <c r="K8" s="325"/>
      <c r="L8" s="325"/>
      <c r="M8" s="325"/>
      <c r="N8" s="338"/>
      <c r="O8" s="338"/>
      <c r="P8" s="338"/>
      <c r="R8" s="70"/>
      <c r="S8" s="74"/>
    </row>
    <row r="9" spans="1:19 16383:16384" x14ac:dyDescent="0.35">
      <c r="A9" s="337"/>
      <c r="B9" s="337"/>
      <c r="C9" s="337"/>
      <c r="F9" s="70"/>
      <c r="G9" s="74"/>
      <c r="K9" s="325"/>
      <c r="L9" s="325"/>
      <c r="M9" s="325"/>
      <c r="N9" s="338"/>
      <c r="O9" s="338"/>
      <c r="P9" s="338"/>
      <c r="R9" s="70"/>
      <c r="S9" s="74"/>
      <c r="XFD9" t="s">
        <v>55</v>
      </c>
    </row>
    <row r="10" spans="1:19 16383:16384" x14ac:dyDescent="0.35">
      <c r="A10" s="323" t="s">
        <v>95</v>
      </c>
      <c r="B10" s="75" t="s">
        <v>102</v>
      </c>
      <c r="C10" s="75"/>
      <c r="F10" s="70"/>
      <c r="G10" s="71"/>
      <c r="K10" s="325" t="s">
        <v>56</v>
      </c>
      <c r="L10" s="325"/>
      <c r="M10" s="325"/>
      <c r="N10" s="326" t="s">
        <v>57</v>
      </c>
      <c r="O10" s="326"/>
      <c r="P10" s="326"/>
      <c r="R10" s="70"/>
      <c r="S10" s="71"/>
      <c r="XFD10" t="s">
        <v>58</v>
      </c>
    </row>
    <row r="11" spans="1:19 16383:16384" x14ac:dyDescent="0.35">
      <c r="A11" s="323"/>
      <c r="B11" s="76" t="s">
        <v>48</v>
      </c>
      <c r="C11" s="77" t="str">
        <f>IF($O34&gt;2.49%,"No","Yes")</f>
        <v>Yes</v>
      </c>
      <c r="F11" s="70"/>
      <c r="G11" s="71"/>
      <c r="K11" s="325" t="s">
        <v>59</v>
      </c>
      <c r="L11" s="325"/>
      <c r="M11" s="325"/>
      <c r="N11" s="326" t="s">
        <v>55</v>
      </c>
      <c r="O11" s="326"/>
      <c r="P11" s="326"/>
      <c r="R11" s="70"/>
      <c r="S11" s="71"/>
    </row>
    <row r="12" spans="1:19 16383:16384" ht="14.65" customHeight="1" x14ac:dyDescent="0.35">
      <c r="A12" s="323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5" t="s">
        <v>61</v>
      </c>
      <c r="L12" s="325"/>
      <c r="M12" s="325"/>
      <c r="N12" s="326"/>
      <c r="O12" s="326"/>
      <c r="P12" s="326"/>
      <c r="R12" s="70"/>
      <c r="S12" s="71"/>
      <c r="XFD12" t="s">
        <v>62</v>
      </c>
    </row>
    <row r="13" spans="1:19 16383:16384" ht="15" thickBot="1" x14ac:dyDescent="0.4">
      <c r="A13" s="32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7" t="s">
        <v>64</v>
      </c>
      <c r="B14" s="328"/>
      <c r="C14" s="331" t="s">
        <v>65</v>
      </c>
      <c r="D14" s="80" t="s">
        <v>2</v>
      </c>
      <c r="E14" s="81" t="s">
        <v>66</v>
      </c>
      <c r="F14" s="82" t="s">
        <v>67</v>
      </c>
      <c r="G14" s="343" t="s">
        <v>68</v>
      </c>
      <c r="H14" s="344"/>
      <c r="I14" s="345" t="s">
        <v>69</v>
      </c>
      <c r="J14" s="343" t="s">
        <v>70</v>
      </c>
      <c r="K14" s="347"/>
      <c r="L14" s="344"/>
      <c r="M14" s="3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9"/>
      <c r="B15" s="330"/>
      <c r="C15" s="33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6"/>
      <c r="J15" s="88" t="s">
        <v>78</v>
      </c>
      <c r="K15" s="90" t="s">
        <v>79</v>
      </c>
      <c r="L15" s="276">
        <v>0.18</v>
      </c>
      <c r="M15" s="3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5" t="s">
        <v>84</v>
      </c>
      <c r="B25" s="306"/>
      <c r="C25" s="307"/>
      <c r="D25" s="301"/>
      <c r="E25" s="301"/>
      <c r="F25" s="34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8" t="s">
        <v>85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10"/>
      <c r="N28" s="317" t="s">
        <v>86</v>
      </c>
      <c r="O28" s="318"/>
      <c r="P28" s="151">
        <f>I25</f>
        <v>0</v>
      </c>
    </row>
    <row r="29" spans="1:19 16384:16384" ht="15" customHeight="1" x14ac:dyDescent="0.35">
      <c r="B29" s="311"/>
      <c r="C29" s="312"/>
      <c r="D29" s="312"/>
      <c r="E29" s="312"/>
      <c r="F29" s="312"/>
      <c r="G29" s="312"/>
      <c r="H29" s="312"/>
      <c r="I29" s="312"/>
      <c r="J29" s="312"/>
      <c r="K29" s="312"/>
      <c r="L29" s="313"/>
      <c r="N29" s="319" t="s">
        <v>87</v>
      </c>
      <c r="O29" s="320"/>
      <c r="P29" s="152">
        <f>L25</f>
        <v>0</v>
      </c>
    </row>
    <row r="30" spans="1:19 16384:16384" ht="15" customHeight="1" x14ac:dyDescent="0.35">
      <c r="B30" s="311"/>
      <c r="C30" s="312"/>
      <c r="D30" s="312"/>
      <c r="E30" s="312"/>
      <c r="F30" s="312"/>
      <c r="G30" s="312"/>
      <c r="H30" s="312"/>
      <c r="I30" s="312"/>
      <c r="J30" s="312"/>
      <c r="K30" s="312"/>
      <c r="L30" s="313"/>
      <c r="N30" s="319" t="s">
        <v>4</v>
      </c>
      <c r="O30" s="320"/>
      <c r="P30" s="153">
        <f>K25</f>
        <v>0</v>
      </c>
    </row>
    <row r="31" spans="1:19 16384:16384" ht="15" customHeight="1" x14ac:dyDescent="0.35">
      <c r="B31" s="311"/>
      <c r="C31" s="312"/>
      <c r="D31" s="312"/>
      <c r="E31" s="312"/>
      <c r="F31" s="312"/>
      <c r="G31" s="312"/>
      <c r="H31" s="312"/>
      <c r="I31" s="312"/>
      <c r="J31" s="312"/>
      <c r="K31" s="312"/>
      <c r="L31" s="313"/>
      <c r="M31" s="2"/>
      <c r="N31" s="319" t="s">
        <v>88</v>
      </c>
      <c r="O31" s="320"/>
      <c r="P31" s="152">
        <f>P28-P29-P30</f>
        <v>0</v>
      </c>
    </row>
    <row r="32" spans="1:19 16384:16384" ht="15" customHeight="1" x14ac:dyDescent="0.35">
      <c r="B32" s="311"/>
      <c r="C32" s="312"/>
      <c r="D32" s="312"/>
      <c r="E32" s="312"/>
      <c r="F32" s="312"/>
      <c r="G32" s="312"/>
      <c r="H32" s="312"/>
      <c r="I32" s="312"/>
      <c r="J32" s="312"/>
      <c r="K32" s="312"/>
      <c r="L32" s="31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1"/>
      <c r="C33" s="312"/>
      <c r="D33" s="312"/>
      <c r="E33" s="312"/>
      <c r="F33" s="312"/>
      <c r="G33" s="312"/>
      <c r="H33" s="312"/>
      <c r="I33" s="312"/>
      <c r="J33" s="312"/>
      <c r="K33" s="312"/>
      <c r="L33" s="313"/>
      <c r="M33" s="2"/>
      <c r="N33" s="321" t="s">
        <v>90</v>
      </c>
      <c r="O33" s="322"/>
      <c r="P33" s="152">
        <f>P31+P32</f>
        <v>0</v>
      </c>
    </row>
    <row r="34" spans="2:16" ht="15" customHeight="1" thickBot="1" x14ac:dyDescent="0.4">
      <c r="B34" s="314"/>
      <c r="C34" s="315"/>
      <c r="D34" s="315"/>
      <c r="E34" s="315"/>
      <c r="F34" s="315"/>
      <c r="G34" s="315"/>
      <c r="H34" s="315"/>
      <c r="I34" s="315"/>
      <c r="J34" s="315"/>
      <c r="K34" s="315"/>
      <c r="L34" s="31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9" t="s">
        <v>92</v>
      </c>
      <c r="O35" s="300"/>
      <c r="P35" s="159">
        <f>P33+P34</f>
        <v>0</v>
      </c>
    </row>
    <row r="36" spans="2:16" ht="15" thickBot="1" x14ac:dyDescent="0.4">
      <c r="B36" s="160" t="s">
        <v>93</v>
      </c>
      <c r="C36" s="301"/>
      <c r="D36" s="301"/>
      <c r="E36" s="301"/>
      <c r="F36" s="301"/>
      <c r="G36" s="301"/>
      <c r="H36" s="301"/>
      <c r="I36" s="302"/>
      <c r="J36" s="303"/>
      <c r="K36" s="30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abSelected="1" topLeftCell="A13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1" t="s">
        <v>45</v>
      </c>
      <c r="B2" s="341"/>
      <c r="C2" s="341"/>
    </row>
    <row r="3" spans="1:19 16383:16384" ht="15" customHeight="1" x14ac:dyDescent="0.35">
      <c r="A3" s="326" t="s">
        <v>46</v>
      </c>
      <c r="B3" s="326"/>
      <c r="C3" s="326"/>
      <c r="F3" s="70"/>
      <c r="G3" s="71"/>
      <c r="K3" s="325" t="s">
        <v>47</v>
      </c>
      <c r="L3" s="325"/>
      <c r="M3" s="325"/>
      <c r="N3" s="326">
        <v>100</v>
      </c>
      <c r="O3" s="326"/>
      <c r="P3" s="32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6" t="s">
        <v>94</v>
      </c>
      <c r="B4" s="326"/>
      <c r="C4" s="326"/>
      <c r="F4" s="70"/>
      <c r="G4" s="71"/>
      <c r="K4" s="325" t="s">
        <v>49</v>
      </c>
      <c r="L4" s="325"/>
      <c r="M4" s="325"/>
      <c r="N4" s="339">
        <v>46202</v>
      </c>
      <c r="O4" s="339"/>
      <c r="P4" s="33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8" t="s">
        <v>101</v>
      </c>
      <c r="B5" s="348"/>
      <c r="C5" s="348"/>
      <c r="F5" s="70"/>
      <c r="G5" s="71"/>
      <c r="K5" s="325" t="s">
        <v>51</v>
      </c>
      <c r="L5" s="325"/>
      <c r="M5" s="325"/>
      <c r="N5" s="339">
        <f>N4-1</f>
        <v>46201</v>
      </c>
      <c r="O5" s="326"/>
      <c r="P5" s="326"/>
      <c r="R5" s="70"/>
      <c r="S5" s="71"/>
    </row>
    <row r="6" spans="1:19 16383:16384" ht="15" customHeight="1" x14ac:dyDescent="0.35">
      <c r="A6" s="325" t="s">
        <v>106</v>
      </c>
      <c r="B6" s="325"/>
      <c r="C6" s="325"/>
      <c r="F6" s="70"/>
      <c r="G6" s="74"/>
      <c r="K6" s="325" t="s">
        <v>52</v>
      </c>
      <c r="L6" s="325"/>
      <c r="M6" s="325"/>
      <c r="N6" s="338" t="s">
        <v>100</v>
      </c>
      <c r="O6" s="338"/>
      <c r="P6" s="33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5"/>
      <c r="B7" s="325"/>
      <c r="C7" s="325"/>
      <c r="F7" s="70"/>
      <c r="G7" s="74"/>
      <c r="K7" s="325"/>
      <c r="L7" s="325"/>
      <c r="M7" s="325"/>
      <c r="N7" s="338"/>
      <c r="O7" s="338"/>
      <c r="P7" s="33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7"/>
      <c r="B8" s="337"/>
      <c r="C8" s="337"/>
      <c r="F8" s="70"/>
      <c r="G8" s="74"/>
      <c r="K8" s="325"/>
      <c r="L8" s="325"/>
      <c r="M8" s="325"/>
      <c r="N8" s="338"/>
      <c r="O8" s="338"/>
      <c r="P8" s="338"/>
      <c r="R8" s="70"/>
      <c r="S8" s="74"/>
    </row>
    <row r="9" spans="1:19 16383:16384" x14ac:dyDescent="0.35">
      <c r="A9" s="337"/>
      <c r="B9" s="337"/>
      <c r="C9" s="337"/>
      <c r="F9" s="70"/>
      <c r="G9" s="74"/>
      <c r="K9" s="325"/>
      <c r="L9" s="325"/>
      <c r="M9" s="325"/>
      <c r="N9" s="338"/>
      <c r="O9" s="338"/>
      <c r="P9" s="338"/>
      <c r="R9" s="70"/>
      <c r="S9" s="74"/>
      <c r="XFD9" t="s">
        <v>55</v>
      </c>
    </row>
    <row r="10" spans="1:19 16383:16384" x14ac:dyDescent="0.35">
      <c r="A10" s="323" t="s">
        <v>95</v>
      </c>
      <c r="B10" s="75" t="s">
        <v>102</v>
      </c>
      <c r="C10" s="75"/>
      <c r="F10" s="70"/>
      <c r="G10" s="71"/>
      <c r="K10" s="325" t="s">
        <v>56</v>
      </c>
      <c r="L10" s="325"/>
      <c r="M10" s="325"/>
      <c r="N10" s="326" t="s">
        <v>57</v>
      </c>
      <c r="O10" s="326"/>
      <c r="P10" s="326"/>
      <c r="R10" s="70"/>
      <c r="S10" s="71"/>
      <c r="XFD10" t="s">
        <v>58</v>
      </c>
    </row>
    <row r="11" spans="1:19 16383:16384" x14ac:dyDescent="0.35">
      <c r="A11" s="323"/>
      <c r="B11" s="76" t="s">
        <v>48</v>
      </c>
      <c r="C11" s="77" t="str">
        <f>IF($O34&gt;2.49%,"No","Yes")</f>
        <v>Yes</v>
      </c>
      <c r="F11" s="70"/>
      <c r="G11" s="71"/>
      <c r="K11" s="325" t="s">
        <v>59</v>
      </c>
      <c r="L11" s="325"/>
      <c r="M11" s="325"/>
      <c r="N11" s="326" t="s">
        <v>55</v>
      </c>
      <c r="O11" s="326"/>
      <c r="P11" s="326"/>
      <c r="R11" s="70"/>
      <c r="S11" s="71"/>
    </row>
    <row r="12" spans="1:19 16383:16384" ht="14.65" customHeight="1" x14ac:dyDescent="0.35">
      <c r="A12" s="323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5" t="s">
        <v>61</v>
      </c>
      <c r="L12" s="325"/>
      <c r="M12" s="325"/>
      <c r="N12" s="326"/>
      <c r="O12" s="326"/>
      <c r="P12" s="326"/>
      <c r="R12" s="70"/>
      <c r="S12" s="71"/>
      <c r="XFD12" t="s">
        <v>62</v>
      </c>
    </row>
    <row r="13" spans="1:19 16383:16384" ht="15" thickBot="1" x14ac:dyDescent="0.4">
      <c r="A13" s="32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7" t="s">
        <v>64</v>
      </c>
      <c r="B14" s="328"/>
      <c r="C14" s="331" t="s">
        <v>65</v>
      </c>
      <c r="D14" s="80" t="s">
        <v>2</v>
      </c>
      <c r="E14" s="81" t="s">
        <v>66</v>
      </c>
      <c r="F14" s="82" t="s">
        <v>67</v>
      </c>
      <c r="G14" s="343" t="s">
        <v>68</v>
      </c>
      <c r="H14" s="344"/>
      <c r="I14" s="345" t="s">
        <v>69</v>
      </c>
      <c r="J14" s="343" t="s">
        <v>70</v>
      </c>
      <c r="K14" s="347"/>
      <c r="L14" s="344"/>
      <c r="M14" s="3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9"/>
      <c r="B15" s="330"/>
      <c r="C15" s="33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6"/>
      <c r="J15" s="88" t="s">
        <v>78</v>
      </c>
      <c r="K15" s="90" t="s">
        <v>79</v>
      </c>
      <c r="L15" s="276">
        <v>0.18</v>
      </c>
      <c r="M15" s="3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5" t="s">
        <v>84</v>
      </c>
      <c r="B25" s="306"/>
      <c r="C25" s="307"/>
      <c r="D25" s="301"/>
      <c r="E25" s="301"/>
      <c r="F25" s="34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8" t="s">
        <v>85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10"/>
      <c r="N28" s="317" t="s">
        <v>86</v>
      </c>
      <c r="O28" s="318"/>
      <c r="P28" s="151">
        <f>I25</f>
        <v>0</v>
      </c>
    </row>
    <row r="29" spans="1:19 16384:16384" ht="15" customHeight="1" x14ac:dyDescent="0.35">
      <c r="B29" s="311"/>
      <c r="C29" s="312"/>
      <c r="D29" s="312"/>
      <c r="E29" s="312"/>
      <c r="F29" s="312"/>
      <c r="G29" s="312"/>
      <c r="H29" s="312"/>
      <c r="I29" s="312"/>
      <c r="J29" s="312"/>
      <c r="K29" s="312"/>
      <c r="L29" s="313"/>
      <c r="N29" s="319" t="s">
        <v>87</v>
      </c>
      <c r="O29" s="320"/>
      <c r="P29" s="152">
        <f>L25</f>
        <v>0</v>
      </c>
    </row>
    <row r="30" spans="1:19 16384:16384" ht="15" customHeight="1" x14ac:dyDescent="0.35">
      <c r="B30" s="311"/>
      <c r="C30" s="312"/>
      <c r="D30" s="312"/>
      <c r="E30" s="312"/>
      <c r="F30" s="312"/>
      <c r="G30" s="312"/>
      <c r="H30" s="312"/>
      <c r="I30" s="312"/>
      <c r="J30" s="312"/>
      <c r="K30" s="312"/>
      <c r="L30" s="313"/>
      <c r="N30" s="319" t="s">
        <v>4</v>
      </c>
      <c r="O30" s="320"/>
      <c r="P30" s="153">
        <f>K25</f>
        <v>0</v>
      </c>
    </row>
    <row r="31" spans="1:19 16384:16384" ht="15" customHeight="1" x14ac:dyDescent="0.35">
      <c r="B31" s="311"/>
      <c r="C31" s="312"/>
      <c r="D31" s="312"/>
      <c r="E31" s="312"/>
      <c r="F31" s="312"/>
      <c r="G31" s="312"/>
      <c r="H31" s="312"/>
      <c r="I31" s="312"/>
      <c r="J31" s="312"/>
      <c r="K31" s="312"/>
      <c r="L31" s="313"/>
      <c r="M31" s="2"/>
      <c r="N31" s="319" t="s">
        <v>88</v>
      </c>
      <c r="O31" s="320"/>
      <c r="P31" s="152">
        <f>P28-P29-P30</f>
        <v>0</v>
      </c>
    </row>
    <row r="32" spans="1:19 16384:16384" ht="15" customHeight="1" x14ac:dyDescent="0.35">
      <c r="B32" s="311"/>
      <c r="C32" s="312"/>
      <c r="D32" s="312"/>
      <c r="E32" s="312"/>
      <c r="F32" s="312"/>
      <c r="G32" s="312"/>
      <c r="H32" s="312"/>
      <c r="I32" s="312"/>
      <c r="J32" s="312"/>
      <c r="K32" s="312"/>
      <c r="L32" s="31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1"/>
      <c r="C33" s="312"/>
      <c r="D33" s="312"/>
      <c r="E33" s="312"/>
      <c r="F33" s="312"/>
      <c r="G33" s="312"/>
      <c r="H33" s="312"/>
      <c r="I33" s="312"/>
      <c r="J33" s="312"/>
      <c r="K33" s="312"/>
      <c r="L33" s="313"/>
      <c r="M33" s="2"/>
      <c r="N33" s="321" t="s">
        <v>90</v>
      </c>
      <c r="O33" s="322"/>
      <c r="P33" s="152">
        <f>P31+P32</f>
        <v>0</v>
      </c>
    </row>
    <row r="34" spans="2:16" ht="15" customHeight="1" thickBot="1" x14ac:dyDescent="0.4">
      <c r="B34" s="314"/>
      <c r="C34" s="315"/>
      <c r="D34" s="315"/>
      <c r="E34" s="315"/>
      <c r="F34" s="315"/>
      <c r="G34" s="315"/>
      <c r="H34" s="315"/>
      <c r="I34" s="315"/>
      <c r="J34" s="315"/>
      <c r="K34" s="315"/>
      <c r="L34" s="31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9" t="s">
        <v>92</v>
      </c>
      <c r="O35" s="300"/>
      <c r="P35" s="159">
        <f>P33+P34</f>
        <v>0</v>
      </c>
    </row>
    <row r="36" spans="2:16" ht="15" thickBot="1" x14ac:dyDescent="0.4">
      <c r="B36" s="160" t="s">
        <v>93</v>
      </c>
      <c r="C36" s="301"/>
      <c r="D36" s="301"/>
      <c r="E36" s="301"/>
      <c r="F36" s="301"/>
      <c r="G36" s="301"/>
      <c r="H36" s="301"/>
      <c r="I36" s="302"/>
      <c r="J36" s="303"/>
      <c r="K36" s="30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activeCell="N5" sqref="N5:P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1" t="s">
        <v>45</v>
      </c>
      <c r="B2" s="341"/>
      <c r="C2" s="341"/>
    </row>
    <row r="3" spans="1:19 16383:16384" ht="15" customHeight="1" x14ac:dyDescent="0.35">
      <c r="A3" s="326" t="s">
        <v>46</v>
      </c>
      <c r="B3" s="326"/>
      <c r="C3" s="326"/>
      <c r="F3" s="70"/>
      <c r="G3" s="71"/>
      <c r="K3" s="325" t="s">
        <v>47</v>
      </c>
      <c r="L3" s="325"/>
      <c r="M3" s="325"/>
      <c r="N3" s="326">
        <v>100</v>
      </c>
      <c r="O3" s="326"/>
      <c r="P3" s="326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6" t="s">
        <v>94</v>
      </c>
      <c r="B4" s="326"/>
      <c r="C4" s="326"/>
      <c r="F4" s="70"/>
      <c r="G4" s="71"/>
      <c r="K4" s="325" t="s">
        <v>49</v>
      </c>
      <c r="L4" s="325"/>
      <c r="M4" s="325"/>
      <c r="N4" s="339">
        <v>46202</v>
      </c>
      <c r="O4" s="339"/>
      <c r="P4" s="33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8" t="s">
        <v>101</v>
      </c>
      <c r="B5" s="348"/>
      <c r="C5" s="348"/>
      <c r="F5" s="70"/>
      <c r="G5" s="71"/>
      <c r="K5" s="325" t="s">
        <v>51</v>
      </c>
      <c r="L5" s="325"/>
      <c r="M5" s="325"/>
      <c r="N5" s="339">
        <f>N4-1</f>
        <v>46201</v>
      </c>
      <c r="O5" s="326"/>
      <c r="P5" s="326"/>
      <c r="R5" s="70"/>
      <c r="S5" s="71"/>
    </row>
    <row r="6" spans="1:19 16383:16384" ht="15" customHeight="1" x14ac:dyDescent="0.35">
      <c r="A6" s="325" t="s">
        <v>106</v>
      </c>
      <c r="B6" s="325"/>
      <c r="C6" s="325"/>
      <c r="F6" s="70"/>
      <c r="G6" s="74"/>
      <c r="K6" s="325" t="s">
        <v>52</v>
      </c>
      <c r="L6" s="325"/>
      <c r="M6" s="325"/>
      <c r="N6" s="338" t="s">
        <v>100</v>
      </c>
      <c r="O6" s="338"/>
      <c r="P6" s="33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5"/>
      <c r="B7" s="325"/>
      <c r="C7" s="325"/>
      <c r="F7" s="70"/>
      <c r="G7" s="74"/>
      <c r="K7" s="325"/>
      <c r="L7" s="325"/>
      <c r="M7" s="325"/>
      <c r="N7" s="338"/>
      <c r="O7" s="338"/>
      <c r="P7" s="33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7"/>
      <c r="B8" s="337"/>
      <c r="C8" s="337"/>
      <c r="F8" s="70"/>
      <c r="G8" s="74"/>
      <c r="K8" s="325"/>
      <c r="L8" s="325"/>
      <c r="M8" s="325"/>
      <c r="N8" s="338"/>
      <c r="O8" s="338"/>
      <c r="P8" s="338"/>
      <c r="R8" s="70"/>
      <c r="S8" s="74"/>
    </row>
    <row r="9" spans="1:19 16383:16384" x14ac:dyDescent="0.35">
      <c r="A9" s="337"/>
      <c r="B9" s="337"/>
      <c r="C9" s="337"/>
      <c r="F9" s="70"/>
      <c r="G9" s="74"/>
      <c r="K9" s="325"/>
      <c r="L9" s="325"/>
      <c r="M9" s="325"/>
      <c r="N9" s="338"/>
      <c r="O9" s="338"/>
      <c r="P9" s="338"/>
      <c r="R9" s="70"/>
      <c r="S9" s="74"/>
      <c r="XFD9" t="s">
        <v>55</v>
      </c>
    </row>
    <row r="10" spans="1:19 16383:16384" x14ac:dyDescent="0.35">
      <c r="A10" s="323" t="s">
        <v>95</v>
      </c>
      <c r="B10" s="75" t="s">
        <v>102</v>
      </c>
      <c r="C10" s="75"/>
      <c r="F10" s="70"/>
      <c r="G10" s="71"/>
      <c r="K10" s="325" t="s">
        <v>56</v>
      </c>
      <c r="L10" s="325"/>
      <c r="M10" s="325"/>
      <c r="N10" s="326" t="s">
        <v>57</v>
      </c>
      <c r="O10" s="326"/>
      <c r="P10" s="326"/>
      <c r="R10" s="70"/>
      <c r="S10" s="71"/>
      <c r="XFD10" t="s">
        <v>58</v>
      </c>
    </row>
    <row r="11" spans="1:19 16383:16384" x14ac:dyDescent="0.35">
      <c r="A11" s="323"/>
      <c r="B11" s="76" t="s">
        <v>48</v>
      </c>
      <c r="C11" s="77" t="str">
        <f>IF($O34&gt;2.49%,"No","Yes")</f>
        <v>Yes</v>
      </c>
      <c r="F11" s="70"/>
      <c r="G11" s="71"/>
      <c r="K11" s="325" t="s">
        <v>59</v>
      </c>
      <c r="L11" s="325"/>
      <c r="M11" s="325"/>
      <c r="N11" s="326" t="s">
        <v>55</v>
      </c>
      <c r="O11" s="326"/>
      <c r="P11" s="326"/>
      <c r="R11" s="70"/>
      <c r="S11" s="71"/>
    </row>
    <row r="12" spans="1:19 16383:16384" ht="14.65" customHeight="1" x14ac:dyDescent="0.35">
      <c r="A12" s="323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5" t="s">
        <v>61</v>
      </c>
      <c r="L12" s="325"/>
      <c r="M12" s="325"/>
      <c r="N12" s="326"/>
      <c r="O12" s="326"/>
      <c r="P12" s="326"/>
      <c r="R12" s="70"/>
      <c r="S12" s="71"/>
      <c r="XFD12" t="s">
        <v>62</v>
      </c>
    </row>
    <row r="13" spans="1:19 16383:16384" ht="15" thickBot="1" x14ac:dyDescent="0.4">
      <c r="A13" s="324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7" t="s">
        <v>64</v>
      </c>
      <c r="B14" s="328"/>
      <c r="C14" s="331" t="s">
        <v>65</v>
      </c>
      <c r="D14" s="80" t="s">
        <v>2</v>
      </c>
      <c r="E14" s="81" t="s">
        <v>66</v>
      </c>
      <c r="F14" s="82" t="s">
        <v>67</v>
      </c>
      <c r="G14" s="343" t="s">
        <v>68</v>
      </c>
      <c r="H14" s="344"/>
      <c r="I14" s="345" t="s">
        <v>69</v>
      </c>
      <c r="J14" s="343" t="s">
        <v>70</v>
      </c>
      <c r="K14" s="347"/>
      <c r="L14" s="344"/>
      <c r="M14" s="34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9"/>
      <c r="B15" s="330"/>
      <c r="C15" s="33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6"/>
      <c r="J15" s="88" t="s">
        <v>78</v>
      </c>
      <c r="K15" s="90" t="s">
        <v>79</v>
      </c>
      <c r="L15" s="276">
        <v>0.18</v>
      </c>
      <c r="M15" s="3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5" t="s">
        <v>84</v>
      </c>
      <c r="B25" s="306"/>
      <c r="C25" s="307"/>
      <c r="D25" s="301"/>
      <c r="E25" s="301"/>
      <c r="F25" s="34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8" t="s">
        <v>85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10"/>
      <c r="N28" s="317" t="s">
        <v>86</v>
      </c>
      <c r="O28" s="318"/>
      <c r="P28" s="151">
        <f>I25</f>
        <v>0</v>
      </c>
    </row>
    <row r="29" spans="1:19 16384:16384" ht="15" customHeight="1" x14ac:dyDescent="0.35">
      <c r="B29" s="311"/>
      <c r="C29" s="312"/>
      <c r="D29" s="312"/>
      <c r="E29" s="312"/>
      <c r="F29" s="312"/>
      <c r="G29" s="312"/>
      <c r="H29" s="312"/>
      <c r="I29" s="312"/>
      <c r="J29" s="312"/>
      <c r="K29" s="312"/>
      <c r="L29" s="313"/>
      <c r="N29" s="319" t="s">
        <v>87</v>
      </c>
      <c r="O29" s="320"/>
      <c r="P29" s="152">
        <f>L25</f>
        <v>0</v>
      </c>
    </row>
    <row r="30" spans="1:19 16384:16384" ht="15" customHeight="1" x14ac:dyDescent="0.35">
      <c r="B30" s="311"/>
      <c r="C30" s="312"/>
      <c r="D30" s="312"/>
      <c r="E30" s="312"/>
      <c r="F30" s="312"/>
      <c r="G30" s="312"/>
      <c r="H30" s="312"/>
      <c r="I30" s="312"/>
      <c r="J30" s="312"/>
      <c r="K30" s="312"/>
      <c r="L30" s="313"/>
      <c r="N30" s="319" t="s">
        <v>4</v>
      </c>
      <c r="O30" s="320"/>
      <c r="P30" s="153">
        <f>K25</f>
        <v>0</v>
      </c>
    </row>
    <row r="31" spans="1:19 16384:16384" ht="15" customHeight="1" x14ac:dyDescent="0.35">
      <c r="B31" s="311"/>
      <c r="C31" s="312"/>
      <c r="D31" s="312"/>
      <c r="E31" s="312"/>
      <c r="F31" s="312"/>
      <c r="G31" s="312"/>
      <c r="H31" s="312"/>
      <c r="I31" s="312"/>
      <c r="J31" s="312"/>
      <c r="K31" s="312"/>
      <c r="L31" s="313"/>
      <c r="M31" s="2"/>
      <c r="N31" s="319" t="s">
        <v>88</v>
      </c>
      <c r="O31" s="320"/>
      <c r="P31" s="152">
        <f>P28-P29-P30</f>
        <v>0</v>
      </c>
    </row>
    <row r="32" spans="1:19 16384:16384" ht="15" customHeight="1" x14ac:dyDescent="0.35">
      <c r="B32" s="311"/>
      <c r="C32" s="312"/>
      <c r="D32" s="312"/>
      <c r="E32" s="312"/>
      <c r="F32" s="312"/>
      <c r="G32" s="312"/>
      <c r="H32" s="312"/>
      <c r="I32" s="312"/>
      <c r="J32" s="312"/>
      <c r="K32" s="312"/>
      <c r="L32" s="31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1"/>
      <c r="C33" s="312"/>
      <c r="D33" s="312"/>
      <c r="E33" s="312"/>
      <c r="F33" s="312"/>
      <c r="G33" s="312"/>
      <c r="H33" s="312"/>
      <c r="I33" s="312"/>
      <c r="J33" s="312"/>
      <c r="K33" s="312"/>
      <c r="L33" s="313"/>
      <c r="M33" s="2"/>
      <c r="N33" s="321" t="s">
        <v>90</v>
      </c>
      <c r="O33" s="322"/>
      <c r="P33" s="152">
        <f>P31+P32</f>
        <v>0</v>
      </c>
    </row>
    <row r="34" spans="2:16" ht="15" customHeight="1" thickBot="1" x14ac:dyDescent="0.4">
      <c r="B34" s="314"/>
      <c r="C34" s="315"/>
      <c r="D34" s="315"/>
      <c r="E34" s="315"/>
      <c r="F34" s="315"/>
      <c r="G34" s="315"/>
      <c r="H34" s="315"/>
      <c r="I34" s="315"/>
      <c r="J34" s="315"/>
      <c r="K34" s="315"/>
      <c r="L34" s="31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9" t="s">
        <v>92</v>
      </c>
      <c r="O35" s="300"/>
      <c r="P35" s="159">
        <f>P33+P34</f>
        <v>0</v>
      </c>
    </row>
    <row r="36" spans="2:16" ht="15" thickBot="1" x14ac:dyDescent="0.4">
      <c r="B36" s="160" t="s">
        <v>93</v>
      </c>
      <c r="C36" s="301"/>
      <c r="D36" s="301"/>
      <c r="E36" s="301"/>
      <c r="F36" s="301"/>
      <c r="G36" s="301"/>
      <c r="H36" s="301"/>
      <c r="I36" s="302"/>
      <c r="J36" s="303"/>
      <c r="K36" s="30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activeCell="N5" sqref="N5:P5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341" t="s">
        <v>45</v>
      </c>
      <c r="B2" s="341"/>
      <c r="C2" s="341"/>
      <c r="N2" s="69"/>
    </row>
    <row r="3" spans="1:18" ht="14.5" customHeight="1" x14ac:dyDescent="0.35">
      <c r="A3" s="326" t="s">
        <v>46</v>
      </c>
      <c r="B3" s="326"/>
      <c r="C3" s="326"/>
      <c r="F3" s="70"/>
      <c r="G3" s="71"/>
      <c r="K3" s="325" t="s">
        <v>47</v>
      </c>
      <c r="L3" s="325"/>
      <c r="M3" s="325"/>
      <c r="N3" s="326">
        <v>100</v>
      </c>
      <c r="O3" s="326"/>
      <c r="P3" s="326"/>
      <c r="R3" s="70"/>
    </row>
    <row r="4" spans="1:18" ht="14.5" customHeight="1" x14ac:dyDescent="0.35">
      <c r="A4" s="326" t="s">
        <v>94</v>
      </c>
      <c r="B4" s="326"/>
      <c r="C4" s="326"/>
      <c r="F4" s="70"/>
      <c r="G4" s="71"/>
      <c r="K4" s="325" t="s">
        <v>49</v>
      </c>
      <c r="L4" s="325"/>
      <c r="M4" s="325"/>
      <c r="N4" s="339">
        <v>46202</v>
      </c>
      <c r="O4" s="339"/>
      <c r="P4" s="339"/>
      <c r="R4" s="70"/>
    </row>
    <row r="5" spans="1:18" ht="14.5" customHeight="1" x14ac:dyDescent="0.35">
      <c r="A5" s="348" t="s">
        <v>101</v>
      </c>
      <c r="B5" s="348"/>
      <c r="C5" s="348"/>
      <c r="F5" s="70"/>
      <c r="G5" s="71"/>
      <c r="K5" s="325" t="s">
        <v>51</v>
      </c>
      <c r="L5" s="325"/>
      <c r="M5" s="325"/>
      <c r="N5" s="339">
        <f>N4-1</f>
        <v>46201</v>
      </c>
      <c r="O5" s="326"/>
      <c r="P5" s="326"/>
      <c r="R5" s="70"/>
    </row>
    <row r="6" spans="1:18" x14ac:dyDescent="0.35">
      <c r="A6" s="325" t="s">
        <v>106</v>
      </c>
      <c r="B6" s="325"/>
      <c r="C6" s="325"/>
      <c r="F6" s="70"/>
      <c r="G6" s="74"/>
      <c r="K6" s="325" t="s">
        <v>52</v>
      </c>
      <c r="L6" s="325"/>
      <c r="M6" s="325"/>
      <c r="N6" s="338" t="s">
        <v>100</v>
      </c>
      <c r="O6" s="338"/>
      <c r="P6" s="338"/>
      <c r="R6" s="70"/>
    </row>
    <row r="7" spans="1:18" ht="14.5" customHeight="1" x14ac:dyDescent="0.35">
      <c r="A7" s="325"/>
      <c r="B7" s="325"/>
      <c r="C7" s="325"/>
      <c r="D7" s="73"/>
      <c r="E7" s="73"/>
      <c r="F7" s="70"/>
      <c r="G7" s="74"/>
      <c r="H7" s="73"/>
      <c r="I7" s="73"/>
      <c r="J7" s="73"/>
      <c r="K7" s="325"/>
      <c r="L7" s="325"/>
      <c r="M7" s="325"/>
      <c r="N7" s="338"/>
      <c r="O7" s="338"/>
      <c r="P7" s="338"/>
      <c r="R7" s="70"/>
    </row>
    <row r="8" spans="1:18" ht="14.5" customHeight="1" x14ac:dyDescent="0.35">
      <c r="A8" s="337"/>
      <c r="B8" s="337"/>
      <c r="C8" s="337"/>
      <c r="F8" s="70"/>
      <c r="G8" s="74"/>
      <c r="K8" s="325"/>
      <c r="L8" s="325"/>
      <c r="M8" s="325"/>
      <c r="N8" s="338"/>
      <c r="O8" s="338"/>
      <c r="P8" s="338"/>
      <c r="R8" s="70"/>
    </row>
    <row r="9" spans="1:18" ht="14.5" customHeight="1" x14ac:dyDescent="0.35">
      <c r="A9" s="337"/>
      <c r="B9" s="337"/>
      <c r="C9" s="337"/>
      <c r="F9" s="70"/>
      <c r="G9" s="74"/>
      <c r="K9" s="325"/>
      <c r="L9" s="325"/>
      <c r="M9" s="325"/>
      <c r="N9" s="338"/>
      <c r="O9" s="338"/>
      <c r="P9" s="338"/>
      <c r="R9" s="70"/>
    </row>
    <row r="10" spans="1:18" ht="14.5" customHeight="1" x14ac:dyDescent="0.35">
      <c r="A10" s="323" t="s">
        <v>95</v>
      </c>
      <c r="B10" s="75" t="s">
        <v>102</v>
      </c>
      <c r="C10" s="75"/>
      <c r="F10" s="70"/>
      <c r="G10" s="71"/>
      <c r="K10" s="325" t="s">
        <v>56</v>
      </c>
      <c r="L10" s="325"/>
      <c r="M10" s="325"/>
      <c r="N10" s="326" t="s">
        <v>57</v>
      </c>
      <c r="O10" s="326"/>
      <c r="P10" s="326"/>
      <c r="R10" s="70"/>
    </row>
    <row r="11" spans="1:18" x14ac:dyDescent="0.35">
      <c r="A11" s="323"/>
      <c r="B11" s="76" t="s">
        <v>48</v>
      </c>
      <c r="C11" s="77" t="str">
        <f>IF($O34&gt;2.49%,"No","Yes")</f>
        <v>Yes</v>
      </c>
      <c r="F11" s="70"/>
      <c r="G11" s="71"/>
      <c r="K11" s="325" t="s">
        <v>59</v>
      </c>
      <c r="L11" s="325"/>
      <c r="M11" s="325"/>
      <c r="N11" s="326" t="s">
        <v>55</v>
      </c>
      <c r="O11" s="326"/>
      <c r="P11" s="326"/>
    </row>
    <row r="12" spans="1:18" ht="20.5" customHeight="1" x14ac:dyDescent="0.35">
      <c r="A12" s="323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5" t="s">
        <v>61</v>
      </c>
      <c r="L12" s="325"/>
      <c r="M12" s="325"/>
      <c r="N12" s="326"/>
      <c r="O12" s="326"/>
      <c r="P12" s="326"/>
    </row>
    <row r="13" spans="1:18" ht="15" thickBot="1" x14ac:dyDescent="0.4">
      <c r="A13" s="324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7" t="s">
        <v>64</v>
      </c>
      <c r="B14" s="328"/>
      <c r="C14" s="331" t="s">
        <v>65</v>
      </c>
      <c r="D14" s="80" t="s">
        <v>2</v>
      </c>
      <c r="E14" s="81" t="s">
        <v>66</v>
      </c>
      <c r="F14" s="82" t="s">
        <v>67</v>
      </c>
      <c r="G14" s="343" t="s">
        <v>68</v>
      </c>
      <c r="H14" s="344"/>
      <c r="I14" s="345" t="s">
        <v>69</v>
      </c>
      <c r="J14" s="343" t="s">
        <v>70</v>
      </c>
      <c r="K14" s="347"/>
      <c r="L14" s="344"/>
      <c r="M14" s="345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29"/>
      <c r="B15" s="330"/>
      <c r="C15" s="33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6"/>
      <c r="J15" s="88" t="s">
        <v>78</v>
      </c>
      <c r="K15" s="90" t="s">
        <v>79</v>
      </c>
      <c r="L15" s="276">
        <v>0.18</v>
      </c>
      <c r="M15" s="3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5" t="s">
        <v>84</v>
      </c>
      <c r="B25" s="306"/>
      <c r="C25" s="307"/>
      <c r="D25" s="301"/>
      <c r="E25" s="301"/>
      <c r="F25" s="34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08" t="s">
        <v>85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10"/>
      <c r="N28" s="317" t="s">
        <v>86</v>
      </c>
      <c r="O28" s="318"/>
      <c r="P28" s="151">
        <f>I25</f>
        <v>0</v>
      </c>
    </row>
    <row r="29" spans="1:17" ht="14.5" customHeight="1" x14ac:dyDescent="0.35">
      <c r="B29" s="311"/>
      <c r="C29" s="312"/>
      <c r="D29" s="312"/>
      <c r="E29" s="312"/>
      <c r="F29" s="312"/>
      <c r="G29" s="312"/>
      <c r="H29" s="312"/>
      <c r="I29" s="312"/>
      <c r="J29" s="312"/>
      <c r="K29" s="312"/>
      <c r="L29" s="313"/>
      <c r="N29" s="319" t="s">
        <v>87</v>
      </c>
      <c r="O29" s="320"/>
      <c r="P29" s="152">
        <f>L25</f>
        <v>0</v>
      </c>
    </row>
    <row r="30" spans="1:17" ht="14.5" customHeight="1" x14ac:dyDescent="0.35">
      <c r="B30" s="311"/>
      <c r="C30" s="312"/>
      <c r="D30" s="312"/>
      <c r="E30" s="312"/>
      <c r="F30" s="312"/>
      <c r="G30" s="312"/>
      <c r="H30" s="312"/>
      <c r="I30" s="312"/>
      <c r="J30" s="312"/>
      <c r="K30" s="312"/>
      <c r="L30" s="313"/>
      <c r="N30" s="319" t="s">
        <v>4</v>
      </c>
      <c r="O30" s="320"/>
      <c r="P30" s="153">
        <f>K25</f>
        <v>0</v>
      </c>
    </row>
    <row r="31" spans="1:17" ht="14.5" customHeight="1" x14ac:dyDescent="0.35">
      <c r="B31" s="311"/>
      <c r="C31" s="312"/>
      <c r="D31" s="312"/>
      <c r="E31" s="312"/>
      <c r="F31" s="312"/>
      <c r="G31" s="312"/>
      <c r="H31" s="312"/>
      <c r="I31" s="312"/>
      <c r="J31" s="312"/>
      <c r="K31" s="312"/>
      <c r="L31" s="313"/>
      <c r="M31" s="2"/>
      <c r="N31" s="319" t="s">
        <v>88</v>
      </c>
      <c r="O31" s="320"/>
      <c r="P31" s="152">
        <f>P28-P29-P30</f>
        <v>0</v>
      </c>
    </row>
    <row r="32" spans="1:17" ht="15" customHeight="1" x14ac:dyDescent="0.35">
      <c r="B32" s="311"/>
      <c r="C32" s="312"/>
      <c r="D32" s="312"/>
      <c r="E32" s="312"/>
      <c r="F32" s="312"/>
      <c r="G32" s="312"/>
      <c r="H32" s="312"/>
      <c r="I32" s="312"/>
      <c r="J32" s="312"/>
      <c r="K32" s="312"/>
      <c r="L32" s="31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1"/>
      <c r="C33" s="312"/>
      <c r="D33" s="312"/>
      <c r="E33" s="312"/>
      <c r="F33" s="312"/>
      <c r="G33" s="312"/>
      <c r="H33" s="312"/>
      <c r="I33" s="312"/>
      <c r="J33" s="312"/>
      <c r="K33" s="312"/>
      <c r="L33" s="313"/>
      <c r="M33" s="2"/>
      <c r="N33" s="321" t="s">
        <v>90</v>
      </c>
      <c r="O33" s="322"/>
      <c r="P33" s="152">
        <f>P31+P32</f>
        <v>0</v>
      </c>
    </row>
    <row r="34" spans="2:16" ht="15" thickBot="1" x14ac:dyDescent="0.4">
      <c r="B34" s="314"/>
      <c r="C34" s="315"/>
      <c r="D34" s="315"/>
      <c r="E34" s="315"/>
      <c r="F34" s="315"/>
      <c r="G34" s="315"/>
      <c r="H34" s="315"/>
      <c r="I34" s="315"/>
      <c r="J34" s="315"/>
      <c r="K34" s="315"/>
      <c r="L34" s="31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9" t="s">
        <v>92</v>
      </c>
      <c r="O35" s="300"/>
      <c r="P35" s="159">
        <f>P33+P34</f>
        <v>0</v>
      </c>
    </row>
    <row r="36" spans="2:16" ht="15" thickBot="1" x14ac:dyDescent="0.4">
      <c r="B36" s="160" t="s">
        <v>93</v>
      </c>
      <c r="C36" s="301"/>
      <c r="D36" s="301"/>
      <c r="E36" s="301"/>
      <c r="F36" s="301"/>
      <c r="G36" s="301"/>
      <c r="H36" s="301"/>
      <c r="I36" s="302"/>
      <c r="J36" s="303"/>
      <c r="K36" s="304"/>
      <c r="N36" s="69"/>
    </row>
  </sheetData>
  <mergeCells count="47"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K8:M8"/>
    <mergeCell ref="N8:P8"/>
    <mergeCell ref="K9:M9"/>
    <mergeCell ref="N9:P9"/>
    <mergeCell ref="A8:C8"/>
    <mergeCell ref="A9:C9"/>
    <mergeCell ref="A10:A11"/>
    <mergeCell ref="K10:M10"/>
    <mergeCell ref="N10:P10"/>
    <mergeCell ref="K11:M11"/>
    <mergeCell ref="N11:P11"/>
    <mergeCell ref="A12:A13"/>
    <mergeCell ref="K12:M12"/>
    <mergeCell ref="N12:P12"/>
    <mergeCell ref="N33:O33"/>
    <mergeCell ref="N28:O28"/>
    <mergeCell ref="N29:O29"/>
    <mergeCell ref="N31:O31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activeCell="N5" sqref="N5:P5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341" t="s">
        <v>45</v>
      </c>
      <c r="B2" s="341"/>
      <c r="C2" s="341"/>
      <c r="N2" s="69"/>
    </row>
    <row r="3" spans="1:18" x14ac:dyDescent="0.35">
      <c r="A3" s="326" t="s">
        <v>46</v>
      </c>
      <c r="B3" s="326"/>
      <c r="C3" s="326"/>
      <c r="F3" s="70"/>
      <c r="G3" s="71"/>
      <c r="K3" s="325" t="s">
        <v>47</v>
      </c>
      <c r="L3" s="325"/>
      <c r="M3" s="325"/>
      <c r="N3" s="326">
        <v>100</v>
      </c>
      <c r="O3" s="326"/>
      <c r="P3" s="326"/>
      <c r="R3" s="70"/>
    </row>
    <row r="4" spans="1:18" x14ac:dyDescent="0.35">
      <c r="A4" s="326" t="s">
        <v>94</v>
      </c>
      <c r="B4" s="326"/>
      <c r="C4" s="326"/>
      <c r="F4" s="70"/>
      <c r="G4" s="71"/>
      <c r="K4" s="325" t="s">
        <v>49</v>
      </c>
      <c r="L4" s="325"/>
      <c r="M4" s="325"/>
      <c r="N4" s="339">
        <v>46202</v>
      </c>
      <c r="O4" s="339"/>
      <c r="P4" s="339"/>
      <c r="R4" s="70"/>
    </row>
    <row r="5" spans="1:18" x14ac:dyDescent="0.35">
      <c r="A5" s="348" t="s">
        <v>101</v>
      </c>
      <c r="B5" s="348"/>
      <c r="C5" s="348"/>
      <c r="F5" s="70"/>
      <c r="G5" s="71"/>
      <c r="K5" s="325" t="s">
        <v>51</v>
      </c>
      <c r="L5" s="325"/>
      <c r="M5" s="325"/>
      <c r="N5" s="339">
        <f>N4-1</f>
        <v>46201</v>
      </c>
      <c r="O5" s="326"/>
      <c r="P5" s="326"/>
      <c r="R5" s="70"/>
    </row>
    <row r="6" spans="1:18" x14ac:dyDescent="0.35">
      <c r="A6" s="325" t="s">
        <v>106</v>
      </c>
      <c r="B6" s="325"/>
      <c r="C6" s="325"/>
      <c r="F6" s="70"/>
      <c r="G6" s="74"/>
      <c r="K6" s="325" t="s">
        <v>52</v>
      </c>
      <c r="L6" s="325"/>
      <c r="M6" s="325"/>
      <c r="N6" s="338" t="s">
        <v>100</v>
      </c>
      <c r="O6" s="338"/>
      <c r="P6" s="338"/>
      <c r="R6" s="70"/>
    </row>
    <row r="7" spans="1:18" x14ac:dyDescent="0.35">
      <c r="A7" s="325"/>
      <c r="B7" s="325"/>
      <c r="C7" s="325"/>
      <c r="D7" s="73"/>
      <c r="E7" s="73"/>
      <c r="F7" s="70"/>
      <c r="G7" s="74"/>
      <c r="H7" s="73"/>
      <c r="I7" s="73"/>
      <c r="J7" s="73"/>
      <c r="K7" s="325"/>
      <c r="L7" s="325"/>
      <c r="M7" s="325"/>
      <c r="N7" s="338"/>
      <c r="O7" s="338"/>
      <c r="P7" s="338"/>
      <c r="Q7" s="73"/>
      <c r="R7" s="70"/>
    </row>
    <row r="8" spans="1:18" x14ac:dyDescent="0.35">
      <c r="A8" s="337"/>
      <c r="B8" s="337"/>
      <c r="C8" s="337"/>
      <c r="F8" s="70"/>
      <c r="G8" s="74"/>
      <c r="K8" s="325"/>
      <c r="L8" s="325"/>
      <c r="M8" s="325"/>
      <c r="N8" s="338"/>
      <c r="O8" s="338"/>
      <c r="P8" s="338"/>
      <c r="R8" s="70"/>
    </row>
    <row r="9" spans="1:18" x14ac:dyDescent="0.35">
      <c r="A9" s="337"/>
      <c r="B9" s="337"/>
      <c r="C9" s="337"/>
      <c r="F9" s="70"/>
      <c r="G9" s="74"/>
      <c r="K9" s="325"/>
      <c r="L9" s="325"/>
      <c r="M9" s="325"/>
      <c r="N9" s="338"/>
      <c r="O9" s="338"/>
      <c r="P9" s="338"/>
      <c r="R9" s="70"/>
    </row>
    <row r="10" spans="1:18" x14ac:dyDescent="0.35">
      <c r="A10" s="323" t="s">
        <v>95</v>
      </c>
      <c r="B10" s="75" t="s">
        <v>102</v>
      </c>
      <c r="C10" s="75"/>
      <c r="F10" s="70"/>
      <c r="G10" s="71"/>
      <c r="K10" s="325" t="s">
        <v>56</v>
      </c>
      <c r="L10" s="325"/>
      <c r="M10" s="325"/>
      <c r="N10" s="326" t="s">
        <v>57</v>
      </c>
      <c r="O10" s="326"/>
      <c r="P10" s="326"/>
      <c r="R10" s="70"/>
    </row>
    <row r="11" spans="1:18" ht="20" customHeight="1" x14ac:dyDescent="0.35">
      <c r="A11" s="323"/>
      <c r="B11" s="76" t="s">
        <v>48</v>
      </c>
      <c r="C11" s="77" t="str">
        <f>IF($O34&gt;2.49%,"No","Yes")</f>
        <v>Yes</v>
      </c>
      <c r="F11" s="70"/>
      <c r="G11" s="71"/>
      <c r="K11" s="325" t="s">
        <v>59</v>
      </c>
      <c r="L11" s="325"/>
      <c r="M11" s="325"/>
      <c r="N11" s="326" t="s">
        <v>55</v>
      </c>
      <c r="O11" s="326"/>
      <c r="P11" s="326"/>
      <c r="R11" s="70"/>
    </row>
    <row r="12" spans="1:18" ht="17" customHeight="1" x14ac:dyDescent="0.35">
      <c r="A12" s="323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5" t="s">
        <v>61</v>
      </c>
      <c r="L12" s="325"/>
      <c r="M12" s="325"/>
      <c r="N12" s="326"/>
      <c r="O12" s="326"/>
      <c r="P12" s="326"/>
      <c r="R12" s="70"/>
    </row>
    <row r="13" spans="1:18" ht="15" thickBot="1" x14ac:dyDescent="0.4">
      <c r="A13" s="324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7" t="s">
        <v>64</v>
      </c>
      <c r="B14" s="328"/>
      <c r="C14" s="331" t="s">
        <v>65</v>
      </c>
      <c r="D14" s="80" t="s">
        <v>2</v>
      </c>
      <c r="E14" s="81" t="s">
        <v>66</v>
      </c>
      <c r="F14" s="82" t="s">
        <v>67</v>
      </c>
      <c r="G14" s="343" t="s">
        <v>68</v>
      </c>
      <c r="H14" s="344"/>
      <c r="I14" s="345" t="s">
        <v>69</v>
      </c>
      <c r="J14" s="343" t="s">
        <v>70</v>
      </c>
      <c r="K14" s="347"/>
      <c r="L14" s="344"/>
      <c r="M14" s="345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9"/>
      <c r="B15" s="330"/>
      <c r="C15" s="33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6"/>
      <c r="J15" s="88" t="s">
        <v>78</v>
      </c>
      <c r="K15" s="90" t="s">
        <v>79</v>
      </c>
      <c r="L15" s="276">
        <v>0.18</v>
      </c>
      <c r="M15" s="3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5" t="s">
        <v>84</v>
      </c>
      <c r="B25" s="306"/>
      <c r="C25" s="307"/>
      <c r="D25" s="301"/>
      <c r="E25" s="301"/>
      <c r="F25" s="34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8" t="s">
        <v>85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10"/>
      <c r="N28" s="317" t="s">
        <v>86</v>
      </c>
      <c r="O28" s="318"/>
      <c r="P28" s="151">
        <f>I25</f>
        <v>0</v>
      </c>
    </row>
    <row r="29" spans="1:17" x14ac:dyDescent="0.35">
      <c r="B29" s="311"/>
      <c r="C29" s="312"/>
      <c r="D29" s="312"/>
      <c r="E29" s="312"/>
      <c r="F29" s="312"/>
      <c r="G29" s="312"/>
      <c r="H29" s="312"/>
      <c r="I29" s="312"/>
      <c r="J29" s="312"/>
      <c r="K29" s="312"/>
      <c r="L29" s="313"/>
      <c r="N29" s="319" t="s">
        <v>87</v>
      </c>
      <c r="O29" s="320"/>
      <c r="P29" s="152">
        <f>L25</f>
        <v>0</v>
      </c>
    </row>
    <row r="30" spans="1:17" x14ac:dyDescent="0.35">
      <c r="B30" s="311"/>
      <c r="C30" s="312"/>
      <c r="D30" s="312"/>
      <c r="E30" s="312"/>
      <c r="F30" s="312"/>
      <c r="G30" s="312"/>
      <c r="H30" s="312"/>
      <c r="I30" s="312"/>
      <c r="J30" s="312"/>
      <c r="K30" s="312"/>
      <c r="L30" s="313"/>
      <c r="N30" s="319" t="s">
        <v>4</v>
      </c>
      <c r="O30" s="320"/>
      <c r="P30" s="153">
        <f>K25</f>
        <v>0</v>
      </c>
    </row>
    <row r="31" spans="1:17" x14ac:dyDescent="0.35">
      <c r="B31" s="311"/>
      <c r="C31" s="312"/>
      <c r="D31" s="312"/>
      <c r="E31" s="312"/>
      <c r="F31" s="312"/>
      <c r="G31" s="312"/>
      <c r="H31" s="312"/>
      <c r="I31" s="312"/>
      <c r="J31" s="312"/>
      <c r="K31" s="312"/>
      <c r="L31" s="313"/>
      <c r="M31" s="2"/>
      <c r="N31" s="319" t="s">
        <v>88</v>
      </c>
      <c r="O31" s="320"/>
      <c r="P31" s="152">
        <f>P28-P29-P30</f>
        <v>0</v>
      </c>
    </row>
    <row r="32" spans="1:17" x14ac:dyDescent="0.35">
      <c r="B32" s="311"/>
      <c r="C32" s="312"/>
      <c r="D32" s="312"/>
      <c r="E32" s="312"/>
      <c r="F32" s="312"/>
      <c r="G32" s="312"/>
      <c r="H32" s="312"/>
      <c r="I32" s="312"/>
      <c r="J32" s="312"/>
      <c r="K32" s="312"/>
      <c r="L32" s="31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1"/>
      <c r="C33" s="312"/>
      <c r="D33" s="312"/>
      <c r="E33" s="312"/>
      <c r="F33" s="312"/>
      <c r="G33" s="312"/>
      <c r="H33" s="312"/>
      <c r="I33" s="312"/>
      <c r="J33" s="312"/>
      <c r="K33" s="312"/>
      <c r="L33" s="313"/>
      <c r="M33" s="2"/>
      <c r="N33" s="321" t="s">
        <v>90</v>
      </c>
      <c r="O33" s="322"/>
      <c r="P33" s="152">
        <f>P31+P32</f>
        <v>0</v>
      </c>
    </row>
    <row r="34" spans="2:16" ht="15" thickBot="1" x14ac:dyDescent="0.4">
      <c r="B34" s="314"/>
      <c r="C34" s="315"/>
      <c r="D34" s="315"/>
      <c r="E34" s="315"/>
      <c r="F34" s="315"/>
      <c r="G34" s="315"/>
      <c r="H34" s="315"/>
      <c r="I34" s="315"/>
      <c r="J34" s="315"/>
      <c r="K34" s="315"/>
      <c r="L34" s="31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9" t="s">
        <v>92</v>
      </c>
      <c r="O35" s="300"/>
      <c r="P35" s="159">
        <f>P33+P34</f>
        <v>0</v>
      </c>
    </row>
    <row r="36" spans="2:16" ht="15" thickBot="1" x14ac:dyDescent="0.4">
      <c r="B36" s="160" t="s">
        <v>93</v>
      </c>
      <c r="C36" s="301"/>
      <c r="D36" s="301"/>
      <c r="E36" s="301"/>
      <c r="F36" s="301"/>
      <c r="G36" s="301"/>
      <c r="H36" s="301"/>
      <c r="I36" s="302"/>
      <c r="J36" s="303"/>
      <c r="K36" s="304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activeCell="N5" sqref="N5:P5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341" t="s">
        <v>45</v>
      </c>
      <c r="B2" s="341"/>
      <c r="C2" s="341"/>
      <c r="N2" s="69"/>
    </row>
    <row r="3" spans="1:18" x14ac:dyDescent="0.35">
      <c r="A3" s="326" t="s">
        <v>46</v>
      </c>
      <c r="B3" s="326"/>
      <c r="C3" s="326"/>
      <c r="F3" s="70"/>
      <c r="G3" s="71"/>
      <c r="K3" s="325" t="s">
        <v>47</v>
      </c>
      <c r="L3" s="325"/>
      <c r="M3" s="325"/>
      <c r="N3" s="326">
        <v>100</v>
      </c>
      <c r="O3" s="326"/>
      <c r="P3" s="326"/>
      <c r="R3" s="70"/>
    </row>
    <row r="4" spans="1:18" x14ac:dyDescent="0.35">
      <c r="A4" s="326" t="s">
        <v>94</v>
      </c>
      <c r="B4" s="326"/>
      <c r="C4" s="326"/>
      <c r="F4" s="70"/>
      <c r="G4" s="71"/>
      <c r="K4" s="325" t="s">
        <v>49</v>
      </c>
      <c r="L4" s="325"/>
      <c r="M4" s="325"/>
      <c r="N4" s="339">
        <v>46202</v>
      </c>
      <c r="O4" s="339"/>
      <c r="P4" s="339"/>
      <c r="R4" s="70"/>
    </row>
    <row r="5" spans="1:18" x14ac:dyDescent="0.35">
      <c r="A5" s="348" t="s">
        <v>101</v>
      </c>
      <c r="B5" s="348"/>
      <c r="C5" s="348"/>
      <c r="F5" s="70"/>
      <c r="G5" s="71"/>
      <c r="K5" s="325" t="s">
        <v>51</v>
      </c>
      <c r="L5" s="325"/>
      <c r="M5" s="325"/>
      <c r="N5" s="339">
        <f>N4-1</f>
        <v>46201</v>
      </c>
      <c r="O5" s="326"/>
      <c r="P5" s="326"/>
      <c r="R5" s="70"/>
    </row>
    <row r="6" spans="1:18" x14ac:dyDescent="0.35">
      <c r="A6" s="325" t="s">
        <v>106</v>
      </c>
      <c r="B6" s="325"/>
      <c r="C6" s="325"/>
      <c r="F6" s="70"/>
      <c r="G6" s="74"/>
      <c r="K6" s="325" t="s">
        <v>52</v>
      </c>
      <c r="L6" s="325"/>
      <c r="M6" s="325"/>
      <c r="N6" s="338" t="s">
        <v>100</v>
      </c>
      <c r="O6" s="338"/>
      <c r="P6" s="338"/>
      <c r="R6" s="70"/>
    </row>
    <row r="7" spans="1:18" x14ac:dyDescent="0.35">
      <c r="A7" s="325"/>
      <c r="B7" s="325"/>
      <c r="C7" s="325"/>
      <c r="D7" s="73"/>
      <c r="E7" s="73"/>
      <c r="F7" s="70"/>
      <c r="G7" s="74"/>
      <c r="H7" s="73"/>
      <c r="I7" s="73"/>
      <c r="J7" s="73"/>
      <c r="K7" s="325"/>
      <c r="L7" s="325"/>
      <c r="M7" s="325"/>
      <c r="N7" s="338"/>
      <c r="O7" s="338"/>
      <c r="P7" s="338"/>
      <c r="Q7" s="73"/>
      <c r="R7" s="70"/>
    </row>
    <row r="8" spans="1:18" x14ac:dyDescent="0.35">
      <c r="A8" s="337"/>
      <c r="B8" s="337"/>
      <c r="C8" s="337"/>
      <c r="F8" s="70"/>
      <c r="G8" s="74"/>
      <c r="K8" s="325"/>
      <c r="L8" s="325"/>
      <c r="M8" s="325"/>
      <c r="N8" s="338"/>
      <c r="O8" s="338"/>
      <c r="P8" s="338"/>
      <c r="R8" s="70"/>
    </row>
    <row r="9" spans="1:18" x14ac:dyDescent="0.35">
      <c r="A9" s="337"/>
      <c r="B9" s="337"/>
      <c r="C9" s="337"/>
      <c r="F9" s="70"/>
      <c r="G9" s="74"/>
      <c r="K9" s="325"/>
      <c r="L9" s="325"/>
      <c r="M9" s="325"/>
      <c r="N9" s="338"/>
      <c r="O9" s="338"/>
      <c r="P9" s="338"/>
      <c r="R9" s="70"/>
    </row>
    <row r="10" spans="1:18" x14ac:dyDescent="0.35">
      <c r="A10" s="323" t="s">
        <v>95</v>
      </c>
      <c r="B10" s="75" t="s">
        <v>102</v>
      </c>
      <c r="C10" s="75"/>
      <c r="F10" s="70"/>
      <c r="G10" s="71"/>
      <c r="K10" s="325" t="s">
        <v>56</v>
      </c>
      <c r="L10" s="325"/>
      <c r="M10" s="325"/>
      <c r="N10" s="326" t="s">
        <v>57</v>
      </c>
      <c r="O10" s="326"/>
      <c r="P10" s="326"/>
      <c r="R10" s="70"/>
    </row>
    <row r="11" spans="1:18" x14ac:dyDescent="0.35">
      <c r="A11" s="323"/>
      <c r="B11" s="76" t="s">
        <v>48</v>
      </c>
      <c r="C11" s="77" t="str">
        <f>IF($O34&gt;2.49%,"No","Yes")</f>
        <v>Yes</v>
      </c>
      <c r="F11" s="70"/>
      <c r="G11" s="71"/>
      <c r="K11" s="325" t="s">
        <v>59</v>
      </c>
      <c r="L11" s="325"/>
      <c r="M11" s="325"/>
      <c r="N11" s="326" t="s">
        <v>55</v>
      </c>
      <c r="O11" s="326"/>
      <c r="P11" s="326"/>
      <c r="R11" s="70"/>
    </row>
    <row r="12" spans="1:18" x14ac:dyDescent="0.35">
      <c r="A12" s="323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5" t="s">
        <v>61</v>
      </c>
      <c r="L12" s="325"/>
      <c r="M12" s="325"/>
      <c r="N12" s="326"/>
      <c r="O12" s="326"/>
      <c r="P12" s="326"/>
      <c r="R12" s="70"/>
    </row>
    <row r="13" spans="1:18" ht="15" thickBot="1" x14ac:dyDescent="0.4">
      <c r="A13" s="324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7" t="s">
        <v>64</v>
      </c>
      <c r="B14" s="328"/>
      <c r="C14" s="331" t="s">
        <v>65</v>
      </c>
      <c r="D14" s="80" t="s">
        <v>2</v>
      </c>
      <c r="E14" s="81" t="s">
        <v>66</v>
      </c>
      <c r="F14" s="82" t="s">
        <v>67</v>
      </c>
      <c r="G14" s="343" t="s">
        <v>68</v>
      </c>
      <c r="H14" s="344"/>
      <c r="I14" s="345" t="s">
        <v>69</v>
      </c>
      <c r="J14" s="343" t="s">
        <v>70</v>
      </c>
      <c r="K14" s="347"/>
      <c r="L14" s="344"/>
      <c r="M14" s="345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9"/>
      <c r="B15" s="330"/>
      <c r="C15" s="33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6"/>
      <c r="J15" s="88" t="s">
        <v>78</v>
      </c>
      <c r="K15" s="90" t="s">
        <v>79</v>
      </c>
      <c r="L15" s="276">
        <v>0.18</v>
      </c>
      <c r="M15" s="3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5" t="s">
        <v>84</v>
      </c>
      <c r="B25" s="306"/>
      <c r="C25" s="307"/>
      <c r="D25" s="301"/>
      <c r="E25" s="301"/>
      <c r="F25" s="34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8" t="s">
        <v>85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10"/>
      <c r="N28" s="317" t="s">
        <v>86</v>
      </c>
      <c r="O28" s="318"/>
      <c r="P28" s="151">
        <f>I25</f>
        <v>0</v>
      </c>
    </row>
    <row r="29" spans="1:17" x14ac:dyDescent="0.35">
      <c r="B29" s="311"/>
      <c r="C29" s="312"/>
      <c r="D29" s="312"/>
      <c r="E29" s="312"/>
      <c r="F29" s="312"/>
      <c r="G29" s="312"/>
      <c r="H29" s="312"/>
      <c r="I29" s="312"/>
      <c r="J29" s="312"/>
      <c r="K29" s="312"/>
      <c r="L29" s="313"/>
      <c r="N29" s="319" t="s">
        <v>87</v>
      </c>
      <c r="O29" s="320"/>
      <c r="P29" s="152">
        <f>L25</f>
        <v>0</v>
      </c>
    </row>
    <row r="30" spans="1:17" x14ac:dyDescent="0.35">
      <c r="B30" s="311"/>
      <c r="C30" s="312"/>
      <c r="D30" s="312"/>
      <c r="E30" s="312"/>
      <c r="F30" s="312"/>
      <c r="G30" s="312"/>
      <c r="H30" s="312"/>
      <c r="I30" s="312"/>
      <c r="J30" s="312"/>
      <c r="K30" s="312"/>
      <c r="L30" s="313"/>
      <c r="N30" s="319" t="s">
        <v>4</v>
      </c>
      <c r="O30" s="320"/>
      <c r="P30" s="153">
        <f>K25</f>
        <v>0</v>
      </c>
    </row>
    <row r="31" spans="1:17" x14ac:dyDescent="0.35">
      <c r="B31" s="311"/>
      <c r="C31" s="312"/>
      <c r="D31" s="312"/>
      <c r="E31" s="312"/>
      <c r="F31" s="312"/>
      <c r="G31" s="312"/>
      <c r="H31" s="312"/>
      <c r="I31" s="312"/>
      <c r="J31" s="312"/>
      <c r="K31" s="312"/>
      <c r="L31" s="313"/>
      <c r="M31" s="2"/>
      <c r="N31" s="319" t="s">
        <v>88</v>
      </c>
      <c r="O31" s="320"/>
      <c r="P31" s="152">
        <f>P28-P29-P30</f>
        <v>0</v>
      </c>
    </row>
    <row r="32" spans="1:17" x14ac:dyDescent="0.35">
      <c r="B32" s="311"/>
      <c r="C32" s="312"/>
      <c r="D32" s="312"/>
      <c r="E32" s="312"/>
      <c r="F32" s="312"/>
      <c r="G32" s="312"/>
      <c r="H32" s="312"/>
      <c r="I32" s="312"/>
      <c r="J32" s="312"/>
      <c r="K32" s="312"/>
      <c r="L32" s="31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1"/>
      <c r="C33" s="312"/>
      <c r="D33" s="312"/>
      <c r="E33" s="312"/>
      <c r="F33" s="312"/>
      <c r="G33" s="312"/>
      <c r="H33" s="312"/>
      <c r="I33" s="312"/>
      <c r="J33" s="312"/>
      <c r="K33" s="312"/>
      <c r="L33" s="313"/>
      <c r="M33" s="2"/>
      <c r="N33" s="321" t="s">
        <v>90</v>
      </c>
      <c r="O33" s="322"/>
      <c r="P33" s="152">
        <f>P31+P32</f>
        <v>0</v>
      </c>
    </row>
    <row r="34" spans="2:16" ht="15" thickBot="1" x14ac:dyDescent="0.4">
      <c r="B34" s="314"/>
      <c r="C34" s="315"/>
      <c r="D34" s="315"/>
      <c r="E34" s="315"/>
      <c r="F34" s="315"/>
      <c r="G34" s="315"/>
      <c r="H34" s="315"/>
      <c r="I34" s="315"/>
      <c r="J34" s="315"/>
      <c r="K34" s="315"/>
      <c r="L34" s="31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9" t="s">
        <v>92</v>
      </c>
      <c r="O35" s="300"/>
      <c r="P35" s="159">
        <f>P33+P34</f>
        <v>0</v>
      </c>
    </row>
    <row r="36" spans="2:16" ht="15" thickBot="1" x14ac:dyDescent="0.4">
      <c r="B36" s="160" t="s">
        <v>93</v>
      </c>
      <c r="C36" s="301"/>
      <c r="D36" s="301"/>
      <c r="E36" s="301"/>
      <c r="F36" s="301"/>
      <c r="G36" s="301"/>
      <c r="H36" s="301"/>
      <c r="I36" s="302"/>
      <c r="J36" s="303"/>
      <c r="K36" s="304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activeCell="N5" sqref="N5:P5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341" t="s">
        <v>45</v>
      </c>
      <c r="B2" s="341"/>
      <c r="C2" s="341"/>
      <c r="N2" s="69"/>
    </row>
    <row r="3" spans="1:18" x14ac:dyDescent="0.35">
      <c r="A3" s="326" t="s">
        <v>46</v>
      </c>
      <c r="B3" s="326"/>
      <c r="C3" s="326"/>
      <c r="F3" s="70"/>
      <c r="G3" s="71"/>
      <c r="K3" s="325" t="s">
        <v>47</v>
      </c>
      <c r="L3" s="325"/>
      <c r="M3" s="325"/>
      <c r="N3" s="326">
        <v>100</v>
      </c>
      <c r="O3" s="326"/>
      <c r="P3" s="326"/>
      <c r="R3" s="70"/>
    </row>
    <row r="4" spans="1:18" x14ac:dyDescent="0.35">
      <c r="A4" s="326" t="s">
        <v>94</v>
      </c>
      <c r="B4" s="326"/>
      <c r="C4" s="326"/>
      <c r="F4" s="70"/>
      <c r="G4" s="71"/>
      <c r="K4" s="325" t="s">
        <v>49</v>
      </c>
      <c r="L4" s="325"/>
      <c r="M4" s="325"/>
      <c r="N4" s="339">
        <v>46202</v>
      </c>
      <c r="O4" s="339"/>
      <c r="P4" s="339"/>
      <c r="R4" s="70"/>
    </row>
    <row r="5" spans="1:18" x14ac:dyDescent="0.35">
      <c r="A5" s="348" t="s">
        <v>101</v>
      </c>
      <c r="B5" s="348"/>
      <c r="C5" s="348"/>
      <c r="F5" s="70"/>
      <c r="G5" s="71"/>
      <c r="K5" s="325" t="s">
        <v>51</v>
      </c>
      <c r="L5" s="325"/>
      <c r="M5" s="325"/>
      <c r="N5" s="339">
        <f>N4-1</f>
        <v>46201</v>
      </c>
      <c r="O5" s="326"/>
      <c r="P5" s="326"/>
      <c r="R5" s="70"/>
    </row>
    <row r="6" spans="1:18" x14ac:dyDescent="0.35">
      <c r="A6" s="325" t="s">
        <v>106</v>
      </c>
      <c r="B6" s="325"/>
      <c r="C6" s="325"/>
      <c r="F6" s="70"/>
      <c r="G6" s="74"/>
      <c r="K6" s="325" t="s">
        <v>52</v>
      </c>
      <c r="L6" s="325"/>
      <c r="M6" s="325"/>
      <c r="N6" s="338" t="s">
        <v>100</v>
      </c>
      <c r="O6" s="338"/>
      <c r="P6" s="338"/>
      <c r="R6" s="70"/>
    </row>
    <row r="7" spans="1:18" x14ac:dyDescent="0.35">
      <c r="A7" s="325"/>
      <c r="B7" s="325"/>
      <c r="C7" s="325"/>
      <c r="D7" s="73"/>
      <c r="E7" s="73"/>
      <c r="F7" s="70"/>
      <c r="G7" s="74"/>
      <c r="H7" s="73"/>
      <c r="I7" s="73"/>
      <c r="J7" s="73"/>
      <c r="K7" s="325"/>
      <c r="L7" s="325"/>
      <c r="M7" s="325"/>
      <c r="N7" s="338"/>
      <c r="O7" s="338"/>
      <c r="P7" s="338"/>
      <c r="Q7" s="73"/>
      <c r="R7" s="70"/>
    </row>
    <row r="8" spans="1:18" x14ac:dyDescent="0.35">
      <c r="A8" s="337"/>
      <c r="B8" s="337"/>
      <c r="C8" s="337"/>
      <c r="F8" s="70"/>
      <c r="G8" s="74"/>
      <c r="K8" s="325"/>
      <c r="L8" s="325"/>
      <c r="M8" s="325"/>
      <c r="N8" s="338"/>
      <c r="O8" s="338"/>
      <c r="P8" s="338"/>
      <c r="R8" s="70"/>
    </row>
    <row r="9" spans="1:18" x14ac:dyDescent="0.35">
      <c r="A9" s="337"/>
      <c r="B9" s="337"/>
      <c r="C9" s="337"/>
      <c r="F9" s="70"/>
      <c r="G9" s="74"/>
      <c r="K9" s="325"/>
      <c r="L9" s="325"/>
      <c r="M9" s="325"/>
      <c r="N9" s="338"/>
      <c r="O9" s="338"/>
      <c r="P9" s="338"/>
      <c r="R9" s="70"/>
    </row>
    <row r="10" spans="1:18" x14ac:dyDescent="0.35">
      <c r="A10" s="323" t="s">
        <v>95</v>
      </c>
      <c r="B10" s="75" t="s">
        <v>102</v>
      </c>
      <c r="C10" s="75"/>
      <c r="F10" s="70"/>
      <c r="G10" s="71"/>
      <c r="K10" s="325" t="s">
        <v>56</v>
      </c>
      <c r="L10" s="325"/>
      <c r="M10" s="325"/>
      <c r="N10" s="326" t="s">
        <v>57</v>
      </c>
      <c r="O10" s="326"/>
      <c r="P10" s="326"/>
      <c r="R10" s="70"/>
    </row>
    <row r="11" spans="1:18" x14ac:dyDescent="0.35">
      <c r="A11" s="323"/>
      <c r="B11" s="76" t="s">
        <v>48</v>
      </c>
      <c r="C11" s="77" t="str">
        <f>IF($O34&gt;2.49%,"No","Yes")</f>
        <v>Yes</v>
      </c>
      <c r="F11" s="70"/>
      <c r="G11" s="71"/>
      <c r="K11" s="325" t="s">
        <v>59</v>
      </c>
      <c r="L11" s="325"/>
      <c r="M11" s="325"/>
      <c r="N11" s="326" t="s">
        <v>55</v>
      </c>
      <c r="O11" s="326"/>
      <c r="P11" s="326"/>
      <c r="R11" s="70"/>
    </row>
    <row r="12" spans="1:18" x14ac:dyDescent="0.35">
      <c r="A12" s="323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5" t="s">
        <v>61</v>
      </c>
      <c r="L12" s="325"/>
      <c r="M12" s="325"/>
      <c r="N12" s="326"/>
      <c r="O12" s="326"/>
      <c r="P12" s="326"/>
      <c r="R12" s="70"/>
    </row>
    <row r="13" spans="1:18" ht="15" thickBot="1" x14ac:dyDescent="0.4">
      <c r="A13" s="324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7" t="s">
        <v>64</v>
      </c>
      <c r="B14" s="328"/>
      <c r="C14" s="331" t="s">
        <v>65</v>
      </c>
      <c r="D14" s="80" t="s">
        <v>2</v>
      </c>
      <c r="E14" s="81" t="s">
        <v>66</v>
      </c>
      <c r="F14" s="82" t="s">
        <v>67</v>
      </c>
      <c r="G14" s="343" t="s">
        <v>68</v>
      </c>
      <c r="H14" s="344"/>
      <c r="I14" s="345" t="s">
        <v>69</v>
      </c>
      <c r="J14" s="343" t="s">
        <v>70</v>
      </c>
      <c r="K14" s="347"/>
      <c r="L14" s="344"/>
      <c r="M14" s="345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9"/>
      <c r="B15" s="330"/>
      <c r="C15" s="33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6"/>
      <c r="J15" s="88" t="s">
        <v>78</v>
      </c>
      <c r="K15" s="90" t="s">
        <v>79</v>
      </c>
      <c r="L15" s="276">
        <v>0.18</v>
      </c>
      <c r="M15" s="3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5" t="s">
        <v>84</v>
      </c>
      <c r="B25" s="306"/>
      <c r="C25" s="307"/>
      <c r="D25" s="301"/>
      <c r="E25" s="301"/>
      <c r="F25" s="34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8" t="s">
        <v>85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10"/>
      <c r="N28" s="317" t="s">
        <v>86</v>
      </c>
      <c r="O28" s="318"/>
      <c r="P28" s="151">
        <f>I25</f>
        <v>0</v>
      </c>
    </row>
    <row r="29" spans="1:17" x14ac:dyDescent="0.35">
      <c r="B29" s="311"/>
      <c r="C29" s="312"/>
      <c r="D29" s="312"/>
      <c r="E29" s="312"/>
      <c r="F29" s="312"/>
      <c r="G29" s="312"/>
      <c r="H29" s="312"/>
      <c r="I29" s="312"/>
      <c r="J29" s="312"/>
      <c r="K29" s="312"/>
      <c r="L29" s="313"/>
      <c r="N29" s="319" t="s">
        <v>87</v>
      </c>
      <c r="O29" s="320"/>
      <c r="P29" s="152">
        <f>L25</f>
        <v>0</v>
      </c>
    </row>
    <row r="30" spans="1:17" x14ac:dyDescent="0.35">
      <c r="B30" s="311"/>
      <c r="C30" s="312"/>
      <c r="D30" s="312"/>
      <c r="E30" s="312"/>
      <c r="F30" s="312"/>
      <c r="G30" s="312"/>
      <c r="H30" s="312"/>
      <c r="I30" s="312"/>
      <c r="J30" s="312"/>
      <c r="K30" s="312"/>
      <c r="L30" s="313"/>
      <c r="N30" s="319" t="s">
        <v>4</v>
      </c>
      <c r="O30" s="320"/>
      <c r="P30" s="153">
        <f>K25</f>
        <v>0</v>
      </c>
    </row>
    <row r="31" spans="1:17" x14ac:dyDescent="0.35">
      <c r="B31" s="311"/>
      <c r="C31" s="312"/>
      <c r="D31" s="312"/>
      <c r="E31" s="312"/>
      <c r="F31" s="312"/>
      <c r="G31" s="312"/>
      <c r="H31" s="312"/>
      <c r="I31" s="312"/>
      <c r="J31" s="312"/>
      <c r="K31" s="312"/>
      <c r="L31" s="313"/>
      <c r="M31" s="2"/>
      <c r="N31" s="319" t="s">
        <v>88</v>
      </c>
      <c r="O31" s="320"/>
      <c r="P31" s="152">
        <f>P28-P29-P30</f>
        <v>0</v>
      </c>
    </row>
    <row r="32" spans="1:17" x14ac:dyDescent="0.35">
      <c r="B32" s="311"/>
      <c r="C32" s="312"/>
      <c r="D32" s="312"/>
      <c r="E32" s="312"/>
      <c r="F32" s="312"/>
      <c r="G32" s="312"/>
      <c r="H32" s="312"/>
      <c r="I32" s="312"/>
      <c r="J32" s="312"/>
      <c r="K32" s="312"/>
      <c r="L32" s="31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1"/>
      <c r="C33" s="312"/>
      <c r="D33" s="312"/>
      <c r="E33" s="312"/>
      <c r="F33" s="312"/>
      <c r="G33" s="312"/>
      <c r="H33" s="312"/>
      <c r="I33" s="312"/>
      <c r="J33" s="312"/>
      <c r="K33" s="312"/>
      <c r="L33" s="313"/>
      <c r="M33" s="2"/>
      <c r="N33" s="321" t="s">
        <v>90</v>
      </c>
      <c r="O33" s="322"/>
      <c r="P33" s="152">
        <f>P31+P32</f>
        <v>0</v>
      </c>
    </row>
    <row r="34" spans="2:16" ht="15" thickBot="1" x14ac:dyDescent="0.4">
      <c r="B34" s="314"/>
      <c r="C34" s="315"/>
      <c r="D34" s="315"/>
      <c r="E34" s="315"/>
      <c r="F34" s="315"/>
      <c r="G34" s="315"/>
      <c r="H34" s="315"/>
      <c r="I34" s="315"/>
      <c r="J34" s="315"/>
      <c r="K34" s="315"/>
      <c r="L34" s="31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9" t="s">
        <v>92</v>
      </c>
      <c r="O35" s="300"/>
      <c r="P35" s="159">
        <f>P33+P34</f>
        <v>0</v>
      </c>
    </row>
    <row r="36" spans="2:16" ht="15" thickBot="1" x14ac:dyDescent="0.4">
      <c r="B36" s="160" t="s">
        <v>93</v>
      </c>
      <c r="C36" s="301"/>
      <c r="D36" s="301"/>
      <c r="E36" s="301"/>
      <c r="F36" s="301"/>
      <c r="G36" s="301"/>
      <c r="H36" s="301"/>
      <c r="I36" s="302"/>
      <c r="J36" s="303"/>
      <c r="K36" s="304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activeCell="N5" sqref="N5:P5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341" t="s">
        <v>45</v>
      </c>
      <c r="B2" s="341"/>
      <c r="C2" s="341"/>
      <c r="N2" s="69"/>
    </row>
    <row r="3" spans="1:18" x14ac:dyDescent="0.35">
      <c r="A3" s="326" t="s">
        <v>46</v>
      </c>
      <c r="B3" s="326"/>
      <c r="C3" s="326"/>
      <c r="F3" s="70"/>
      <c r="G3" s="71"/>
      <c r="K3" s="325" t="s">
        <v>47</v>
      </c>
      <c r="L3" s="325"/>
      <c r="M3" s="325"/>
      <c r="N3" s="326">
        <v>100</v>
      </c>
      <c r="O3" s="326"/>
      <c r="P3" s="326"/>
      <c r="R3" s="70"/>
    </row>
    <row r="4" spans="1:18" x14ac:dyDescent="0.35">
      <c r="A4" s="326" t="s">
        <v>94</v>
      </c>
      <c r="B4" s="326"/>
      <c r="C4" s="326"/>
      <c r="F4" s="70"/>
      <c r="G4" s="71"/>
      <c r="K4" s="325" t="s">
        <v>49</v>
      </c>
      <c r="L4" s="325"/>
      <c r="M4" s="325"/>
      <c r="N4" s="339">
        <v>46202</v>
      </c>
      <c r="O4" s="339"/>
      <c r="P4" s="339"/>
      <c r="R4" s="70"/>
    </row>
    <row r="5" spans="1:18" x14ac:dyDescent="0.35">
      <c r="A5" s="348" t="s">
        <v>101</v>
      </c>
      <c r="B5" s="348"/>
      <c r="C5" s="348"/>
      <c r="F5" s="70"/>
      <c r="G5" s="71"/>
      <c r="K5" s="325" t="s">
        <v>51</v>
      </c>
      <c r="L5" s="325"/>
      <c r="M5" s="325"/>
      <c r="N5" s="339">
        <f>N4-1</f>
        <v>46201</v>
      </c>
      <c r="O5" s="326"/>
      <c r="P5" s="326"/>
      <c r="R5" s="70"/>
    </row>
    <row r="6" spans="1:18" x14ac:dyDescent="0.35">
      <c r="A6" s="325" t="s">
        <v>106</v>
      </c>
      <c r="B6" s="325"/>
      <c r="C6" s="325"/>
      <c r="F6" s="70"/>
      <c r="G6" s="74"/>
      <c r="K6" s="325" t="s">
        <v>52</v>
      </c>
      <c r="L6" s="325"/>
      <c r="M6" s="325"/>
      <c r="N6" s="338" t="s">
        <v>100</v>
      </c>
      <c r="O6" s="338"/>
      <c r="P6" s="338"/>
      <c r="R6" s="70"/>
    </row>
    <row r="7" spans="1:18" x14ac:dyDescent="0.35">
      <c r="A7" s="325"/>
      <c r="B7" s="325"/>
      <c r="C7" s="325"/>
      <c r="D7" s="73"/>
      <c r="E7" s="73"/>
      <c r="F7" s="70"/>
      <c r="G7" s="74"/>
      <c r="H7" s="73"/>
      <c r="I7" s="73"/>
      <c r="J7" s="73"/>
      <c r="K7" s="325"/>
      <c r="L7" s="325"/>
      <c r="M7" s="325"/>
      <c r="N7" s="338"/>
      <c r="O7" s="338"/>
      <c r="P7" s="338"/>
      <c r="Q7" s="73"/>
      <c r="R7" s="70"/>
    </row>
    <row r="8" spans="1:18" x14ac:dyDescent="0.35">
      <c r="A8" s="337"/>
      <c r="B8" s="337"/>
      <c r="C8" s="337"/>
      <c r="F8" s="70"/>
      <c r="G8" s="74"/>
      <c r="K8" s="325"/>
      <c r="L8" s="325"/>
      <c r="M8" s="325"/>
      <c r="N8" s="338"/>
      <c r="O8" s="338"/>
      <c r="P8" s="338"/>
      <c r="R8" s="70"/>
    </row>
    <row r="9" spans="1:18" x14ac:dyDescent="0.35">
      <c r="A9" s="337"/>
      <c r="B9" s="337"/>
      <c r="C9" s="337"/>
      <c r="F9" s="70"/>
      <c r="G9" s="74"/>
      <c r="K9" s="325"/>
      <c r="L9" s="325"/>
      <c r="M9" s="325"/>
      <c r="N9" s="338"/>
      <c r="O9" s="338"/>
      <c r="P9" s="338"/>
      <c r="R9" s="70"/>
    </row>
    <row r="10" spans="1:18" x14ac:dyDescent="0.35">
      <c r="A10" s="323" t="s">
        <v>95</v>
      </c>
      <c r="B10" s="75" t="s">
        <v>102</v>
      </c>
      <c r="C10" s="75"/>
      <c r="F10" s="70"/>
      <c r="G10" s="71"/>
      <c r="K10" s="325" t="s">
        <v>56</v>
      </c>
      <c r="L10" s="325"/>
      <c r="M10" s="325"/>
      <c r="N10" s="326" t="s">
        <v>57</v>
      </c>
      <c r="O10" s="326"/>
      <c r="P10" s="326"/>
      <c r="R10" s="70"/>
    </row>
    <row r="11" spans="1:18" x14ac:dyDescent="0.35">
      <c r="A11" s="323"/>
      <c r="B11" s="76" t="s">
        <v>48</v>
      </c>
      <c r="C11" s="77" t="str">
        <f>IF($O34&gt;2.49%,"No","Yes")</f>
        <v>Yes</v>
      </c>
      <c r="F11" s="70"/>
      <c r="G11" s="71"/>
      <c r="K11" s="325" t="s">
        <v>59</v>
      </c>
      <c r="L11" s="325"/>
      <c r="M11" s="325"/>
      <c r="N11" s="326" t="s">
        <v>55</v>
      </c>
      <c r="O11" s="326"/>
      <c r="P11" s="326"/>
      <c r="R11" s="70"/>
    </row>
    <row r="12" spans="1:18" x14ac:dyDescent="0.35">
      <c r="A12" s="323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5" t="s">
        <v>61</v>
      </c>
      <c r="L12" s="325"/>
      <c r="M12" s="325"/>
      <c r="N12" s="326"/>
      <c r="O12" s="326"/>
      <c r="P12" s="326"/>
      <c r="R12" s="70"/>
    </row>
    <row r="13" spans="1:18" ht="15" thickBot="1" x14ac:dyDescent="0.4">
      <c r="A13" s="324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7" t="s">
        <v>64</v>
      </c>
      <c r="B14" s="328"/>
      <c r="C14" s="331" t="s">
        <v>65</v>
      </c>
      <c r="D14" s="80" t="s">
        <v>2</v>
      </c>
      <c r="E14" s="81" t="s">
        <v>66</v>
      </c>
      <c r="F14" s="82" t="s">
        <v>67</v>
      </c>
      <c r="G14" s="343" t="s">
        <v>68</v>
      </c>
      <c r="H14" s="344"/>
      <c r="I14" s="345" t="s">
        <v>69</v>
      </c>
      <c r="J14" s="343" t="s">
        <v>70</v>
      </c>
      <c r="K14" s="347"/>
      <c r="L14" s="344"/>
      <c r="M14" s="345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9"/>
      <c r="B15" s="330"/>
      <c r="C15" s="33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6"/>
      <c r="J15" s="88" t="s">
        <v>78</v>
      </c>
      <c r="K15" s="90" t="s">
        <v>79</v>
      </c>
      <c r="L15" s="276">
        <v>0.18</v>
      </c>
      <c r="M15" s="3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5" t="s">
        <v>84</v>
      </c>
      <c r="B25" s="306"/>
      <c r="C25" s="307"/>
      <c r="D25" s="301"/>
      <c r="E25" s="301"/>
      <c r="F25" s="34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8" t="s">
        <v>85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10"/>
      <c r="N28" s="317" t="s">
        <v>86</v>
      </c>
      <c r="O28" s="318"/>
      <c r="P28" s="151">
        <f>I25</f>
        <v>0</v>
      </c>
    </row>
    <row r="29" spans="1:17" x14ac:dyDescent="0.35">
      <c r="B29" s="311"/>
      <c r="C29" s="312"/>
      <c r="D29" s="312"/>
      <c r="E29" s="312"/>
      <c r="F29" s="312"/>
      <c r="G29" s="312"/>
      <c r="H29" s="312"/>
      <c r="I29" s="312"/>
      <c r="J29" s="312"/>
      <c r="K29" s="312"/>
      <c r="L29" s="313"/>
      <c r="N29" s="319" t="s">
        <v>87</v>
      </c>
      <c r="O29" s="320"/>
      <c r="P29" s="152">
        <f>L25</f>
        <v>0</v>
      </c>
    </row>
    <row r="30" spans="1:17" x14ac:dyDescent="0.35">
      <c r="B30" s="311"/>
      <c r="C30" s="312"/>
      <c r="D30" s="312"/>
      <c r="E30" s="312"/>
      <c r="F30" s="312"/>
      <c r="G30" s="312"/>
      <c r="H30" s="312"/>
      <c r="I30" s="312"/>
      <c r="J30" s="312"/>
      <c r="K30" s="312"/>
      <c r="L30" s="313"/>
      <c r="N30" s="319" t="s">
        <v>4</v>
      </c>
      <c r="O30" s="320"/>
      <c r="P30" s="153">
        <f>K25</f>
        <v>0</v>
      </c>
    </row>
    <row r="31" spans="1:17" x14ac:dyDescent="0.35">
      <c r="B31" s="311"/>
      <c r="C31" s="312"/>
      <c r="D31" s="312"/>
      <c r="E31" s="312"/>
      <c r="F31" s="312"/>
      <c r="G31" s="312"/>
      <c r="H31" s="312"/>
      <c r="I31" s="312"/>
      <c r="J31" s="312"/>
      <c r="K31" s="312"/>
      <c r="L31" s="313"/>
      <c r="M31" s="2"/>
      <c r="N31" s="319" t="s">
        <v>88</v>
      </c>
      <c r="O31" s="320"/>
      <c r="P31" s="152">
        <f>P28-P29-P30</f>
        <v>0</v>
      </c>
    </row>
    <row r="32" spans="1:17" x14ac:dyDescent="0.35">
      <c r="B32" s="311"/>
      <c r="C32" s="312"/>
      <c r="D32" s="312"/>
      <c r="E32" s="312"/>
      <c r="F32" s="312"/>
      <c r="G32" s="312"/>
      <c r="H32" s="312"/>
      <c r="I32" s="312"/>
      <c r="J32" s="312"/>
      <c r="K32" s="312"/>
      <c r="L32" s="31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1"/>
      <c r="C33" s="312"/>
      <c r="D33" s="312"/>
      <c r="E33" s="312"/>
      <c r="F33" s="312"/>
      <c r="G33" s="312"/>
      <c r="H33" s="312"/>
      <c r="I33" s="312"/>
      <c r="J33" s="312"/>
      <c r="K33" s="312"/>
      <c r="L33" s="313"/>
      <c r="M33" s="2"/>
      <c r="N33" s="321" t="s">
        <v>90</v>
      </c>
      <c r="O33" s="322"/>
      <c r="P33" s="152">
        <f>P31+P32</f>
        <v>0</v>
      </c>
    </row>
    <row r="34" spans="2:16" ht="15" thickBot="1" x14ac:dyDescent="0.4">
      <c r="B34" s="314"/>
      <c r="C34" s="315"/>
      <c r="D34" s="315"/>
      <c r="E34" s="315"/>
      <c r="F34" s="315"/>
      <c r="G34" s="315"/>
      <c r="H34" s="315"/>
      <c r="I34" s="315"/>
      <c r="J34" s="315"/>
      <c r="K34" s="315"/>
      <c r="L34" s="31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9" t="s">
        <v>92</v>
      </c>
      <c r="O35" s="300"/>
      <c r="P35" s="159">
        <f>P33+P34</f>
        <v>0</v>
      </c>
    </row>
    <row r="36" spans="2:16" ht="15" thickBot="1" x14ac:dyDescent="0.4">
      <c r="B36" s="160" t="s">
        <v>93</v>
      </c>
      <c r="C36" s="301"/>
      <c r="D36" s="301"/>
      <c r="E36" s="301"/>
      <c r="F36" s="301"/>
      <c r="G36" s="301"/>
      <c r="H36" s="301"/>
      <c r="I36" s="302"/>
      <c r="J36" s="303"/>
      <c r="K36" s="304"/>
      <c r="N36" s="69"/>
    </row>
    <row r="37" spans="2:16" x14ac:dyDescent="0.35">
      <c r="N37" s="69"/>
    </row>
  </sheetData>
  <mergeCells count="47"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activeCell="N5" sqref="N5:P5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341" t="s">
        <v>45</v>
      </c>
      <c r="B2" s="341"/>
      <c r="C2" s="341"/>
      <c r="N2" s="69"/>
    </row>
    <row r="3" spans="1:17" x14ac:dyDescent="0.35">
      <c r="A3" s="326" t="s">
        <v>46</v>
      </c>
      <c r="B3" s="326"/>
      <c r="C3" s="326"/>
      <c r="F3" s="70"/>
      <c r="G3" s="71"/>
      <c r="K3" s="325" t="s">
        <v>47</v>
      </c>
      <c r="L3" s="325"/>
      <c r="M3" s="325"/>
      <c r="N3" s="326">
        <v>100</v>
      </c>
      <c r="O3" s="326"/>
      <c r="P3" s="326"/>
    </row>
    <row r="4" spans="1:17" x14ac:dyDescent="0.35">
      <c r="A4" s="326" t="s">
        <v>94</v>
      </c>
      <c r="B4" s="326"/>
      <c r="C4" s="326"/>
      <c r="F4" s="70"/>
      <c r="G4" s="71"/>
      <c r="K4" s="325" t="s">
        <v>49</v>
      </c>
      <c r="L4" s="325"/>
      <c r="M4" s="325"/>
      <c r="N4" s="339">
        <v>46202</v>
      </c>
      <c r="O4" s="339"/>
      <c r="P4" s="339"/>
    </row>
    <row r="5" spans="1:17" x14ac:dyDescent="0.35">
      <c r="A5" s="348" t="s">
        <v>101</v>
      </c>
      <c r="B5" s="348"/>
      <c r="C5" s="348"/>
      <c r="F5" s="70"/>
      <c r="G5" s="71"/>
      <c r="K5" s="325" t="s">
        <v>51</v>
      </c>
      <c r="L5" s="325"/>
      <c r="M5" s="325"/>
      <c r="N5" s="339">
        <f>N4-1</f>
        <v>46201</v>
      </c>
      <c r="O5" s="326"/>
      <c r="P5" s="326"/>
    </row>
    <row r="6" spans="1:17" x14ac:dyDescent="0.35">
      <c r="A6" s="325" t="s">
        <v>106</v>
      </c>
      <c r="B6" s="325"/>
      <c r="C6" s="325"/>
      <c r="F6" s="70"/>
      <c r="G6" s="74"/>
      <c r="K6" s="325" t="s">
        <v>52</v>
      </c>
      <c r="L6" s="325"/>
      <c r="M6" s="325"/>
      <c r="N6" s="338" t="s">
        <v>100</v>
      </c>
      <c r="O6" s="338"/>
      <c r="P6" s="338"/>
    </row>
    <row r="7" spans="1:17" x14ac:dyDescent="0.35">
      <c r="A7" s="325"/>
      <c r="B7" s="325"/>
      <c r="C7" s="325"/>
      <c r="D7" s="73"/>
      <c r="E7" s="73"/>
      <c r="F7" s="70"/>
      <c r="G7" s="74"/>
      <c r="H7" s="73"/>
      <c r="I7" s="73"/>
      <c r="J7" s="73"/>
      <c r="K7" s="325"/>
      <c r="L7" s="325"/>
      <c r="M7" s="325"/>
      <c r="N7" s="338"/>
      <c r="O7" s="338"/>
      <c r="P7" s="338"/>
      <c r="Q7" s="73"/>
    </row>
    <row r="8" spans="1:17" x14ac:dyDescent="0.35">
      <c r="A8" s="337"/>
      <c r="B8" s="337"/>
      <c r="C8" s="337"/>
      <c r="F8" s="70"/>
      <c r="G8" s="74"/>
      <c r="K8" s="325"/>
      <c r="L8" s="325"/>
      <c r="M8" s="325"/>
      <c r="N8" s="338"/>
      <c r="O8" s="338"/>
      <c r="P8" s="338"/>
    </row>
    <row r="9" spans="1:17" x14ac:dyDescent="0.35">
      <c r="A9" s="337"/>
      <c r="B9" s="337"/>
      <c r="C9" s="337"/>
      <c r="F9" s="70"/>
      <c r="G9" s="74"/>
      <c r="K9" s="325"/>
      <c r="L9" s="325"/>
      <c r="M9" s="325"/>
      <c r="N9" s="338"/>
      <c r="O9" s="338"/>
      <c r="P9" s="338"/>
    </row>
    <row r="10" spans="1:17" x14ac:dyDescent="0.35">
      <c r="A10" s="323" t="s">
        <v>95</v>
      </c>
      <c r="B10" s="75" t="s">
        <v>102</v>
      </c>
      <c r="C10" s="75"/>
      <c r="F10" s="70"/>
      <c r="G10" s="71"/>
      <c r="K10" s="325" t="s">
        <v>56</v>
      </c>
      <c r="L10" s="325"/>
      <c r="M10" s="325"/>
      <c r="N10" s="326" t="s">
        <v>57</v>
      </c>
      <c r="O10" s="326"/>
      <c r="P10" s="326"/>
    </row>
    <row r="11" spans="1:17" x14ac:dyDescent="0.35">
      <c r="A11" s="323"/>
      <c r="B11" s="76" t="s">
        <v>48</v>
      </c>
      <c r="C11" s="77" t="str">
        <f>IF($O34&gt;2.49%,"No","Yes")</f>
        <v>Yes</v>
      </c>
      <c r="F11" s="70"/>
      <c r="G11" s="71"/>
      <c r="K11" s="325" t="s">
        <v>59</v>
      </c>
      <c r="L11" s="325"/>
      <c r="M11" s="325"/>
      <c r="N11" s="326" t="s">
        <v>55</v>
      </c>
      <c r="O11" s="326"/>
      <c r="P11" s="326"/>
    </row>
    <row r="12" spans="1:17" x14ac:dyDescent="0.35">
      <c r="A12" s="323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5" t="s">
        <v>61</v>
      </c>
      <c r="L12" s="325"/>
      <c r="M12" s="325"/>
      <c r="N12" s="326"/>
      <c r="O12" s="326"/>
      <c r="P12" s="326"/>
    </row>
    <row r="13" spans="1:17" ht="15" thickBot="1" x14ac:dyDescent="0.4">
      <c r="A13" s="324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7" t="s">
        <v>64</v>
      </c>
      <c r="B14" s="328"/>
      <c r="C14" s="331" t="s">
        <v>65</v>
      </c>
      <c r="D14" s="80" t="s">
        <v>2</v>
      </c>
      <c r="E14" s="81" t="s">
        <v>66</v>
      </c>
      <c r="F14" s="82" t="s">
        <v>67</v>
      </c>
      <c r="G14" s="343" t="s">
        <v>68</v>
      </c>
      <c r="H14" s="344"/>
      <c r="I14" s="345" t="s">
        <v>69</v>
      </c>
      <c r="J14" s="343" t="s">
        <v>70</v>
      </c>
      <c r="K14" s="347"/>
      <c r="L14" s="344"/>
      <c r="M14" s="345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9"/>
      <c r="B15" s="330"/>
      <c r="C15" s="33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6"/>
      <c r="J15" s="88" t="s">
        <v>78</v>
      </c>
      <c r="K15" s="90" t="s">
        <v>79</v>
      </c>
      <c r="L15" s="276">
        <v>0.18</v>
      </c>
      <c r="M15" s="3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5" t="s">
        <v>84</v>
      </c>
      <c r="B25" s="306"/>
      <c r="C25" s="307"/>
      <c r="D25" s="301"/>
      <c r="E25" s="301"/>
      <c r="F25" s="34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8" t="s">
        <v>85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10"/>
      <c r="N28" s="317" t="s">
        <v>86</v>
      </c>
      <c r="O28" s="318"/>
      <c r="P28" s="151">
        <f>I25</f>
        <v>0</v>
      </c>
    </row>
    <row r="29" spans="1:17" x14ac:dyDescent="0.35">
      <c r="B29" s="311"/>
      <c r="C29" s="312"/>
      <c r="D29" s="312"/>
      <c r="E29" s="312"/>
      <c r="F29" s="312"/>
      <c r="G29" s="312"/>
      <c r="H29" s="312"/>
      <c r="I29" s="312"/>
      <c r="J29" s="312"/>
      <c r="K29" s="312"/>
      <c r="L29" s="313"/>
      <c r="N29" s="319" t="s">
        <v>87</v>
      </c>
      <c r="O29" s="320"/>
      <c r="P29" s="152">
        <f>L25</f>
        <v>0</v>
      </c>
    </row>
    <row r="30" spans="1:17" x14ac:dyDescent="0.35">
      <c r="B30" s="311"/>
      <c r="C30" s="312"/>
      <c r="D30" s="312"/>
      <c r="E30" s="312"/>
      <c r="F30" s="312"/>
      <c r="G30" s="312"/>
      <c r="H30" s="312"/>
      <c r="I30" s="312"/>
      <c r="J30" s="312"/>
      <c r="K30" s="312"/>
      <c r="L30" s="313"/>
      <c r="N30" s="319" t="s">
        <v>4</v>
      </c>
      <c r="O30" s="320"/>
      <c r="P30" s="153">
        <f>K25</f>
        <v>0</v>
      </c>
    </row>
    <row r="31" spans="1:17" x14ac:dyDescent="0.35">
      <c r="B31" s="311"/>
      <c r="C31" s="312"/>
      <c r="D31" s="312"/>
      <c r="E31" s="312"/>
      <c r="F31" s="312"/>
      <c r="G31" s="312"/>
      <c r="H31" s="312"/>
      <c r="I31" s="312"/>
      <c r="J31" s="312"/>
      <c r="K31" s="312"/>
      <c r="L31" s="313"/>
      <c r="M31" s="2"/>
      <c r="N31" s="319" t="s">
        <v>88</v>
      </c>
      <c r="O31" s="320"/>
      <c r="P31" s="152">
        <f>P28-P29-P30</f>
        <v>0</v>
      </c>
    </row>
    <row r="32" spans="1:17" x14ac:dyDescent="0.35">
      <c r="B32" s="311"/>
      <c r="C32" s="312"/>
      <c r="D32" s="312"/>
      <c r="E32" s="312"/>
      <c r="F32" s="312"/>
      <c r="G32" s="312"/>
      <c r="H32" s="312"/>
      <c r="I32" s="312"/>
      <c r="J32" s="312"/>
      <c r="K32" s="312"/>
      <c r="L32" s="31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1"/>
      <c r="C33" s="312"/>
      <c r="D33" s="312"/>
      <c r="E33" s="312"/>
      <c r="F33" s="312"/>
      <c r="G33" s="312"/>
      <c r="H33" s="312"/>
      <c r="I33" s="312"/>
      <c r="J33" s="312"/>
      <c r="K33" s="312"/>
      <c r="L33" s="313"/>
      <c r="M33" s="2"/>
      <c r="N33" s="321" t="s">
        <v>90</v>
      </c>
      <c r="O33" s="322"/>
      <c r="P33" s="152">
        <f>P31+P32</f>
        <v>0</v>
      </c>
    </row>
    <row r="34" spans="2:16" ht="15" thickBot="1" x14ac:dyDescent="0.4">
      <c r="B34" s="314"/>
      <c r="C34" s="315"/>
      <c r="D34" s="315"/>
      <c r="E34" s="315"/>
      <c r="F34" s="315"/>
      <c r="G34" s="315"/>
      <c r="H34" s="315"/>
      <c r="I34" s="315"/>
      <c r="J34" s="315"/>
      <c r="K34" s="315"/>
      <c r="L34" s="31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9" t="s">
        <v>92</v>
      </c>
      <c r="O35" s="300"/>
      <c r="P35" s="159">
        <f>P33+P34</f>
        <v>0</v>
      </c>
    </row>
    <row r="36" spans="2:16" ht="15" thickBot="1" x14ac:dyDescent="0.4">
      <c r="B36" s="160" t="s">
        <v>93</v>
      </c>
      <c r="C36" s="301"/>
      <c r="D36" s="301"/>
      <c r="E36" s="301"/>
      <c r="F36" s="301"/>
      <c r="G36" s="301"/>
      <c r="H36" s="301"/>
      <c r="I36" s="302"/>
      <c r="J36" s="303"/>
      <c r="K36" s="304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activeCell="N5" sqref="N5:P5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341" t="s">
        <v>45</v>
      </c>
      <c r="B2" s="341"/>
      <c r="C2" s="341"/>
      <c r="N2" s="69"/>
    </row>
    <row r="3" spans="1:17" x14ac:dyDescent="0.35">
      <c r="A3" s="326" t="s">
        <v>46</v>
      </c>
      <c r="B3" s="326"/>
      <c r="C3" s="326"/>
      <c r="F3" s="70"/>
      <c r="G3" s="71"/>
      <c r="K3" s="325" t="s">
        <v>47</v>
      </c>
      <c r="L3" s="325"/>
      <c r="M3" s="325"/>
      <c r="N3" s="326">
        <v>100</v>
      </c>
      <c r="O3" s="326"/>
      <c r="P3" s="326"/>
    </row>
    <row r="4" spans="1:17" x14ac:dyDescent="0.35">
      <c r="A4" s="326" t="s">
        <v>94</v>
      </c>
      <c r="B4" s="326"/>
      <c r="C4" s="326"/>
      <c r="F4" s="70"/>
      <c r="G4" s="71"/>
      <c r="K4" s="325" t="s">
        <v>49</v>
      </c>
      <c r="L4" s="325"/>
      <c r="M4" s="325"/>
      <c r="N4" s="339">
        <v>46202</v>
      </c>
      <c r="O4" s="339"/>
      <c r="P4" s="339"/>
    </row>
    <row r="5" spans="1:17" x14ac:dyDescent="0.35">
      <c r="A5" s="348" t="s">
        <v>101</v>
      </c>
      <c r="B5" s="348"/>
      <c r="C5" s="348"/>
      <c r="F5" s="70"/>
      <c r="G5" s="71"/>
      <c r="K5" s="325" t="s">
        <v>51</v>
      </c>
      <c r="L5" s="325"/>
      <c r="M5" s="325"/>
      <c r="N5" s="339">
        <f>N4-1</f>
        <v>46201</v>
      </c>
      <c r="O5" s="326"/>
      <c r="P5" s="326"/>
    </row>
    <row r="6" spans="1:17" x14ac:dyDescent="0.35">
      <c r="A6" s="325" t="s">
        <v>106</v>
      </c>
      <c r="B6" s="325"/>
      <c r="C6" s="325"/>
      <c r="F6" s="70"/>
      <c r="G6" s="74"/>
      <c r="K6" s="325" t="s">
        <v>52</v>
      </c>
      <c r="L6" s="325"/>
      <c r="M6" s="325"/>
      <c r="N6" s="338" t="s">
        <v>100</v>
      </c>
      <c r="O6" s="338"/>
      <c r="P6" s="338"/>
    </row>
    <row r="7" spans="1:17" x14ac:dyDescent="0.35">
      <c r="A7" s="325"/>
      <c r="B7" s="325"/>
      <c r="C7" s="325"/>
      <c r="D7" s="73"/>
      <c r="E7" s="73"/>
      <c r="F7" s="70"/>
      <c r="G7" s="74"/>
      <c r="H7" s="73"/>
      <c r="I7" s="73"/>
      <c r="J7" s="73"/>
      <c r="K7" s="325"/>
      <c r="L7" s="325"/>
      <c r="M7" s="325"/>
      <c r="N7" s="338"/>
      <c r="O7" s="338"/>
      <c r="P7" s="338"/>
      <c r="Q7" s="73"/>
    </row>
    <row r="8" spans="1:17" x14ac:dyDescent="0.35">
      <c r="A8" s="337"/>
      <c r="B8" s="337"/>
      <c r="C8" s="337"/>
      <c r="F8" s="70"/>
      <c r="G8" s="74"/>
      <c r="K8" s="325"/>
      <c r="L8" s="325"/>
      <c r="M8" s="325"/>
      <c r="N8" s="338"/>
      <c r="O8" s="338"/>
      <c r="P8" s="338"/>
    </row>
    <row r="9" spans="1:17" x14ac:dyDescent="0.35">
      <c r="A9" s="337"/>
      <c r="B9" s="337"/>
      <c r="C9" s="337"/>
      <c r="F9" s="70"/>
      <c r="G9" s="74"/>
      <c r="K9" s="325"/>
      <c r="L9" s="325"/>
      <c r="M9" s="325"/>
      <c r="N9" s="338"/>
      <c r="O9" s="338"/>
      <c r="P9" s="338"/>
    </row>
    <row r="10" spans="1:17" x14ac:dyDescent="0.35">
      <c r="A10" s="323" t="s">
        <v>95</v>
      </c>
      <c r="B10" s="75" t="s">
        <v>102</v>
      </c>
      <c r="C10" s="75"/>
      <c r="F10" s="70"/>
      <c r="G10" s="71"/>
      <c r="K10" s="325" t="s">
        <v>56</v>
      </c>
      <c r="L10" s="325"/>
      <c r="M10" s="325"/>
      <c r="N10" s="326" t="s">
        <v>57</v>
      </c>
      <c r="O10" s="326"/>
      <c r="P10" s="326"/>
    </row>
    <row r="11" spans="1:17" x14ac:dyDescent="0.35">
      <c r="A11" s="323"/>
      <c r="B11" s="76" t="s">
        <v>48</v>
      </c>
      <c r="C11" s="77" t="str">
        <f>IF($O34&gt;2.49%,"No","Yes")</f>
        <v>Yes</v>
      </c>
      <c r="F11" s="70"/>
      <c r="G11" s="71"/>
      <c r="K11" s="325" t="s">
        <v>59</v>
      </c>
      <c r="L11" s="325"/>
      <c r="M11" s="325"/>
      <c r="N11" s="326" t="s">
        <v>55</v>
      </c>
      <c r="O11" s="326"/>
      <c r="P11" s="326"/>
    </row>
    <row r="12" spans="1:17" x14ac:dyDescent="0.35">
      <c r="A12" s="323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5" t="s">
        <v>61</v>
      </c>
      <c r="L12" s="325"/>
      <c r="M12" s="325"/>
      <c r="N12" s="326"/>
      <c r="O12" s="326"/>
      <c r="P12" s="326"/>
    </row>
    <row r="13" spans="1:17" ht="15" thickBot="1" x14ac:dyDescent="0.4">
      <c r="A13" s="324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7" t="s">
        <v>64</v>
      </c>
      <c r="B14" s="328"/>
      <c r="C14" s="331" t="s">
        <v>65</v>
      </c>
      <c r="D14" s="80" t="s">
        <v>2</v>
      </c>
      <c r="E14" s="81" t="s">
        <v>66</v>
      </c>
      <c r="F14" s="82" t="s">
        <v>67</v>
      </c>
      <c r="G14" s="343" t="s">
        <v>68</v>
      </c>
      <c r="H14" s="344"/>
      <c r="I14" s="345" t="s">
        <v>69</v>
      </c>
      <c r="J14" s="343" t="s">
        <v>70</v>
      </c>
      <c r="K14" s="347"/>
      <c r="L14" s="344"/>
      <c r="M14" s="345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9"/>
      <c r="B15" s="330"/>
      <c r="C15" s="33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6"/>
      <c r="J15" s="88" t="s">
        <v>78</v>
      </c>
      <c r="K15" s="90" t="s">
        <v>79</v>
      </c>
      <c r="L15" s="276">
        <v>0.18</v>
      </c>
      <c r="M15" s="346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5" t="s">
        <v>84</v>
      </c>
      <c r="B25" s="306"/>
      <c r="C25" s="307"/>
      <c r="D25" s="301"/>
      <c r="E25" s="301"/>
      <c r="F25" s="34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8" t="s">
        <v>85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10"/>
      <c r="N28" s="317" t="s">
        <v>86</v>
      </c>
      <c r="O28" s="318"/>
      <c r="P28" s="151">
        <f>I25</f>
        <v>0</v>
      </c>
    </row>
    <row r="29" spans="1:17" x14ac:dyDescent="0.35">
      <c r="B29" s="311"/>
      <c r="C29" s="312"/>
      <c r="D29" s="312"/>
      <c r="E29" s="312"/>
      <c r="F29" s="312"/>
      <c r="G29" s="312"/>
      <c r="H29" s="312"/>
      <c r="I29" s="312"/>
      <c r="J29" s="312"/>
      <c r="K29" s="312"/>
      <c r="L29" s="313"/>
      <c r="N29" s="319" t="s">
        <v>87</v>
      </c>
      <c r="O29" s="320"/>
      <c r="P29" s="152">
        <f>L25</f>
        <v>0</v>
      </c>
    </row>
    <row r="30" spans="1:17" x14ac:dyDescent="0.35">
      <c r="B30" s="311"/>
      <c r="C30" s="312"/>
      <c r="D30" s="312"/>
      <c r="E30" s="312"/>
      <c r="F30" s="312"/>
      <c r="G30" s="312"/>
      <c r="H30" s="312"/>
      <c r="I30" s="312"/>
      <c r="J30" s="312"/>
      <c r="K30" s="312"/>
      <c r="L30" s="313"/>
      <c r="N30" s="319" t="s">
        <v>4</v>
      </c>
      <c r="O30" s="320"/>
      <c r="P30" s="153">
        <f>K25</f>
        <v>0</v>
      </c>
    </row>
    <row r="31" spans="1:17" x14ac:dyDescent="0.35">
      <c r="B31" s="311"/>
      <c r="C31" s="312"/>
      <c r="D31" s="312"/>
      <c r="E31" s="312"/>
      <c r="F31" s="312"/>
      <c r="G31" s="312"/>
      <c r="H31" s="312"/>
      <c r="I31" s="312"/>
      <c r="J31" s="312"/>
      <c r="K31" s="312"/>
      <c r="L31" s="313"/>
      <c r="M31" s="2"/>
      <c r="N31" s="319" t="s">
        <v>88</v>
      </c>
      <c r="O31" s="320"/>
      <c r="P31" s="152">
        <f>P28-P29-P30</f>
        <v>0</v>
      </c>
    </row>
    <row r="32" spans="1:17" x14ac:dyDescent="0.35">
      <c r="B32" s="311"/>
      <c r="C32" s="312"/>
      <c r="D32" s="312"/>
      <c r="E32" s="312"/>
      <c r="F32" s="312"/>
      <c r="G32" s="312"/>
      <c r="H32" s="312"/>
      <c r="I32" s="312"/>
      <c r="J32" s="312"/>
      <c r="K32" s="312"/>
      <c r="L32" s="31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1"/>
      <c r="C33" s="312"/>
      <c r="D33" s="312"/>
      <c r="E33" s="312"/>
      <c r="F33" s="312"/>
      <c r="G33" s="312"/>
      <c r="H33" s="312"/>
      <c r="I33" s="312"/>
      <c r="J33" s="312"/>
      <c r="K33" s="312"/>
      <c r="L33" s="313"/>
      <c r="M33" s="2"/>
      <c r="N33" s="321" t="s">
        <v>90</v>
      </c>
      <c r="O33" s="322"/>
      <c r="P33" s="152">
        <f>P31+P32</f>
        <v>0</v>
      </c>
    </row>
    <row r="34" spans="2:16" ht="15" thickBot="1" x14ac:dyDescent="0.4">
      <c r="B34" s="314"/>
      <c r="C34" s="315"/>
      <c r="D34" s="315"/>
      <c r="E34" s="315"/>
      <c r="F34" s="315"/>
      <c r="G34" s="315"/>
      <c r="H34" s="315"/>
      <c r="I34" s="315"/>
      <c r="J34" s="315"/>
      <c r="K34" s="315"/>
      <c r="L34" s="31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9" t="s">
        <v>92</v>
      </c>
      <c r="O35" s="300"/>
      <c r="P35" s="159">
        <f>P33+P34</f>
        <v>0</v>
      </c>
    </row>
    <row r="36" spans="2:16" ht="15" thickBot="1" x14ac:dyDescent="0.4">
      <c r="B36" s="160" t="s">
        <v>93</v>
      </c>
      <c r="C36" s="301"/>
      <c r="D36" s="301"/>
      <c r="E36" s="301"/>
      <c r="F36" s="301"/>
      <c r="G36" s="301"/>
      <c r="H36" s="301"/>
      <c r="I36" s="302"/>
      <c r="J36" s="303"/>
      <c r="K36" s="304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4:Q22"/>
  <sheetViews>
    <sheetView workbookViewId="0">
      <selection activeCell="N5" sqref="N5:P5"/>
    </sheetView>
  </sheetViews>
  <sheetFormatPr defaultRowHeight="14.5" x14ac:dyDescent="0.35"/>
  <sheetData>
    <row r="4" spans="1:17" x14ac:dyDescent="0.35">
      <c r="N4" s="278">
        <v>46202</v>
      </c>
    </row>
    <row r="5" spans="1:17" x14ac:dyDescent="0.35">
      <c r="A5" t="s">
        <v>101</v>
      </c>
    </row>
    <row r="6" spans="1:17" x14ac:dyDescent="0.35">
      <c r="A6" t="s">
        <v>106</v>
      </c>
    </row>
    <row r="16" spans="1:17" x14ac:dyDescent="0.35">
      <c r="H16">
        <v>0</v>
      </c>
      <c r="Q16">
        <v>0</v>
      </c>
    </row>
    <row r="17" spans="8:17" x14ac:dyDescent="0.35">
      <c r="H17">
        <v>0</v>
      </c>
      <c r="Q17">
        <v>0</v>
      </c>
    </row>
    <row r="18" spans="8:17" x14ac:dyDescent="0.35">
      <c r="H18">
        <v>0</v>
      </c>
      <c r="Q18">
        <v>0</v>
      </c>
    </row>
    <row r="19" spans="8:17" x14ac:dyDescent="0.35">
      <c r="H19">
        <v>0</v>
      </c>
      <c r="Q19">
        <v>0</v>
      </c>
    </row>
    <row r="20" spans="8:17" x14ac:dyDescent="0.35">
      <c r="H20">
        <v>0</v>
      </c>
      <c r="Q20">
        <v>0</v>
      </c>
    </row>
    <row r="21" spans="8:17" x14ac:dyDescent="0.35">
      <c r="H21">
        <v>0</v>
      </c>
      <c r="Q21">
        <v>0</v>
      </c>
    </row>
    <row r="22" spans="8:17" x14ac:dyDescent="0.35">
      <c r="H22">
        <v>0</v>
      </c>
      <c r="Q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2</vt:i4>
      </vt:variant>
    </vt:vector>
  </HeadingPairs>
  <TitlesOfParts>
    <vt:vector size="3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'2'!Print_Area</vt:lpstr>
      <vt:lpstr>'4'!Print_Area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2026-08-12T07:02:31Z</dcterms:modified>
</cp:coreProperties>
</file>