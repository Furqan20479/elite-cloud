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5F7C605-BE78-4E35-B552-FB897D76EA15}" xr6:coauthVersionLast="47" xr6:coauthVersionMax="47" xr10:uidLastSave="{00000000-0000-0000-0000-000000000000}"/>
  <bookViews>
    <workbookView xWindow="-110" yWindow="-110" windowWidth="19420" windowHeight="10420" tabRatio="949" activeTab="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5">'3'!$A$1:$Q$37</definedName>
    <definedName name="_xlnm.Print_Area" localSheetId="7">'5'!$A$1:$Q$37</definedName>
    <definedName name="_xlnm.Print_Area" localSheetId="8">'6'!$A$1:$Q$37</definedName>
  </definedNames>
  <calcPr calcId="191029"/>
</workbook>
</file>

<file path=xl/calcChain.xml><?xml version="1.0" encoding="utf-8"?>
<calcChain xmlns="http://schemas.openxmlformats.org/spreadsheetml/2006/main">
  <c r="Q25" i="18" l="1"/>
  <c r="H17" i="15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B24" i="39"/>
  <c r="C24" i="39" s="1"/>
  <c r="F23" i="39"/>
  <c r="E23" i="39"/>
  <c r="D23" i="39"/>
  <c r="C23" i="39"/>
  <c r="B23" i="39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16" i="38" l="1"/>
  <c r="I18" i="38"/>
  <c r="I20" i="38"/>
  <c r="I22" i="37"/>
  <c r="K22" i="37" s="1"/>
  <c r="I23" i="39"/>
  <c r="I17" i="38"/>
  <c r="I19" i="38"/>
  <c r="I21" i="38"/>
  <c r="K21" i="38" s="1"/>
  <c r="I22" i="38"/>
  <c r="I23" i="38"/>
  <c r="I24" i="38"/>
  <c r="I24" i="39"/>
  <c r="I16" i="40"/>
  <c r="I17" i="40"/>
  <c r="I18" i="40"/>
  <c r="I19" i="40"/>
  <c r="L19" i="40" s="1"/>
  <c r="I20" i="40"/>
  <c r="I21" i="40"/>
  <c r="I22" i="40"/>
  <c r="I23" i="40"/>
  <c r="L23" i="40" s="1"/>
  <c r="I24" i="40"/>
  <c r="I16" i="41"/>
  <c r="I17" i="41"/>
  <c r="K17" i="41" s="1"/>
  <c r="I18" i="41"/>
  <c r="L18" i="41" s="1"/>
  <c r="I19" i="41"/>
  <c r="I20" i="41"/>
  <c r="I21" i="41"/>
  <c r="I22" i="41"/>
  <c r="K22" i="41" s="1"/>
  <c r="I23" i="41"/>
  <c r="I24" i="41"/>
  <c r="I16" i="36"/>
  <c r="I25" i="36" s="1"/>
  <c r="P28" i="36" s="1"/>
  <c r="I17" i="36"/>
  <c r="K17" i="36" s="1"/>
  <c r="I18" i="36"/>
  <c r="I19" i="36"/>
  <c r="I20" i="36"/>
  <c r="I21" i="36"/>
  <c r="K21" i="36" s="1"/>
  <c r="I22" i="36"/>
  <c r="I23" i="36"/>
  <c r="I24" i="36"/>
  <c r="K18" i="36"/>
  <c r="L18" i="36"/>
  <c r="K19" i="36"/>
  <c r="L19" i="36"/>
  <c r="K22" i="36"/>
  <c r="M22" i="36" s="1"/>
  <c r="L22" i="36"/>
  <c r="K16" i="36"/>
  <c r="L16" i="36"/>
  <c r="K24" i="36"/>
  <c r="L24" i="36"/>
  <c r="K20" i="36"/>
  <c r="L20" i="36"/>
  <c r="K23" i="36"/>
  <c r="M23" i="36" s="1"/>
  <c r="L23" i="36"/>
  <c r="I25" i="42"/>
  <c r="P28" i="42" s="1"/>
  <c r="K16" i="42"/>
  <c r="M16" i="42" s="1"/>
  <c r="L16" i="42"/>
  <c r="K18" i="42"/>
  <c r="L18" i="42"/>
  <c r="K20" i="42"/>
  <c r="L20" i="42"/>
  <c r="K22" i="42"/>
  <c r="L22" i="42"/>
  <c r="K23" i="42"/>
  <c r="M23" i="42" s="1"/>
  <c r="L23" i="42"/>
  <c r="K17" i="42"/>
  <c r="L17" i="42"/>
  <c r="K19" i="42"/>
  <c r="L19" i="42"/>
  <c r="K21" i="42"/>
  <c r="L21" i="42"/>
  <c r="K24" i="42"/>
  <c r="L24" i="42"/>
  <c r="K16" i="41"/>
  <c r="L16" i="41"/>
  <c r="L17" i="41"/>
  <c r="K18" i="41"/>
  <c r="K19" i="41"/>
  <c r="L19" i="41"/>
  <c r="M19" i="41" s="1"/>
  <c r="K20" i="41"/>
  <c r="M20" i="41" s="1"/>
  <c r="L20" i="41"/>
  <c r="K21" i="41"/>
  <c r="L21" i="41"/>
  <c r="K23" i="41"/>
  <c r="M23" i="41"/>
  <c r="L23" i="41"/>
  <c r="K24" i="41"/>
  <c r="L24" i="41"/>
  <c r="I25" i="40"/>
  <c r="P28" i="40" s="1"/>
  <c r="K16" i="40"/>
  <c r="M16" i="40" s="1"/>
  <c r="L16" i="40"/>
  <c r="K17" i="40"/>
  <c r="L17" i="40"/>
  <c r="K18" i="40"/>
  <c r="L18" i="40"/>
  <c r="K19" i="40"/>
  <c r="K20" i="40"/>
  <c r="L20" i="40"/>
  <c r="M20" i="40" s="1"/>
  <c r="K21" i="40"/>
  <c r="M21" i="40" s="1"/>
  <c r="L21" i="40"/>
  <c r="K22" i="40"/>
  <c r="L22" i="40"/>
  <c r="K23" i="40"/>
  <c r="K24" i="40"/>
  <c r="L24" i="40"/>
  <c r="M24" i="40" s="1"/>
  <c r="K23" i="39"/>
  <c r="M23" i="39" s="1"/>
  <c r="L23" i="39"/>
  <c r="L24" i="39"/>
  <c r="K16" i="39"/>
  <c r="L16" i="39"/>
  <c r="K17" i="39"/>
  <c r="L17" i="39"/>
  <c r="K18" i="39"/>
  <c r="L18" i="39"/>
  <c r="K19" i="39"/>
  <c r="L19" i="39"/>
  <c r="K20" i="39"/>
  <c r="L20" i="39"/>
  <c r="M20" i="39" s="1"/>
  <c r="K21" i="39"/>
  <c r="L21" i="39"/>
  <c r="M21" i="39"/>
  <c r="K22" i="39"/>
  <c r="L22" i="39"/>
  <c r="K17" i="38"/>
  <c r="L17" i="38"/>
  <c r="K20" i="38"/>
  <c r="L20" i="38"/>
  <c r="K22" i="38"/>
  <c r="L22" i="38"/>
  <c r="K23" i="38"/>
  <c r="M23" i="38" s="1"/>
  <c r="L23" i="38"/>
  <c r="K16" i="38"/>
  <c r="L16" i="38"/>
  <c r="K18" i="38"/>
  <c r="L18" i="38"/>
  <c r="K19" i="38"/>
  <c r="L19" i="38"/>
  <c r="K24" i="38"/>
  <c r="M24" i="38" s="1"/>
  <c r="L24" i="38"/>
  <c r="K16" i="37"/>
  <c r="L16" i="37"/>
  <c r="K17" i="37"/>
  <c r="L17" i="37"/>
  <c r="K20" i="37"/>
  <c r="M20" i="37" s="1"/>
  <c r="L20" i="37"/>
  <c r="K24" i="37"/>
  <c r="M24" i="37" s="1"/>
  <c r="L24" i="37"/>
  <c r="K19" i="37"/>
  <c r="L19" i="37"/>
  <c r="K23" i="37"/>
  <c r="M23" i="37" s="1"/>
  <c r="L23" i="37"/>
  <c r="K18" i="37"/>
  <c r="L18" i="37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L22" i="37" l="1"/>
  <c r="I25" i="37"/>
  <c r="P28" i="37" s="1"/>
  <c r="L21" i="38"/>
  <c r="M21" i="38" s="1"/>
  <c r="N21" i="38" s="1"/>
  <c r="O21" i="38" s="1"/>
  <c r="I25" i="38"/>
  <c r="P28" i="38" s="1"/>
  <c r="M16" i="39"/>
  <c r="K24" i="39"/>
  <c r="M24" i="39" s="1"/>
  <c r="M21" i="41"/>
  <c r="N21" i="41" s="1"/>
  <c r="I25" i="41"/>
  <c r="P28" i="41" s="1"/>
  <c r="M24" i="36"/>
  <c r="M16" i="36"/>
  <c r="N16" i="36" s="1"/>
  <c r="I17" i="33"/>
  <c r="L17" i="33" s="1"/>
  <c r="I24" i="33"/>
  <c r="M22" i="38"/>
  <c r="I25" i="39"/>
  <c r="P28" i="39" s="1"/>
  <c r="M22" i="40"/>
  <c r="M18" i="40"/>
  <c r="N18" i="40" s="1"/>
  <c r="O18" i="40" s="1"/>
  <c r="M24" i="41"/>
  <c r="L22" i="41"/>
  <c r="M22" i="41" s="1"/>
  <c r="N22" i="41" s="1"/>
  <c r="O22" i="41" s="1"/>
  <c r="M24" i="42"/>
  <c r="N24" i="42" s="1"/>
  <c r="O24" i="42" s="1"/>
  <c r="M22" i="42"/>
  <c r="N22" i="42" s="1"/>
  <c r="O22" i="42" s="1"/>
  <c r="M18" i="42"/>
  <c r="L17" i="36"/>
  <c r="M17" i="36" s="1"/>
  <c r="N17" i="36" s="1"/>
  <c r="O17" i="36" s="1"/>
  <c r="L21" i="36"/>
  <c r="M21" i="36" s="1"/>
  <c r="N21" i="36" s="1"/>
  <c r="O21" i="36" s="1"/>
  <c r="M23" i="40"/>
  <c r="M19" i="40"/>
  <c r="M18" i="41"/>
  <c r="N18" i="41" s="1"/>
  <c r="O18" i="41" s="1"/>
  <c r="M22" i="39"/>
  <c r="N22" i="39" s="1"/>
  <c r="O22" i="39" s="1"/>
  <c r="M21" i="42"/>
  <c r="M19" i="39"/>
  <c r="M19" i="42"/>
  <c r="N19" i="42" s="1"/>
  <c r="O19" i="42" s="1"/>
  <c r="M18" i="37"/>
  <c r="N18" i="37" s="1"/>
  <c r="O18" i="37" s="1"/>
  <c r="P18" i="37" s="1"/>
  <c r="M18" i="38"/>
  <c r="M18" i="39"/>
  <c r="M16" i="41"/>
  <c r="N16" i="41" s="1"/>
  <c r="M17" i="38"/>
  <c r="M17" i="41"/>
  <c r="M19" i="38"/>
  <c r="N19" i="38" s="1"/>
  <c r="O19" i="38" s="1"/>
  <c r="M20" i="38"/>
  <c r="M19" i="36"/>
  <c r="N19" i="36" s="1"/>
  <c r="O19" i="36" s="1"/>
  <c r="M20" i="36"/>
  <c r="N20" i="36" s="1"/>
  <c r="M18" i="36"/>
  <c r="N18" i="36" s="1"/>
  <c r="O18" i="36" s="1"/>
  <c r="N24" i="36"/>
  <c r="O24" i="36" s="1"/>
  <c r="N23" i="36"/>
  <c r="O23" i="36" s="1"/>
  <c r="P23" i="36"/>
  <c r="K25" i="36"/>
  <c r="P30" i="36" s="1"/>
  <c r="N22" i="36"/>
  <c r="O22" i="36" s="1"/>
  <c r="P22" i="36" s="1"/>
  <c r="M20" i="42"/>
  <c r="M17" i="42"/>
  <c r="N17" i="42" s="1"/>
  <c r="O17" i="42" s="1"/>
  <c r="N20" i="42"/>
  <c r="O20" i="42" s="1"/>
  <c r="N16" i="42"/>
  <c r="N18" i="42"/>
  <c r="O18" i="42" s="1"/>
  <c r="L25" i="42"/>
  <c r="P29" i="42" s="1"/>
  <c r="N21" i="42"/>
  <c r="O21" i="42" s="1"/>
  <c r="N23" i="42"/>
  <c r="O23" i="42" s="1"/>
  <c r="K25" i="42"/>
  <c r="P30" i="42" s="1"/>
  <c r="N17" i="41"/>
  <c r="O17" i="41" s="1"/>
  <c r="N24" i="41"/>
  <c r="O24" i="41" s="1"/>
  <c r="P24" i="41"/>
  <c r="N19" i="41"/>
  <c r="O19" i="41" s="1"/>
  <c r="K25" i="41"/>
  <c r="P30" i="41" s="1"/>
  <c r="N23" i="41"/>
  <c r="O23" i="41" s="1"/>
  <c r="P23" i="41"/>
  <c r="N20" i="41"/>
  <c r="O20" i="41" s="1"/>
  <c r="M17" i="40"/>
  <c r="M17" i="39"/>
  <c r="M21" i="37"/>
  <c r="N21" i="37" s="1"/>
  <c r="O21" i="37" s="1"/>
  <c r="M19" i="37"/>
  <c r="N19" i="37" s="1"/>
  <c r="M22" i="37"/>
  <c r="N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N16" i="40"/>
  <c r="K25" i="40"/>
  <c r="P30" i="40" s="1"/>
  <c r="N22" i="40"/>
  <c r="O22" i="40" s="1"/>
  <c r="N19" i="40"/>
  <c r="O19" i="40" s="1"/>
  <c r="N23" i="39"/>
  <c r="O23" i="39" s="1"/>
  <c r="N18" i="39"/>
  <c r="O18" i="39" s="1"/>
  <c r="N17" i="39"/>
  <c r="O17" i="39" s="1"/>
  <c r="N21" i="39"/>
  <c r="O21" i="39" s="1"/>
  <c r="L25" i="39"/>
  <c r="P29" i="39" s="1"/>
  <c r="N20" i="39"/>
  <c r="O20" i="39" s="1"/>
  <c r="N19" i="39"/>
  <c r="O19" i="39" s="1"/>
  <c r="N16" i="39"/>
  <c r="N20" i="38"/>
  <c r="O20" i="38" s="1"/>
  <c r="N18" i="38"/>
  <c r="O18" i="38" s="1"/>
  <c r="N17" i="38"/>
  <c r="O17" i="38" s="1"/>
  <c r="N22" i="38"/>
  <c r="O22" i="38" s="1"/>
  <c r="N24" i="38"/>
  <c r="O24" i="38" s="1"/>
  <c r="K25" i="38"/>
  <c r="P30" i="38" s="1"/>
  <c r="N23" i="38"/>
  <c r="O23" i="38" s="1"/>
  <c r="M16" i="38"/>
  <c r="N17" i="37"/>
  <c r="O17" i="37" s="1"/>
  <c r="N23" i="37"/>
  <c r="O23" i="37" s="1"/>
  <c r="N20" i="37"/>
  <c r="O20" i="37" s="1"/>
  <c r="L25" i="37"/>
  <c r="P29" i="37" s="1"/>
  <c r="M16" i="37"/>
  <c r="K25" i="37"/>
  <c r="P30" i="37" s="1"/>
  <c r="N24" i="37"/>
  <c r="O24" i="37" s="1"/>
  <c r="P24" i="37"/>
  <c r="K17" i="33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L22" i="28" s="1"/>
  <c r="I23" i="28"/>
  <c r="L23" i="28" s="1"/>
  <c r="I24" i="28"/>
  <c r="I22" i="32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K22" i="33" s="1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K23" i="34" s="1"/>
  <c r="I24" i="34"/>
  <c r="L24" i="34" s="1"/>
  <c r="I16" i="29"/>
  <c r="L16" i="29" s="1"/>
  <c r="I17" i="29"/>
  <c r="I18" i="29"/>
  <c r="I19" i="29"/>
  <c r="I20" i="29"/>
  <c r="I21" i="29"/>
  <c r="L21" i="29" s="1"/>
  <c r="I22" i="29"/>
  <c r="L22" i="29" s="1"/>
  <c r="I23" i="29"/>
  <c r="L23" i="29" s="1"/>
  <c r="I24" i="29"/>
  <c r="I24" i="32"/>
  <c r="K24" i="32" s="1"/>
  <c r="I19" i="33"/>
  <c r="L19" i="33" s="1"/>
  <c r="I23" i="33"/>
  <c r="L23" i="33" s="1"/>
  <c r="I25" i="35"/>
  <c r="P28" i="35" s="1"/>
  <c r="K16" i="35"/>
  <c r="K17" i="35"/>
  <c r="K18" i="35"/>
  <c r="K19" i="35"/>
  <c r="K20" i="35"/>
  <c r="K21" i="35"/>
  <c r="K22" i="35"/>
  <c r="L22" i="35"/>
  <c r="M22" i="35"/>
  <c r="K23" i="35"/>
  <c r="L23" i="35"/>
  <c r="K24" i="35"/>
  <c r="L24" i="35"/>
  <c r="K17" i="34"/>
  <c r="K21" i="33"/>
  <c r="K24" i="33"/>
  <c r="L24" i="33"/>
  <c r="L24" i="32"/>
  <c r="K16" i="32"/>
  <c r="K22" i="32"/>
  <c r="L22" i="32"/>
  <c r="K24" i="31"/>
  <c r="L24" i="31"/>
  <c r="K16" i="31"/>
  <c r="L23" i="31"/>
  <c r="L23" i="30"/>
  <c r="K16" i="30"/>
  <c r="K24" i="30"/>
  <c r="L24" i="30"/>
  <c r="K24" i="29"/>
  <c r="L24" i="29"/>
  <c r="K22" i="29"/>
  <c r="K16" i="28"/>
  <c r="K17" i="28"/>
  <c r="K22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N24" i="39" l="1"/>
  <c r="O24" i="39" s="1"/>
  <c r="M25" i="39"/>
  <c r="O21" i="41"/>
  <c r="P21" i="41" s="1"/>
  <c r="M17" i="33"/>
  <c r="L22" i="30"/>
  <c r="K19" i="33"/>
  <c r="L23" i="34"/>
  <c r="L25" i="38"/>
  <c r="P29" i="38" s="1"/>
  <c r="M24" i="29"/>
  <c r="K21" i="30"/>
  <c r="M21" i="30" s="1"/>
  <c r="N21" i="30" s="1"/>
  <c r="O21" i="30" s="1"/>
  <c r="L23" i="32"/>
  <c r="M23" i="32" s="1"/>
  <c r="L22" i="33"/>
  <c r="L25" i="41"/>
  <c r="P29" i="41" s="1"/>
  <c r="M25" i="41"/>
  <c r="L25" i="36"/>
  <c r="P29" i="36" s="1"/>
  <c r="P24" i="36"/>
  <c r="P17" i="38"/>
  <c r="K17" i="30"/>
  <c r="M17" i="30" s="1"/>
  <c r="N17" i="30" s="1"/>
  <c r="O17" i="30" s="1"/>
  <c r="K17" i="31"/>
  <c r="L22" i="34"/>
  <c r="M23" i="30"/>
  <c r="P22" i="38"/>
  <c r="K25" i="39"/>
  <c r="P30" i="39" s="1"/>
  <c r="M25" i="40"/>
  <c r="P23" i="42"/>
  <c r="O22" i="37"/>
  <c r="P22" i="37" s="1"/>
  <c r="P22" i="40"/>
  <c r="K21" i="32"/>
  <c r="P20" i="40"/>
  <c r="P31" i="41"/>
  <c r="P19" i="40"/>
  <c r="P19" i="41"/>
  <c r="P18" i="38"/>
  <c r="M25" i="36"/>
  <c r="P31" i="39"/>
  <c r="P18" i="41"/>
  <c r="P31" i="38"/>
  <c r="P17" i="39"/>
  <c r="P17" i="36"/>
  <c r="K17" i="32"/>
  <c r="M17" i="32" s="1"/>
  <c r="N17" i="32" s="1"/>
  <c r="O17" i="32" s="1"/>
  <c r="P19" i="38"/>
  <c r="M23" i="34"/>
  <c r="N23" i="34" s="1"/>
  <c r="O23" i="34" s="1"/>
  <c r="P23" i="34" s="1"/>
  <c r="L22" i="31"/>
  <c r="M22" i="31" s="1"/>
  <c r="N22" i="31" s="1"/>
  <c r="O22" i="31" s="1"/>
  <c r="P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16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M18" i="34" s="1"/>
  <c r="N18" i="34" s="1"/>
  <c r="O18" i="34" s="1"/>
  <c r="P18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L20" i="32"/>
  <c r="K19" i="32"/>
  <c r="K18" i="32"/>
  <c r="L18" i="32"/>
  <c r="K21" i="31"/>
  <c r="L21" i="31"/>
  <c r="K20" i="31"/>
  <c r="M20" i="31" s="1"/>
  <c r="N20" i="31" s="1"/>
  <c r="O20" i="31" s="1"/>
  <c r="K19" i="31"/>
  <c r="M19" i="31" s="1"/>
  <c r="N19" i="31" s="1"/>
  <c r="O19" i="31" s="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L25" i="28" s="1"/>
  <c r="P29" i="28" s="1"/>
  <c r="K20" i="28"/>
  <c r="L20" i="28"/>
  <c r="K21" i="29"/>
  <c r="M21" i="29" s="1"/>
  <c r="N21" i="29" s="1"/>
  <c r="O21" i="29" s="1"/>
  <c r="I25" i="28"/>
  <c r="P28" i="28" s="1"/>
  <c r="M17" i="28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N23" i="28" s="1"/>
  <c r="O23" i="28" s="1"/>
  <c r="P23" i="28" s="1"/>
  <c r="K23" i="29"/>
  <c r="M22" i="29"/>
  <c r="K24" i="34"/>
  <c r="M24" i="34" s="1"/>
  <c r="M21" i="35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M16" i="33" s="1"/>
  <c r="M24" i="33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N19" i="35" s="1"/>
  <c r="O19" i="35" s="1"/>
  <c r="M20" i="35"/>
  <c r="N20" i="35" s="1"/>
  <c r="O20" i="35" s="1"/>
  <c r="P20" i="35" s="1"/>
  <c r="M21" i="32"/>
  <c r="N21" i="32" s="1"/>
  <c r="O21" i="32" s="1"/>
  <c r="M22" i="34"/>
  <c r="N22" i="34" s="1"/>
  <c r="O22" i="34" s="1"/>
  <c r="M21" i="28"/>
  <c r="N21" i="28" s="1"/>
  <c r="O21" i="28" s="1"/>
  <c r="M16" i="30"/>
  <c r="N16" i="30" s="1"/>
  <c r="L25" i="30"/>
  <c r="P29" i="30" s="1"/>
  <c r="M20" i="28"/>
  <c r="N20" i="28" s="1"/>
  <c r="O20" i="28" s="1"/>
  <c r="P20" i="28" s="1"/>
  <c r="N24" i="35"/>
  <c r="O24" i="35" s="1"/>
  <c r="P24" i="35" s="1"/>
  <c r="N22" i="35"/>
  <c r="O22" i="35" s="1"/>
  <c r="N21" i="35"/>
  <c r="O21" i="35" s="1"/>
  <c r="K25" i="35"/>
  <c r="P30" i="35" s="1"/>
  <c r="N23" i="35"/>
  <c r="O23" i="35" s="1"/>
  <c r="L25" i="35"/>
  <c r="P29" i="35" s="1"/>
  <c r="M16" i="35"/>
  <c r="N24" i="33"/>
  <c r="O24" i="33" s="1"/>
  <c r="N17" i="33"/>
  <c r="O17" i="33" s="1"/>
  <c r="N22" i="33"/>
  <c r="O22" i="33" s="1"/>
  <c r="N23" i="32"/>
  <c r="O23" i="32" s="1"/>
  <c r="N24" i="32"/>
  <c r="O24" i="32" s="1"/>
  <c r="P24" i="32" s="1"/>
  <c r="N24" i="31"/>
  <c r="O24" i="31" s="1"/>
  <c r="N23" i="31"/>
  <c r="O23" i="31" s="1"/>
  <c r="M16" i="31"/>
  <c r="K25" i="31"/>
  <c r="P30" i="31" s="1"/>
  <c r="N22" i="30"/>
  <c r="O22" i="30" s="1"/>
  <c r="P22" i="30" s="1"/>
  <c r="N23" i="30"/>
  <c r="O23" i="30" s="1"/>
  <c r="N22" i="29"/>
  <c r="O22" i="29" s="1"/>
  <c r="N24" i="29"/>
  <c r="O24" i="29" s="1"/>
  <c r="P24" i="29" s="1"/>
  <c r="N24" i="28"/>
  <c r="O24" i="28" s="1"/>
  <c r="P24" i="28" s="1"/>
  <c r="M16" i="28"/>
  <c r="N17" i="28"/>
  <c r="O17" i="28" s="1"/>
  <c r="J25" i="15"/>
  <c r="K16" i="27"/>
  <c r="K17" i="27"/>
  <c r="K20" i="27"/>
  <c r="K21" i="27"/>
  <c r="K22" i="27"/>
  <c r="L22" i="27"/>
  <c r="K23" i="27"/>
  <c r="L23" i="27"/>
  <c r="K24" i="27"/>
  <c r="L24" i="27"/>
  <c r="K19" i="27"/>
  <c r="K18" i="27"/>
  <c r="L22" i="26"/>
  <c r="K23" i="26"/>
  <c r="L23" i="26"/>
  <c r="T23" i="15"/>
  <c r="T22" i="15"/>
  <c r="T21" i="15"/>
  <c r="T19" i="15"/>
  <c r="T18" i="15"/>
  <c r="T17" i="15"/>
  <c r="T16" i="15"/>
  <c r="T15" i="15"/>
  <c r="T14" i="15"/>
  <c r="K24" i="26" l="1"/>
  <c r="I25" i="27"/>
  <c r="P28" i="27" s="1"/>
  <c r="M18" i="28"/>
  <c r="N18" i="28" s="1"/>
  <c r="O18" i="28" s="1"/>
  <c r="P18" i="28" s="1"/>
  <c r="M18" i="30"/>
  <c r="N18" i="30" s="1"/>
  <c r="O18" i="30" s="1"/>
  <c r="P18" i="30" s="1"/>
  <c r="M21" i="31"/>
  <c r="N21" i="31" s="1"/>
  <c r="O21" i="31" s="1"/>
  <c r="M20" i="33"/>
  <c r="N20" i="33" s="1"/>
  <c r="O20" i="33" s="1"/>
  <c r="O25" i="41"/>
  <c r="M24" i="26"/>
  <c r="K25" i="28"/>
  <c r="P30" i="28" s="1"/>
  <c r="M19" i="28"/>
  <c r="N19" i="28" s="1"/>
  <c r="O19" i="28" s="1"/>
  <c r="M17" i="29"/>
  <c r="N17" i="29" s="1"/>
  <c r="O17" i="29" s="1"/>
  <c r="P17" i="29" s="1"/>
  <c r="P24" i="39"/>
  <c r="P25" i="39" s="1"/>
  <c r="L25" i="31"/>
  <c r="P29" i="31" s="1"/>
  <c r="P33" i="39"/>
  <c r="M20" i="29"/>
  <c r="N20" i="29" s="1"/>
  <c r="O20" i="29" s="1"/>
  <c r="M20" i="32"/>
  <c r="N20" i="32" s="1"/>
  <c r="O20" i="32" s="1"/>
  <c r="K25" i="33"/>
  <c r="P30" i="33" s="1"/>
  <c r="M20" i="30"/>
  <c r="N20" i="30" s="1"/>
  <c r="O20" i="30" s="1"/>
  <c r="L25" i="34"/>
  <c r="P29" i="34" s="1"/>
  <c r="P33" i="41"/>
  <c r="P34" i="41" s="1"/>
  <c r="P35" i="41" s="1"/>
  <c r="U39" i="15" s="1"/>
  <c r="M18" i="29"/>
  <c r="N18" i="29" s="1"/>
  <c r="O18" i="29" s="1"/>
  <c r="O25" i="40"/>
  <c r="N25" i="40"/>
  <c r="P32" i="40" s="1"/>
  <c r="P33" i="40" s="1"/>
  <c r="P17" i="40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16" i="41"/>
  <c r="P25" i="41" s="1"/>
  <c r="P16" i="40"/>
  <c r="P34" i="40"/>
  <c r="P35" i="40" s="1"/>
  <c r="U38" i="15" s="1"/>
  <c r="P34" i="39"/>
  <c r="P35" i="39" s="1"/>
  <c r="U37" i="15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I25" i="26"/>
  <c r="P28" i="26" s="1"/>
  <c r="M23" i="27"/>
  <c r="P23" i="32"/>
  <c r="P23" i="31"/>
  <c r="P17" i="31"/>
  <c r="P19" i="32"/>
  <c r="P22" i="35"/>
  <c r="P17" i="32"/>
  <c r="P17" i="33"/>
  <c r="P21" i="31"/>
  <c r="P31" i="31"/>
  <c r="P20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M25" i="33"/>
  <c r="N16" i="33"/>
  <c r="P22" i="33"/>
  <c r="P21" i="33"/>
  <c r="P24" i="33"/>
  <c r="P23" i="33"/>
  <c r="O16" i="32"/>
  <c r="P18" i="32"/>
  <c r="P21" i="32"/>
  <c r="P19" i="31"/>
  <c r="N16" i="31"/>
  <c r="O16" i="30"/>
  <c r="P23" i="30"/>
  <c r="P17" i="30"/>
  <c r="P20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N23" i="27"/>
  <c r="O23" i="27" s="1"/>
  <c r="N24" i="27"/>
  <c r="O24" i="27" s="1"/>
  <c r="L25" i="27"/>
  <c r="P29" i="27" s="1"/>
  <c r="K25" i="27"/>
  <c r="P30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19" i="28" l="1"/>
  <c r="M25" i="28"/>
  <c r="M25" i="31"/>
  <c r="O25" i="32"/>
  <c r="P20" i="33"/>
  <c r="P18" i="31"/>
  <c r="P18" i="29"/>
  <c r="P31" i="29"/>
  <c r="M17" i="26"/>
  <c r="N17" i="26" s="1"/>
  <c r="O17" i="26" s="1"/>
  <c r="P17" i="26" s="1"/>
  <c r="P19" i="29"/>
  <c r="N25" i="29"/>
  <c r="P32" i="29" s="1"/>
  <c r="O25" i="30"/>
  <c r="N25" i="32"/>
  <c r="P32" i="32" s="1"/>
  <c r="M25" i="30"/>
  <c r="P25" i="40"/>
  <c r="N25" i="30"/>
  <c r="P32" i="30" s="1"/>
  <c r="K25" i="26"/>
  <c r="P30" i="26" s="1"/>
  <c r="P20" i="29"/>
  <c r="P20" i="32"/>
  <c r="M25" i="32"/>
  <c r="P31" i="34"/>
  <c r="L25" i="26"/>
  <c r="P29" i="26" s="1"/>
  <c r="P31" i="32"/>
  <c r="M16" i="26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P33" i="32"/>
  <c r="P34" i="32" s="1"/>
  <c r="P35" i="32" s="1"/>
  <c r="U30" i="15" s="1"/>
  <c r="N25" i="34"/>
  <c r="P32" i="34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L17" i="20" s="1"/>
  <c r="I19" i="20"/>
  <c r="L19" i="20" s="1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L19" i="21" s="1"/>
  <c r="I21" i="21"/>
  <c r="L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L18" i="20" s="1"/>
  <c r="I20" i="20"/>
  <c r="L20" i="20" s="1"/>
  <c r="I22" i="20"/>
  <c r="I24" i="20"/>
  <c r="K24" i="20" s="1"/>
  <c r="I16" i="21"/>
  <c r="L16" i="21" s="1"/>
  <c r="I18" i="21"/>
  <c r="L18" i="21" s="1"/>
  <c r="I20" i="21"/>
  <c r="L20" i="21" s="1"/>
  <c r="I22" i="2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1" l="1"/>
  <c r="M22" i="21" s="1"/>
  <c r="N22" i="21" s="1"/>
  <c r="O22" i="21" s="1"/>
  <c r="L22" i="21"/>
  <c r="K22" i="20"/>
  <c r="L22" i="20"/>
  <c r="P31" i="26"/>
  <c r="K21" i="19"/>
  <c r="K22" i="18"/>
  <c r="M22" i="18" s="1"/>
  <c r="K21" i="18"/>
  <c r="M21" i="18" s="1"/>
  <c r="N21" i="18" s="1"/>
  <c r="O21" i="18" s="1"/>
  <c r="P33" i="34"/>
  <c r="P34" i="34" s="1"/>
  <c r="P35" i="34" s="1"/>
  <c r="U32" i="15" s="1"/>
  <c r="K18" i="19"/>
  <c r="M18" i="19" s="1"/>
  <c r="N18" i="19" s="1"/>
  <c r="O18" i="19" s="1"/>
  <c r="K20" i="17"/>
  <c r="L20" i="17"/>
  <c r="K16" i="17"/>
  <c r="L16" i="17"/>
  <c r="K19" i="17"/>
  <c r="M19" i="17" s="1"/>
  <c r="N19" i="17" s="1"/>
  <c r="O19" i="17" s="1"/>
  <c r="P19" i="17" s="1"/>
  <c r="L19" i="17"/>
  <c r="K17" i="17"/>
  <c r="L17" i="17"/>
  <c r="K18" i="17"/>
  <c r="L18" i="17"/>
  <c r="K19" i="18"/>
  <c r="L19" i="18"/>
  <c r="L25" i="18" s="1"/>
  <c r="P29" i="18" s="1"/>
  <c r="K17" i="20"/>
  <c r="M17" i="20" s="1"/>
  <c r="N17" i="20" s="1"/>
  <c r="O17" i="20" s="1"/>
  <c r="K19" i="20"/>
  <c r="K18" i="20"/>
  <c r="M18" i="20"/>
  <c r="N18" i="20" s="1"/>
  <c r="O18" i="20" s="1"/>
  <c r="K19" i="23"/>
  <c r="L19" i="23"/>
  <c r="M19" i="23" s="1"/>
  <c r="N19" i="23" s="1"/>
  <c r="O19" i="23" s="1"/>
  <c r="K21" i="23"/>
  <c r="L21" i="23"/>
  <c r="K17" i="25"/>
  <c r="M17" i="25" s="1"/>
  <c r="N17" i="25" s="1"/>
  <c r="O17" i="25" s="1"/>
  <c r="L22" i="25"/>
  <c r="L25" i="25" s="1"/>
  <c r="P29" i="25" s="1"/>
  <c r="K21" i="24"/>
  <c r="M21" i="24" s="1"/>
  <c r="N21" i="24" s="1"/>
  <c r="O21" i="24" s="1"/>
  <c r="K18" i="24"/>
  <c r="M18" i="24" s="1"/>
  <c r="N18" i="24" s="1"/>
  <c r="O18" i="24" s="1"/>
  <c r="L18" i="24"/>
  <c r="K20" i="24"/>
  <c r="L20" i="24"/>
  <c r="K21" i="21"/>
  <c r="K20" i="21"/>
  <c r="M20" i="21"/>
  <c r="N20" i="21" s="1"/>
  <c r="O20" i="21" s="1"/>
  <c r="K19" i="21"/>
  <c r="K18" i="21"/>
  <c r="M18" i="21" s="1"/>
  <c r="N18" i="21" s="1"/>
  <c r="O18" i="21" s="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24" i="21" s="1"/>
  <c r="N24" i="21" s="1"/>
  <c r="O24" i="21" s="1"/>
  <c r="P24" i="21" s="1"/>
  <c r="K17" i="19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3" i="20"/>
  <c r="N23" i="20" s="1"/>
  <c r="O23" i="20" s="1"/>
  <c r="I25" i="18"/>
  <c r="P28" i="18" s="1"/>
  <c r="I25" i="17"/>
  <c r="P28" i="17" s="1"/>
  <c r="M20" i="25"/>
  <c r="N20" i="25" s="1"/>
  <c r="O20" i="25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4" i="20"/>
  <c r="N24" i="20" s="1"/>
  <c r="O24" i="20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M16" i="25"/>
  <c r="N23" i="25"/>
  <c r="O23" i="25" s="1"/>
  <c r="P23" i="25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I23" i="15"/>
  <c r="M23" i="22" l="1"/>
  <c r="N23" i="22" s="1"/>
  <c r="O23" i="22" s="1"/>
  <c r="M22" i="25"/>
  <c r="N22" i="25" s="1"/>
  <c r="O22" i="25" s="1"/>
  <c r="M16" i="17"/>
  <c r="M19" i="20"/>
  <c r="N19" i="20" s="1"/>
  <c r="O19" i="20" s="1"/>
  <c r="M17" i="17"/>
  <c r="N17" i="17" s="1"/>
  <c r="O17" i="17" s="1"/>
  <c r="M21" i="21"/>
  <c r="N21" i="21" s="1"/>
  <c r="M21" i="23"/>
  <c r="N21" i="23" s="1"/>
  <c r="O21" i="23" s="1"/>
  <c r="M20" i="17"/>
  <c r="N20" i="17" s="1"/>
  <c r="O20" i="17" s="1"/>
  <c r="M19" i="21"/>
  <c r="N19" i="21" s="1"/>
  <c r="O19" i="21" s="1"/>
  <c r="M18" i="17"/>
  <c r="N18" i="17" s="1"/>
  <c r="O18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O21" i="21"/>
  <c r="P21" i="21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4" i="17"/>
  <c r="P18" i="17"/>
  <c r="P22" i="17"/>
  <c r="M25" i="20" l="1"/>
  <c r="P19" i="21"/>
  <c r="N25" i="21"/>
  <c r="P32" i="21" s="1"/>
  <c r="M25" i="21"/>
  <c r="P19" i="18"/>
  <c r="P20" i="17"/>
  <c r="N25" i="24"/>
  <c r="P32" i="24" s="1"/>
  <c r="P33" i="24" s="1"/>
  <c r="P34" i="24" s="1"/>
  <c r="P35" i="24" s="1"/>
  <c r="U22" i="15" s="1"/>
  <c r="M22" i="15"/>
  <c r="M25" i="19"/>
  <c r="M21" i="15"/>
  <c r="M16" i="16"/>
  <c r="N16" i="16" s="1"/>
  <c r="M16" i="15"/>
  <c r="M18" i="15"/>
  <c r="N16" i="18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P33" i="21" l="1"/>
  <c r="P34" i="21" s="1"/>
  <c r="P35" i="21" s="1"/>
  <c r="U19" i="15" s="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<sst xmlns="http://schemas.openxmlformats.org/spreadsheetml/2006/main" count="2004" uniqueCount="122">
  <si>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</si>
  <si>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</si>
  <si>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</si>
  <si>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</si>
  <si>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</si>
  <si>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</si>
  <si>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</si>
  <si>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</si>
  <si>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</si>
  <si>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</si>
  <si>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</si>
  <si>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</si>
  <si>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</si>
  <si>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</si>
  <si>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</si>
  <si>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</si>
  <si>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</si>
  <si>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</si>
  <si>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</si>
  <si>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</si>
  <si>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</si>
  <si>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</si>
  <si>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</si>
  <si>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</si>
  <si>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</si>
  <si>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</si>
  <si>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</si>
  <si>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</si>
  <si>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</si>
  <si>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</si>
  <si>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</si>
  <si>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</si>
  <si>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</si>
  <si>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</si>
  <si>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</si>
  <si>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</si>
  <si>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</si>
  <si>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</si>
  <si>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</si>
  <si>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</si>
  <si>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</si>
  <si>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</si>
  <si>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</si>
  <si>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</si>
  <si>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</si>
  <si>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</si>
  <si>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</si>
  <si>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</si>
  <si>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</si>
  <si>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</si>
  <si>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</si>
  <si>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</si>
  <si>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</si>
  <si>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</si>
  <si>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</si>
  <si>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</si>
  <si>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</si>
  <si>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</si>
  <si>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</si>
  <si>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</si>
  <si>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</si>
  <si>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</si>
  <si>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</si>
  <si>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</si>
  <si>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</si>
  <si>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</si>
  <si>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</si>
  <si>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</si>
  <si>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</si>
  <si>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</si>
  <si>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</si>
  <si>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</si>
  <si>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</si>
  <si>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</si>
  <si>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</si>
  <si>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</si>
  <si>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</si>
  <si>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</si>
  <si>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</si>
  <si>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</si>
  <si>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</si>
  <si>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</si>
  <si>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</si>
  <si>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</si>
  <si>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</si>
  <si>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</si>
  <si>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</si>
  <si>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</si>
  <si>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</si>
  <si>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</si>
  <si>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</si>
  <si>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</si>
  <si>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</si>
  <si>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</si>
  <si>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</si>
  <si>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</si>
  <si>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</si>
  <si>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</si>
  <si>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</si>
  <si>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</si>
  <si>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</si>
  <si>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3218709-2</t>
  </si>
  <si>
    <t>Shop Bill Summary (Gourmet)</t>
  </si>
  <si>
    <t xml:space="preserve">Address: </t>
  </si>
  <si>
    <t xml:space="preserve">Customer Name : </t>
  </si>
  <si>
    <t xml:space="preserve">Customer Name : Gourmet Food Johar Town </t>
  </si>
  <si>
    <t>Address: Johar Town B Block</t>
  </si>
  <si>
    <t>Customer Name : Gourmet Johar Town 12 G</t>
  </si>
  <si>
    <t xml:space="preserve">Address: Johar Town </t>
  </si>
  <si>
    <t xml:space="preserve">Customer Name : Gourmet Food Fizaya </t>
  </si>
  <si>
    <t xml:space="preserve">Address: Calevery Ground </t>
  </si>
  <si>
    <t>Customer Name : Gourmet Food Calevry</t>
  </si>
  <si>
    <t xml:space="preserve">Address: Lake City </t>
  </si>
  <si>
    <t>Customer Name : Lake city Mart</t>
  </si>
  <si>
    <t>7234288-7</t>
  </si>
  <si>
    <t>6958956-3</t>
  </si>
  <si>
    <t xml:space="preserve">Gourmet Lake City </t>
  </si>
  <si>
    <t>Customer Name : Galaxy Supermarket Lake City</t>
  </si>
  <si>
    <t>Address: Lake city Main Boulaevard</t>
  </si>
  <si>
    <t>ok</t>
  </si>
  <si>
    <t xml:space="preserve">Replace </t>
  </si>
  <si>
    <t>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</si>
</sst>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9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2" fontId="0" fillId="0" borderId="2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165" fontId="1" fillId="0" borderId="43" xfId="0" applyNumberFormat="1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P26" sqref="P2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P26" sqref="P26"/>
      <selection pane="topRight" activeCell="P26" sqref="P26"/>
      <selection pane="bottomLeft" activeCell="P26" sqref="P26"/>
      <selection pane="bottomRight" activeCell="P26" sqref="P2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84"/>
      <c r="B3" s="284"/>
      <c r="C3" s="284"/>
      <c r="D3" s="284"/>
      <c r="E3" s="284"/>
      <c r="F3" s="285"/>
      <c r="G3" s="285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</row>
    <row r="4" spans="1:29" x14ac:dyDescent="0.35">
      <c r="A4" s="286" t="s">
        <v>6</v>
      </c>
      <c r="B4" s="5" t="s">
        <v>7</v>
      </c>
      <c r="C4" s="5"/>
      <c r="D4" s="288" t="s">
        <v>8</v>
      </c>
      <c r="E4" s="290" t="s">
        <v>9</v>
      </c>
      <c r="F4" s="292" t="s">
        <v>3</v>
      </c>
      <c r="G4" s="292"/>
      <c r="H4" s="293" t="s">
        <v>10</v>
      </c>
      <c r="I4" s="293"/>
      <c r="J4" s="294" t="s">
        <v>11</v>
      </c>
      <c r="K4" s="295"/>
      <c r="L4" s="294" t="s">
        <v>12</v>
      </c>
      <c r="M4" s="295"/>
      <c r="N4" s="296" t="s">
        <v>13</v>
      </c>
      <c r="O4" s="296"/>
      <c r="P4" s="294" t="s">
        <v>4</v>
      </c>
      <c r="Q4" s="295"/>
      <c r="R4" s="294" t="s">
        <v>14</v>
      </c>
      <c r="S4" s="295"/>
      <c r="T4" s="297" t="s">
        <v>15</v>
      </c>
      <c r="U4" s="297"/>
      <c r="V4" s="298" t="s">
        <v>16</v>
      </c>
      <c r="W4" s="299"/>
      <c r="X4" s="298" t="s">
        <v>17</v>
      </c>
      <c r="Y4" s="299"/>
    </row>
    <row r="5" spans="1:29" ht="26.25" customHeight="1" thickBot="1" x14ac:dyDescent="0.4">
      <c r="A5" s="287"/>
      <c r="B5" s="7" t="s">
        <v>18</v>
      </c>
      <c r="C5" s="7" t="s">
        <v>8</v>
      </c>
      <c r="D5" s="289"/>
      <c r="E5" s="2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opLeftCell="A10" zoomScale="70" zoomScaleNormal="70" workbookViewId="0">
      <selection activeCell="T20" sqref="T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00" t="s">
        <v>45</v>
      </c>
      <c r="B2" s="300"/>
      <c r="C2" s="300"/>
    </row>
    <row r="3" spans="1:21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05" t="s">
        <v>116</v>
      </c>
      <c r="B5" s="305"/>
      <c r="C5" s="305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21 16383:16384" ht="15" customHeight="1" x14ac:dyDescent="0.35">
      <c r="A6" s="305"/>
      <c r="B6" s="305"/>
      <c r="C6" s="305"/>
      <c r="F6" s="70"/>
      <c r="G6" s="74"/>
      <c r="K6" s="302" t="s">
        <v>52</v>
      </c>
      <c r="L6" s="302"/>
      <c r="M6" s="302"/>
      <c r="N6" s="304" t="s">
        <v>42</v>
      </c>
      <c r="O6" s="304"/>
      <c r="P6" s="3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21 16383:16384" hidden="1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21 16383:16384" x14ac:dyDescent="0.35">
      <c r="A10" s="307"/>
      <c r="B10" s="75"/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21 16383:16384" ht="15" thickBot="1" x14ac:dyDescent="0.4">
      <c r="A11" s="307"/>
      <c r="B11" s="76"/>
      <c r="C11" s="77"/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21 16383:16384" ht="14.65" customHeight="1" x14ac:dyDescent="0.35">
      <c r="A12" s="307"/>
      <c r="B12" s="76"/>
      <c r="C12" s="77"/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T12" s="316" t="s">
        <v>102</v>
      </c>
      <c r="U12" s="317"/>
      <c r="XFD12" t="s">
        <v>62</v>
      </c>
    </row>
    <row r="13" spans="1:21 16383:16384" ht="15" thickBot="1" x14ac:dyDescent="0.4">
      <c r="A13" s="344"/>
      <c r="J13" s="78"/>
      <c r="K13" s="78"/>
      <c r="L13" s="79">
        <v>0.05</v>
      </c>
      <c r="T13" s="318"/>
      <c r="U13" s="319"/>
      <c r="XFD13" t="s">
        <v>63</v>
      </c>
    </row>
    <row r="14" spans="1:21 16383:16384" ht="29.25" customHeight="1" x14ac:dyDescent="0.6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10" t="s">
        <v>68</v>
      </c>
      <c r="H14" s="311"/>
      <c r="I14" s="311" t="s">
        <v>69</v>
      </c>
      <c r="J14" s="311" t="s">
        <v>70</v>
      </c>
      <c r="K14" s="311"/>
      <c r="L14" s="313"/>
      <c r="M14" s="3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Gourmet Food Johar Town </v>
      </c>
      <c r="U14" s="163">
        <f>+'1'!P35</f>
        <v>29197.061974800003</v>
      </c>
      <c r="XFD14" t="s">
        <v>75</v>
      </c>
    </row>
    <row r="15" spans="1:21 16383:16384" ht="29.25" customHeight="1" thickBot="1" x14ac:dyDescent="0.65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12"/>
      <c r="J15" s="170" t="s">
        <v>78</v>
      </c>
      <c r="K15" s="170" t="s">
        <v>79</v>
      </c>
      <c r="L15" s="173" t="s">
        <v>80</v>
      </c>
      <c r="M15" s="3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Johar Town 12 G</v>
      </c>
      <c r="U15" s="163">
        <f>+'2'!P35</f>
        <v>29197.061974800003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480</v>
      </c>
      <c r="I16" s="1">
        <f>(G16*D16)*F16+H16*F16</f>
        <v>25182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3693.3599999999997</v>
      </c>
      <c r="M16" s="105">
        <f>I16-K16-L16</f>
        <v>21488.639999999999</v>
      </c>
      <c r="N16" s="100">
        <f>+'1'!N16+'2'!N16+'4'!N16+'3'!N16+'5'!N16+'6'!N16+'7'!N16+'8'!N16+'9'!N16+'10'!N16</f>
        <v>3867.9551999999994</v>
      </c>
      <c r="O16" s="100">
        <f>+'1'!O16+'2'!O16+'4'!O16+'3'!O16+'5'!O16+'6'!O16+'7'!O16+'8'!O16+'9'!O16+'10'!O16</f>
        <v>126.78297599999999</v>
      </c>
      <c r="P16" s="104">
        <f t="shared" ref="P16:P24" si="0">M16+N16+O16</f>
        <v>25483.378175999998</v>
      </c>
      <c r="Q16" s="107"/>
      <c r="T16" s="162" t="str">
        <f>+'4'!A5</f>
        <v>Customer Name : Gourmet Food Calevry</v>
      </c>
      <c r="U16" s="163">
        <f>+'4'!P35</f>
        <v>14598.530987400001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480</v>
      </c>
      <c r="I17" s="1">
        <f t="shared" ref="I17:I23" si="1">(G17*D17)*F17+H17*F17</f>
        <v>25182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3693.3599999999997</v>
      </c>
      <c r="M17" s="117">
        <f t="shared" ref="M17:M23" si="2">I17-K17-L17</f>
        <v>21488.639999999999</v>
      </c>
      <c r="N17" s="100">
        <f>+'1'!N17+'2'!N17+'4'!N17+'3'!N17+'5'!N17+'6'!N17+'7'!N17+'8'!N17+'9'!N17+'10'!N17</f>
        <v>3867.9551999999994</v>
      </c>
      <c r="O17" s="100">
        <f>+'1'!O17+'2'!O17+'4'!O17+'3'!O17+'5'!O17+'6'!O17+'7'!O17+'8'!O17+'9'!O17+'10'!O17</f>
        <v>126.78297599999999</v>
      </c>
      <c r="P17" s="119">
        <f t="shared" si="0"/>
        <v>25483.378175999998</v>
      </c>
      <c r="S17" s="64"/>
      <c r="T17" s="162" t="str">
        <f>+'3'!A5</f>
        <v xml:space="preserve">Customer Name : Gourmet Food Fizaya </v>
      </c>
      <c r="U17" s="163">
        <f>+'3'!P35</f>
        <v>29197.061974800003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480</v>
      </c>
      <c r="I18" s="1">
        <f t="shared" si="1"/>
        <v>25182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3693.3599999999997</v>
      </c>
      <c r="M18" s="117">
        <f t="shared" si="2"/>
        <v>21488.639999999999</v>
      </c>
      <c r="N18" s="100">
        <f>+'1'!N18+'2'!N18+'4'!N18+'3'!N18+'5'!N18+'6'!N18+'7'!N18+'8'!N18+'9'!N18+'10'!N18</f>
        <v>3867.9551999999994</v>
      </c>
      <c r="O18" s="100">
        <f>+'1'!O18+'2'!O18+'4'!O18+'3'!O18+'5'!O18+'6'!O18+'7'!O18+'8'!O18+'9'!O18+'10'!O18</f>
        <v>126.78297599999999</v>
      </c>
      <c r="P18" s="119">
        <f t="shared" si="0"/>
        <v>25483.378175999998</v>
      </c>
      <c r="T18" s="162" t="str">
        <f>+'5'!A5</f>
        <v>Customer Name : Galaxy Supermarket Lake City</v>
      </c>
      <c r="U18" s="163">
        <f>+'5'!P35</f>
        <v>35320.764958799999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480</v>
      </c>
      <c r="I19" s="1">
        <f t="shared" si="1"/>
        <v>34867.199999999997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5113.8559999999998</v>
      </c>
      <c r="M19" s="117">
        <f t="shared" si="2"/>
        <v>29753.343999999997</v>
      </c>
      <c r="N19" s="100">
        <f>+'1'!N19+'2'!N19+'4'!N19+'3'!N19+'5'!N19+'6'!N19+'7'!N19+'8'!N19+'9'!N19+'10'!N19</f>
        <v>5355.6019200000001</v>
      </c>
      <c r="O19" s="100">
        <f>+'1'!O19+'2'!O19+'4'!O19+'3'!O19+'5'!O19+'6'!O19+'7'!O19+'8'!O19+'9'!O19+'10'!O19</f>
        <v>175.54472959999998</v>
      </c>
      <c r="P19" s="119">
        <f t="shared" si="0"/>
        <v>35284.490649599997</v>
      </c>
      <c r="T19" s="162" t="str">
        <f>+'6'!A5</f>
        <v>Customer Name : Lake city Mart</v>
      </c>
      <c r="U19" s="163">
        <f>+'6'!P35</f>
        <v>52981.147438199987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480</v>
      </c>
      <c r="I20" s="1">
        <f t="shared" si="1"/>
        <v>34867.199999999997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5113.8559999999998</v>
      </c>
      <c r="M20" s="117">
        <f t="shared" si="2"/>
        <v>29753.343999999997</v>
      </c>
      <c r="N20" s="100">
        <f>+'1'!N20+'2'!N20+'4'!N20+'3'!N20+'5'!N20+'6'!N20+'7'!N20+'8'!N20+'9'!N20+'10'!N20</f>
        <v>5355.6019200000001</v>
      </c>
      <c r="O20" s="100">
        <f>+'1'!O20+'2'!O20+'4'!O20+'3'!O20+'5'!O20+'6'!O20+'7'!O20+'8'!O20+'9'!O20+'10'!O20</f>
        <v>175.54472959999998</v>
      </c>
      <c r="P20" s="119">
        <f t="shared" si="0"/>
        <v>35284.490649599997</v>
      </c>
      <c r="T20" s="162" t="str">
        <f>+'7'!A5</f>
        <v xml:space="preserve">Customer Name :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480</v>
      </c>
      <c r="I21" s="1">
        <f t="shared" si="1"/>
        <v>34867.199999999997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5113.8559999999998</v>
      </c>
      <c r="M21" s="117">
        <f t="shared" si="2"/>
        <v>29753.343999999997</v>
      </c>
      <c r="N21" s="100">
        <f>+'1'!N21+'2'!N21+'4'!N21+'3'!N21+'5'!N21+'6'!N21+'7'!N21+'8'!N21+'9'!N21+'10'!N21</f>
        <v>5355.6019200000001</v>
      </c>
      <c r="O21" s="100">
        <f>+'1'!O21+'2'!O21+'4'!O21+'3'!O21+'5'!O21+'6'!O21+'7'!O21+'8'!O21+'9'!O21+'10'!O21</f>
        <v>175.54472959999998</v>
      </c>
      <c r="P21" s="119">
        <f t="shared" si="0"/>
        <v>35284.490649599997</v>
      </c>
      <c r="T21" s="162" t="str">
        <f>+'8'!A5</f>
        <v xml:space="preserve">Customer Name :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200</v>
      </c>
      <c r="I22" s="1">
        <f t="shared" si="1"/>
        <v>7846.0000000000009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274.61</v>
      </c>
      <c r="L22" s="174">
        <f>+'1'!L22+'2'!L22+'4'!L22+'3'!L22+'5'!L22+'6'!L22+'7'!L22+'8'!L22+'9'!L22+'10'!L22</f>
        <v>666.91000000000008</v>
      </c>
      <c r="M22" s="117">
        <f t="shared" si="2"/>
        <v>6904.4800000000014</v>
      </c>
      <c r="N22" s="100">
        <f>+'1'!N22+'2'!N22+'4'!N22+'3'!N22+'5'!N22+'6'!N22+'7'!N22+'8'!N22+'9'!N22+'10'!N22</f>
        <v>1242.8064000000002</v>
      </c>
      <c r="O22" s="100">
        <f>+'1'!O22+'2'!O22+'4'!O22+'3'!O22+'5'!O22+'6'!O22+'7'!O22+'8'!O22+'9'!O22+'10'!O22</f>
        <v>40.736432000000008</v>
      </c>
      <c r="P22" s="119">
        <f t="shared" si="0"/>
        <v>8188.0228320000015</v>
      </c>
      <c r="T22" s="162" t="str">
        <f>+'9'!A5</f>
        <v xml:space="preserve">Customer Name :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</v>
      </c>
      <c r="U24" s="163">
        <f>+'11'!P35</f>
        <v>0</v>
      </c>
    </row>
    <row r="25" spans="1:21 16384:16384" ht="26.5" thickBot="1" x14ac:dyDescent="0.65">
      <c r="A25" s="326" t="s">
        <v>84</v>
      </c>
      <c r="B25" s="327"/>
      <c r="C25" s="328">
        <f>H25/40</f>
        <v>77</v>
      </c>
      <c r="D25" s="322"/>
      <c r="E25" s="322"/>
      <c r="F25" s="322"/>
      <c r="G25" s="175">
        <f t="shared" ref="G25:M25" si="3">SUM(G16:G24)</f>
        <v>0</v>
      </c>
      <c r="H25" s="176">
        <f t="shared" si="3"/>
        <v>3080</v>
      </c>
      <c r="I25" s="177">
        <f t="shared" si="3"/>
        <v>187993.59999999998</v>
      </c>
      <c r="J25" s="176">
        <f t="shared" si="3"/>
        <v>0</v>
      </c>
      <c r="K25" s="177">
        <f t="shared" si="3"/>
        <v>274.61</v>
      </c>
      <c r="L25" s="178">
        <f t="shared" si="3"/>
        <v>27088.557999999997</v>
      </c>
      <c r="M25" s="140">
        <f t="shared" si="3"/>
        <v>160630.432</v>
      </c>
      <c r="N25" s="141">
        <f>SUM(N16:N24)</f>
        <v>28913.477760000002</v>
      </c>
      <c r="O25" s="142">
        <f>SUM(O16:O24)</f>
        <v>947.71954879999998</v>
      </c>
      <c r="P25" s="143">
        <f>SUM(P16:P24)</f>
        <v>190491.62930879995</v>
      </c>
      <c r="T25" s="162" t="str">
        <f>+'12'!A5</f>
        <v xml:space="preserve">Customer Name :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</v>
      </c>
      <c r="U27" s="163">
        <f>+'14'!P35</f>
        <v>0</v>
      </c>
    </row>
    <row r="28" spans="1:21 16384:16384" ht="26" hidden="1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</v>
      </c>
      <c r="U28" s="181">
        <f>+'15'!P35</f>
        <v>0</v>
      </c>
    </row>
    <row r="29" spans="1:21 16384:16384" ht="26" hidden="1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 xml:space="preserve">Customer Name : </v>
      </c>
      <c r="U29" s="181">
        <f>+'16'!P35</f>
        <v>0</v>
      </c>
    </row>
    <row r="30" spans="1:21 16384:16384" ht="26" hidden="1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 xml:space="preserve">Customer Name :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 xml:space="preserve">Customer Name : </v>
      </c>
      <c r="U31" s="181">
        <f>+'18'!P35</f>
        <v>0</v>
      </c>
    </row>
    <row r="32" spans="1:21 16384:16384" ht="26" hidden="1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 xml:space="preserve">Customer Name : </v>
      </c>
      <c r="U32" s="181">
        <f>+'19'!P35</f>
        <v>0</v>
      </c>
    </row>
    <row r="33" spans="1:21" ht="26" hidden="1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 xml:space="preserve">Customer Name : </v>
      </c>
      <c r="U33" s="181">
        <f>+'20'!P35</f>
        <v>0</v>
      </c>
    </row>
    <row r="34" spans="1:21" ht="26" hidden="1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 xml:space="preserve">Customer Name : 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 xml:space="preserve">Customer Name : </v>
      </c>
      <c r="U35" s="181">
        <f>+'22'!P35</f>
        <v>0</v>
      </c>
    </row>
    <row r="36" spans="1:21" ht="26" hidden="1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 xml:space="preserve">Customer Name : 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 xml:space="preserve">Customer Name : 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 xml:space="preserve">Customer Name : 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 xml:space="preserve">Customer Name : 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 xml:space="preserve">Customer Name : 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SUM(U14:U28)</f>
        <v>190491.62930880001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9" t="s">
        <v>85</v>
      </c>
      <c r="C44" s="330"/>
      <c r="D44" s="330"/>
      <c r="E44" s="330"/>
      <c r="F44" s="330"/>
      <c r="G44" s="330"/>
      <c r="H44" s="330"/>
      <c r="I44" s="330"/>
      <c r="J44" s="330"/>
      <c r="K44" s="330"/>
      <c r="L44" s="331"/>
      <c r="N44" s="338" t="s">
        <v>86</v>
      </c>
      <c r="O44" s="339"/>
      <c r="P44" s="151">
        <f>I25</f>
        <v>187993.59999999998</v>
      </c>
    </row>
    <row r="45" spans="1:21" ht="15" customHeight="1" x14ac:dyDescent="0.35">
      <c r="B45" s="332"/>
      <c r="C45" s="333"/>
      <c r="D45" s="333"/>
      <c r="E45" s="333"/>
      <c r="F45" s="333"/>
      <c r="G45" s="333"/>
      <c r="H45" s="333"/>
      <c r="I45" s="333"/>
      <c r="J45" s="333"/>
      <c r="K45" s="333"/>
      <c r="L45" s="334"/>
      <c r="N45" s="340" t="s">
        <v>87</v>
      </c>
      <c r="O45" s="341"/>
      <c r="P45" s="152">
        <f>L25</f>
        <v>27088.557999999997</v>
      </c>
    </row>
    <row r="46" spans="1:21" ht="15" customHeight="1" x14ac:dyDescent="0.35">
      <c r="B46" s="332"/>
      <c r="C46" s="333"/>
      <c r="D46" s="333"/>
      <c r="E46" s="333"/>
      <c r="F46" s="333"/>
      <c r="G46" s="333"/>
      <c r="H46" s="333"/>
      <c r="I46" s="333"/>
      <c r="J46" s="333"/>
      <c r="K46" s="333"/>
      <c r="L46" s="334"/>
      <c r="N46" s="340" t="s">
        <v>4</v>
      </c>
      <c r="O46" s="341"/>
      <c r="P46" s="153">
        <f>K25</f>
        <v>274.61</v>
      </c>
    </row>
    <row r="47" spans="1:21" ht="15" customHeight="1" x14ac:dyDescent="0.35">
      <c r="B47" s="332"/>
      <c r="C47" s="333"/>
      <c r="D47" s="333"/>
      <c r="E47" s="333"/>
      <c r="F47" s="333"/>
      <c r="G47" s="333"/>
      <c r="H47" s="333"/>
      <c r="I47" s="333"/>
      <c r="J47" s="333"/>
      <c r="K47" s="333"/>
      <c r="L47" s="334"/>
      <c r="M47" s="2"/>
      <c r="N47" s="340" t="s">
        <v>88</v>
      </c>
      <c r="O47" s="341"/>
      <c r="P47" s="152">
        <f>P44-P45-P46</f>
        <v>160630.432</v>
      </c>
    </row>
    <row r="48" spans="1:21" ht="15" customHeight="1" x14ac:dyDescent="0.35">
      <c r="B48" s="332"/>
      <c r="C48" s="333"/>
      <c r="D48" s="333"/>
      <c r="E48" s="333"/>
      <c r="F48" s="333"/>
      <c r="G48" s="333"/>
      <c r="H48" s="333"/>
      <c r="I48" s="333"/>
      <c r="J48" s="333"/>
      <c r="K48" s="333"/>
      <c r="L48" s="334"/>
      <c r="M48" s="2"/>
      <c r="N48" s="154" t="s">
        <v>89</v>
      </c>
      <c r="O48" s="155">
        <f>IF(B12="Registered",18%,22%)</f>
        <v>0.22</v>
      </c>
      <c r="P48" s="152">
        <f>N25</f>
        <v>28913.477760000002</v>
      </c>
    </row>
    <row r="49" spans="2:16" ht="15" customHeight="1" x14ac:dyDescent="0.35">
      <c r="B49" s="332"/>
      <c r="C49" s="333"/>
      <c r="D49" s="333"/>
      <c r="E49" s="333"/>
      <c r="F49" s="333"/>
      <c r="G49" s="333"/>
      <c r="H49" s="333"/>
      <c r="I49" s="333"/>
      <c r="J49" s="333"/>
      <c r="K49" s="333"/>
      <c r="L49" s="334"/>
      <c r="M49" s="2"/>
      <c r="N49" s="342" t="s">
        <v>90</v>
      </c>
      <c r="O49" s="343"/>
      <c r="P49" s="152">
        <f>P47+P48</f>
        <v>189543.90976000001</v>
      </c>
    </row>
    <row r="50" spans="2:16" ht="15" customHeight="1" thickBot="1" x14ac:dyDescent="0.4">
      <c r="B50" s="335"/>
      <c r="C50" s="336"/>
      <c r="D50" s="336"/>
      <c r="E50" s="336"/>
      <c r="F50" s="336"/>
      <c r="G50" s="336"/>
      <c r="H50" s="336"/>
      <c r="I50" s="336"/>
      <c r="J50" s="336"/>
      <c r="K50" s="336"/>
      <c r="L50" s="337"/>
      <c r="M50" s="156"/>
      <c r="N50" s="157" t="s">
        <v>91</v>
      </c>
      <c r="O50" s="158">
        <f>IF(B11="Filer",0.5%,2.5%)</f>
        <v>2.5000000000000001E-2</v>
      </c>
      <c r="P50" s="152">
        <f>O50*P49</f>
        <v>4738.5977440000006</v>
      </c>
    </row>
    <row r="51" spans="2:16" ht="15.75" customHeight="1" thickBot="1" x14ac:dyDescent="0.4">
      <c r="N51" s="320" t="s">
        <v>92</v>
      </c>
      <c r="O51" s="321"/>
      <c r="P51" s="159">
        <f>P49+P50</f>
        <v>194282.50750400001</v>
      </c>
    </row>
    <row r="52" spans="2:16" ht="15" thickBot="1" x14ac:dyDescent="0.4">
      <c r="B52" s="160" t="s">
        <v>93</v>
      </c>
      <c r="C52" s="322"/>
      <c r="D52" s="322"/>
      <c r="E52" s="322"/>
      <c r="F52" s="322"/>
      <c r="G52" s="322"/>
      <c r="H52" s="322"/>
      <c r="I52" s="323"/>
      <c r="J52" s="324"/>
      <c r="K52" s="325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L17" sqref="L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105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106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 t="shared" ref="O16:O24" si="1">(N16+M16)*$O$15</f>
        <v>20.305085999999999</v>
      </c>
      <c r="P16" s="104">
        <f t="shared" ref="P16:P24" si="2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">
        <f t="shared" ref="K17:K21" si="4">I17*$K$13</f>
        <v>0</v>
      </c>
      <c r="L17" s="104">
        <f t="shared" ref="L17:L21" si="5">I17*18%</f>
        <v>755.45999999999992</v>
      </c>
      <c r="M17" s="117">
        <f t="shared" ref="M17:M23" si="6">I17-K17-L17</f>
        <v>3441.54</v>
      </c>
      <c r="N17" s="117">
        <f t="shared" si="0"/>
        <v>619.47719999999993</v>
      </c>
      <c r="O17" s="118">
        <f t="shared" si="1"/>
        <v>20.305085999999999</v>
      </c>
      <c r="P17" s="119">
        <f t="shared" si="2"/>
        <v>4081.3222859999996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3"/>
        <v>4197</v>
      </c>
      <c r="J18" s="116"/>
      <c r="K18" s="1">
        <f t="shared" si="4"/>
        <v>0</v>
      </c>
      <c r="L18" s="104">
        <f t="shared" si="5"/>
        <v>755.45999999999992</v>
      </c>
      <c r="M18" s="117">
        <f t="shared" si="6"/>
        <v>3441.54</v>
      </c>
      <c r="N18" s="117">
        <f t="shared" si="0"/>
        <v>619.47719999999993</v>
      </c>
      <c r="O18" s="118">
        <f t="shared" si="1"/>
        <v>20.305085999999999</v>
      </c>
      <c r="P18" s="119">
        <f t="shared" si="2"/>
        <v>4081.3222859999996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">
        <f t="shared" si="4"/>
        <v>0</v>
      </c>
      <c r="L19" s="104">
        <f t="shared" si="5"/>
        <v>1046.0159999999998</v>
      </c>
      <c r="M19" s="117">
        <f t="shared" si="6"/>
        <v>4765.1840000000002</v>
      </c>
      <c r="N19" s="117">
        <f t="shared" si="0"/>
        <v>857.73311999999999</v>
      </c>
      <c r="O19" s="118">
        <f t="shared" si="1"/>
        <v>28.114585600000002</v>
      </c>
      <c r="P19" s="119">
        <f t="shared" si="2"/>
        <v>5651.0317056000004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">
        <f t="shared" si="4"/>
        <v>0</v>
      </c>
      <c r="L20" s="104">
        <f t="shared" si="5"/>
        <v>1046.0159999999998</v>
      </c>
      <c r="M20" s="117">
        <f t="shared" si="6"/>
        <v>4765.1840000000002</v>
      </c>
      <c r="N20" s="117">
        <f t="shared" si="0"/>
        <v>857.73311999999999</v>
      </c>
      <c r="O20" s="118">
        <f t="shared" si="1"/>
        <v>28.114585600000002</v>
      </c>
      <c r="P20" s="119">
        <f t="shared" si="2"/>
        <v>5651.0317056000004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">
        <f t="shared" si="4"/>
        <v>0</v>
      </c>
      <c r="L21" s="104">
        <f t="shared" si="5"/>
        <v>1046.0159999999998</v>
      </c>
      <c r="M21" s="117">
        <f t="shared" si="6"/>
        <v>4765.1840000000002</v>
      </c>
      <c r="N21" s="117">
        <f t="shared" si="0"/>
        <v>857.73311999999999</v>
      </c>
      <c r="O21" s="118">
        <f t="shared" si="1"/>
        <v>28.114585600000002</v>
      </c>
      <c r="P21" s="119">
        <f t="shared" si="2"/>
        <v>5651.0317056000004</v>
      </c>
      <c r="Q21" s="114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/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30024.600000000002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5404.427999999999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24620.172000000002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29051.802960000001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320" t="s">
        <v>92</v>
      </c>
      <c r="O35" s="321"/>
      <c r="P35" s="159">
        <f>P33+P34</f>
        <v>29197.061974800003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D37"/>
  <sheetViews>
    <sheetView workbookViewId="0">
      <selection activeCell="E6" sqref="E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K1" t="s">
        <v>119</v>
      </c>
    </row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107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108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30024.600000000002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5404.427999999999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24620.172000000002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29051.802960000001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320" t="s">
        <v>92</v>
      </c>
      <c r="O35" s="321"/>
      <c r="P35" s="159">
        <f>P33+P34</f>
        <v>29197.061974800003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workbookViewId="0">
      <selection activeCell="K4" sqref="K4:M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109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108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168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30024.600000000002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5404.427999999999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24620.172000000002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29051.802960000001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320" t="s">
        <v>92</v>
      </c>
      <c r="O35" s="321"/>
      <c r="P35" s="159">
        <f>P33+P34</f>
        <v>29197.061974800003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3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F6" sqref="F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7.726562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111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110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75" t="s">
        <v>114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2" t="s">
        <v>74</v>
      </c>
      <c r="Q14" s="170" t="s">
        <v>121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87" t="s">
        <v>1</v>
      </c>
      <c r="Q15" s="282" t="s">
        <v>120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278">
        <f t="shared" ref="P16:P24" si="1">M16+N16+O16</f>
        <v>2040.6611429999998</v>
      </c>
      <c r="Q16" s="171">
        <v>13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279">
        <f t="shared" si="1"/>
        <v>2040.6611429999998</v>
      </c>
      <c r="Q17" s="171">
        <v>42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279">
        <f t="shared" si="1"/>
        <v>2040.6611429999998</v>
      </c>
      <c r="Q18" s="171">
        <v>35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279">
        <f t="shared" si="1"/>
        <v>2825.5158528000002</v>
      </c>
      <c r="Q19" s="171">
        <v>44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279">
        <f t="shared" si="1"/>
        <v>2825.5158528000002</v>
      </c>
      <c r="Q20" s="171">
        <v>69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279">
        <f t="shared" si="1"/>
        <v>2825.5158528000002</v>
      </c>
      <c r="Q21" s="171">
        <v>51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279">
        <f t="shared" si="1"/>
        <v>0</v>
      </c>
      <c r="Q22" s="282"/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279">
        <f t="shared" si="1"/>
        <v>0</v>
      </c>
      <c r="Q23" s="282"/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280">
        <f t="shared" si="1"/>
        <v>0</v>
      </c>
      <c r="Q24" s="282"/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281">
        <f>SUM(P16:P24)</f>
        <v>14598.530987399998</v>
      </c>
      <c r="Q25" s="283">
        <f>SUM(Q16:Q21)</f>
        <v>254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15012.300000000001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2702.2139999999995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12310.086000000001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14525.90148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20" t="s">
        <v>92</v>
      </c>
      <c r="O35" s="321"/>
      <c r="P35" s="159">
        <f>P33+P34</f>
        <v>14598.530987400001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117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118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t="s">
        <v>115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3277876272604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I16*10%</f>
        <v>419.70000000000005</v>
      </c>
      <c r="M16" s="105">
        <f>I16-K16-L16</f>
        <v>3777.3</v>
      </c>
      <c r="N16" s="105">
        <f t="shared" ref="N16:N24" si="0">(M16*$N$15)+(J16*F16)*$N$15</f>
        <v>679.91399999999999</v>
      </c>
      <c r="O16" s="106">
        <f>(N16+M16)*$O$15</f>
        <v>22.286069999999999</v>
      </c>
      <c r="P16" s="104">
        <f t="shared" ref="P16:P24" si="1">M16+N16+O16</f>
        <v>4479.5000700000001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I17*10%</f>
        <v>419.70000000000005</v>
      </c>
      <c r="M17" s="117">
        <f t="shared" ref="M17:M23" si="5">I17-K17-L17</f>
        <v>3777.3</v>
      </c>
      <c r="N17" s="117">
        <f t="shared" si="0"/>
        <v>679.91399999999999</v>
      </c>
      <c r="O17" s="118">
        <f t="shared" ref="O17:O24" si="6">(N17+M17)*$O$15</f>
        <v>22.286069999999999</v>
      </c>
      <c r="P17" s="119">
        <f t="shared" si="1"/>
        <v>4479.5000700000001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419.70000000000005</v>
      </c>
      <c r="M18" s="117">
        <f t="shared" si="5"/>
        <v>3777.3</v>
      </c>
      <c r="N18" s="117">
        <f t="shared" si="0"/>
        <v>679.91399999999999</v>
      </c>
      <c r="O18" s="118">
        <f t="shared" si="6"/>
        <v>22.286069999999999</v>
      </c>
      <c r="P18" s="119">
        <f t="shared" si="1"/>
        <v>4479.5000700000001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581.12</v>
      </c>
      <c r="M19" s="117">
        <f t="shared" si="5"/>
        <v>5230.08</v>
      </c>
      <c r="N19" s="117">
        <f t="shared" si="0"/>
        <v>941.4144</v>
      </c>
      <c r="O19" s="118">
        <f t="shared" si="6"/>
        <v>30.857471999999998</v>
      </c>
      <c r="P19" s="119">
        <f t="shared" si="1"/>
        <v>6202.3518719999993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581.12</v>
      </c>
      <c r="M20" s="117">
        <f t="shared" si="5"/>
        <v>5230.08</v>
      </c>
      <c r="N20" s="117">
        <f t="shared" si="0"/>
        <v>941.4144</v>
      </c>
      <c r="O20" s="118">
        <f t="shared" si="6"/>
        <v>30.857471999999998</v>
      </c>
      <c r="P20" s="119">
        <f t="shared" si="1"/>
        <v>6202.3518719999993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581.12</v>
      </c>
      <c r="M21" s="117">
        <f t="shared" si="5"/>
        <v>5230.08</v>
      </c>
      <c r="N21" s="117">
        <f t="shared" si="0"/>
        <v>941.4144</v>
      </c>
      <c r="O21" s="118">
        <f t="shared" si="6"/>
        <v>30.857471999999998</v>
      </c>
      <c r="P21" s="119">
        <f t="shared" si="1"/>
        <v>6202.3518719999993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">
        <f>I22*3.5%</f>
        <v>109.84400000000002</v>
      </c>
      <c r="L22" s="119">
        <f>I22*8.5%</f>
        <v>266.76400000000007</v>
      </c>
      <c r="M22" s="117">
        <f t="shared" si="5"/>
        <v>2761.7920000000004</v>
      </c>
      <c r="N22" s="117">
        <f t="shared" si="0"/>
        <v>497.12256000000002</v>
      </c>
      <c r="O22" s="118">
        <f t="shared" si="6"/>
        <v>16.294572800000001</v>
      </c>
      <c r="P22" s="119">
        <f t="shared" si="1"/>
        <v>3275.2091328000001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560</v>
      </c>
      <c r="I25" s="136">
        <f t="shared" si="9"/>
        <v>33163</v>
      </c>
      <c r="J25" s="137"/>
      <c r="K25" s="138">
        <f t="shared" si="9"/>
        <v>109.84400000000002</v>
      </c>
      <c r="L25" s="139">
        <f t="shared" si="9"/>
        <v>3269.2240000000002</v>
      </c>
      <c r="M25" s="140">
        <f t="shared" si="9"/>
        <v>29783.932000000008</v>
      </c>
      <c r="N25" s="141">
        <f>SUM(N16:N24)</f>
        <v>5361.1077599999999</v>
      </c>
      <c r="O25" s="142">
        <f>SUM(O16:O24)</f>
        <v>175.72519879999999</v>
      </c>
      <c r="P25" s="143">
        <f>SUM(P16:P24)</f>
        <v>35320.764958799999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33163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3269.2240000000002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109.84400000000002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29783.931999999997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5361.1077599999999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35145.03976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175.72519880000002</v>
      </c>
    </row>
    <row r="35" spans="2:16" ht="15.75" customHeight="1" thickBot="1" x14ac:dyDescent="0.4">
      <c r="N35" s="320" t="s">
        <v>92</v>
      </c>
      <c r="O35" s="321"/>
      <c r="P35" s="159">
        <f>P33+P34</f>
        <v>35320.764958799999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2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113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112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75" t="s">
        <v>114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3277876142849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/>
      <c r="K16" s="103">
        <f>I16*$K$13</f>
        <v>0</v>
      </c>
      <c r="L16" s="104">
        <f>I16*10%</f>
        <v>629.55000000000007</v>
      </c>
      <c r="M16" s="105">
        <f>I16-K16-L16</f>
        <v>5665.95</v>
      </c>
      <c r="N16" s="105">
        <f t="shared" ref="N16:N24" si="0">(M16*$N$15)+(J16*F16)*$N$15</f>
        <v>1019.871</v>
      </c>
      <c r="O16" s="106">
        <f>(N16+M16)*$O$15</f>
        <v>33.429105</v>
      </c>
      <c r="P16" s="104">
        <f t="shared" ref="P16:P24" si="1">M16+N16+O16</f>
        <v>6719.2501050000001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120</v>
      </c>
      <c r="I17" s="115">
        <f t="shared" ref="I17:I23" si="2">(G17*D17)*F17+H17*F17</f>
        <v>6295.5</v>
      </c>
      <c r="J17" s="116"/>
      <c r="K17" s="1">
        <f t="shared" ref="K17:K21" si="3">I17*$K$13</f>
        <v>0</v>
      </c>
      <c r="L17" s="104">
        <f t="shared" ref="L17:L21" si="4">I17*10%</f>
        <v>629.55000000000007</v>
      </c>
      <c r="M17" s="117">
        <f t="shared" ref="M17:M23" si="5">I17-K17-L17</f>
        <v>5665.95</v>
      </c>
      <c r="N17" s="117">
        <f t="shared" si="0"/>
        <v>1019.871</v>
      </c>
      <c r="O17" s="118">
        <f t="shared" ref="O17:O24" si="6">(N17+M17)*$O$15</f>
        <v>33.429105</v>
      </c>
      <c r="P17" s="119">
        <f t="shared" si="1"/>
        <v>6719.2501050000001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120</v>
      </c>
      <c r="I18" s="115">
        <f t="shared" si="2"/>
        <v>6295.5</v>
      </c>
      <c r="J18" s="116"/>
      <c r="K18" s="1">
        <f t="shared" si="3"/>
        <v>0</v>
      </c>
      <c r="L18" s="104">
        <f t="shared" si="4"/>
        <v>629.55000000000007</v>
      </c>
      <c r="M18" s="117">
        <f t="shared" si="5"/>
        <v>5665.95</v>
      </c>
      <c r="N18" s="117">
        <f t="shared" si="0"/>
        <v>1019.871</v>
      </c>
      <c r="O18" s="118">
        <f t="shared" si="6"/>
        <v>33.429105</v>
      </c>
      <c r="P18" s="119">
        <f t="shared" si="1"/>
        <v>6719.2501050000001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120</v>
      </c>
      <c r="I19" s="115">
        <f t="shared" si="2"/>
        <v>8716.7999999999993</v>
      </c>
      <c r="J19" s="116"/>
      <c r="K19" s="1">
        <f t="shared" si="3"/>
        <v>0</v>
      </c>
      <c r="L19" s="104">
        <f t="shared" si="4"/>
        <v>871.68</v>
      </c>
      <c r="M19" s="117">
        <f t="shared" si="5"/>
        <v>7845.119999999999</v>
      </c>
      <c r="N19" s="117">
        <f t="shared" si="0"/>
        <v>1412.1215999999997</v>
      </c>
      <c r="O19" s="118">
        <f t="shared" si="6"/>
        <v>46.286207999999995</v>
      </c>
      <c r="P19" s="119">
        <f t="shared" si="1"/>
        <v>9303.5278079999989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120</v>
      </c>
      <c r="I20" s="115">
        <f t="shared" si="2"/>
        <v>8716.7999999999993</v>
      </c>
      <c r="J20" s="116"/>
      <c r="K20" s="1">
        <f t="shared" si="3"/>
        <v>0</v>
      </c>
      <c r="L20" s="104">
        <f t="shared" si="4"/>
        <v>871.68</v>
      </c>
      <c r="M20" s="117">
        <f t="shared" si="5"/>
        <v>7845.119999999999</v>
      </c>
      <c r="N20" s="117">
        <f t="shared" si="0"/>
        <v>1412.1215999999997</v>
      </c>
      <c r="O20" s="118">
        <f t="shared" si="6"/>
        <v>46.286207999999995</v>
      </c>
      <c r="P20" s="119">
        <f t="shared" si="1"/>
        <v>9303.5278079999989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120</v>
      </c>
      <c r="I21" s="115">
        <f t="shared" si="2"/>
        <v>8716.7999999999993</v>
      </c>
      <c r="J21" s="116"/>
      <c r="K21" s="1">
        <f t="shared" si="3"/>
        <v>0</v>
      </c>
      <c r="L21" s="104">
        <f t="shared" si="4"/>
        <v>871.68</v>
      </c>
      <c r="M21" s="117">
        <f t="shared" si="5"/>
        <v>7845.119999999999</v>
      </c>
      <c r="N21" s="117">
        <f t="shared" si="0"/>
        <v>1412.1215999999997</v>
      </c>
      <c r="O21" s="118">
        <f t="shared" si="6"/>
        <v>46.286207999999995</v>
      </c>
      <c r="P21" s="119">
        <f t="shared" si="1"/>
        <v>9303.5278079999989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120</v>
      </c>
      <c r="I22" s="115">
        <f t="shared" si="2"/>
        <v>4707.6000000000004</v>
      </c>
      <c r="J22" s="116"/>
      <c r="K22" s="1">
        <f>I22*3.5%</f>
        <v>164.76600000000002</v>
      </c>
      <c r="L22" s="119">
        <f>I22*8.5%</f>
        <v>400.14600000000007</v>
      </c>
      <c r="M22" s="117">
        <f t="shared" si="5"/>
        <v>4142.688000000001</v>
      </c>
      <c r="N22" s="117">
        <f t="shared" si="0"/>
        <v>745.68384000000015</v>
      </c>
      <c r="O22" s="118">
        <f t="shared" si="6"/>
        <v>24.44185920000001</v>
      </c>
      <c r="P22" s="119">
        <f t="shared" si="1"/>
        <v>4912.8136992000018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840</v>
      </c>
      <c r="I25" s="136">
        <f t="shared" si="9"/>
        <v>49744.499999999993</v>
      </c>
      <c r="J25" s="137"/>
      <c r="K25" s="138">
        <f t="shared" si="9"/>
        <v>164.76600000000002</v>
      </c>
      <c r="L25" s="139">
        <f t="shared" si="9"/>
        <v>4903.8359999999993</v>
      </c>
      <c r="M25" s="140">
        <f t="shared" si="9"/>
        <v>44675.897999999994</v>
      </c>
      <c r="N25" s="141">
        <f>SUM(N16:N24)</f>
        <v>8041.6616399999984</v>
      </c>
      <c r="O25" s="142">
        <f>SUM(O16:O24)</f>
        <v>263.58779819999995</v>
      </c>
      <c r="P25" s="143">
        <f>SUM(P16:P24)</f>
        <v>52981.147438199994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49744.499999999993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4903.8359999999993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164.76600000000002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44675.897999999986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8041.6616399999984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52717.559639999985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263.58779819999995</v>
      </c>
    </row>
    <row r="35" spans="2:16" ht="15.75" customHeight="1" thickBot="1" x14ac:dyDescent="0.4">
      <c r="N35" s="320" t="s">
        <v>92</v>
      </c>
      <c r="O35" s="321"/>
      <c r="P35" s="159">
        <f>P33+P34</f>
        <v>52981.147438199987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3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G12" sqref="G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168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166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zoomScale="106" zoomScaleNormal="10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8" t="s">
        <v>45</v>
      </c>
      <c r="B2" s="398"/>
      <c r="C2" s="39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82" t="s">
        <v>46</v>
      </c>
      <c r="B3" s="382"/>
      <c r="C3" s="382"/>
      <c r="D3" s="182"/>
      <c r="E3" s="182"/>
      <c r="F3" s="184"/>
      <c r="G3" s="185"/>
      <c r="H3" s="182"/>
      <c r="I3" s="182"/>
      <c r="J3" s="182"/>
      <c r="K3" s="381" t="s">
        <v>47</v>
      </c>
      <c r="L3" s="381"/>
      <c r="M3" s="381"/>
      <c r="N3" s="382">
        <v>100</v>
      </c>
      <c r="O3" s="382"/>
      <c r="P3" s="382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82" t="s">
        <v>94</v>
      </c>
      <c r="B4" s="382"/>
      <c r="C4" s="382"/>
      <c r="D4" s="182"/>
      <c r="E4" s="182"/>
      <c r="F4" s="184"/>
      <c r="G4" s="185"/>
      <c r="H4" s="182"/>
      <c r="I4" s="182"/>
      <c r="J4" s="182"/>
      <c r="K4" s="381" t="s">
        <v>49</v>
      </c>
      <c r="L4" s="381"/>
      <c r="M4" s="381"/>
      <c r="N4" s="397">
        <f ca="1">TODAY()</f>
        <v>46202</v>
      </c>
      <c r="O4" s="397"/>
      <c r="P4" s="397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6" t="s">
        <v>104</v>
      </c>
      <c r="B5" s="396"/>
      <c r="C5" s="396"/>
      <c r="D5" s="182"/>
      <c r="E5" s="182"/>
      <c r="F5" s="184"/>
      <c r="G5" s="185"/>
      <c r="H5" s="182"/>
      <c r="I5" s="182"/>
      <c r="J5" s="182"/>
      <c r="K5" s="381" t="s">
        <v>51</v>
      </c>
      <c r="L5" s="381"/>
      <c r="M5" s="381"/>
      <c r="N5" s="397">
        <f ca="1">N4-1</f>
        <v>46201</v>
      </c>
      <c r="O5" s="382"/>
      <c r="P5" s="382"/>
      <c r="Q5" s="182"/>
      <c r="R5" s="70"/>
      <c r="S5" s="71"/>
    </row>
    <row r="6" spans="1:19 16383:16384" ht="15" customHeight="1" x14ac:dyDescent="0.35">
      <c r="A6" s="381" t="s">
        <v>103</v>
      </c>
      <c r="B6" s="381"/>
      <c r="C6" s="381"/>
      <c r="D6" s="182"/>
      <c r="E6" s="182"/>
      <c r="F6" s="184"/>
      <c r="G6" s="186"/>
      <c r="H6" s="182"/>
      <c r="I6" s="182"/>
      <c r="J6" s="182"/>
      <c r="K6" s="381" t="s">
        <v>52</v>
      </c>
      <c r="L6" s="381"/>
      <c r="M6" s="381"/>
      <c r="N6" s="395" t="s">
        <v>100</v>
      </c>
      <c r="O6" s="395"/>
      <c r="P6" s="395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81"/>
      <c r="B7" s="381"/>
      <c r="C7" s="381"/>
      <c r="D7" s="187"/>
      <c r="E7" s="187"/>
      <c r="F7" s="184"/>
      <c r="G7" s="186"/>
      <c r="H7" s="187"/>
      <c r="I7" s="187"/>
      <c r="J7" s="187"/>
      <c r="K7" s="381"/>
      <c r="L7" s="381"/>
      <c r="M7" s="381"/>
      <c r="N7" s="395"/>
      <c r="O7" s="395"/>
      <c r="P7" s="395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94"/>
      <c r="B8" s="394"/>
      <c r="C8" s="394"/>
      <c r="D8" s="182"/>
      <c r="E8" s="182"/>
      <c r="F8" s="184"/>
      <c r="G8" s="186"/>
      <c r="H8" s="182"/>
      <c r="I8" s="182"/>
      <c r="J8" s="182"/>
      <c r="K8" s="381"/>
      <c r="L8" s="381"/>
      <c r="M8" s="381"/>
      <c r="N8" s="395"/>
      <c r="O8" s="395"/>
      <c r="P8" s="395"/>
      <c r="Q8" s="182"/>
      <c r="R8" s="70"/>
      <c r="S8" s="74"/>
    </row>
    <row r="9" spans="1:19 16383:16384" x14ac:dyDescent="0.35">
      <c r="A9" s="394"/>
      <c r="B9" s="394"/>
      <c r="C9" s="394"/>
      <c r="D9" s="182"/>
      <c r="E9" s="182"/>
      <c r="F9" s="184"/>
      <c r="G9" s="186"/>
      <c r="H9" s="182"/>
      <c r="I9" s="182"/>
      <c r="J9" s="182"/>
      <c r="K9" s="381"/>
      <c r="L9" s="381"/>
      <c r="M9" s="381"/>
      <c r="N9" s="395"/>
      <c r="O9" s="395"/>
      <c r="P9" s="395"/>
      <c r="Q9" s="182"/>
      <c r="R9" s="70"/>
      <c r="S9" s="74"/>
      <c r="XFD9" t="s">
        <v>55</v>
      </c>
    </row>
    <row r="10" spans="1:19 16383:16384" x14ac:dyDescent="0.35">
      <c r="A10" s="379" t="s">
        <v>95</v>
      </c>
      <c r="B10" s="189" t="s">
        <v>101</v>
      </c>
      <c r="C10" s="189"/>
      <c r="D10" s="182"/>
      <c r="E10" s="182"/>
      <c r="F10" s="184"/>
      <c r="G10" s="185"/>
      <c r="H10" s="182"/>
      <c r="I10" s="182"/>
      <c r="J10" s="182"/>
      <c r="K10" s="381" t="s">
        <v>56</v>
      </c>
      <c r="L10" s="381"/>
      <c r="M10" s="381"/>
      <c r="N10" s="382" t="s">
        <v>57</v>
      </c>
      <c r="O10" s="382"/>
      <c r="P10" s="382"/>
      <c r="Q10" s="182"/>
      <c r="R10" s="70"/>
      <c r="S10" s="71"/>
      <c r="XFD10" t="s">
        <v>58</v>
      </c>
    </row>
    <row r="11" spans="1:19 16383:16384" x14ac:dyDescent="0.35">
      <c r="A11" s="379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81" t="s">
        <v>59</v>
      </c>
      <c r="L11" s="381"/>
      <c r="M11" s="381"/>
      <c r="N11" s="382" t="s">
        <v>55</v>
      </c>
      <c r="O11" s="382"/>
      <c r="P11" s="382"/>
      <c r="Q11" s="182"/>
      <c r="R11" s="70"/>
      <c r="S11" s="71"/>
    </row>
    <row r="12" spans="1:19 16383:16384" ht="14.65" customHeight="1" x14ac:dyDescent="0.35">
      <c r="A12" s="379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81" t="s">
        <v>61</v>
      </c>
      <c r="L12" s="381"/>
      <c r="M12" s="381"/>
      <c r="N12" s="382"/>
      <c r="O12" s="382"/>
      <c r="P12" s="382"/>
      <c r="Q12" s="182"/>
      <c r="R12" s="70"/>
      <c r="S12" s="71"/>
      <c r="XFD12" t="s">
        <v>62</v>
      </c>
    </row>
    <row r="13" spans="1:19 16383:16384" ht="15" thickBot="1" x14ac:dyDescent="0.4">
      <c r="A13" s="380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83" t="s">
        <v>64</v>
      </c>
      <c r="B14" s="384"/>
      <c r="C14" s="387" t="s">
        <v>65</v>
      </c>
      <c r="D14" s="194" t="s">
        <v>2</v>
      </c>
      <c r="E14" s="195" t="s">
        <v>66</v>
      </c>
      <c r="F14" s="196" t="s">
        <v>67</v>
      </c>
      <c r="G14" s="389" t="s">
        <v>68</v>
      </c>
      <c r="H14" s="390"/>
      <c r="I14" s="391" t="s">
        <v>69</v>
      </c>
      <c r="J14" s="389" t="s">
        <v>70</v>
      </c>
      <c r="K14" s="393"/>
      <c r="L14" s="390"/>
      <c r="M14" s="391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85"/>
      <c r="B15" s="386"/>
      <c r="C15" s="388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92"/>
      <c r="J15" s="203" t="s">
        <v>78</v>
      </c>
      <c r="K15" s="205" t="s">
        <v>79</v>
      </c>
      <c r="L15" s="277">
        <v>0.18</v>
      </c>
      <c r="M15" s="392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I16*$K$13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/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30">
        <f t="shared" ref="K17:K21" si="3">I17*$K$13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/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/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30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/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30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/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30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/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/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60" t="s">
        <v>84</v>
      </c>
      <c r="B25" s="361"/>
      <c r="C25" s="362"/>
      <c r="D25" s="356"/>
      <c r="E25" s="356"/>
      <c r="F25" s="363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64" t="s">
        <v>85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M28" s="182"/>
      <c r="N28" s="373" t="s">
        <v>86</v>
      </c>
      <c r="O28" s="374"/>
      <c r="P28" s="266">
        <f>I25</f>
        <v>0</v>
      </c>
      <c r="Q28" s="182"/>
    </row>
    <row r="29" spans="1:19 16384:16384" ht="15" customHeight="1" x14ac:dyDescent="0.35">
      <c r="A29" s="182"/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M29" s="182"/>
      <c r="N29" s="375" t="s">
        <v>87</v>
      </c>
      <c r="O29" s="376"/>
      <c r="P29" s="268">
        <f>L25</f>
        <v>0</v>
      </c>
      <c r="Q29" s="182"/>
    </row>
    <row r="30" spans="1:19 16384:16384" ht="15" customHeight="1" x14ac:dyDescent="0.35">
      <c r="A30" s="182"/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M30" s="182"/>
      <c r="N30" s="375" t="s">
        <v>4</v>
      </c>
      <c r="O30" s="376"/>
      <c r="P30" s="269">
        <f>K25</f>
        <v>0</v>
      </c>
      <c r="Q30" s="182"/>
    </row>
    <row r="31" spans="1:19 16384:16384" ht="15" customHeight="1" x14ac:dyDescent="0.35">
      <c r="A31" s="182"/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270"/>
      <c r="N31" s="375" t="s">
        <v>88</v>
      </c>
      <c r="O31" s="376"/>
      <c r="P31" s="268">
        <f>P28-P29-P30</f>
        <v>0</v>
      </c>
      <c r="Q31" s="182"/>
    </row>
    <row r="32" spans="1:19 16384:16384" ht="15" customHeight="1" x14ac:dyDescent="0.35">
      <c r="A32" s="182"/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270"/>
      <c r="N33" s="377" t="s">
        <v>90</v>
      </c>
      <c r="O33" s="378"/>
      <c r="P33" s="268">
        <f>P31+P32</f>
        <v>0</v>
      </c>
      <c r="Q33" s="182"/>
    </row>
    <row r="34" spans="1:17" ht="15" customHeight="1" thickBot="1" x14ac:dyDescent="0.4">
      <c r="A34" s="182"/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54" t="s">
        <v>92</v>
      </c>
      <c r="O35" s="355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56"/>
      <c r="D36" s="356"/>
      <c r="E36" s="356"/>
      <c r="F36" s="356"/>
      <c r="G36" s="356"/>
      <c r="H36" s="356"/>
      <c r="I36" s="357"/>
      <c r="J36" s="358"/>
      <c r="K36" s="359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179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00" t="s">
        <v>45</v>
      </c>
      <c r="B2" s="300"/>
      <c r="C2" s="300"/>
    </row>
    <row r="3" spans="1:19 16383:16384" ht="1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  <c r="S5" s="71"/>
    </row>
    <row r="6" spans="1:19 16383:16384" ht="15" customHeight="1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02"/>
      <c r="B7" s="302"/>
      <c r="C7" s="302"/>
      <c r="F7" s="70"/>
      <c r="G7" s="74"/>
      <c r="K7" s="302"/>
      <c r="L7" s="302"/>
      <c r="M7" s="302"/>
      <c r="N7" s="304"/>
      <c r="O7" s="304"/>
      <c r="P7" s="3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  <c r="S8" s="74"/>
    </row>
    <row r="9" spans="1:19 16383:16384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  <c r="S9" s="74"/>
      <c r="XFD9" t="s">
        <v>55</v>
      </c>
    </row>
    <row r="10" spans="1:19 16383:16384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  <c r="S10" s="71"/>
      <c r="XFD10" t="s">
        <v>58</v>
      </c>
    </row>
    <row r="11" spans="1:19 16383:16384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  <c r="S11" s="71"/>
    </row>
    <row r="12" spans="1:19 16383:16384" ht="14.6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  <c r="S12" s="71"/>
      <c r="XFD12" t="s">
        <v>62</v>
      </c>
    </row>
    <row r="13" spans="1:19 16383:16384" ht="15" thickBot="1" x14ac:dyDescent="0.4">
      <c r="A13" s="34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9 16384:16384" ht="1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9 16384:16384" ht="1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9 16384:16384" ht="1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9 16384:16384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customHeight="1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A6" sqref="A6:C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00" t="s">
        <v>45</v>
      </c>
      <c r="B2" s="300"/>
      <c r="C2" s="300"/>
      <c r="N2" s="69"/>
    </row>
    <row r="3" spans="1:18" ht="14.5" customHeight="1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</row>
    <row r="4" spans="1:18" ht="14.5" customHeight="1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</row>
    <row r="5" spans="1:18" ht="14.5" customHeight="1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</row>
    <row r="6" spans="1:18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</row>
    <row r="7" spans="1:18" ht="14.5" customHeight="1" x14ac:dyDescent="0.35">
      <c r="A7" s="302"/>
      <c r="B7" s="302"/>
      <c r="C7" s="302"/>
      <c r="D7" s="73"/>
      <c r="E7" s="73"/>
      <c r="F7" s="70"/>
      <c r="G7" s="74"/>
      <c r="H7" s="73"/>
      <c r="I7" s="73"/>
      <c r="J7" s="73"/>
      <c r="K7" s="302"/>
      <c r="L7" s="302"/>
      <c r="M7" s="302"/>
      <c r="N7" s="304"/>
      <c r="O7" s="304"/>
      <c r="P7" s="304"/>
      <c r="R7" s="70"/>
    </row>
    <row r="8" spans="1:18" ht="14.5" customHeight="1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</row>
    <row r="9" spans="1:18" ht="14.5" customHeight="1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</row>
    <row r="10" spans="1:18" ht="14.5" customHeight="1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</row>
    <row r="11" spans="1:18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</row>
    <row r="12" spans="1:18" ht="20.5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</row>
    <row r="13" spans="1:18" ht="15" thickBot="1" x14ac:dyDescent="0.4">
      <c r="A13" s="344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7" ht="14.5" customHeight="1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7" ht="14.5" customHeight="1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7" ht="14.5" customHeight="1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7" ht="15" customHeight="1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A6" sqref="A6:C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00" t="s">
        <v>45</v>
      </c>
      <c r="B2" s="300"/>
      <c r="C2" s="300"/>
      <c r="N2" s="69"/>
    </row>
    <row r="3" spans="1:18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</row>
    <row r="4" spans="1:18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</row>
    <row r="5" spans="1:18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</row>
    <row r="6" spans="1:18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</row>
    <row r="7" spans="1:18" x14ac:dyDescent="0.35">
      <c r="A7" s="302"/>
      <c r="B7" s="302"/>
      <c r="C7" s="302"/>
      <c r="D7" s="73"/>
      <c r="E7" s="73"/>
      <c r="F7" s="70"/>
      <c r="G7" s="74"/>
      <c r="H7" s="73"/>
      <c r="I7" s="73"/>
      <c r="J7" s="73"/>
      <c r="K7" s="302"/>
      <c r="L7" s="302"/>
      <c r="M7" s="302"/>
      <c r="N7" s="304"/>
      <c r="O7" s="304"/>
      <c r="P7" s="304"/>
      <c r="Q7" s="73"/>
      <c r="R7" s="70"/>
    </row>
    <row r="8" spans="1:18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</row>
    <row r="9" spans="1:18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</row>
    <row r="10" spans="1:18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</row>
    <row r="11" spans="1:18" ht="20" customHeight="1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</row>
    <row r="12" spans="1:18" ht="17" customHeight="1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</row>
    <row r="13" spans="1:18" ht="15" thickBot="1" x14ac:dyDescent="0.4">
      <c r="A13" s="344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6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6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6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6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00" t="s">
        <v>45</v>
      </c>
      <c r="B2" s="300"/>
      <c r="C2" s="300"/>
      <c r="N2" s="69"/>
    </row>
    <row r="3" spans="1:18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</row>
    <row r="4" spans="1:18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</row>
    <row r="5" spans="1:18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</row>
    <row r="6" spans="1:18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</row>
    <row r="7" spans="1:18" x14ac:dyDescent="0.35">
      <c r="A7" s="302"/>
      <c r="B7" s="302"/>
      <c r="C7" s="302"/>
      <c r="D7" s="73"/>
      <c r="E7" s="73"/>
      <c r="F7" s="70"/>
      <c r="G7" s="74"/>
      <c r="H7" s="73"/>
      <c r="I7" s="73"/>
      <c r="J7" s="73"/>
      <c r="K7" s="302"/>
      <c r="L7" s="302"/>
      <c r="M7" s="302"/>
      <c r="N7" s="304"/>
      <c r="O7" s="304"/>
      <c r="P7" s="304"/>
      <c r="Q7" s="73"/>
      <c r="R7" s="70"/>
    </row>
    <row r="8" spans="1:18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</row>
    <row r="9" spans="1:18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</row>
    <row r="10" spans="1:18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</row>
    <row r="11" spans="1:18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</row>
    <row r="12" spans="1:18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</row>
    <row r="13" spans="1:18" ht="15" thickBot="1" x14ac:dyDescent="0.4">
      <c r="A13" s="344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7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7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7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7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00" t="s">
        <v>45</v>
      </c>
      <c r="B2" s="300"/>
      <c r="C2" s="300"/>
      <c r="N2" s="69"/>
    </row>
    <row r="3" spans="1:18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</row>
    <row r="4" spans="1:18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</row>
    <row r="5" spans="1:18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</row>
    <row r="6" spans="1:18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</row>
    <row r="7" spans="1:18" x14ac:dyDescent="0.35">
      <c r="A7" s="302"/>
      <c r="B7" s="302"/>
      <c r="C7" s="302"/>
      <c r="D7" s="73"/>
      <c r="E7" s="73"/>
      <c r="F7" s="70"/>
      <c r="G7" s="74"/>
      <c r="H7" s="73"/>
      <c r="I7" s="73"/>
      <c r="J7" s="73"/>
      <c r="K7" s="302"/>
      <c r="L7" s="302"/>
      <c r="M7" s="302"/>
      <c r="N7" s="304"/>
      <c r="O7" s="304"/>
      <c r="P7" s="304"/>
      <c r="Q7" s="73"/>
      <c r="R7" s="70"/>
    </row>
    <row r="8" spans="1:18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</row>
    <row r="9" spans="1:18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</row>
    <row r="10" spans="1:18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</row>
    <row r="11" spans="1:18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</row>
    <row r="12" spans="1:18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</row>
    <row r="13" spans="1:18" ht="15" thickBot="1" x14ac:dyDescent="0.4">
      <c r="A13" s="344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6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6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6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6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00" t="s">
        <v>45</v>
      </c>
      <c r="B2" s="300"/>
      <c r="C2" s="300"/>
      <c r="N2" s="69"/>
    </row>
    <row r="3" spans="1:18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  <c r="R3" s="70"/>
    </row>
    <row r="4" spans="1:18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  <c r="R4" s="70"/>
    </row>
    <row r="5" spans="1:18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  <c r="R5" s="70"/>
    </row>
    <row r="6" spans="1:18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  <c r="R6" s="70"/>
    </row>
    <row r="7" spans="1:18" x14ac:dyDescent="0.35">
      <c r="A7" s="302"/>
      <c r="B7" s="302"/>
      <c r="C7" s="302"/>
      <c r="D7" s="73"/>
      <c r="E7" s="73"/>
      <c r="F7" s="70"/>
      <c r="G7" s="74"/>
      <c r="H7" s="73"/>
      <c r="I7" s="73"/>
      <c r="J7" s="73"/>
      <c r="K7" s="302"/>
      <c r="L7" s="302"/>
      <c r="M7" s="302"/>
      <c r="N7" s="304"/>
      <c r="O7" s="304"/>
      <c r="P7" s="304"/>
      <c r="Q7" s="73"/>
      <c r="R7" s="70"/>
    </row>
    <row r="8" spans="1:18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  <c r="R8" s="70"/>
    </row>
    <row r="9" spans="1:18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  <c r="R9" s="70"/>
    </row>
    <row r="10" spans="1:18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  <c r="R10" s="70"/>
    </row>
    <row r="11" spans="1:18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  <c r="R11" s="70"/>
    </row>
    <row r="12" spans="1:18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  <c r="R12" s="70"/>
    </row>
    <row r="13" spans="1:18" ht="15" thickBot="1" x14ac:dyDescent="0.4">
      <c r="A13" s="344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6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6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6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6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00" t="s">
        <v>45</v>
      </c>
      <c r="B2" s="300"/>
      <c r="C2" s="300"/>
      <c r="N2" s="69"/>
    </row>
    <row r="3" spans="1:17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</row>
    <row r="4" spans="1:17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</row>
    <row r="5" spans="1:17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</row>
    <row r="6" spans="1:17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</row>
    <row r="7" spans="1:17" x14ac:dyDescent="0.35">
      <c r="A7" s="302"/>
      <c r="B7" s="302"/>
      <c r="C7" s="302"/>
      <c r="D7" s="73"/>
      <c r="E7" s="73"/>
      <c r="F7" s="70"/>
      <c r="G7" s="74"/>
      <c r="H7" s="73"/>
      <c r="I7" s="73"/>
      <c r="J7" s="73"/>
      <c r="K7" s="302"/>
      <c r="L7" s="302"/>
      <c r="M7" s="302"/>
      <c r="N7" s="304"/>
      <c r="O7" s="304"/>
      <c r="P7" s="304"/>
      <c r="Q7" s="73"/>
    </row>
    <row r="8" spans="1:17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</row>
    <row r="9" spans="1:17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</row>
    <row r="10" spans="1:17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</row>
    <row r="11" spans="1:17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</row>
    <row r="12" spans="1:17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</row>
    <row r="13" spans="1:17" ht="15" thickBot="1" x14ac:dyDescent="0.4">
      <c r="A13" s="344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6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6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6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6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00" t="s">
        <v>45</v>
      </c>
      <c r="B2" s="300"/>
      <c r="C2" s="300"/>
      <c r="N2" s="69"/>
    </row>
    <row r="3" spans="1:17" x14ac:dyDescent="0.35">
      <c r="A3" s="301" t="s">
        <v>46</v>
      </c>
      <c r="B3" s="301"/>
      <c r="C3" s="301"/>
      <c r="F3" s="70"/>
      <c r="G3" s="71"/>
      <c r="K3" s="302" t="s">
        <v>47</v>
      </c>
      <c r="L3" s="302"/>
      <c r="M3" s="302"/>
      <c r="N3" s="301">
        <v>100</v>
      </c>
      <c r="O3" s="301"/>
      <c r="P3" s="301"/>
    </row>
    <row r="4" spans="1:17" x14ac:dyDescent="0.35">
      <c r="A4" s="301" t="s">
        <v>94</v>
      </c>
      <c r="B4" s="301"/>
      <c r="C4" s="301"/>
      <c r="F4" s="70"/>
      <c r="G4" s="71"/>
      <c r="K4" s="302" t="s">
        <v>49</v>
      </c>
      <c r="L4" s="302"/>
      <c r="M4" s="302"/>
      <c r="N4" s="303">
        <f ca="1">TODAY()</f>
        <v>46202</v>
      </c>
      <c r="O4" s="303"/>
      <c r="P4" s="303"/>
    </row>
    <row r="5" spans="1:17" x14ac:dyDescent="0.35">
      <c r="A5" s="347" t="s">
        <v>104</v>
      </c>
      <c r="B5" s="347"/>
      <c r="C5" s="347"/>
      <c r="F5" s="70"/>
      <c r="G5" s="71"/>
      <c r="K5" s="302" t="s">
        <v>51</v>
      </c>
      <c r="L5" s="302"/>
      <c r="M5" s="302"/>
      <c r="N5" s="303">
        <f ca="1">N4-1</f>
        <v>46201</v>
      </c>
      <c r="O5" s="301"/>
      <c r="P5" s="301"/>
    </row>
    <row r="6" spans="1:17" x14ac:dyDescent="0.35">
      <c r="A6" s="302" t="s">
        <v>103</v>
      </c>
      <c r="B6" s="302"/>
      <c r="C6" s="302"/>
      <c r="F6" s="70"/>
      <c r="G6" s="74"/>
      <c r="K6" s="302" t="s">
        <v>52</v>
      </c>
      <c r="L6" s="302"/>
      <c r="M6" s="302"/>
      <c r="N6" s="304" t="s">
        <v>100</v>
      </c>
      <c r="O6" s="304"/>
      <c r="P6" s="304"/>
    </row>
    <row r="7" spans="1:17" x14ac:dyDescent="0.35">
      <c r="A7" s="302"/>
      <c r="B7" s="302"/>
      <c r="C7" s="302"/>
      <c r="D7" s="73"/>
      <c r="E7" s="73"/>
      <c r="F7" s="70"/>
      <c r="G7" s="74"/>
      <c r="H7" s="73"/>
      <c r="I7" s="73"/>
      <c r="J7" s="73"/>
      <c r="K7" s="302"/>
      <c r="L7" s="302"/>
      <c r="M7" s="302"/>
      <c r="N7" s="304"/>
      <c r="O7" s="304"/>
      <c r="P7" s="304"/>
      <c r="Q7" s="73"/>
    </row>
    <row r="8" spans="1:17" x14ac:dyDescent="0.35">
      <c r="A8" s="306"/>
      <c r="B8" s="306"/>
      <c r="C8" s="306"/>
      <c r="F8" s="70"/>
      <c r="G8" s="74"/>
      <c r="K8" s="302"/>
      <c r="L8" s="302"/>
      <c r="M8" s="302"/>
      <c r="N8" s="304"/>
      <c r="O8" s="304"/>
      <c r="P8" s="304"/>
    </row>
    <row r="9" spans="1:17" x14ac:dyDescent="0.35">
      <c r="A9" s="306"/>
      <c r="B9" s="306"/>
      <c r="C9" s="306"/>
      <c r="F9" s="70"/>
      <c r="G9" s="74"/>
      <c r="K9" s="302"/>
      <c r="L9" s="302"/>
      <c r="M9" s="302"/>
      <c r="N9" s="304"/>
      <c r="O9" s="304"/>
      <c r="P9" s="304"/>
    </row>
    <row r="10" spans="1:17" x14ac:dyDescent="0.35">
      <c r="A10" s="307" t="s">
        <v>95</v>
      </c>
      <c r="B10" s="75" t="s">
        <v>101</v>
      </c>
      <c r="C10" s="75"/>
      <c r="F10" s="70"/>
      <c r="G10" s="71"/>
      <c r="K10" s="302" t="s">
        <v>56</v>
      </c>
      <c r="L10" s="302"/>
      <c r="M10" s="302"/>
      <c r="N10" s="301" t="s">
        <v>57</v>
      </c>
      <c r="O10" s="301"/>
      <c r="P10" s="301"/>
    </row>
    <row r="11" spans="1:17" x14ac:dyDescent="0.35">
      <c r="A11" s="307"/>
      <c r="B11" s="76" t="s">
        <v>48</v>
      </c>
      <c r="C11" s="77" t="str">
        <f>IF($O34&gt;2.49%,"No","Yes")</f>
        <v>Yes</v>
      </c>
      <c r="F11" s="70"/>
      <c r="G11" s="71"/>
      <c r="K11" s="302" t="s">
        <v>59</v>
      </c>
      <c r="L11" s="302"/>
      <c r="M11" s="302"/>
      <c r="N11" s="301" t="s">
        <v>55</v>
      </c>
      <c r="O11" s="301"/>
      <c r="P11" s="301"/>
    </row>
    <row r="12" spans="1:17" x14ac:dyDescent="0.35">
      <c r="A12" s="3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302" t="s">
        <v>61</v>
      </c>
      <c r="L12" s="302"/>
      <c r="M12" s="302"/>
      <c r="N12" s="301"/>
      <c r="O12" s="301"/>
      <c r="P12" s="301"/>
    </row>
    <row r="13" spans="1:17" ht="15" thickBot="1" x14ac:dyDescent="0.4">
      <c r="A13" s="344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45" t="s">
        <v>64</v>
      </c>
      <c r="B14" s="314"/>
      <c r="C14" s="308" t="s">
        <v>65</v>
      </c>
      <c r="D14" s="80" t="s">
        <v>2</v>
      </c>
      <c r="E14" s="81" t="s">
        <v>66</v>
      </c>
      <c r="F14" s="82" t="s">
        <v>67</v>
      </c>
      <c r="G14" s="348" t="s">
        <v>68</v>
      </c>
      <c r="H14" s="349"/>
      <c r="I14" s="350" t="s">
        <v>69</v>
      </c>
      <c r="J14" s="348" t="s">
        <v>70</v>
      </c>
      <c r="K14" s="352"/>
      <c r="L14" s="349"/>
      <c r="M14" s="350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6"/>
      <c r="B15" s="315"/>
      <c r="C15" s="3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51"/>
      <c r="J15" s="88" t="s">
        <v>78</v>
      </c>
      <c r="K15" s="90" t="s">
        <v>79</v>
      </c>
      <c r="L15" s="276">
        <v>0.18</v>
      </c>
      <c r="M15" s="3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6" t="s">
        <v>84</v>
      </c>
      <c r="B25" s="327"/>
      <c r="C25" s="328"/>
      <c r="D25" s="322"/>
      <c r="E25" s="322"/>
      <c r="F25" s="3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9" t="s">
        <v>85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1"/>
      <c r="N28" s="338" t="s">
        <v>86</v>
      </c>
      <c r="O28" s="339"/>
      <c r="P28" s="151">
        <f>I25</f>
        <v>0</v>
      </c>
    </row>
    <row r="29" spans="1:16" x14ac:dyDescent="0.35">
      <c r="B29" s="332"/>
      <c r="C29" s="333"/>
      <c r="D29" s="333"/>
      <c r="E29" s="333"/>
      <c r="F29" s="333"/>
      <c r="G29" s="333"/>
      <c r="H29" s="333"/>
      <c r="I29" s="333"/>
      <c r="J29" s="333"/>
      <c r="K29" s="333"/>
      <c r="L29" s="334"/>
      <c r="N29" s="340" t="s">
        <v>87</v>
      </c>
      <c r="O29" s="341"/>
      <c r="P29" s="152">
        <f>L25</f>
        <v>0</v>
      </c>
    </row>
    <row r="30" spans="1:16" x14ac:dyDescent="0.35">
      <c r="B30" s="332"/>
      <c r="C30" s="333"/>
      <c r="D30" s="333"/>
      <c r="E30" s="333"/>
      <c r="F30" s="333"/>
      <c r="G30" s="333"/>
      <c r="H30" s="333"/>
      <c r="I30" s="333"/>
      <c r="J30" s="333"/>
      <c r="K30" s="333"/>
      <c r="L30" s="334"/>
      <c r="N30" s="340" t="s">
        <v>4</v>
      </c>
      <c r="O30" s="341"/>
      <c r="P30" s="153">
        <f>K25</f>
        <v>0</v>
      </c>
    </row>
    <row r="31" spans="1:16" x14ac:dyDescent="0.35">
      <c r="B31" s="332"/>
      <c r="C31" s="333"/>
      <c r="D31" s="333"/>
      <c r="E31" s="333"/>
      <c r="F31" s="333"/>
      <c r="G31" s="333"/>
      <c r="H31" s="333"/>
      <c r="I31" s="333"/>
      <c r="J31" s="333"/>
      <c r="K31" s="333"/>
      <c r="L31" s="334"/>
      <c r="M31" s="2"/>
      <c r="N31" s="340" t="s">
        <v>88</v>
      </c>
      <c r="O31" s="341"/>
      <c r="P31" s="152">
        <f>P28-P29-P30</f>
        <v>0</v>
      </c>
    </row>
    <row r="32" spans="1:16" x14ac:dyDescent="0.3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32"/>
      <c r="C33" s="333"/>
      <c r="D33" s="333"/>
      <c r="E33" s="333"/>
      <c r="F33" s="333"/>
      <c r="G33" s="333"/>
      <c r="H33" s="333"/>
      <c r="I33" s="333"/>
      <c r="J33" s="333"/>
      <c r="K33" s="333"/>
      <c r="L33" s="334"/>
      <c r="M33" s="2"/>
      <c r="N33" s="342" t="s">
        <v>90</v>
      </c>
      <c r="O33" s="343"/>
      <c r="P33" s="152">
        <f>P31+P32</f>
        <v>0</v>
      </c>
    </row>
    <row r="34" spans="2:16" ht="15" thickBot="1" x14ac:dyDescent="0.4">
      <c r="B34" s="335"/>
      <c r="C34" s="336"/>
      <c r="D34" s="336"/>
      <c r="E34" s="336"/>
      <c r="F34" s="336"/>
      <c r="G34" s="336"/>
      <c r="H34" s="336"/>
      <c r="I34" s="336"/>
      <c r="J34" s="336"/>
      <c r="K34" s="336"/>
      <c r="L34" s="3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20" t="s">
        <v>92</v>
      </c>
      <c r="O35" s="321"/>
      <c r="P35" s="159">
        <f>P33+P34</f>
        <v>0</v>
      </c>
    </row>
    <row r="36" spans="2:16" ht="15" thickBot="1" x14ac:dyDescent="0.4">
      <c r="B36" s="160" t="s">
        <v>93</v>
      </c>
      <c r="C36" s="322"/>
      <c r="D36" s="322"/>
      <c r="E36" s="322"/>
      <c r="F36" s="322"/>
      <c r="G36" s="322"/>
      <c r="H36" s="322"/>
      <c r="I36" s="323"/>
      <c r="J36" s="324"/>
      <c r="K36" s="325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3:N22"/>
  <sheetViews>
    <sheetView workbookViewId="0">
      <selection activeCell="A6" sqref="A6:C6"/>
    </sheetView>
  </sheetViews>
  <sheetFormatPr defaultRowHeight="14.5" x14ac:dyDescent="0.35"/>
  <sheetData>
    <row r="3" spans="1:14" x14ac:dyDescent="0.35">
      <c r="N3">
        <v>100</v>
      </c>
    </row>
    <row r="5" spans="1:14" x14ac:dyDescent="0.35">
      <c r="A5" t="s">
        <v>104</v>
      </c>
    </row>
    <row r="6" spans="1:14" x14ac:dyDescent="0.35">
      <c r="A6" t="s">
        <v>103</v>
      </c>
    </row>
    <row r="16" spans="1:14" x14ac:dyDescent="0.35">
      <c r="H16">
        <v>0</v>
      </c>
    </row>
    <row r="17" spans="8:8" x14ac:dyDescent="0.35">
      <c r="H17">
        <v>0</v>
      </c>
    </row>
    <row r="18" spans="8:8" x14ac:dyDescent="0.35">
      <c r="H18">
        <v>0</v>
      </c>
    </row>
    <row r="19" spans="8:8" x14ac:dyDescent="0.35">
      <c r="H19">
        <v>0</v>
      </c>
    </row>
    <row r="20" spans="8:8" x14ac:dyDescent="0.35">
      <c r="H20">
        <v>0</v>
      </c>
    </row>
    <row r="21" spans="8:8" x14ac:dyDescent="0.35">
      <c r="H21">
        <v>0</v>
      </c>
    </row>
    <row r="22" spans="8:8" x14ac:dyDescent="0.35">
      <c r="H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</vt:i4>
      </vt:variant>
    </vt:vector>
  </HeadingPairs>
  <TitlesOfParts>
    <vt:vector size="3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'3'!Print_Area</vt:lpstr>
      <vt:lpstr>'5'!Print_Area</vt:lpstr>
      <vt:lpstr>'6'!Print_Area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2026-06-29T12:36:44Z</dcterms:modified>
</cp:coreProperties>
</file>