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62892C1E-4DC5-4380-B1F9-5E32453A8DDA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  <sheet name="21" sheetId="36" r:id="rId24"/>
    <sheet name="22" sheetId="37" r:id="rId25"/>
    <sheet name="23" sheetId="38" r:id="rId26"/>
    <sheet name="24" sheetId="39" r:id="rId27"/>
    <sheet name="25" sheetId="40" r:id="rId28"/>
    <sheet name="26" sheetId="41" r:id="rId29"/>
    <sheet name="27" sheetId="42" r:id="rId30"/>
    <sheet name="28" sheetId="43" r:id="rId31"/>
  </sheets>
  <externalReferences>
    <externalReference r:id="rId32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U42" i="15" l="1"/>
  <c r="H17" i="15"/>
  <c r="H18" i="15"/>
  <c r="H19" i="15"/>
  <c r="H20" i="15"/>
  <c r="H21" i="15"/>
  <c r="H22" i="15"/>
  <c r="H23" i="15"/>
  <c r="H24" i="15"/>
  <c r="H16" i="15"/>
  <c r="T20" i="15"/>
  <c r="U40" i="15"/>
  <c r="U39" i="15"/>
  <c r="U37" i="15"/>
  <c r="U35" i="15"/>
  <c r="O34" i="36"/>
  <c r="O32" i="36"/>
  <c r="H25" i="36"/>
  <c r="G25" i="36"/>
  <c r="F24" i="36"/>
  <c r="E24" i="36"/>
  <c r="D24" i="36"/>
  <c r="I24" i="36" s="1"/>
  <c r="B24" i="36"/>
  <c r="C24" i="36" s="1"/>
  <c r="F23" i="36"/>
  <c r="E23" i="36"/>
  <c r="D23" i="36"/>
  <c r="I23" i="36" s="1"/>
  <c r="B23" i="36"/>
  <c r="C23" i="36" s="1"/>
  <c r="F22" i="36"/>
  <c r="E22" i="36"/>
  <c r="D22" i="36"/>
  <c r="I22" i="36" s="1"/>
  <c r="B22" i="36"/>
  <c r="C22" i="36" s="1"/>
  <c r="F21" i="36"/>
  <c r="E21" i="36"/>
  <c r="D21" i="36"/>
  <c r="I21" i="36" s="1"/>
  <c r="B21" i="36"/>
  <c r="C21" i="36" s="1"/>
  <c r="F20" i="36"/>
  <c r="E20" i="36"/>
  <c r="D20" i="36"/>
  <c r="I20" i="36" s="1"/>
  <c r="B20" i="36"/>
  <c r="C20" i="36" s="1"/>
  <c r="F19" i="36"/>
  <c r="E19" i="36"/>
  <c r="D19" i="36"/>
  <c r="I19" i="36" s="1"/>
  <c r="B19" i="36"/>
  <c r="C19" i="36" s="1"/>
  <c r="F18" i="36"/>
  <c r="E18" i="36"/>
  <c r="D18" i="36"/>
  <c r="I18" i="36" s="1"/>
  <c r="B18" i="36"/>
  <c r="C18" i="36" s="1"/>
  <c r="F17" i="36"/>
  <c r="E17" i="36"/>
  <c r="D17" i="36"/>
  <c r="I17" i="36" s="1"/>
  <c r="B17" i="36"/>
  <c r="C17" i="36" s="1"/>
  <c r="F16" i="36"/>
  <c r="E16" i="36"/>
  <c r="D16" i="36"/>
  <c r="I16" i="36" s="1"/>
  <c r="C16" i="36"/>
  <c r="B16" i="36"/>
  <c r="O15" i="36"/>
  <c r="N15" i="36"/>
  <c r="C12" i="36"/>
  <c r="C11" i="36"/>
  <c r="N4" i="36"/>
  <c r="N5" i="36" s="1"/>
  <c r="U31" i="15"/>
  <c r="T40" i="15"/>
  <c r="T39" i="15"/>
  <c r="T38" i="15"/>
  <c r="T37" i="15"/>
  <c r="T36" i="15"/>
  <c r="T35" i="15"/>
  <c r="T34" i="15"/>
  <c r="T33" i="15"/>
  <c r="T32" i="15"/>
  <c r="T31" i="15"/>
  <c r="T30" i="15"/>
  <c r="T29" i="15"/>
  <c r="O34" i="42"/>
  <c r="O32" i="42"/>
  <c r="H25" i="42"/>
  <c r="G25" i="42"/>
  <c r="F24" i="42"/>
  <c r="E24" i="42"/>
  <c r="D24" i="42"/>
  <c r="I24" i="42" s="1"/>
  <c r="B24" i="42"/>
  <c r="C24" i="42" s="1"/>
  <c r="F23" i="42"/>
  <c r="E23" i="42"/>
  <c r="D23" i="42"/>
  <c r="I23" i="42" s="1"/>
  <c r="B23" i="42"/>
  <c r="C23" i="42" s="1"/>
  <c r="F22" i="42"/>
  <c r="E22" i="42"/>
  <c r="D22" i="42"/>
  <c r="I22" i="42" s="1"/>
  <c r="B22" i="42"/>
  <c r="C22" i="42" s="1"/>
  <c r="F21" i="42"/>
  <c r="E21" i="42"/>
  <c r="D21" i="42"/>
  <c r="I21" i="42" s="1"/>
  <c r="B21" i="42"/>
  <c r="C21" i="42" s="1"/>
  <c r="F20" i="42"/>
  <c r="E20" i="42"/>
  <c r="D20" i="42"/>
  <c r="I20" i="42" s="1"/>
  <c r="B20" i="42"/>
  <c r="C20" i="42" s="1"/>
  <c r="F19" i="42"/>
  <c r="E19" i="42"/>
  <c r="D19" i="42"/>
  <c r="I19" i="42" s="1"/>
  <c r="B19" i="42"/>
  <c r="C19" i="42" s="1"/>
  <c r="F18" i="42"/>
  <c r="E18" i="42"/>
  <c r="D18" i="42"/>
  <c r="I18" i="42" s="1"/>
  <c r="B18" i="42"/>
  <c r="C18" i="42" s="1"/>
  <c r="F17" i="42"/>
  <c r="E17" i="42"/>
  <c r="D17" i="42"/>
  <c r="I17" i="42" s="1"/>
  <c r="B17" i="42"/>
  <c r="C17" i="42" s="1"/>
  <c r="F16" i="42"/>
  <c r="E16" i="42"/>
  <c r="D16" i="42"/>
  <c r="I16" i="42" s="1"/>
  <c r="C16" i="42"/>
  <c r="B16" i="42"/>
  <c r="O15" i="42"/>
  <c r="N15" i="42"/>
  <c r="C12" i="42"/>
  <c r="C11" i="42"/>
  <c r="N4" i="42"/>
  <c r="N5" i="42" s="1"/>
  <c r="O34" i="41"/>
  <c r="O32" i="41"/>
  <c r="H25" i="41"/>
  <c r="G25" i="41"/>
  <c r="F24" i="41"/>
  <c r="E24" i="41"/>
  <c r="D24" i="41"/>
  <c r="I24" i="41" s="1"/>
  <c r="B24" i="41"/>
  <c r="C24" i="41" s="1"/>
  <c r="F23" i="41"/>
  <c r="E23" i="41"/>
  <c r="D23" i="41"/>
  <c r="I23" i="41" s="1"/>
  <c r="B23" i="41"/>
  <c r="C23" i="41" s="1"/>
  <c r="F22" i="41"/>
  <c r="E22" i="41"/>
  <c r="D22" i="41"/>
  <c r="I22" i="41" s="1"/>
  <c r="B22" i="41"/>
  <c r="C22" i="41" s="1"/>
  <c r="F21" i="41"/>
  <c r="E21" i="41"/>
  <c r="D21" i="41"/>
  <c r="I21" i="41" s="1"/>
  <c r="B21" i="41"/>
  <c r="C21" i="41" s="1"/>
  <c r="F20" i="41"/>
  <c r="E20" i="41"/>
  <c r="D20" i="41"/>
  <c r="I20" i="41" s="1"/>
  <c r="B20" i="41"/>
  <c r="C20" i="41" s="1"/>
  <c r="F19" i="41"/>
  <c r="E19" i="41"/>
  <c r="D19" i="41"/>
  <c r="I19" i="41" s="1"/>
  <c r="B19" i="41"/>
  <c r="C19" i="41" s="1"/>
  <c r="F18" i="41"/>
  <c r="E18" i="41"/>
  <c r="D18" i="41"/>
  <c r="I18" i="41" s="1"/>
  <c r="B18" i="41"/>
  <c r="C18" i="41" s="1"/>
  <c r="F17" i="41"/>
  <c r="E17" i="41"/>
  <c r="D17" i="41"/>
  <c r="I17" i="41" s="1"/>
  <c r="B17" i="41"/>
  <c r="C17" i="41" s="1"/>
  <c r="F16" i="41"/>
  <c r="E16" i="41"/>
  <c r="D16" i="41"/>
  <c r="I16" i="41" s="1"/>
  <c r="C16" i="41"/>
  <c r="B16" i="41"/>
  <c r="O15" i="41"/>
  <c r="N15" i="41"/>
  <c r="C12" i="41"/>
  <c r="C11" i="41"/>
  <c r="N4" i="41"/>
  <c r="N5" i="41" s="1"/>
  <c r="O34" i="40"/>
  <c r="O32" i="40"/>
  <c r="H25" i="40"/>
  <c r="G25" i="40"/>
  <c r="F24" i="40"/>
  <c r="I24" i="40" s="1"/>
  <c r="E24" i="40"/>
  <c r="D24" i="40"/>
  <c r="B24" i="40"/>
  <c r="C24" i="40" s="1"/>
  <c r="F23" i="40"/>
  <c r="I23" i="40" s="1"/>
  <c r="E23" i="40"/>
  <c r="D23" i="40"/>
  <c r="B23" i="40"/>
  <c r="C23" i="40" s="1"/>
  <c r="F22" i="40"/>
  <c r="I22" i="40" s="1"/>
  <c r="E22" i="40"/>
  <c r="D22" i="40"/>
  <c r="B22" i="40"/>
  <c r="C22" i="40" s="1"/>
  <c r="F21" i="40"/>
  <c r="I21" i="40" s="1"/>
  <c r="E21" i="40"/>
  <c r="D21" i="40"/>
  <c r="B21" i="40"/>
  <c r="C21" i="40" s="1"/>
  <c r="F20" i="40"/>
  <c r="I20" i="40" s="1"/>
  <c r="E20" i="40"/>
  <c r="D20" i="40"/>
  <c r="B20" i="40"/>
  <c r="C20" i="40" s="1"/>
  <c r="F19" i="40"/>
  <c r="I19" i="40" s="1"/>
  <c r="E19" i="40"/>
  <c r="D19" i="40"/>
  <c r="B19" i="40"/>
  <c r="C19" i="40" s="1"/>
  <c r="F18" i="40"/>
  <c r="I18" i="40" s="1"/>
  <c r="E18" i="40"/>
  <c r="D18" i="40"/>
  <c r="B18" i="40"/>
  <c r="C18" i="40" s="1"/>
  <c r="F17" i="40"/>
  <c r="I17" i="40" s="1"/>
  <c r="E17" i="40"/>
  <c r="D17" i="40"/>
  <c r="B17" i="40"/>
  <c r="C17" i="40" s="1"/>
  <c r="F16" i="40"/>
  <c r="I16" i="40" s="1"/>
  <c r="E16" i="40"/>
  <c r="D16" i="40"/>
  <c r="C16" i="40"/>
  <c r="B16" i="40"/>
  <c r="O15" i="40"/>
  <c r="N15" i="40"/>
  <c r="C12" i="40"/>
  <c r="C11" i="40"/>
  <c r="N4" i="40"/>
  <c r="N5" i="40" s="1"/>
  <c r="O34" i="39"/>
  <c r="O32" i="39"/>
  <c r="H25" i="39"/>
  <c r="G25" i="39"/>
  <c r="F24" i="39"/>
  <c r="E24" i="39"/>
  <c r="D24" i="39"/>
  <c r="I24" i="39" s="1"/>
  <c r="C24" i="39"/>
  <c r="B24" i="39"/>
  <c r="F23" i="39"/>
  <c r="E23" i="39"/>
  <c r="D23" i="39"/>
  <c r="I23" i="39" s="1"/>
  <c r="C23" i="39"/>
  <c r="B23" i="39"/>
  <c r="F22" i="39"/>
  <c r="E22" i="39"/>
  <c r="D22" i="39"/>
  <c r="I22" i="39" s="1"/>
  <c r="B22" i="39"/>
  <c r="C22" i="39" s="1"/>
  <c r="F21" i="39"/>
  <c r="E21" i="39"/>
  <c r="D21" i="39"/>
  <c r="I21" i="39" s="1"/>
  <c r="B21" i="39"/>
  <c r="C21" i="39" s="1"/>
  <c r="F20" i="39"/>
  <c r="E20" i="39"/>
  <c r="D20" i="39"/>
  <c r="I20" i="39" s="1"/>
  <c r="B20" i="39"/>
  <c r="C20" i="39" s="1"/>
  <c r="F19" i="39"/>
  <c r="E19" i="39"/>
  <c r="D19" i="39"/>
  <c r="I19" i="39" s="1"/>
  <c r="B19" i="39"/>
  <c r="C19" i="39" s="1"/>
  <c r="F18" i="39"/>
  <c r="E18" i="39"/>
  <c r="D18" i="39"/>
  <c r="I18" i="39" s="1"/>
  <c r="B18" i="39"/>
  <c r="C18" i="39" s="1"/>
  <c r="F17" i="39"/>
  <c r="E17" i="39"/>
  <c r="D17" i="39"/>
  <c r="I17" i="39" s="1"/>
  <c r="B17" i="39"/>
  <c r="C17" i="39" s="1"/>
  <c r="F16" i="39"/>
  <c r="E16" i="39"/>
  <c r="D16" i="39"/>
  <c r="I16" i="39" s="1"/>
  <c r="C16" i="39"/>
  <c r="B16" i="39"/>
  <c r="O15" i="39"/>
  <c r="N15" i="39"/>
  <c r="C12" i="39"/>
  <c r="C11" i="39"/>
  <c r="N4" i="39"/>
  <c r="N5" i="39" s="1"/>
  <c r="O34" i="38"/>
  <c r="O32" i="38"/>
  <c r="H25" i="38"/>
  <c r="G25" i="38"/>
  <c r="F24" i="38"/>
  <c r="E24" i="38"/>
  <c r="D24" i="38"/>
  <c r="I24" i="38" s="1"/>
  <c r="B24" i="38"/>
  <c r="C24" i="38" s="1"/>
  <c r="F23" i="38"/>
  <c r="E23" i="38"/>
  <c r="D23" i="38"/>
  <c r="I23" i="38" s="1"/>
  <c r="B23" i="38"/>
  <c r="C23" i="38" s="1"/>
  <c r="F22" i="38"/>
  <c r="E22" i="38"/>
  <c r="D22" i="38"/>
  <c r="I22" i="38" s="1"/>
  <c r="B22" i="38"/>
  <c r="C22" i="38" s="1"/>
  <c r="F21" i="38"/>
  <c r="E21" i="38"/>
  <c r="D21" i="38"/>
  <c r="I21" i="38" s="1"/>
  <c r="B21" i="38"/>
  <c r="C21" i="38" s="1"/>
  <c r="F20" i="38"/>
  <c r="E20" i="38"/>
  <c r="D20" i="38"/>
  <c r="I20" i="38" s="1"/>
  <c r="B20" i="38"/>
  <c r="C20" i="38" s="1"/>
  <c r="F19" i="38"/>
  <c r="E19" i="38"/>
  <c r="D19" i="38"/>
  <c r="I19" i="38" s="1"/>
  <c r="B19" i="38"/>
  <c r="C19" i="38" s="1"/>
  <c r="F18" i="38"/>
  <c r="E18" i="38"/>
  <c r="D18" i="38"/>
  <c r="I18" i="38" s="1"/>
  <c r="B18" i="38"/>
  <c r="C18" i="38" s="1"/>
  <c r="F17" i="38"/>
  <c r="E17" i="38"/>
  <c r="D17" i="38"/>
  <c r="I17" i="38" s="1"/>
  <c r="B17" i="38"/>
  <c r="C17" i="38" s="1"/>
  <c r="F16" i="38"/>
  <c r="E16" i="38"/>
  <c r="D16" i="38"/>
  <c r="I16" i="38" s="1"/>
  <c r="C16" i="38"/>
  <c r="B16" i="38"/>
  <c r="O15" i="38"/>
  <c r="N15" i="38"/>
  <c r="C12" i="38"/>
  <c r="C11" i="38"/>
  <c r="N4" i="38"/>
  <c r="N5" i="38" s="1"/>
  <c r="O34" i="37"/>
  <c r="O32" i="37"/>
  <c r="H25" i="37"/>
  <c r="G25" i="37"/>
  <c r="F24" i="37"/>
  <c r="E24" i="37"/>
  <c r="D24" i="37"/>
  <c r="I24" i="37" s="1"/>
  <c r="B24" i="37"/>
  <c r="C24" i="37" s="1"/>
  <c r="F23" i="37"/>
  <c r="E23" i="37"/>
  <c r="D23" i="37"/>
  <c r="I23" i="37" s="1"/>
  <c r="B23" i="37"/>
  <c r="C23" i="37" s="1"/>
  <c r="F22" i="37"/>
  <c r="E22" i="37"/>
  <c r="D22" i="37"/>
  <c r="I22" i="37" s="1"/>
  <c r="B22" i="37"/>
  <c r="C22" i="37" s="1"/>
  <c r="F21" i="37"/>
  <c r="E21" i="37"/>
  <c r="D21" i="37"/>
  <c r="I21" i="37" s="1"/>
  <c r="B21" i="37"/>
  <c r="C21" i="37" s="1"/>
  <c r="F20" i="37"/>
  <c r="E20" i="37"/>
  <c r="D20" i="37"/>
  <c r="I20" i="37" s="1"/>
  <c r="B20" i="37"/>
  <c r="C20" i="37" s="1"/>
  <c r="F19" i="37"/>
  <c r="E19" i="37"/>
  <c r="D19" i="37"/>
  <c r="I19" i="37" s="1"/>
  <c r="B19" i="37"/>
  <c r="C19" i="37" s="1"/>
  <c r="F18" i="37"/>
  <c r="E18" i="37"/>
  <c r="D18" i="37"/>
  <c r="I18" i="37" s="1"/>
  <c r="B18" i="37"/>
  <c r="C18" i="37" s="1"/>
  <c r="F17" i="37"/>
  <c r="E17" i="37"/>
  <c r="D17" i="37"/>
  <c r="I17" i="37" s="1"/>
  <c r="B17" i="37"/>
  <c r="C17" i="37" s="1"/>
  <c r="F16" i="37"/>
  <c r="E16" i="37"/>
  <c r="D16" i="37"/>
  <c r="I16" i="37" s="1"/>
  <c r="C16" i="37"/>
  <c r="B16" i="37"/>
  <c r="O15" i="37"/>
  <c r="N15" i="37"/>
  <c r="C12" i="37"/>
  <c r="C11" i="37"/>
  <c r="N4" i="37"/>
  <c r="N5" i="37" s="1"/>
  <c r="J17" i="15"/>
  <c r="J18" i="15"/>
  <c r="J19" i="15"/>
  <c r="J20" i="15"/>
  <c r="J21" i="15"/>
  <c r="J22" i="15"/>
  <c r="J23" i="15"/>
  <c r="J24" i="15"/>
  <c r="J16" i="15"/>
  <c r="K18" i="36" l="1"/>
  <c r="L18" i="36"/>
  <c r="K19" i="36"/>
  <c r="L19" i="36"/>
  <c r="K22" i="36"/>
  <c r="L22" i="36"/>
  <c r="M22" i="36"/>
  <c r="I25" i="36"/>
  <c r="P28" i="36" s="1"/>
  <c r="K16" i="36"/>
  <c r="L16" i="36"/>
  <c r="M16" i="36"/>
  <c r="K21" i="36"/>
  <c r="M21" i="36" s="1"/>
  <c r="L21" i="36"/>
  <c r="K24" i="36"/>
  <c r="M24" i="36" s="1"/>
  <c r="L24" i="36"/>
  <c r="K17" i="36"/>
  <c r="M17" i="36" s="1"/>
  <c r="L17" i="36"/>
  <c r="K20" i="36"/>
  <c r="L20" i="36"/>
  <c r="K23" i="36"/>
  <c r="M23" i="36" s="1"/>
  <c r="L23" i="36"/>
  <c r="I25" i="42"/>
  <c r="P28" i="42" s="1"/>
  <c r="K16" i="42"/>
  <c r="L16" i="42"/>
  <c r="M16" i="42"/>
  <c r="K18" i="42"/>
  <c r="M18" i="42" s="1"/>
  <c r="L18" i="42"/>
  <c r="K20" i="42"/>
  <c r="L20" i="42"/>
  <c r="K22" i="42"/>
  <c r="M22" i="42" s="1"/>
  <c r="L22" i="42"/>
  <c r="K23" i="42"/>
  <c r="L23" i="42"/>
  <c r="M23" i="42"/>
  <c r="K17" i="42"/>
  <c r="L17" i="42"/>
  <c r="K19" i="42"/>
  <c r="M19" i="42" s="1"/>
  <c r="L19" i="42"/>
  <c r="K21" i="42"/>
  <c r="L21" i="42"/>
  <c r="M21" i="42" s="1"/>
  <c r="K24" i="42"/>
  <c r="L24" i="42"/>
  <c r="M24" i="42" s="1"/>
  <c r="I25" i="41"/>
  <c r="P28" i="41" s="1"/>
  <c r="K16" i="41"/>
  <c r="M16" i="41" s="1"/>
  <c r="L16" i="41"/>
  <c r="K17" i="41"/>
  <c r="M17" i="41" s="1"/>
  <c r="L17" i="41"/>
  <c r="K18" i="41"/>
  <c r="M18" i="41" s="1"/>
  <c r="L18" i="41"/>
  <c r="K19" i="41"/>
  <c r="L19" i="41"/>
  <c r="M19" i="41" s="1"/>
  <c r="K20" i="41"/>
  <c r="L20" i="41"/>
  <c r="M20" i="41"/>
  <c r="K21" i="41"/>
  <c r="M21" i="41"/>
  <c r="L21" i="41"/>
  <c r="K22" i="41"/>
  <c r="M22" i="41" s="1"/>
  <c r="L22" i="41"/>
  <c r="K23" i="41"/>
  <c r="M23" i="41"/>
  <c r="L23" i="41"/>
  <c r="K24" i="41"/>
  <c r="M24" i="41" s="1"/>
  <c r="L24" i="41"/>
  <c r="I25" i="40"/>
  <c r="P28" i="40" s="1"/>
  <c r="K16" i="40"/>
  <c r="M16" i="40" s="1"/>
  <c r="L16" i="40"/>
  <c r="K17" i="40"/>
  <c r="L17" i="40"/>
  <c r="K18" i="40"/>
  <c r="M18" i="40" s="1"/>
  <c r="L18" i="40"/>
  <c r="K19" i="40"/>
  <c r="L19" i="40"/>
  <c r="K20" i="40"/>
  <c r="L20" i="40"/>
  <c r="K21" i="40"/>
  <c r="L21" i="40"/>
  <c r="K22" i="40"/>
  <c r="M22" i="40"/>
  <c r="L22" i="40"/>
  <c r="K23" i="40"/>
  <c r="M23" i="40" s="1"/>
  <c r="L23" i="40"/>
  <c r="K24" i="40"/>
  <c r="M24" i="40"/>
  <c r="L24" i="40"/>
  <c r="K23" i="39"/>
  <c r="M23" i="39" s="1"/>
  <c r="L23" i="39"/>
  <c r="K24" i="39"/>
  <c r="L24" i="39"/>
  <c r="M24" i="39"/>
  <c r="I25" i="39"/>
  <c r="P28" i="39" s="1"/>
  <c r="K16" i="39"/>
  <c r="L16" i="39"/>
  <c r="M16" i="39"/>
  <c r="K17" i="39"/>
  <c r="L17" i="39"/>
  <c r="K18" i="39"/>
  <c r="M18" i="39" s="1"/>
  <c r="L18" i="39"/>
  <c r="K19" i="39"/>
  <c r="M19" i="39" s="1"/>
  <c r="L19" i="39"/>
  <c r="K20" i="39"/>
  <c r="L20" i="39"/>
  <c r="M20" i="39" s="1"/>
  <c r="K21" i="39"/>
  <c r="L21" i="39"/>
  <c r="M21" i="39"/>
  <c r="K22" i="39"/>
  <c r="M22" i="39" s="1"/>
  <c r="L22" i="39"/>
  <c r="K17" i="38"/>
  <c r="L17" i="38"/>
  <c r="M17" i="38" s="1"/>
  <c r="K20" i="38"/>
  <c r="L20" i="38"/>
  <c r="K22" i="38"/>
  <c r="M22" i="38" s="1"/>
  <c r="L22" i="38"/>
  <c r="K23" i="38"/>
  <c r="L23" i="38"/>
  <c r="M23" i="38"/>
  <c r="I25" i="38"/>
  <c r="P28" i="38" s="1"/>
  <c r="K16" i="38"/>
  <c r="L16" i="38"/>
  <c r="K18" i="38"/>
  <c r="L18" i="38"/>
  <c r="M18" i="38" s="1"/>
  <c r="K19" i="38"/>
  <c r="L19" i="38"/>
  <c r="K21" i="38"/>
  <c r="L21" i="38"/>
  <c r="K24" i="38"/>
  <c r="L24" i="38"/>
  <c r="M24" i="38"/>
  <c r="I25" i="37"/>
  <c r="P28" i="37" s="1"/>
  <c r="K16" i="37"/>
  <c r="L16" i="37"/>
  <c r="K17" i="37"/>
  <c r="L17" i="37"/>
  <c r="K20" i="37"/>
  <c r="M20" i="37" s="1"/>
  <c r="L20" i="37"/>
  <c r="K22" i="37"/>
  <c r="L22" i="37"/>
  <c r="K24" i="37"/>
  <c r="M24" i="37" s="1"/>
  <c r="L24" i="37"/>
  <c r="K19" i="37"/>
  <c r="L19" i="37"/>
  <c r="K23" i="37"/>
  <c r="M23" i="37" s="1"/>
  <c r="L23" i="37"/>
  <c r="K18" i="37"/>
  <c r="L18" i="37"/>
  <c r="M18" i="37" s="1"/>
  <c r="K21" i="37"/>
  <c r="L21" i="37"/>
  <c r="T28" i="15"/>
  <c r="T27" i="15"/>
  <c r="T26" i="15"/>
  <c r="O34" i="35"/>
  <c r="C11" i="35" s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L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L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L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C18" i="33"/>
  <c r="B18" i="33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C22" i="32"/>
  <c r="B22" i="32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M20" i="40" l="1"/>
  <c r="M21" i="40"/>
  <c r="M19" i="40"/>
  <c r="M19" i="38"/>
  <c r="N19" i="38" s="1"/>
  <c r="O19" i="38" s="1"/>
  <c r="M20" i="38"/>
  <c r="M19" i="36"/>
  <c r="N19" i="36" s="1"/>
  <c r="O19" i="36" s="1"/>
  <c r="M20" i="36"/>
  <c r="N20" i="36" s="1"/>
  <c r="M18" i="36"/>
  <c r="N24" i="36"/>
  <c r="O24" i="36" s="1"/>
  <c r="P24" i="36"/>
  <c r="N23" i="36"/>
  <c r="O23" i="36" s="1"/>
  <c r="P23" i="36"/>
  <c r="N18" i="36"/>
  <c r="O18" i="36" s="1"/>
  <c r="N17" i="36"/>
  <c r="O17" i="36" s="1"/>
  <c r="P17" i="36"/>
  <c r="M25" i="36"/>
  <c r="N16" i="36"/>
  <c r="K25" i="36"/>
  <c r="P30" i="36" s="1"/>
  <c r="N22" i="36"/>
  <c r="O22" i="36" s="1"/>
  <c r="P22" i="36"/>
  <c r="N21" i="36"/>
  <c r="O21" i="36" s="1"/>
  <c r="L25" i="36"/>
  <c r="P29" i="36" s="1"/>
  <c r="M20" i="42"/>
  <c r="M17" i="42"/>
  <c r="N17" i="42" s="1"/>
  <c r="O17" i="42" s="1"/>
  <c r="N24" i="42"/>
  <c r="O24" i="42" s="1"/>
  <c r="N22" i="42"/>
  <c r="O22" i="42" s="1"/>
  <c r="N20" i="42"/>
  <c r="O20" i="42" s="1"/>
  <c r="N19" i="42"/>
  <c r="O19" i="42" s="1"/>
  <c r="N16" i="42"/>
  <c r="N18" i="42"/>
  <c r="O18" i="42" s="1"/>
  <c r="L25" i="42"/>
  <c r="P29" i="42" s="1"/>
  <c r="N21" i="42"/>
  <c r="O21" i="42" s="1"/>
  <c r="N23" i="42"/>
  <c r="O23" i="42" s="1"/>
  <c r="P23" i="42"/>
  <c r="K25" i="42"/>
  <c r="P30" i="42" s="1"/>
  <c r="N22" i="41"/>
  <c r="O22" i="41" s="1"/>
  <c r="N17" i="41"/>
  <c r="O17" i="41" s="1"/>
  <c r="N18" i="41"/>
  <c r="O18" i="41" s="1"/>
  <c r="P18" i="41"/>
  <c r="M25" i="41"/>
  <c r="N16" i="41"/>
  <c r="N24" i="41"/>
  <c r="O24" i="41" s="1"/>
  <c r="P24" i="41"/>
  <c r="P19" i="41"/>
  <c r="N19" i="41"/>
  <c r="O19" i="41" s="1"/>
  <c r="L25" i="41"/>
  <c r="P29" i="41" s="1"/>
  <c r="N21" i="41"/>
  <c r="O21" i="41" s="1"/>
  <c r="P21" i="41"/>
  <c r="K25" i="41"/>
  <c r="P30" i="41" s="1"/>
  <c r="N23" i="41"/>
  <c r="O23" i="41" s="1"/>
  <c r="P23" i="41"/>
  <c r="N20" i="41"/>
  <c r="O20" i="41" s="1"/>
  <c r="P31" i="41"/>
  <c r="M17" i="40"/>
  <c r="M17" i="39"/>
  <c r="M21" i="38"/>
  <c r="M21" i="37"/>
  <c r="M19" i="37"/>
  <c r="N19" i="37" s="1"/>
  <c r="M22" i="37"/>
  <c r="M17" i="37"/>
  <c r="N23" i="40"/>
  <c r="O23" i="40" s="1"/>
  <c r="N21" i="40"/>
  <c r="O21" i="40" s="1"/>
  <c r="L25" i="40"/>
  <c r="P29" i="40" s="1"/>
  <c r="N24" i="40"/>
  <c r="O24" i="40" s="1"/>
  <c r="P24" i="40"/>
  <c r="N20" i="40"/>
  <c r="O20" i="40" s="1"/>
  <c r="P20" i="40"/>
  <c r="N16" i="40"/>
  <c r="K25" i="40"/>
  <c r="P30" i="40" s="1"/>
  <c r="N22" i="40"/>
  <c r="O22" i="40" s="1"/>
  <c r="P22" i="40"/>
  <c r="N19" i="40"/>
  <c r="O19" i="40" s="1"/>
  <c r="N18" i="40"/>
  <c r="O18" i="40" s="1"/>
  <c r="N23" i="39"/>
  <c r="O23" i="39" s="1"/>
  <c r="N18" i="39"/>
  <c r="O18" i="39" s="1"/>
  <c r="N22" i="39"/>
  <c r="O22" i="39" s="1"/>
  <c r="N17" i="39"/>
  <c r="O17" i="39" s="1"/>
  <c r="P17" i="39"/>
  <c r="N21" i="39"/>
  <c r="O21" i="39" s="1"/>
  <c r="L25" i="39"/>
  <c r="P29" i="39" s="1"/>
  <c r="K25" i="39"/>
  <c r="P30" i="39" s="1"/>
  <c r="P31" i="39" s="1"/>
  <c r="N20" i="39"/>
  <c r="O20" i="39" s="1"/>
  <c r="N19" i="39"/>
  <c r="O19" i="39" s="1"/>
  <c r="M25" i="39"/>
  <c r="N16" i="39"/>
  <c r="P24" i="39"/>
  <c r="N24" i="39"/>
  <c r="O24" i="39" s="1"/>
  <c r="N20" i="38"/>
  <c r="O20" i="38" s="1"/>
  <c r="N18" i="38"/>
  <c r="O18" i="38" s="1"/>
  <c r="P18" i="38"/>
  <c r="N17" i="38"/>
  <c r="O17" i="38" s="1"/>
  <c r="P17" i="38"/>
  <c r="N21" i="38"/>
  <c r="O21" i="38" s="1"/>
  <c r="N22" i="38"/>
  <c r="O22" i="38" s="1"/>
  <c r="P22" i="38"/>
  <c r="N24" i="38"/>
  <c r="O24" i="38" s="1"/>
  <c r="L25" i="38"/>
  <c r="P29" i="38" s="1"/>
  <c r="P31" i="38" s="1"/>
  <c r="K25" i="38"/>
  <c r="P30" i="38" s="1"/>
  <c r="N23" i="38"/>
  <c r="O23" i="38" s="1"/>
  <c r="M16" i="38"/>
  <c r="N17" i="37"/>
  <c r="O17" i="37" s="1"/>
  <c r="N23" i="37"/>
  <c r="O23" i="37" s="1"/>
  <c r="N20" i="37"/>
  <c r="O20" i="37" s="1"/>
  <c r="N22" i="37"/>
  <c r="O22" i="37" s="1"/>
  <c r="P22" i="37"/>
  <c r="N21" i="37"/>
  <c r="O21" i="37" s="1"/>
  <c r="N18" i="37"/>
  <c r="O18" i="37" s="1"/>
  <c r="P18" i="37" s="1"/>
  <c r="L25" i="37"/>
  <c r="P29" i="37" s="1"/>
  <c r="M16" i="37"/>
  <c r="K25" i="37"/>
  <c r="P30" i="37" s="1"/>
  <c r="N24" i="37"/>
  <c r="O24" i="37" s="1"/>
  <c r="P24" i="37"/>
  <c r="K17" i="33"/>
  <c r="L17" i="33"/>
  <c r="I16" i="30"/>
  <c r="L16" i="30" s="1"/>
  <c r="I17" i="30"/>
  <c r="L17" i="30" s="1"/>
  <c r="I18" i="30"/>
  <c r="I19" i="30"/>
  <c r="L19" i="30" s="1"/>
  <c r="I20" i="30"/>
  <c r="I21" i="30"/>
  <c r="L21" i="30" s="1"/>
  <c r="I22" i="30"/>
  <c r="I23" i="30"/>
  <c r="K23" i="30" s="1"/>
  <c r="M23" i="30" s="1"/>
  <c r="I24" i="30"/>
  <c r="I16" i="32"/>
  <c r="L16" i="32" s="1"/>
  <c r="I17" i="32"/>
  <c r="L17" i="32" s="1"/>
  <c r="I18" i="32"/>
  <c r="I19" i="32"/>
  <c r="L19" i="32" s="1"/>
  <c r="I20" i="32"/>
  <c r="I21" i="32"/>
  <c r="L21" i="32" s="1"/>
  <c r="I16" i="33"/>
  <c r="L16" i="33" s="1"/>
  <c r="I16" i="28"/>
  <c r="L16" i="28" s="1"/>
  <c r="I17" i="28"/>
  <c r="L17" i="28" s="1"/>
  <c r="I18" i="28"/>
  <c r="I19" i="28"/>
  <c r="I20" i="28"/>
  <c r="I21" i="28"/>
  <c r="L21" i="28" s="1"/>
  <c r="I22" i="28"/>
  <c r="I23" i="28"/>
  <c r="L23" i="28" s="1"/>
  <c r="I24" i="28"/>
  <c r="I22" i="32"/>
  <c r="I18" i="33"/>
  <c r="I20" i="33"/>
  <c r="I16" i="31"/>
  <c r="L16" i="31" s="1"/>
  <c r="I17" i="31"/>
  <c r="L17" i="31" s="1"/>
  <c r="I18" i="31"/>
  <c r="I19" i="31"/>
  <c r="I20" i="31"/>
  <c r="L20" i="31" s="1"/>
  <c r="I21" i="31"/>
  <c r="I22" i="31"/>
  <c r="K22" i="31" s="1"/>
  <c r="I23" i="31"/>
  <c r="K23" i="31" s="1"/>
  <c r="I24" i="31"/>
  <c r="I23" i="32"/>
  <c r="I22" i="33"/>
  <c r="I16" i="34"/>
  <c r="L16" i="34" s="1"/>
  <c r="I17" i="34"/>
  <c r="L17" i="34" s="1"/>
  <c r="I18" i="34"/>
  <c r="I19" i="34"/>
  <c r="I20" i="34"/>
  <c r="I21" i="34"/>
  <c r="L21" i="34" s="1"/>
  <c r="I22" i="34"/>
  <c r="I23" i="34"/>
  <c r="I24" i="34"/>
  <c r="L24" i="34" s="1"/>
  <c r="I16" i="29"/>
  <c r="L16" i="29" s="1"/>
  <c r="I17" i="29"/>
  <c r="I18" i="29"/>
  <c r="I19" i="29"/>
  <c r="I20" i="29"/>
  <c r="I21" i="29"/>
  <c r="L21" i="29" s="1"/>
  <c r="I22" i="29"/>
  <c r="I23" i="29"/>
  <c r="L23" i="29" s="1"/>
  <c r="I24" i="29"/>
  <c r="I24" i="32"/>
  <c r="I19" i="33"/>
  <c r="L19" i="33" s="1"/>
  <c r="I23" i="33"/>
  <c r="L23" i="33" s="1"/>
  <c r="I25" i="35"/>
  <c r="P28" i="35" s="1"/>
  <c r="K16" i="35"/>
  <c r="K17" i="35"/>
  <c r="K18" i="35"/>
  <c r="K19" i="35"/>
  <c r="K20" i="35"/>
  <c r="K21" i="35"/>
  <c r="K22" i="35"/>
  <c r="L22" i="35"/>
  <c r="M22" i="35"/>
  <c r="K23" i="35"/>
  <c r="L23" i="35"/>
  <c r="K24" i="35"/>
  <c r="L24" i="35"/>
  <c r="K22" i="34"/>
  <c r="L22" i="34"/>
  <c r="K23" i="34"/>
  <c r="L23" i="34"/>
  <c r="K21" i="33"/>
  <c r="K22" i="33"/>
  <c r="L22" i="33"/>
  <c r="K19" i="33"/>
  <c r="K24" i="33"/>
  <c r="L24" i="33"/>
  <c r="M17" i="33"/>
  <c r="K24" i="32"/>
  <c r="L24" i="32"/>
  <c r="K16" i="32"/>
  <c r="K17" i="32"/>
  <c r="K21" i="32"/>
  <c r="K23" i="32"/>
  <c r="L23" i="32"/>
  <c r="M23" i="32" s="1"/>
  <c r="K22" i="32"/>
  <c r="L22" i="32"/>
  <c r="K17" i="31"/>
  <c r="K24" i="31"/>
  <c r="L24" i="31"/>
  <c r="K16" i="31"/>
  <c r="L23" i="31"/>
  <c r="K21" i="30"/>
  <c r="L23" i="30"/>
  <c r="K16" i="30"/>
  <c r="K17" i="30"/>
  <c r="K22" i="30"/>
  <c r="L22" i="30"/>
  <c r="K24" i="30"/>
  <c r="L24" i="30"/>
  <c r="K24" i="29"/>
  <c r="M24" i="29" s="1"/>
  <c r="L24" i="29"/>
  <c r="K22" i="29"/>
  <c r="L22" i="29"/>
  <c r="K16" i="28"/>
  <c r="K17" i="28"/>
  <c r="K22" i="28"/>
  <c r="L22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K17" i="34" l="1"/>
  <c r="M25" i="40"/>
  <c r="P19" i="40"/>
  <c r="P19" i="38"/>
  <c r="M23" i="34"/>
  <c r="L22" i="31"/>
  <c r="M22" i="31" s="1"/>
  <c r="O20" i="36"/>
  <c r="P20" i="36"/>
  <c r="P19" i="36"/>
  <c r="P31" i="36"/>
  <c r="N25" i="36"/>
  <c r="P32" i="36" s="1"/>
  <c r="O16" i="36"/>
  <c r="P21" i="36"/>
  <c r="P18" i="36"/>
  <c r="M25" i="42"/>
  <c r="P31" i="42"/>
  <c r="P18" i="42"/>
  <c r="P20" i="42"/>
  <c r="P17" i="42"/>
  <c r="P21" i="42"/>
  <c r="P19" i="42"/>
  <c r="P22" i="42"/>
  <c r="P24" i="42"/>
  <c r="N25" i="42"/>
  <c r="P32" i="42" s="1"/>
  <c r="P33" i="42" s="1"/>
  <c r="O16" i="42"/>
  <c r="O25" i="42" s="1"/>
  <c r="P17" i="41"/>
  <c r="N25" i="41"/>
  <c r="P32" i="41" s="1"/>
  <c r="P33" i="41" s="1"/>
  <c r="O16" i="41"/>
  <c r="O25" i="41" s="1"/>
  <c r="P20" i="41"/>
  <c r="P22" i="41"/>
  <c r="N17" i="40"/>
  <c r="O17" i="40" s="1"/>
  <c r="P18" i="40"/>
  <c r="P31" i="40"/>
  <c r="P21" i="39"/>
  <c r="P18" i="39"/>
  <c r="P31" i="37"/>
  <c r="O19" i="37"/>
  <c r="P19" i="37" s="1"/>
  <c r="P21" i="37"/>
  <c r="P23" i="37"/>
  <c r="N25" i="40"/>
  <c r="P32" i="40" s="1"/>
  <c r="O16" i="40"/>
  <c r="O25" i="40" s="1"/>
  <c r="P21" i="40"/>
  <c r="P23" i="40"/>
  <c r="N25" i="39"/>
  <c r="P32" i="39" s="1"/>
  <c r="P33" i="39" s="1"/>
  <c r="O16" i="39"/>
  <c r="O25" i="39" s="1"/>
  <c r="P20" i="39"/>
  <c r="P16" i="39"/>
  <c r="P22" i="39"/>
  <c r="P23" i="39"/>
  <c r="P19" i="39"/>
  <c r="P21" i="38"/>
  <c r="M25" i="38"/>
  <c r="N16" i="38"/>
  <c r="P23" i="38"/>
  <c r="P24" i="38"/>
  <c r="P20" i="38"/>
  <c r="M25" i="37"/>
  <c r="N16" i="37"/>
  <c r="P20" i="37"/>
  <c r="P17" i="37"/>
  <c r="K18" i="34"/>
  <c r="L18" i="34"/>
  <c r="M18" i="34" s="1"/>
  <c r="N18" i="34" s="1"/>
  <c r="O18" i="34" s="1"/>
  <c r="P18" i="34" s="1"/>
  <c r="K21" i="34"/>
  <c r="M21" i="34" s="1"/>
  <c r="N21" i="34" s="1"/>
  <c r="O21" i="34" s="1"/>
  <c r="K20" i="34"/>
  <c r="L20" i="34"/>
  <c r="K19" i="34"/>
  <c r="L19" i="34"/>
  <c r="K20" i="33"/>
  <c r="L20" i="33"/>
  <c r="K18" i="33"/>
  <c r="L18" i="33"/>
  <c r="K20" i="32"/>
  <c r="M20" i="32" s="1"/>
  <c r="N20" i="32" s="1"/>
  <c r="O20" i="32" s="1"/>
  <c r="L20" i="32"/>
  <c r="K19" i="32"/>
  <c r="K18" i="32"/>
  <c r="L18" i="32"/>
  <c r="K21" i="31"/>
  <c r="L21" i="31"/>
  <c r="K20" i="31"/>
  <c r="M20" i="31" s="1"/>
  <c r="N20" i="31" s="1"/>
  <c r="O20" i="31" s="1"/>
  <c r="K19" i="31"/>
  <c r="M19" i="31" s="1"/>
  <c r="N19" i="31" s="1"/>
  <c r="O19" i="31" s="1"/>
  <c r="L19" i="31"/>
  <c r="K18" i="31"/>
  <c r="L18" i="31"/>
  <c r="M21" i="30"/>
  <c r="K18" i="30"/>
  <c r="M18" i="30" s="1"/>
  <c r="N18" i="30" s="1"/>
  <c r="O18" i="30" s="1"/>
  <c r="P18" i="30" s="1"/>
  <c r="L18" i="30"/>
  <c r="K20" i="30"/>
  <c r="M20" i="30" s="1"/>
  <c r="N20" i="30" s="1"/>
  <c r="O20" i="30" s="1"/>
  <c r="L20" i="30"/>
  <c r="K21" i="28"/>
  <c r="K19" i="29"/>
  <c r="L19" i="29"/>
  <c r="K16" i="29"/>
  <c r="M16" i="29" s="1"/>
  <c r="N16" i="29" s="1"/>
  <c r="K18" i="29"/>
  <c r="L18" i="29"/>
  <c r="M18" i="29" s="1"/>
  <c r="N18" i="29" s="1"/>
  <c r="O18" i="29" s="1"/>
  <c r="K17" i="29"/>
  <c r="L17" i="29"/>
  <c r="K20" i="29"/>
  <c r="L20" i="29"/>
  <c r="K19" i="28"/>
  <c r="L19" i="28"/>
  <c r="K18" i="28"/>
  <c r="M18" i="28" s="1"/>
  <c r="N18" i="28" s="1"/>
  <c r="O18" i="28" s="1"/>
  <c r="P18" i="28" s="1"/>
  <c r="L18" i="28"/>
  <c r="L25" i="28" s="1"/>
  <c r="P29" i="28" s="1"/>
  <c r="K20" i="28"/>
  <c r="L20" i="28"/>
  <c r="K21" i="29"/>
  <c r="M21" i="29" s="1"/>
  <c r="N21" i="29" s="1"/>
  <c r="O21" i="29" s="1"/>
  <c r="I25" i="28"/>
  <c r="P28" i="28" s="1"/>
  <c r="M17" i="28"/>
  <c r="M17" i="31"/>
  <c r="N17" i="31" s="1"/>
  <c r="O17" i="31" s="1"/>
  <c r="I25" i="30"/>
  <c r="P28" i="30" s="1"/>
  <c r="I25" i="32"/>
  <c r="P28" i="32" s="1"/>
  <c r="M18" i="33"/>
  <c r="N18" i="33" s="1"/>
  <c r="O18" i="33" s="1"/>
  <c r="M18" i="35"/>
  <c r="N18" i="35" s="1"/>
  <c r="O18" i="35" s="1"/>
  <c r="M17" i="35"/>
  <c r="N17" i="35" s="1"/>
  <c r="O17" i="35" s="1"/>
  <c r="I25" i="34"/>
  <c r="P28" i="34" s="1"/>
  <c r="K23" i="28"/>
  <c r="M23" i="28" s="1"/>
  <c r="K23" i="29"/>
  <c r="M22" i="29"/>
  <c r="K24" i="34"/>
  <c r="M24" i="34" s="1"/>
  <c r="L25" i="34"/>
  <c r="P29" i="34" s="1"/>
  <c r="M21" i="35"/>
  <c r="N21" i="35" s="1"/>
  <c r="O21" i="35" s="1"/>
  <c r="M24" i="28"/>
  <c r="M24" i="30"/>
  <c r="N24" i="30" s="1"/>
  <c r="O24" i="30" s="1"/>
  <c r="P24" i="30" s="1"/>
  <c r="K19" i="30"/>
  <c r="M19" i="30" s="1"/>
  <c r="N19" i="30" s="1"/>
  <c r="O19" i="30" s="1"/>
  <c r="P19" i="30" s="1"/>
  <c r="M24" i="32"/>
  <c r="K23" i="33"/>
  <c r="M23" i="33" s="1"/>
  <c r="N23" i="33" s="1"/>
  <c r="O23" i="33" s="1"/>
  <c r="M22" i="33"/>
  <c r="M24" i="35"/>
  <c r="M24" i="31"/>
  <c r="K16" i="33"/>
  <c r="K25" i="33" s="1"/>
  <c r="P30" i="33" s="1"/>
  <c r="M24" i="33"/>
  <c r="M23" i="35"/>
  <c r="I16" i="26"/>
  <c r="I17" i="26"/>
  <c r="I18" i="26"/>
  <c r="I19" i="26"/>
  <c r="L19" i="26" s="1"/>
  <c r="I20" i="26"/>
  <c r="L20" i="26" s="1"/>
  <c r="I21" i="26"/>
  <c r="I22" i="26"/>
  <c r="K22" i="26" s="1"/>
  <c r="I23" i="26"/>
  <c r="I24" i="26"/>
  <c r="L24" i="26" s="1"/>
  <c r="M24" i="26" s="1"/>
  <c r="I21" i="27"/>
  <c r="L21" i="27" s="1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19" i="33"/>
  <c r="N19" i="33" s="1"/>
  <c r="O19" i="33" s="1"/>
  <c r="M19" i="34"/>
  <c r="M19" i="28"/>
  <c r="N19" i="28" s="1"/>
  <c r="O19" i="28" s="1"/>
  <c r="M17" i="30"/>
  <c r="N17" i="30" s="1"/>
  <c r="O17" i="30" s="1"/>
  <c r="M16" i="32"/>
  <c r="N16" i="32" s="1"/>
  <c r="M17" i="29"/>
  <c r="N17" i="29" s="1"/>
  <c r="O17" i="29" s="1"/>
  <c r="P17" i="29" s="1"/>
  <c r="M17" i="34"/>
  <c r="N17" i="34" s="1"/>
  <c r="O17" i="34" s="1"/>
  <c r="M19" i="35"/>
  <c r="N19" i="35" s="1"/>
  <c r="O19" i="35" s="1"/>
  <c r="M20" i="33"/>
  <c r="N20" i="33" s="1"/>
  <c r="O20" i="33" s="1"/>
  <c r="M20" i="35"/>
  <c r="N20" i="35" s="1"/>
  <c r="O20" i="35" s="1"/>
  <c r="P20" i="35" s="1"/>
  <c r="M21" i="32"/>
  <c r="N21" i="32" s="1"/>
  <c r="O21" i="32" s="1"/>
  <c r="M21" i="31"/>
  <c r="N21" i="31" s="1"/>
  <c r="O21" i="31" s="1"/>
  <c r="M22" i="34"/>
  <c r="N22" i="34" s="1"/>
  <c r="O22" i="34" s="1"/>
  <c r="M21" i="28"/>
  <c r="N21" i="28" s="1"/>
  <c r="O21" i="28" s="1"/>
  <c r="L25" i="31"/>
  <c r="P29" i="31" s="1"/>
  <c r="M16" i="30"/>
  <c r="N16" i="30" s="1"/>
  <c r="L25" i="30"/>
  <c r="P29" i="30" s="1"/>
  <c r="M20" i="28"/>
  <c r="N20" i="28" s="1"/>
  <c r="O20" i="28" s="1"/>
  <c r="P20" i="28" s="1"/>
  <c r="N24" i="35"/>
  <c r="O24" i="35" s="1"/>
  <c r="P24" i="35" s="1"/>
  <c r="N22" i="35"/>
  <c r="O22" i="35" s="1"/>
  <c r="K25" i="35"/>
  <c r="P30" i="35" s="1"/>
  <c r="N23" i="35"/>
  <c r="O23" i="35" s="1"/>
  <c r="L25" i="35"/>
  <c r="P29" i="35" s="1"/>
  <c r="M16" i="35"/>
  <c r="N23" i="34"/>
  <c r="O23" i="34" s="1"/>
  <c r="P23" i="34" s="1"/>
  <c r="N19" i="34"/>
  <c r="O19" i="34" s="1"/>
  <c r="N24" i="33"/>
  <c r="O24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N24" i="31"/>
  <c r="O24" i="31" s="1"/>
  <c r="N23" i="31"/>
  <c r="O23" i="31" s="1"/>
  <c r="M16" i="31"/>
  <c r="K25" i="31"/>
  <c r="P30" i="31" s="1"/>
  <c r="N22" i="31"/>
  <c r="O22" i="31" s="1"/>
  <c r="P22" i="31" s="1"/>
  <c r="N21" i="30"/>
  <c r="O21" i="30" s="1"/>
  <c r="N22" i="30"/>
  <c r="O22" i="30" s="1"/>
  <c r="P22" i="30" s="1"/>
  <c r="N23" i="30"/>
  <c r="O23" i="30" s="1"/>
  <c r="N22" i="29"/>
  <c r="O22" i="29" s="1"/>
  <c r="N24" i="29"/>
  <c r="O24" i="29" s="1"/>
  <c r="P24" i="29" s="1"/>
  <c r="N24" i="28"/>
  <c r="O24" i="28" s="1"/>
  <c r="P24" i="28" s="1"/>
  <c r="K25" i="28"/>
  <c r="P30" i="28" s="1"/>
  <c r="N23" i="28"/>
  <c r="O23" i="28" s="1"/>
  <c r="P23" i="28" s="1"/>
  <c r="M16" i="28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L22" i="26"/>
  <c r="K23" i="26"/>
  <c r="L23" i="26"/>
  <c r="K24" i="26"/>
  <c r="T23" i="15"/>
  <c r="T22" i="15"/>
  <c r="T21" i="15"/>
  <c r="T19" i="15"/>
  <c r="T18" i="15"/>
  <c r="T17" i="15"/>
  <c r="T16" i="15"/>
  <c r="T15" i="15"/>
  <c r="T14" i="15"/>
  <c r="P33" i="40" l="1"/>
  <c r="P17" i="40"/>
  <c r="M20" i="29"/>
  <c r="N20" i="29" s="1"/>
  <c r="O20" i="29" s="1"/>
  <c r="M18" i="32"/>
  <c r="N18" i="32" s="1"/>
  <c r="O18" i="32" s="1"/>
  <c r="M18" i="31"/>
  <c r="N18" i="31" s="1"/>
  <c r="O18" i="31" s="1"/>
  <c r="P33" i="36"/>
  <c r="P34" i="36" s="1"/>
  <c r="P35" i="36" s="1"/>
  <c r="U34" i="15" s="1"/>
  <c r="K25" i="30"/>
  <c r="P30" i="30" s="1"/>
  <c r="O25" i="36"/>
  <c r="P16" i="36"/>
  <c r="P25" i="36" s="1"/>
  <c r="P34" i="42"/>
  <c r="P35" i="42" s="1"/>
  <c r="P16" i="42"/>
  <c r="P25" i="42" s="1"/>
  <c r="P34" i="41"/>
  <c r="P35" i="41" s="1"/>
  <c r="P16" i="41"/>
  <c r="P25" i="41" s="1"/>
  <c r="P16" i="40"/>
  <c r="P25" i="40"/>
  <c r="P34" i="40"/>
  <c r="P35" i="40" s="1"/>
  <c r="U38" i="15" s="1"/>
  <c r="P34" i="39"/>
  <c r="P35" i="39" s="1"/>
  <c r="P25" i="39"/>
  <c r="N25" i="38"/>
  <c r="P32" i="38" s="1"/>
  <c r="P33" i="38" s="1"/>
  <c r="O16" i="38"/>
  <c r="O25" i="38" s="1"/>
  <c r="N25" i="37"/>
  <c r="P32" i="37" s="1"/>
  <c r="P33" i="37" s="1"/>
  <c r="O16" i="37"/>
  <c r="O25" i="37" s="1"/>
  <c r="K25" i="32"/>
  <c r="P30" i="32" s="1"/>
  <c r="P31" i="32" s="1"/>
  <c r="P24" i="31"/>
  <c r="M19" i="29"/>
  <c r="N19" i="29" s="1"/>
  <c r="O19" i="29" s="1"/>
  <c r="K25" i="29"/>
  <c r="P30" i="29" s="1"/>
  <c r="K18" i="26"/>
  <c r="L18" i="26"/>
  <c r="K21" i="26"/>
  <c r="L21" i="26"/>
  <c r="K17" i="26"/>
  <c r="L17" i="26"/>
  <c r="K16" i="26"/>
  <c r="M16" i="26" s="1"/>
  <c r="L16" i="26"/>
  <c r="K19" i="26"/>
  <c r="M19" i="26" s="1"/>
  <c r="N19" i="26" s="1"/>
  <c r="O19" i="26" s="1"/>
  <c r="K20" i="26"/>
  <c r="L25" i="32"/>
  <c r="P29" i="32" s="1"/>
  <c r="L25" i="33"/>
  <c r="P29" i="33" s="1"/>
  <c r="P31" i="33" s="1"/>
  <c r="M20" i="34"/>
  <c r="N20" i="34" s="1"/>
  <c r="O20" i="34" s="1"/>
  <c r="L25" i="29"/>
  <c r="P29" i="29" s="1"/>
  <c r="N24" i="34"/>
  <c r="O24" i="34" s="1"/>
  <c r="K25" i="34"/>
  <c r="P30" i="34" s="1"/>
  <c r="P31" i="34" s="1"/>
  <c r="I25" i="26"/>
  <c r="P28" i="26" s="1"/>
  <c r="M23" i="27"/>
  <c r="P23" i="32"/>
  <c r="P23" i="31"/>
  <c r="M17" i="26"/>
  <c r="P17" i="31"/>
  <c r="P18" i="29"/>
  <c r="P19" i="32"/>
  <c r="M25" i="32"/>
  <c r="P22" i="35"/>
  <c r="P17" i="32"/>
  <c r="P17" i="33"/>
  <c r="P21" i="31"/>
  <c r="P31" i="31"/>
  <c r="P20" i="31"/>
  <c r="P18" i="31"/>
  <c r="P31" i="35"/>
  <c r="P21" i="30"/>
  <c r="M25" i="30"/>
  <c r="P3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N23" i="27"/>
  <c r="O23" i="27" s="1"/>
  <c r="N24" i="27"/>
  <c r="O24" i="27" s="1"/>
  <c r="L25" i="27"/>
  <c r="P29" i="27" s="1"/>
  <c r="K25" i="27"/>
  <c r="P30" i="27" s="1"/>
  <c r="L25" i="26"/>
  <c r="P29" i="26" s="1"/>
  <c r="N17" i="26"/>
  <c r="O17" i="26" s="1"/>
  <c r="P17" i="26" s="1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1" i="29" l="1"/>
  <c r="N25" i="29"/>
  <c r="P32" i="29" s="1"/>
  <c r="P33" i="29" s="1"/>
  <c r="P34" i="29" s="1"/>
  <c r="P35" i="29" s="1"/>
  <c r="U27" i="15" s="1"/>
  <c r="P16" i="38"/>
  <c r="P25" i="38" s="1"/>
  <c r="P34" i="38"/>
  <c r="P35" i="38" s="1"/>
  <c r="U36" i="15" s="1"/>
  <c r="P34" i="37"/>
  <c r="P35" i="37" s="1"/>
  <c r="P16" i="37"/>
  <c r="P25" i="37" s="1"/>
  <c r="M25" i="34"/>
  <c r="M25" i="29"/>
  <c r="P33" i="32"/>
  <c r="N25" i="34"/>
  <c r="P32" i="34" s="1"/>
  <c r="P33" i="34" s="1"/>
  <c r="P34" i="34" s="1"/>
  <c r="P35" i="34" s="1"/>
  <c r="U32" i="15" s="1"/>
  <c r="P20" i="34"/>
  <c r="P24" i="34"/>
  <c r="I16" i="25"/>
  <c r="L16" i="25" s="1"/>
  <c r="I17" i="25"/>
  <c r="L17" i="25" s="1"/>
  <c r="I18" i="25"/>
  <c r="L18" i="25" s="1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33" i="30"/>
  <c r="P34" i="30" s="1"/>
  <c r="P35" i="30" s="1"/>
  <c r="U28" i="15" s="1"/>
  <c r="P16" i="32"/>
  <c r="P25" i="32" s="1"/>
  <c r="P16" i="30"/>
  <c r="P25" i="30" s="1"/>
  <c r="N25" i="35"/>
  <c r="P32" i="35" s="1"/>
  <c r="P33" i="35" s="1"/>
  <c r="O16" i="35"/>
  <c r="O25" i="34"/>
  <c r="P16" i="34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16" i="25"/>
  <c r="K24" i="25"/>
  <c r="L23" i="25"/>
  <c r="K23" i="25"/>
  <c r="L23" i="24"/>
  <c r="K23" i="24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2" i="19"/>
  <c r="L22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50" i="15"/>
  <c r="O48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0" i="17" l="1"/>
  <c r="M20" i="17" s="1"/>
  <c r="N20" i="17" s="1"/>
  <c r="O20" i="17" s="1"/>
  <c r="L20" i="17"/>
  <c r="K16" i="17"/>
  <c r="L16" i="17"/>
  <c r="K19" i="17"/>
  <c r="M19" i="17" s="1"/>
  <c r="N19" i="17" s="1"/>
  <c r="O19" i="17" s="1"/>
  <c r="P19" i="17" s="1"/>
  <c r="L19" i="17"/>
  <c r="K17" i="17"/>
  <c r="L17" i="17"/>
  <c r="K18" i="17"/>
  <c r="M18" i="17" s="1"/>
  <c r="N18" i="17" s="1"/>
  <c r="O18" i="17" s="1"/>
  <c r="L18" i="17"/>
  <c r="K19" i="18"/>
  <c r="L19" i="18"/>
  <c r="K17" i="20"/>
  <c r="L17" i="20"/>
  <c r="K19" i="20"/>
  <c r="L19" i="20"/>
  <c r="M19" i="20" s="1"/>
  <c r="N19" i="20" s="1"/>
  <c r="O19" i="20" s="1"/>
  <c r="K18" i="20"/>
  <c r="L18" i="20"/>
  <c r="K19" i="23"/>
  <c r="L19" i="23"/>
  <c r="K21" i="23"/>
  <c r="L21" i="23"/>
  <c r="M21" i="23" s="1"/>
  <c r="N21" i="23" s="1"/>
  <c r="O21" i="23" s="1"/>
  <c r="K17" i="25"/>
  <c r="L22" i="25"/>
  <c r="K21" i="24"/>
  <c r="K18" i="24"/>
  <c r="M18" i="24" s="1"/>
  <c r="N18" i="24" s="1"/>
  <c r="O18" i="24" s="1"/>
  <c r="L18" i="24"/>
  <c r="K20" i="24"/>
  <c r="L20" i="24"/>
  <c r="K21" i="21"/>
  <c r="M21" i="21" s="1"/>
  <c r="N21" i="21" s="1"/>
  <c r="L21" i="21"/>
  <c r="K20" i="21"/>
  <c r="L20" i="21"/>
  <c r="K19" i="21"/>
  <c r="M19" i="21" s="1"/>
  <c r="N19" i="21" s="1"/>
  <c r="O19" i="21" s="1"/>
  <c r="L19" i="21"/>
  <c r="K18" i="21"/>
  <c r="M18" i="21" s="1"/>
  <c r="N18" i="21" s="1"/>
  <c r="O18" i="21" s="1"/>
  <c r="L18" i="21"/>
  <c r="K18" i="25"/>
  <c r="M18" i="25" s="1"/>
  <c r="N18" i="25" s="1"/>
  <c r="O18" i="25" s="1"/>
  <c r="P25" i="34"/>
  <c r="K17" i="23"/>
  <c r="K17" i="24"/>
  <c r="I25" i="25"/>
  <c r="P28" i="25" s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M21" i="25" s="1"/>
  <c r="N21" i="25" s="1"/>
  <c r="O21" i="25" s="1"/>
  <c r="P21" i="25" s="1"/>
  <c r="K16" i="24"/>
  <c r="M16" i="24" s="1"/>
  <c r="N16" i="24" s="1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M16" i="17"/>
  <c r="K20" i="18"/>
  <c r="M20" i="18" s="1"/>
  <c r="N20" i="18" s="1"/>
  <c r="O20" i="18" s="1"/>
  <c r="M17" i="17"/>
  <c r="N17" i="17" s="1"/>
  <c r="O17" i="17" s="1"/>
  <c r="K16" i="23"/>
  <c r="M16" i="23" s="1"/>
  <c r="N16" i="23" s="1"/>
  <c r="L24" i="24"/>
  <c r="M24" i="24" s="1"/>
  <c r="N24" i="24" s="1"/>
  <c r="O24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22" i="25"/>
  <c r="N22" i="25" s="1"/>
  <c r="O22" i="25" s="1"/>
  <c r="M20" i="25"/>
  <c r="N20" i="25" s="1"/>
  <c r="O20" i="25" s="1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L16" i="16" s="1"/>
  <c r="I17" i="16"/>
  <c r="L17" i="16" s="1"/>
  <c r="I18" i="16"/>
  <c r="L18" i="16" s="1"/>
  <c r="I19" i="16"/>
  <c r="L19" i="16" s="1"/>
  <c r="I20" i="16"/>
  <c r="L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24" i="19"/>
  <c r="M20" i="22"/>
  <c r="N20" i="22" s="1"/>
  <c r="O20" i="22" s="1"/>
  <c r="M23" i="23"/>
  <c r="N23" i="23" s="1"/>
  <c r="O23" i="23" s="1"/>
  <c r="M23" i="18"/>
  <c r="N23" i="18" s="1"/>
  <c r="O23" i="18" s="1"/>
  <c r="M16" i="25"/>
  <c r="N23" i="25"/>
  <c r="O23" i="25" s="1"/>
  <c r="P23" i="25" s="1"/>
  <c r="N23" i="24"/>
  <c r="O23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22" i="18"/>
  <c r="O22" i="18" s="1"/>
  <c r="I23" i="15"/>
  <c r="M20" i="24" l="1"/>
  <c r="N20" i="24" s="1"/>
  <c r="O20" i="24" s="1"/>
  <c r="K25" i="25"/>
  <c r="P30" i="25" s="1"/>
  <c r="P31" i="25" s="1"/>
  <c r="K25" i="24"/>
  <c r="P30" i="24" s="1"/>
  <c r="K20" i="16"/>
  <c r="K20" i="15" s="1"/>
  <c r="K18" i="16"/>
  <c r="K18" i="15" s="1"/>
  <c r="L18" i="15"/>
  <c r="K16" i="16"/>
  <c r="K16" i="15" s="1"/>
  <c r="L16" i="15"/>
  <c r="L21" i="15"/>
  <c r="K25" i="19"/>
  <c r="P30" i="19" s="1"/>
  <c r="P31" i="19" s="1"/>
  <c r="M19" i="25"/>
  <c r="N19" i="25" s="1"/>
  <c r="O19" i="25" s="1"/>
  <c r="K25" i="22"/>
  <c r="P30" i="22" s="1"/>
  <c r="P31" i="22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P22" i="20" s="1"/>
  <c r="M25" i="24"/>
  <c r="K21" i="16"/>
  <c r="K21" i="15" s="1"/>
  <c r="P16" i="26"/>
  <c r="P25" i="26" s="1"/>
  <c r="K25" i="23"/>
  <c r="P30" i="23" s="1"/>
  <c r="L19" i="15"/>
  <c r="P34" i="26"/>
  <c r="P35" i="26" s="1"/>
  <c r="U24" i="15" s="1"/>
  <c r="I25" i="16"/>
  <c r="P28" i="16" s="1"/>
  <c r="K17" i="16"/>
  <c r="K17" i="15" s="1"/>
  <c r="P23" i="22"/>
  <c r="I25" i="15"/>
  <c r="P44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5" l="1"/>
  <c r="M25" i="19"/>
  <c r="M21" i="15"/>
  <c r="M16" i="16"/>
  <c r="N16" i="16" s="1"/>
  <c r="M16" i="15"/>
  <c r="M18" i="15"/>
  <c r="N16" i="18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45" i="15" s="1"/>
  <c r="N25" i="23"/>
  <c r="P32" i="23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7"/>
  <c r="O25" i="17" s="1"/>
  <c r="N25" i="17"/>
  <c r="P32" i="17" s="1"/>
  <c r="O16" i="16"/>
  <c r="P33" i="23" l="1"/>
  <c r="P34" i="23" s="1"/>
  <c r="P35" i="23" s="1"/>
  <c r="U21" i="15" s="1"/>
  <c r="N16" i="15"/>
  <c r="N18" i="15"/>
  <c r="P18" i="15" s="1"/>
  <c r="O16" i="18"/>
  <c r="O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9" i="16"/>
  <c r="N19" i="15"/>
  <c r="O23" i="16"/>
  <c r="O23" i="15" s="1"/>
  <c r="N23" i="15"/>
  <c r="N25" i="16"/>
  <c r="P32" i="16" s="1"/>
  <c r="M25" i="16"/>
  <c r="P25" i="19"/>
  <c r="M25" i="15"/>
  <c r="K25" i="15"/>
  <c r="P46" i="15" s="1"/>
  <c r="P47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6" i="15" s="1"/>
  <c r="P16" i="17"/>
  <c r="P25" i="17" s="1"/>
  <c r="P16" i="16"/>
  <c r="P22" i="15"/>
  <c r="P16" i="18" l="1"/>
  <c r="P25" i="18" s="1"/>
  <c r="O25" i="18"/>
  <c r="P16" i="15"/>
  <c r="P33" i="16"/>
  <c r="P34" i="16" s="1"/>
  <c r="P35" i="16" s="1"/>
  <c r="U14" i="15" s="1"/>
  <c r="N25" i="15"/>
  <c r="P48" i="15" s="1"/>
  <c r="P49" i="15" s="1"/>
  <c r="P50" i="15" s="1"/>
  <c r="P51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<sst xmlns="http://schemas.openxmlformats.org/spreadsheetml/2006/main" count="2010" uniqueCount="154">
  <si>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</si>
  <si>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</si>
  <si>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</si>
  <si>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</si>
  <si>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</si>
  <si>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</si>
  <si>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</si>
  <si>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</si>
  <si>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</si>
  <si>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</si>
  <si>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</si>
  <si>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</si>
  <si>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</si>
  <si>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</si>
  <si>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</si>
  <si>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</si>
  <si>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</si>
  <si>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</si>
  <si>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</si>
  <si>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</si>
  <si>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</si>
  <si>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</si>
  <si>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</si>
  <si>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</si>
  <si>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</si>
  <si>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</si>
  <si>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</si>
  <si>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</si>
  <si>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</si>
  <si>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</si>
  <si>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</si>
  <si>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</si>
  <si>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</si>
  <si>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</si>
  <si>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</si>
  <si>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</si>
  <si>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</si>
  <si>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</si>
  <si>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</si>
  <si>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</si>
  <si>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</si>
  <si>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</si>
  <si>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</si>
  <si>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</si>
  <si>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</si>
  <si>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</si>
  <si>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</si>
  <si>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</si>
  <si>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</si>
  <si>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</si>
  <si>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</si>
  <si>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</si>
  <si>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</si>
  <si>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</si>
  <si>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</si>
  <si>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</si>
  <si>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</si>
  <si>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</si>
  <si>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</si>
  <si>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</si>
  <si>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</si>
  <si>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</si>
  <si>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</si>
  <si>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</si>
  <si>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</si>
  <si>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</si>
  <si>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</si>
  <si>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</si>
  <si>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</si>
  <si>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</si>
  <si>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</si>
  <si>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</si>
  <si>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</si>
  <si>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</si>
  <si>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</si>
  <si>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</si>
  <si>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</si>
  <si>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</si>
  <si>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</si>
  <si>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</si>
  <si>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</si>
  <si>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</si>
  <si>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</si>
  <si>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</si>
  <si>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</si>
  <si>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</si>
  <si>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</si>
  <si>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</si>
  <si>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</si>
  <si>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</si>
  <si>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</si>
  <si>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</si>
  <si>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</si>
  <si>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</si>
  <si>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</si>
  <si>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</si>
  <si>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</si>
  <si>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</si>
  <si>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</si>
  <si>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</si>
  <si>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</si>
  <si>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Customer Name : Gourmet Food</t>
  </si>
  <si>
    <t>Address: Faisal Town</t>
  </si>
  <si>
    <t>3218709-2</t>
  </si>
  <si>
    <t xml:space="preserve">Address: Nasera Abad </t>
  </si>
  <si>
    <t>Address: Zahoor Ilaahi</t>
  </si>
  <si>
    <t xml:space="preserve">Address: Model Town C Block </t>
  </si>
  <si>
    <t>Address: Firdos Market</t>
  </si>
  <si>
    <t>Address: Model Town Link Road</t>
  </si>
  <si>
    <t>Address: Model Town A Block</t>
  </si>
  <si>
    <t>Gourmet</t>
  </si>
  <si>
    <t>Shop Bill Summary (Gourmet)</t>
  </si>
  <si>
    <t>Address: Bata pur</t>
  </si>
  <si>
    <t>Address: Sadar Kitchari</t>
  </si>
  <si>
    <t xml:space="preserve">Address: Jhora Pull </t>
  </si>
  <si>
    <t>Address: Shalimar Link Road</t>
  </si>
  <si>
    <t>Address: Salamat Pura</t>
  </si>
  <si>
    <t xml:space="preserve">Address: Dharoghe Wala </t>
  </si>
  <si>
    <t>Address: Neelam Cinema</t>
  </si>
  <si>
    <t>Address: Laal Pull</t>
  </si>
  <si>
    <t xml:space="preserve">Address:Shadman </t>
  </si>
  <si>
    <t>Address: Cant Girja Road</t>
  </si>
  <si>
    <t xml:space="preserve">Address: Railway Palaza </t>
  </si>
  <si>
    <t xml:space="preserve">Address: Tajh Bagh </t>
  </si>
  <si>
    <t>Address: Tajh pura</t>
  </si>
  <si>
    <t>Address: kot Khawaja saeed</t>
  </si>
  <si>
    <t xml:space="preserve">Address: Dharam Pura </t>
  </si>
  <si>
    <t>Address: Baghbanpura</t>
  </si>
  <si>
    <t>Address: Sultan Pura</t>
  </si>
  <si>
    <t>Address: ShadiPura</t>
  </si>
  <si>
    <t>Address: Manawan GT Road</t>
  </si>
  <si>
    <t>Customer Name : Gourmet Food Bata pur</t>
  </si>
  <si>
    <t>Customer Name : Gourmet Food Model Town Ablock</t>
  </si>
  <si>
    <t>Customer Name : Gourmet Food Sadar Kitchari</t>
  </si>
  <si>
    <t>Customer Name : Gourmet Food Jhor Pul</t>
  </si>
  <si>
    <t>Customer Name : Gourmet Food Shalimar link Road</t>
  </si>
  <si>
    <t>Customer Name : Gourmet Food Salamat Pura</t>
  </si>
  <si>
    <t>Customer Name : Gourmet Food Dhroghewala</t>
  </si>
  <si>
    <t>Customer Name : Gourmet Food Neelam Cinema</t>
  </si>
  <si>
    <t xml:space="preserve">Customer Name : Gourmet Food Laal Pul </t>
  </si>
  <si>
    <t xml:space="preserve">Customer Name : Gourmet Food Shadman </t>
  </si>
  <si>
    <t xml:space="preserve">Customer Name : Gourmet Food Cant Girja </t>
  </si>
  <si>
    <t xml:space="preserve">Customer Name : Gourmet Food Railway Plaza </t>
  </si>
  <si>
    <t xml:space="preserve">Customer Name : Gourmet Food Tajh Bagh </t>
  </si>
  <si>
    <t>Customer Name : Gourmet Food Tajh pura</t>
  </si>
  <si>
    <t xml:space="preserve">Customer Name : Gourmet Food Shaheed </t>
  </si>
  <si>
    <t xml:space="preserve">Customer Name : Gourmet Food Kot Khawaja </t>
  </si>
  <si>
    <t>Customer Name : Gourmet Food Dharam Pura</t>
  </si>
  <si>
    <t>Customer Name : Gourmet Food Baghban pura</t>
  </si>
  <si>
    <t>Customer Name : Gourmet Food SultanPura</t>
  </si>
  <si>
    <t>Customer Name : Gourmet Food Shadi pura</t>
  </si>
  <si>
    <t>Customer Name : Gourmet Food Manawan</t>
  </si>
  <si>
    <t>Address: Shaheed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</si>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</sst>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9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0" fillId="4" borderId="0" xfId="0" applyFont="1" applyFill="1" applyAlignment="1">
      <alignment vertical="top" wrapText="1"/>
    </xf>
    <xf numFmtId="1" fontId="20" fillId="0" borderId="0" xfId="0" applyNumberFormat="1" applyFont="1" applyAlignment="1">
      <alignment vertical="top" wrapText="1"/>
    </xf>
    <xf numFmtId="10" fontId="20" fillId="0" borderId="0" xfId="0" applyNumberFormat="1" applyFont="1" applyAlignment="1">
      <alignment horizontal="center" vertical="top" wrapText="1"/>
    </xf>
    <xf numFmtId="9" fontId="21" fillId="0" borderId="0" xfId="2" applyFont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9" fontId="22" fillId="0" borderId="46" xfId="2" applyFont="1" applyBorder="1" applyAlignment="1">
      <alignment horizontal="center" vertical="center" wrapText="1"/>
    </xf>
    <xf numFmtId="164" fontId="22" fillId="0" borderId="46" xfId="2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3" fontId="23" fillId="0" borderId="12" xfId="0" applyNumberFormat="1" applyFont="1" applyBorder="1" applyAlignment="1">
      <alignment horizontal="center" vertical="top" shrinkToFit="1"/>
    </xf>
    <xf numFmtId="3" fontId="23" fillId="0" borderId="23" xfId="0" applyNumberFormat="1" applyFont="1" applyBorder="1" applyAlignment="1">
      <alignment horizontal="center" vertical="top" shrinkToFit="1"/>
    </xf>
    <xf numFmtId="2" fontId="4" fillId="0" borderId="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" fontId="4" fillId="0" borderId="47" xfId="0" applyNumberFormat="1" applyFont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2" fontId="4" fillId="0" borderId="0" xfId="0" applyNumberFormat="1" applyFont="1"/>
    <xf numFmtId="0" fontId="20" fillId="2" borderId="48" xfId="0" applyFont="1" applyFill="1" applyBorder="1" applyAlignment="1">
      <alignment horizontal="lef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3" fontId="23" fillId="0" borderId="48" xfId="0" applyNumberFormat="1" applyFont="1" applyBorder="1" applyAlignment="1">
      <alignment horizontal="center" vertical="top" shrinkToFit="1"/>
    </xf>
    <xf numFmtId="2" fontId="4" fillId="0" borderId="50" xfId="0" applyNumberFormat="1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5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9" xfId="0" applyNumberFormat="1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top" shrinkToFit="1"/>
    </xf>
    <xf numFmtId="0" fontId="20" fillId="2" borderId="7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3" fontId="23" fillId="0" borderId="7" xfId="0" applyNumberFormat="1" applyFont="1" applyBorder="1" applyAlignment="1">
      <alignment horizontal="center" vertical="top" shrinkToFit="1"/>
    </xf>
    <xf numFmtId="3" fontId="23" fillId="0" borderId="41" xfId="0" applyNumberFormat="1" applyFont="1" applyBorder="1" applyAlignment="1">
      <alignment horizontal="center" vertical="top" shrinkToFit="1"/>
    </xf>
    <xf numFmtId="2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" fontId="4" fillId="0" borderId="46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/>
    </xf>
    <xf numFmtId="1" fontId="20" fillId="0" borderId="43" xfId="0" applyNumberFormat="1" applyFont="1" applyBorder="1" applyAlignment="1">
      <alignment horizontal="center"/>
    </xf>
    <xf numFmtId="165" fontId="20" fillId="0" borderId="44" xfId="0" applyNumberFormat="1" applyFont="1" applyBorder="1" applyAlignment="1">
      <alignment horizontal="center"/>
    </xf>
    <xf numFmtId="0" fontId="4" fillId="0" borderId="42" xfId="0" applyFont="1" applyBorder="1"/>
    <xf numFmtId="164" fontId="20" fillId="0" borderId="22" xfId="2" applyNumberFormat="1" applyFont="1" applyBorder="1" applyAlignment="1">
      <alignment horizontal="center"/>
    </xf>
    <xf numFmtId="2" fontId="20" fillId="0" borderId="45" xfId="0" applyNumberFormat="1" applyFont="1" applyBorder="1" applyAlignment="1">
      <alignment horizontal="center"/>
    </xf>
    <xf numFmtId="1" fontId="20" fillId="0" borderId="18" xfId="0" applyNumberFormat="1" applyFont="1" applyBorder="1" applyAlignment="1">
      <alignment horizontal="center"/>
    </xf>
    <xf numFmtId="1" fontId="20" fillId="0" borderId="40" xfId="0" applyNumberFormat="1" applyFont="1" applyBorder="1" applyAlignment="1">
      <alignment horizontal="center"/>
    </xf>
    <xf numFmtId="2" fontId="20" fillId="0" borderId="22" xfId="0" applyNumberFormat="1" applyFont="1" applyBorder="1" applyAlignment="1">
      <alignment horizontal="center"/>
    </xf>
    <xf numFmtId="165" fontId="20" fillId="0" borderId="45" xfId="0" applyNumberFormat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1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2" fontId="20" fillId="0" borderId="0" xfId="0" applyNumberFormat="1" applyFont="1"/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wrapText="1"/>
    </xf>
    <xf numFmtId="165" fontId="22" fillId="0" borderId="39" xfId="0" applyNumberFormat="1" applyFont="1" applyBorder="1" applyAlignment="1">
      <alignment horizontal="right" wrapText="1"/>
    </xf>
    <xf numFmtId="0" fontId="22" fillId="0" borderId="48" xfId="0" applyFont="1" applyBorder="1" applyAlignment="1">
      <alignment horizontal="center" wrapText="1"/>
    </xf>
    <xf numFmtId="2" fontId="22" fillId="0" borderId="49" xfId="0" applyNumberFormat="1" applyFont="1" applyBorder="1" applyAlignment="1">
      <alignment horizontal="right" wrapText="1"/>
    </xf>
    <xf numFmtId="2" fontId="22" fillId="0" borderId="49" xfId="2" applyNumberFormat="1" applyFont="1" applyBorder="1" applyAlignment="1">
      <alignment horizontal="right" wrapText="1"/>
    </xf>
    <xf numFmtId="9" fontId="4" fillId="0" borderId="0" xfId="0" applyNumberFormat="1" applyFont="1"/>
    <xf numFmtId="9" fontId="22" fillId="0" borderId="1" xfId="0" applyNumberFormat="1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10" fontId="4" fillId="0" borderId="0" xfId="0" applyNumberFormat="1" applyFont="1"/>
    <xf numFmtId="10" fontId="22" fillId="0" borderId="1" xfId="2" applyNumberFormat="1" applyFont="1" applyBorder="1" applyAlignment="1">
      <alignment horizontal="center"/>
    </xf>
    <xf numFmtId="1" fontId="22" fillId="0" borderId="10" xfId="0" applyNumberFormat="1" applyFont="1" applyBorder="1" applyAlignment="1">
      <alignment horizontal="right" wrapText="1"/>
    </xf>
    <xf numFmtId="9" fontId="13" fillId="0" borderId="45" xfId="0" applyNumberFormat="1" applyFont="1" applyBorder="1" applyAlignment="1">
      <alignment horizontal="center" vertical="center" wrapText="1"/>
    </xf>
    <xf numFmtId="9" fontId="22" fillId="0" borderId="45" xfId="0" applyNumberFormat="1" applyFont="1" applyBorder="1" applyAlignment="1">
      <alignment horizontal="center" vertical="center" wrapText="1"/>
    </xf>
    <xf numFmtId="0" fontId="10" fillId="0" borderId="48" xfId="0" applyFont="1" applyBorder="1"/>
    <xf numFmtId="1" fontId="10" fillId="0" borderId="49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9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20" fillId="0" borderId="0" xfId="0" applyFont="1" applyAlignment="1">
      <alignment horizontal="left" vertical="center" wrapText="1"/>
    </xf>
    <xf numFmtId="166" fontId="4" fillId="0" borderId="0" xfId="0" applyNumberFormat="1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horizontal="center" vertical="top" wrapText="1"/>
    </xf>
    <xf numFmtId="0" fontId="20" fillId="0" borderId="26" xfId="0" applyFont="1" applyBorder="1" applyAlignment="1">
      <alignment horizontal="center" vertical="top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36" xfId="0" applyFont="1" applyBorder="1" applyAlignment="1">
      <alignment horizontal="center" wrapText="1"/>
    </xf>
    <xf numFmtId="0" fontId="22" fillId="0" borderId="53" xfId="0" applyFont="1" applyBorder="1" applyAlignment="1">
      <alignment horizontal="center" wrapText="1"/>
    </xf>
    <xf numFmtId="2" fontId="22" fillId="0" borderId="54" xfId="0" applyNumberFormat="1" applyFont="1" applyBorder="1" applyAlignment="1">
      <alignment horizontal="center" vertical="center" wrapText="1"/>
    </xf>
    <xf numFmtId="2" fontId="22" fillId="0" borderId="35" xfId="0" applyNumberFormat="1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wrapText="1"/>
    </xf>
    <xf numFmtId="0" fontId="22" fillId="0" borderId="31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wrapText="1"/>
    </xf>
    <xf numFmtId="0" fontId="22" fillId="0" borderId="4" xfId="0" applyFont="1" applyBorder="1" applyAlignment="1">
      <alignment horizontal="center" wrapText="1"/>
    </xf>
    <xf numFmtId="0" fontId="22" fillId="0" borderId="48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0" fontId="22" fillId="0" borderId="1" xfId="0" applyFont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20" activeCellId="1" sqref="H20 B2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B20" activeCellId="1" sqref="H20 B20"/>
      <selection pane="topRight" activeCell="B20" activeCellId="1" sqref="H20 B20"/>
      <selection pane="bottomLeft" activeCell="B20" activeCellId="1" sqref="H20 B20"/>
      <selection pane="bottomRight" activeCell="B20" activeCellId="1" sqref="H20 B2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278"/>
      <c r="B3" s="278"/>
      <c r="C3" s="278"/>
      <c r="D3" s="278"/>
      <c r="E3" s="278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9" x14ac:dyDescent="0.35">
      <c r="A4" s="280" t="s">
        <v>6</v>
      </c>
      <c r="B4" s="5" t="s">
        <v>7</v>
      </c>
      <c r="C4" s="5"/>
      <c r="D4" s="282" t="s">
        <v>8</v>
      </c>
      <c r="E4" s="284" t="s">
        <v>9</v>
      </c>
      <c r="F4" s="286" t="s">
        <v>3</v>
      </c>
      <c r="G4" s="286"/>
      <c r="H4" s="287" t="s">
        <v>10</v>
      </c>
      <c r="I4" s="287"/>
      <c r="J4" s="288" t="s">
        <v>11</v>
      </c>
      <c r="K4" s="289"/>
      <c r="L4" s="288" t="s">
        <v>12</v>
      </c>
      <c r="M4" s="289"/>
      <c r="N4" s="290" t="s">
        <v>13</v>
      </c>
      <c r="O4" s="290"/>
      <c r="P4" s="288" t="s">
        <v>4</v>
      </c>
      <c r="Q4" s="289"/>
      <c r="R4" s="288" t="s">
        <v>14</v>
      </c>
      <c r="S4" s="289"/>
      <c r="T4" s="291" t="s">
        <v>15</v>
      </c>
      <c r="U4" s="291"/>
      <c r="V4" s="292" t="s">
        <v>16</v>
      </c>
      <c r="W4" s="293"/>
      <c r="X4" s="292" t="s">
        <v>17</v>
      </c>
      <c r="Y4" s="293"/>
    </row>
    <row r="5" spans="1:29" ht="26.25" customHeight="1" thickBot="1" x14ac:dyDescent="0.4">
      <c r="A5" s="281"/>
      <c r="B5" s="7" t="s">
        <v>18</v>
      </c>
      <c r="C5" s="7" t="s">
        <v>8</v>
      </c>
      <c r="D5" s="283"/>
      <c r="E5" s="285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53"/>
  <sheetViews>
    <sheetView tabSelected="1" topLeftCell="G20" zoomScale="70" zoomScaleNormal="70" workbookViewId="0">
      <selection activeCell="U43" sqref="U4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customWidth="1"/>
    <col min="6" max="6" width="6.54296875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customWidth="1"/>
    <col min="12" max="12" width="7.453125" customWidth="1"/>
    <col min="13" max="13" width="8" customWidth="1"/>
    <col min="14" max="14" width="10" style="69" customWidth="1"/>
    <col min="15" max="15" width="9.54296875" customWidth="1"/>
    <col min="16" max="16" width="9.7265625" customWidth="1"/>
    <col min="17" max="17" width="4.54296875" customWidth="1"/>
    <col min="18" max="18" width="7.26953125" customWidth="1"/>
    <col min="20" max="20" width="83.6328125" bestFit="1" customWidth="1"/>
    <col min="21" max="21" width="12.453125" bestFit="1" customWidth="1"/>
  </cols>
  <sheetData>
    <row r="2" spans="1:21 16383:16384" ht="21" x14ac:dyDescent="0.5">
      <c r="A2" s="340" t="s">
        <v>45</v>
      </c>
      <c r="B2" s="340"/>
      <c r="C2" s="340"/>
    </row>
    <row r="3" spans="1:21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339" t="s">
        <v>110</v>
      </c>
      <c r="B5" s="339"/>
      <c r="C5" s="339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21 16383:16384" ht="15" customHeight="1" x14ac:dyDescent="0.35">
      <c r="A6" s="339"/>
      <c r="B6" s="339"/>
      <c r="C6" s="339"/>
      <c r="F6" s="70"/>
      <c r="G6" s="74"/>
      <c r="K6" s="324" t="s">
        <v>52</v>
      </c>
      <c r="L6" s="324"/>
      <c r="M6" s="324"/>
      <c r="N6" s="337" t="s">
        <v>42</v>
      </c>
      <c r="O6" s="337"/>
      <c r="P6" s="337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21 16383:16384" hidden="1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21 16383:16384" x14ac:dyDescent="0.35">
      <c r="A10" s="322"/>
      <c r="B10" s="75"/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21 16383:16384" ht="15" thickBot="1" x14ac:dyDescent="0.4">
      <c r="A11" s="322"/>
      <c r="B11" s="76"/>
      <c r="C11" s="77"/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21 16383:16384" ht="14.65" customHeight="1" x14ac:dyDescent="0.35">
      <c r="A12" s="322"/>
      <c r="B12" s="76"/>
      <c r="C12" s="77"/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T12" s="294" t="s">
        <v>111</v>
      </c>
      <c r="U12" s="295"/>
      <c r="XFD12" t="s">
        <v>62</v>
      </c>
    </row>
    <row r="13" spans="1:21 16383:16384" ht="15" thickBot="1" x14ac:dyDescent="0.4">
      <c r="A13" s="323"/>
      <c r="J13" s="78"/>
      <c r="K13" s="78"/>
      <c r="L13" s="79">
        <v>0.05</v>
      </c>
      <c r="T13" s="296"/>
      <c r="U13" s="297"/>
      <c r="XFD13" t="s">
        <v>63</v>
      </c>
    </row>
    <row r="14" spans="1:21 16383:16384" ht="29.25" customHeight="1" x14ac:dyDescent="0.6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32" t="s">
        <v>68</v>
      </c>
      <c r="H14" s="333"/>
      <c r="I14" s="333" t="s">
        <v>69</v>
      </c>
      <c r="J14" s="333" t="s">
        <v>70</v>
      </c>
      <c r="K14" s="333"/>
      <c r="L14" s="335"/>
      <c r="M14" s="327" t="s">
        <v>71</v>
      </c>
      <c r="N14" s="83" t="s">
        <v>72</v>
      </c>
      <c r="O14" s="84" t="s">
        <v>73</v>
      </c>
      <c r="P14" s="85" t="s">
        <v>74</v>
      </c>
      <c r="T14" s="276" t="str">
        <f>+'1'!A5</f>
        <v>Customer Name : Gourmet Food</v>
      </c>
      <c r="U14" s="277">
        <f>+'1'!P35</f>
        <v>0</v>
      </c>
      <c r="XFD14" t="s">
        <v>75</v>
      </c>
    </row>
    <row r="15" spans="1:21 16383:16384" ht="29.25" customHeight="1" thickBot="1" x14ac:dyDescent="0.65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170" t="s">
        <v>2</v>
      </c>
      <c r="H15" s="168" t="s">
        <v>77</v>
      </c>
      <c r="I15" s="334"/>
      <c r="J15" s="168" t="s">
        <v>78</v>
      </c>
      <c r="K15" s="168" t="s">
        <v>79</v>
      </c>
      <c r="L15" s="171" t="s">
        <v>80</v>
      </c>
      <c r="M15" s="32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276" t="str">
        <f>+'2'!A5</f>
        <v>Customer Name : Gourmet Food</v>
      </c>
      <c r="U15" s="277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7">
        <f>VLOOKUP(A16,'[1]Cust. Price List'!D6:M14,10,0)</f>
        <v>52.462499999999999</v>
      </c>
      <c r="G16" s="113"/>
      <c r="H16" s="169">
        <f>+'1'!H16+'2'!H16+'4'!H16+'3'!H16+'5'!H16+'6'!H16+'7'!H16+'8'!H16+'9'!H16+'10'!H16+'11'!H16+'12'!H16+'13'!H16+'14'!H16+'15'!H16+'16'!H16+'17'!H16+'18'!H16+'19'!H16+'20'!H16+'21'!H16+'22'!H16+'23'!H16+'24'!H16+'25'!H16+'26'!H16+'27'!H16+'28'!H16</f>
        <v>600</v>
      </c>
      <c r="I16" s="1">
        <f>(G16*D16)*F16+H16*F16</f>
        <v>31477.5</v>
      </c>
      <c r="J16" s="169">
        <f>+'1'!J16+'2'!J16+'4'!J16+'3'!J16+'5'!J16+'6'!J16+'7'!J16+'8'!J16+'9'!J16+'10'!J16+'11'!J16+'12'!J16+'13'!J16+'14'!J16+'15'!J16+'16'!J16+'17'!J16+'18'!J16</f>
        <v>0</v>
      </c>
      <c r="K16" s="169">
        <f>+'1'!K16+'2'!K16+'4'!K16+'3'!K16+'5'!K16+'6'!K16+'7'!K16+'8'!K16+'9'!K16+'10'!K16</f>
        <v>0</v>
      </c>
      <c r="L16" s="172">
        <f>+'1'!L16+'2'!L16+'4'!L16+'3'!L16+'5'!L16+'6'!L16+'7'!L16+'8'!L16+'9'!L16+'10'!L16</f>
        <v>377.72999999999996</v>
      </c>
      <c r="M16" s="105">
        <f>I16-K16-L16</f>
        <v>31099.77</v>
      </c>
      <c r="N16" s="100">
        <f>+'1'!N16+'2'!N16+'4'!N16+'3'!N16+'5'!N16+'6'!N16+'7'!N16+'8'!N16+'9'!N16+'10'!N16</f>
        <v>309.73859999999996</v>
      </c>
      <c r="O16" s="100">
        <f>+'1'!O16+'2'!O16+'4'!O16+'3'!O16+'5'!O16+'6'!O16+'7'!O16+'8'!O16+'9'!O16+'10'!O16</f>
        <v>10.152543</v>
      </c>
      <c r="P16" s="104">
        <f t="shared" ref="P16:P24" si="0">M16+N16+O16</f>
        <v>31419.661143000001</v>
      </c>
      <c r="Q16" s="107"/>
      <c r="T16" s="276" t="str">
        <f>+'4'!A5</f>
        <v>Customer Name : Gourmet Food</v>
      </c>
      <c r="U16" s="277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69">
        <f>+'1'!H17+'2'!H17+'4'!H17+'3'!H17+'5'!H17+'6'!H17+'7'!H17+'8'!H17+'9'!H17+'10'!H17+'11'!H17+'12'!H17+'13'!H17+'14'!H17+'15'!H17+'16'!H17+'17'!H17+'18'!H17+'19'!H17+'20'!H17+'21'!H17+'22'!H17+'23'!H17+'24'!H17+'25'!H17+'26'!H17+'27'!H17+'28'!H17</f>
        <v>600</v>
      </c>
      <c r="I17" s="1">
        <f t="shared" ref="I17:I23" si="1">(G17*D17)*F17+H17*F17</f>
        <v>31477.5</v>
      </c>
      <c r="J17" s="169">
        <f>+'1'!J17+'2'!J17+'4'!J17+'3'!J17+'5'!J17+'6'!J17+'7'!J17+'8'!J17+'9'!J17+'10'!J17+'11'!J17+'12'!J17+'13'!J17+'14'!J17+'15'!J17+'16'!J17+'17'!J17+'18'!J17</f>
        <v>0</v>
      </c>
      <c r="K17" s="169">
        <f>+'1'!K17+'2'!K17+'4'!K17+'3'!K17+'5'!K17+'6'!K17+'7'!K17+'8'!K17+'9'!K17+'10'!K17</f>
        <v>0</v>
      </c>
      <c r="L17" s="172">
        <f>+'1'!L17+'2'!L17+'4'!L17+'3'!L17+'5'!L17+'6'!L17+'7'!L17+'8'!L17+'9'!L17+'10'!L17</f>
        <v>377.72999999999996</v>
      </c>
      <c r="M17" s="117">
        <f t="shared" ref="M17:M23" si="2">I17-K17-L17</f>
        <v>31099.77</v>
      </c>
      <c r="N17" s="100">
        <f>+'1'!N17+'2'!N17+'4'!N17+'3'!N17+'5'!N17+'6'!N17+'7'!N17+'8'!N17+'9'!N17+'10'!N17</f>
        <v>309.73859999999996</v>
      </c>
      <c r="O17" s="100">
        <f>+'1'!O17+'2'!O17+'4'!O17+'3'!O17+'5'!O17+'6'!O17+'7'!O17+'8'!O17+'9'!O17+'10'!O17</f>
        <v>10.152543</v>
      </c>
      <c r="P17" s="119">
        <f t="shared" si="0"/>
        <v>31419.661143000001</v>
      </c>
      <c r="S17" s="64"/>
      <c r="T17" s="276" t="str">
        <f>+'3'!A5</f>
        <v>Customer Name : Gourmet Food</v>
      </c>
      <c r="U17" s="277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69">
        <f>+'1'!H18+'2'!H18+'4'!H18+'3'!H18+'5'!H18+'6'!H18+'7'!H18+'8'!H18+'9'!H18+'10'!H18+'11'!H18+'12'!H18+'13'!H18+'14'!H18+'15'!H18+'16'!H18+'17'!H18+'18'!H18+'19'!H18+'20'!H18+'21'!H18+'22'!H18+'23'!H18+'24'!H18+'25'!H18+'26'!H18+'27'!H18+'28'!H18</f>
        <v>600</v>
      </c>
      <c r="I18" s="1">
        <f t="shared" si="1"/>
        <v>31477.5</v>
      </c>
      <c r="J18" s="169">
        <f>+'1'!J18+'2'!J18+'4'!J18+'3'!J18+'5'!J18+'6'!J18+'7'!J18+'8'!J18+'9'!J18+'10'!J18+'11'!J18+'12'!J18+'13'!J18+'14'!J18+'15'!J18+'16'!J18+'17'!J18+'18'!J18</f>
        <v>0</v>
      </c>
      <c r="K18" s="169">
        <f>+'1'!K18+'2'!K18+'4'!K18+'3'!K18+'5'!K18+'6'!K18+'7'!K18+'8'!K18+'9'!K18+'10'!K18</f>
        <v>0</v>
      </c>
      <c r="L18" s="172">
        <f>+'1'!L18+'2'!L18+'4'!L18+'3'!L18+'5'!L18+'6'!L18+'7'!L18+'8'!L18+'9'!L18+'10'!L18</f>
        <v>377.72999999999996</v>
      </c>
      <c r="M18" s="117">
        <f t="shared" si="2"/>
        <v>31099.77</v>
      </c>
      <c r="N18" s="100">
        <f>+'1'!N18+'2'!N18+'4'!N18+'3'!N18+'5'!N18+'6'!N18+'7'!N18+'8'!N18+'9'!N18+'10'!N18</f>
        <v>309.73859999999996</v>
      </c>
      <c r="O18" s="100">
        <f>+'1'!O18+'2'!O18+'4'!O18+'3'!O18+'5'!O18+'6'!O18+'7'!O18+'8'!O18+'9'!O18+'10'!O18</f>
        <v>10.152543</v>
      </c>
      <c r="P18" s="119">
        <f t="shared" si="0"/>
        <v>31419.661143000001</v>
      </c>
      <c r="T18" s="276" t="str">
        <f>+'5'!A5</f>
        <v>Customer Name : Gourmet Food</v>
      </c>
      <c r="U18" s="277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69">
        <f>+'1'!H19+'2'!H19+'4'!H19+'3'!H19+'5'!H19+'6'!H19+'7'!H19+'8'!H19+'9'!H19+'10'!H19+'11'!H19+'12'!H19+'13'!H19+'14'!H19+'15'!H19+'16'!H19+'17'!H19+'18'!H19+'19'!H19+'20'!H19+'21'!H19+'22'!H19+'23'!H19+'24'!H19+'25'!H19+'26'!H19+'27'!H19+'28'!H19</f>
        <v>600</v>
      </c>
      <c r="I19" s="1">
        <f t="shared" si="1"/>
        <v>43584</v>
      </c>
      <c r="J19" s="169">
        <f>+'1'!J19+'2'!J19+'4'!J19+'3'!J19+'5'!J19+'6'!J19+'7'!J19+'8'!J19+'9'!J19+'10'!J19+'11'!J19+'12'!J19+'13'!J19+'14'!J19+'15'!J19+'16'!J19+'17'!J19+'18'!J19</f>
        <v>0</v>
      </c>
      <c r="K19" s="169">
        <f>+'1'!K19+'2'!K19+'4'!K19+'3'!K19+'5'!K19+'6'!K19+'7'!K19+'8'!K19+'9'!K19+'10'!K19</f>
        <v>0</v>
      </c>
      <c r="L19" s="172">
        <f>+'1'!L19+'2'!L19+'4'!L19+'3'!L19+'5'!L19+'6'!L19+'7'!L19+'8'!L19+'9'!L19+'10'!L19</f>
        <v>523.00799999999992</v>
      </c>
      <c r="M19" s="117">
        <f t="shared" si="2"/>
        <v>43060.991999999998</v>
      </c>
      <c r="N19" s="100">
        <f>+'1'!N19+'2'!N19+'4'!N19+'3'!N19+'5'!N19+'6'!N19+'7'!N19+'8'!N19+'9'!N19+'10'!N19</f>
        <v>428.86655999999999</v>
      </c>
      <c r="O19" s="100">
        <f>+'1'!O19+'2'!O19+'4'!O19+'3'!O19+'5'!O19+'6'!O19+'7'!O19+'8'!O19+'9'!O19+'10'!O19</f>
        <v>14.057292800000001</v>
      </c>
      <c r="P19" s="119">
        <f t="shared" si="0"/>
        <v>43503.915852799997</v>
      </c>
      <c r="T19" s="276" t="str">
        <f>+'6'!A5</f>
        <v>Customer Name : Gourmet Food</v>
      </c>
      <c r="U19" s="277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69">
        <f>+'1'!H20+'2'!H20+'4'!H20+'3'!H20+'5'!H20+'6'!H20+'7'!H20+'8'!H20+'9'!H20+'10'!H20+'11'!H20+'12'!H20+'13'!H20+'14'!H20+'15'!H20+'16'!H20+'17'!H20+'18'!H20+'19'!H20+'20'!H20+'21'!H20+'22'!H20+'23'!H20+'24'!H20+'25'!H20+'26'!H20+'27'!H20+'28'!H20</f>
        <v>600</v>
      </c>
      <c r="I20" s="1">
        <f t="shared" si="1"/>
        <v>43584</v>
      </c>
      <c r="J20" s="169">
        <f>+'1'!J20+'2'!J20+'4'!J20+'3'!J20+'5'!J20+'6'!J20+'7'!J20+'8'!J20+'9'!J20+'10'!J20+'11'!J20+'12'!J20+'13'!J20+'14'!J20+'15'!J20+'16'!J20+'17'!J20+'18'!J20</f>
        <v>0</v>
      </c>
      <c r="K20" s="169">
        <f>+'1'!K20+'2'!K20+'4'!K20+'3'!K20+'5'!K20+'6'!K20+'7'!K20+'8'!K20+'9'!K20+'10'!K20</f>
        <v>0</v>
      </c>
      <c r="L20" s="172">
        <f>+'1'!L20+'2'!L20+'4'!L20+'3'!L20+'5'!L20+'6'!L20+'7'!L20+'8'!L20+'9'!L20+'10'!L20</f>
        <v>523.00799999999992</v>
      </c>
      <c r="M20" s="117">
        <f t="shared" si="2"/>
        <v>43060.991999999998</v>
      </c>
      <c r="N20" s="100">
        <f>+'1'!N20+'2'!N20+'4'!N20+'3'!N20+'5'!N20+'6'!N20+'7'!N20+'8'!N20+'9'!N20+'10'!N20</f>
        <v>428.86655999999999</v>
      </c>
      <c r="O20" s="100">
        <f>+'1'!O20+'2'!O20+'4'!O20+'3'!O20+'5'!O20+'6'!O20+'7'!O20+'8'!O20+'9'!O20+'10'!O20</f>
        <v>14.057292800000001</v>
      </c>
      <c r="P20" s="119">
        <f t="shared" si="0"/>
        <v>43503.915852799997</v>
      </c>
      <c r="S20" t="s">
        <v>153</v>
      </c>
      <c r="T20" s="276" t="str">
        <f>+'7'!A5</f>
        <v>Customer Name : Gourmet Food Bata pur</v>
      </c>
      <c r="U20" s="277">
        <f>+'7'!P35</f>
        <v>14598.530987400001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69">
        <f>+'1'!H21+'2'!H21+'4'!H21+'3'!H21+'5'!H21+'6'!H21+'7'!H21+'8'!H21+'9'!H21+'10'!H21+'11'!H21+'12'!H21+'13'!H21+'14'!H21+'15'!H21+'16'!H21+'17'!H21+'18'!H21+'19'!H21+'20'!H21+'21'!H21+'22'!H21+'23'!H21+'24'!H21+'25'!H21+'26'!H21+'27'!H21+'28'!H21</f>
        <v>600</v>
      </c>
      <c r="I21" s="1">
        <f t="shared" si="1"/>
        <v>43584</v>
      </c>
      <c r="J21" s="169">
        <f>+'1'!J21+'2'!J21+'4'!J21+'3'!J21+'5'!J21+'6'!J21+'7'!J21+'8'!J21+'9'!J21+'10'!J21+'11'!J21+'12'!J21+'13'!J21+'14'!J21+'15'!J21+'16'!J21+'17'!J21+'18'!J21</f>
        <v>0</v>
      </c>
      <c r="K21" s="169">
        <f>+'1'!K21+'2'!K21+'4'!K21+'3'!K21+'5'!K21+'6'!K21+'7'!K21+'8'!K21+'9'!K21+'10'!K21</f>
        <v>0</v>
      </c>
      <c r="L21" s="172">
        <f>+'1'!L21+'2'!L21+'4'!L21+'3'!L21+'5'!L21+'6'!L21+'7'!L21+'8'!L21+'9'!L21+'10'!L21</f>
        <v>523.00799999999992</v>
      </c>
      <c r="M21" s="117">
        <f t="shared" si="2"/>
        <v>43060.991999999998</v>
      </c>
      <c r="N21" s="100">
        <f>+'1'!N21+'2'!N21+'4'!N21+'3'!N21+'5'!N21+'6'!N21+'7'!N21+'8'!N21+'9'!N21+'10'!N21</f>
        <v>428.86655999999999</v>
      </c>
      <c r="O21" s="100">
        <f>+'1'!O21+'2'!O21+'4'!O21+'3'!O21+'5'!O21+'6'!O21+'7'!O21+'8'!O21+'9'!O21+'10'!O21</f>
        <v>14.057292800000001</v>
      </c>
      <c r="P21" s="119">
        <f t="shared" si="0"/>
        <v>43503.915852799997</v>
      </c>
      <c r="T21" s="276" t="str">
        <f>+'8'!A5</f>
        <v>Customer Name : Gourmet Food Model Town Ablock</v>
      </c>
      <c r="U21" s="277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69">
        <f>+'1'!H22+'2'!H22+'4'!H22+'3'!H22+'5'!H22+'6'!H22+'7'!H22+'8'!H22+'9'!H22+'10'!H22+'11'!H22+'12'!H22+'13'!H22+'14'!H22+'15'!H22+'16'!H22+'17'!H22+'18'!H22+'19'!H22+'20'!H22+'21'!H22+'22'!H22+'23'!H22+'24'!H22+'25'!H22+'26'!H22+'27'!H22+'28'!H22</f>
        <v>0</v>
      </c>
      <c r="I22" s="1">
        <f t="shared" si="1"/>
        <v>0</v>
      </c>
      <c r="J22" s="169">
        <f>+'1'!J22+'2'!J22+'4'!J22+'3'!J22+'5'!J22+'6'!J22+'7'!J22+'8'!J22+'9'!J22+'10'!J22+'11'!J22+'12'!J22+'13'!J22+'14'!J22+'15'!J22+'16'!J22+'17'!J22+'18'!J22</f>
        <v>0</v>
      </c>
      <c r="K22" s="169">
        <f>+'1'!K22+'2'!K22+'4'!K22+'3'!K22+'5'!K22+'6'!K22+'7'!K22+'8'!K22+'9'!K22+'10'!K22</f>
        <v>0</v>
      </c>
      <c r="L22" s="172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276" t="str">
        <f>+'9'!A5</f>
        <v>Customer Name : Gourmet Food Sadar Kitchari</v>
      </c>
      <c r="U22" s="277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69">
        <f>+'1'!H23+'2'!H23+'4'!H23+'3'!H23+'5'!H23+'6'!H23+'7'!H23+'8'!H23+'9'!H23+'10'!H23+'11'!H23+'12'!H23+'13'!H23+'14'!H23+'15'!H23+'16'!H23+'17'!H23+'18'!H23+'19'!H23+'20'!H23+'21'!H23+'22'!H23+'23'!H23+'24'!H23+'25'!H23+'26'!H23+'27'!H23+'28'!H23</f>
        <v>0</v>
      </c>
      <c r="I23" s="1">
        <f t="shared" si="1"/>
        <v>0</v>
      </c>
      <c r="J23" s="169">
        <f>+'1'!J23+'2'!J23+'4'!J23+'3'!J23+'5'!J23+'6'!J23+'7'!J23+'8'!J23+'9'!J23+'10'!J23+'11'!J23+'12'!J23+'13'!J23+'14'!J23+'15'!J23+'16'!J23+'17'!J23+'18'!J23</f>
        <v>0</v>
      </c>
      <c r="K23" s="169">
        <f>+'1'!K23+'2'!K23+'4'!K23+'3'!K23+'5'!K23+'6'!K23+'7'!K23+'8'!K23+'9'!K23+'10'!K23</f>
        <v>0</v>
      </c>
      <c r="L23" s="172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276" t="str">
        <f>+'10'!A5</f>
        <v>Customer Name : Gourmet Food Jhor Pul</v>
      </c>
      <c r="U23" s="277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69">
        <f>+'1'!H24+'2'!H24+'4'!H24+'3'!H24+'5'!H24+'6'!H24+'7'!H24+'8'!H24+'9'!H24+'10'!H24+'11'!H24+'12'!H24+'13'!H24+'14'!H24+'15'!H24+'16'!H24+'17'!H24+'18'!H24+'19'!H24+'20'!H24+'21'!H24+'22'!H24+'23'!H24+'24'!H24+'25'!H24+'26'!H24+'27'!H24+'28'!H24</f>
        <v>0</v>
      </c>
      <c r="I24" s="1">
        <f>(G24*D24)*F24+H24*F24</f>
        <v>0</v>
      </c>
      <c r="J24" s="169">
        <f>+'1'!J24+'2'!J24+'4'!J24+'3'!J24+'5'!J24+'6'!J24+'7'!J24+'8'!J24+'9'!J24+'10'!J24+'11'!J24+'12'!J24+'13'!J24+'14'!J24+'15'!J24+'16'!J24+'17'!J24+'18'!J24</f>
        <v>0</v>
      </c>
      <c r="K24" s="169">
        <f>+'1'!K24+'2'!K24+'4'!K24+'3'!K24+'5'!K24+'6'!K24+'7'!K24+'8'!K24+'9'!K24+'10'!K24</f>
        <v>0</v>
      </c>
      <c r="L24" s="172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S24" t="s">
        <v>153</v>
      </c>
      <c r="T24" s="276" t="str">
        <f>+'11'!A5</f>
        <v>Customer Name : Gourmet Food Shalimar link Road</v>
      </c>
      <c r="U24" s="277">
        <f>+'11'!P35</f>
        <v>14598.530987400001</v>
      </c>
    </row>
    <row r="25" spans="1:21 16384:16384" ht="26.5" thickBot="1" x14ac:dyDescent="0.65">
      <c r="A25" s="304" t="s">
        <v>84</v>
      </c>
      <c r="B25" s="305"/>
      <c r="C25" s="306">
        <f>H25/40</f>
        <v>90</v>
      </c>
      <c r="D25" s="300"/>
      <c r="E25" s="300"/>
      <c r="F25" s="300"/>
      <c r="G25" s="173">
        <f t="shared" ref="G25:M25" si="3">SUM(G16:G24)</f>
        <v>0</v>
      </c>
      <c r="H25" s="174">
        <f t="shared" si="3"/>
        <v>3600</v>
      </c>
      <c r="I25" s="175">
        <f t="shared" si="3"/>
        <v>225184.5</v>
      </c>
      <c r="J25" s="174">
        <f t="shared" si="3"/>
        <v>0</v>
      </c>
      <c r="K25" s="175">
        <f t="shared" si="3"/>
        <v>0</v>
      </c>
      <c r="L25" s="176">
        <f t="shared" si="3"/>
        <v>2702.2139999999995</v>
      </c>
      <c r="M25" s="140">
        <f t="shared" si="3"/>
        <v>222482.28599999999</v>
      </c>
      <c r="N25" s="141">
        <f>SUM(N16:N24)</f>
        <v>2215.8154799999998</v>
      </c>
      <c r="O25" s="142">
        <f>SUM(O16:O24)</f>
        <v>72.629507399999994</v>
      </c>
      <c r="P25" s="143">
        <f>SUM(P16:P24)</f>
        <v>224770.73098739999</v>
      </c>
      <c r="S25" t="s">
        <v>153</v>
      </c>
      <c r="T25" s="276" t="str">
        <f>+'12'!A5</f>
        <v>Customer Name : Gourmet Food Salamat Pura</v>
      </c>
      <c r="U25" s="277">
        <f>+'12'!P35</f>
        <v>14598.530987400001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S26" t="s">
        <v>153</v>
      </c>
      <c r="T26" s="276" t="str">
        <f>+'13'!A5</f>
        <v>Customer Name : Gourmet Food Dhroghewala</v>
      </c>
      <c r="U26" s="277">
        <f>+'13'!P35</f>
        <v>29197.061974800003</v>
      </c>
    </row>
    <row r="27" spans="1:21 16384:16384" ht="26" hidden="1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S27" t="s">
        <v>153</v>
      </c>
      <c r="T27" s="276" t="str">
        <f>+'14'!A5</f>
        <v>Customer Name : Gourmet Food Neelam Cinema</v>
      </c>
      <c r="U27" s="277">
        <f>+'14'!P35</f>
        <v>0</v>
      </c>
    </row>
    <row r="28" spans="1:21 16384:16384" ht="26" hidden="1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276" t="str">
        <f>+'15'!A5</f>
        <v xml:space="preserve">Customer Name : Gourmet Food Laal Pul </v>
      </c>
      <c r="U28" s="179">
        <f>+'15'!P35</f>
        <v>0</v>
      </c>
    </row>
    <row r="29" spans="1:21 16384:16384" ht="26" hidden="1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276" t="str">
        <f>+'16'!A5</f>
        <v xml:space="preserve">Customer Name : Gourmet Food Shadman </v>
      </c>
      <c r="U29" s="179">
        <f>+'16'!P35</f>
        <v>0</v>
      </c>
    </row>
    <row r="30" spans="1:21 16384:16384" ht="26" hidden="1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276" t="str">
        <f>+'17'!A5</f>
        <v xml:space="preserve">Customer Name : Gourmet Food Cant Girja </v>
      </c>
      <c r="U30" s="179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S31" t="s">
        <v>153</v>
      </c>
      <c r="T31" s="276" t="str">
        <f>+'18'!A5</f>
        <v xml:space="preserve">Customer Name : Gourmet Food Railway Plaza </v>
      </c>
      <c r="U31" s="179">
        <f>+'18'!P35</f>
        <v>14598.530987400001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276" t="str">
        <f>+'19'!A5</f>
        <v xml:space="preserve">Customer Name : Gourmet Food Tajh Bagh </v>
      </c>
      <c r="U32" s="179">
        <f>+'19'!P35</f>
        <v>29197.061974800003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276" t="str">
        <f>+'20'!A5</f>
        <v>Customer Name : Gourmet Food Tajh pura</v>
      </c>
      <c r="U33" s="179">
        <f>+'20'!P35</f>
        <v>29197.061974800003</v>
      </c>
    </row>
    <row r="34" spans="1:21" ht="26" hidden="1" x14ac:dyDescent="0.6">
      <c r="A34" s="144"/>
      <c r="B34" s="144"/>
      <c r="C34" s="144"/>
      <c r="D34" s="144"/>
      <c r="E34" s="144"/>
      <c r="F34" s="144"/>
      <c r="G34" s="145"/>
      <c r="H34" s="145"/>
      <c r="I34" s="146"/>
      <c r="J34" s="145"/>
      <c r="K34" s="146"/>
      <c r="L34" s="147"/>
      <c r="M34" s="145"/>
      <c r="N34" s="145"/>
      <c r="O34" s="147"/>
      <c r="P34" s="146"/>
      <c r="T34" s="276" t="str">
        <f>+'21'!A5</f>
        <v xml:space="preserve">Customer Name : Gourmet Food Shaheed </v>
      </c>
      <c r="U34" s="179">
        <f>+'21'!P35</f>
        <v>0</v>
      </c>
    </row>
    <row r="35" spans="1:21" ht="26" x14ac:dyDescent="0.6">
      <c r="A35" s="144"/>
      <c r="B35" s="144"/>
      <c r="C35" s="144"/>
      <c r="D35" s="144"/>
      <c r="E35" s="144"/>
      <c r="F35" s="144"/>
      <c r="G35" s="145"/>
      <c r="H35" s="145"/>
      <c r="I35" s="146"/>
      <c r="J35" s="145"/>
      <c r="K35" s="146"/>
      <c r="L35" s="147"/>
      <c r="M35" s="145"/>
      <c r="N35" s="145"/>
      <c r="O35" s="147"/>
      <c r="P35" s="146"/>
      <c r="S35" t="s">
        <v>153</v>
      </c>
      <c r="T35" s="276" t="str">
        <f>+'22'!A5</f>
        <v xml:space="preserve">Customer Name : Gourmet Food Kot Khawaja </v>
      </c>
      <c r="U35" s="179">
        <f>+'22'!P35</f>
        <v>14598.530987400001</v>
      </c>
    </row>
    <row r="36" spans="1:21" ht="26" hidden="1" x14ac:dyDescent="0.6">
      <c r="A36" s="144"/>
      <c r="B36" s="144"/>
      <c r="C36" s="144"/>
      <c r="D36" s="144"/>
      <c r="E36" s="144"/>
      <c r="F36" s="144"/>
      <c r="G36" s="145"/>
      <c r="H36" s="145"/>
      <c r="I36" s="146"/>
      <c r="J36" s="145"/>
      <c r="K36" s="146"/>
      <c r="L36" s="147"/>
      <c r="M36" s="145"/>
      <c r="N36" s="145"/>
      <c r="O36" s="147"/>
      <c r="P36" s="146"/>
      <c r="T36" s="276" t="str">
        <f>+'23'!A5</f>
        <v>Customer Name : Gourmet Food Dharam Pura</v>
      </c>
      <c r="U36" s="179">
        <f>+'23'!P35</f>
        <v>0</v>
      </c>
    </row>
    <row r="37" spans="1:21" ht="26" x14ac:dyDescent="0.6">
      <c r="A37" s="144"/>
      <c r="B37" s="144"/>
      <c r="C37" s="144"/>
      <c r="D37" s="144"/>
      <c r="E37" s="144"/>
      <c r="F37" s="144"/>
      <c r="G37" s="145"/>
      <c r="H37" s="145"/>
      <c r="I37" s="146"/>
      <c r="J37" s="145"/>
      <c r="K37" s="146"/>
      <c r="L37" s="147"/>
      <c r="M37" s="145"/>
      <c r="N37" s="145"/>
      <c r="O37" s="147"/>
      <c r="P37" s="146"/>
      <c r="S37" t="s">
        <v>153</v>
      </c>
      <c r="T37" s="276" t="str">
        <f>+'24'!A5</f>
        <v>Customer Name : Gourmet Food Baghban pura</v>
      </c>
      <c r="U37" s="179">
        <f>+'24'!P35</f>
        <v>14598.530987400001</v>
      </c>
    </row>
    <row r="38" spans="1:21" ht="26" hidden="1" x14ac:dyDescent="0.6">
      <c r="A38" s="144"/>
      <c r="B38" s="144"/>
      <c r="C38" s="144"/>
      <c r="D38" s="144"/>
      <c r="E38" s="144"/>
      <c r="F38" s="144"/>
      <c r="G38" s="145"/>
      <c r="H38" s="145"/>
      <c r="I38" s="146"/>
      <c r="J38" s="145"/>
      <c r="K38" s="146"/>
      <c r="L38" s="147"/>
      <c r="M38" s="145"/>
      <c r="N38" s="145"/>
      <c r="O38" s="147"/>
      <c r="P38" s="146"/>
      <c r="S38" t="s">
        <v>153</v>
      </c>
      <c r="T38" s="276" t="str">
        <f>+'25'!A5</f>
        <v>Customer Name : Gourmet Food SultanPura</v>
      </c>
      <c r="U38" s="179">
        <f>+'25'!P35</f>
        <v>0</v>
      </c>
    </row>
    <row r="39" spans="1:21" ht="26" x14ac:dyDescent="0.6">
      <c r="A39" s="144"/>
      <c r="B39" s="144"/>
      <c r="C39" s="144"/>
      <c r="D39" s="144"/>
      <c r="E39" s="144"/>
      <c r="F39" s="144"/>
      <c r="G39" s="145"/>
      <c r="H39" s="145"/>
      <c r="I39" s="146"/>
      <c r="J39" s="145"/>
      <c r="K39" s="146"/>
      <c r="L39" s="147"/>
      <c r="M39" s="145"/>
      <c r="N39" s="145"/>
      <c r="O39" s="147"/>
      <c r="P39" s="146"/>
      <c r="S39" t="s">
        <v>153</v>
      </c>
      <c r="T39" s="276" t="str">
        <f>+'26'!A5</f>
        <v>Customer Name : Gourmet Food Shadi pura</v>
      </c>
      <c r="U39" s="179">
        <f>+'26'!P35</f>
        <v>14598.530987400001</v>
      </c>
    </row>
    <row r="40" spans="1:21" ht="26" x14ac:dyDescent="0.6">
      <c r="A40" s="144"/>
      <c r="B40" s="144"/>
      <c r="C40" s="144"/>
      <c r="D40" s="144"/>
      <c r="E40" s="144"/>
      <c r="F40" s="144"/>
      <c r="G40" s="145"/>
      <c r="H40" s="145"/>
      <c r="I40" s="146"/>
      <c r="J40" s="145"/>
      <c r="K40" s="146"/>
      <c r="L40" s="147"/>
      <c r="M40" s="145"/>
      <c r="N40" s="145"/>
      <c r="O40" s="147"/>
      <c r="P40" s="146"/>
      <c r="S40" t="s">
        <v>153</v>
      </c>
      <c r="T40" s="276" t="str">
        <f>+'27'!A5</f>
        <v>Customer Name : Gourmet Food Manawan</v>
      </c>
      <c r="U40" s="179">
        <f>+'27'!P35</f>
        <v>29197.061974800003</v>
      </c>
    </row>
    <row r="41" spans="1:21" ht="26" x14ac:dyDescent="0.6">
      <c r="A41" s="144"/>
      <c r="B41" s="144"/>
      <c r="C41" s="144"/>
      <c r="D41" s="144"/>
      <c r="E41" s="144"/>
      <c r="F41" s="144"/>
      <c r="G41" s="145"/>
      <c r="H41" s="145"/>
      <c r="I41" s="146"/>
      <c r="J41" s="145"/>
      <c r="K41" s="146"/>
      <c r="L41" s="147"/>
      <c r="M41" s="145"/>
      <c r="N41" s="145"/>
      <c r="O41" s="147"/>
      <c r="P41" s="146"/>
      <c r="T41" s="178"/>
      <c r="U41" s="179"/>
    </row>
    <row r="42" spans="1:21" ht="26.5" thickBot="1" x14ac:dyDescent="0.65">
      <c r="A42" s="144"/>
      <c r="B42" s="144"/>
      <c r="C42" s="144"/>
      <c r="D42" s="144"/>
      <c r="E42" s="144"/>
      <c r="F42" s="144"/>
      <c r="G42" s="145"/>
      <c r="H42" s="145"/>
      <c r="I42" s="146"/>
      <c r="K42" s="147"/>
      <c r="L42" s="147"/>
      <c r="M42" s="147"/>
      <c r="N42" s="147"/>
      <c r="O42" s="148"/>
      <c r="P42" s="147"/>
      <c r="T42" s="163" t="s">
        <v>84</v>
      </c>
      <c r="U42" s="162">
        <f>SUM(U14:U40)</f>
        <v>218977.96481100004</v>
      </c>
    </row>
    <row r="43" spans="1:21" ht="15" thickBot="1" x14ac:dyDescent="0.4">
      <c r="A43" s="69"/>
      <c r="B43" s="69"/>
      <c r="C43" s="149"/>
      <c r="D43" s="149"/>
      <c r="E43" s="149"/>
      <c r="F43" s="149"/>
      <c r="G43" s="150"/>
      <c r="H43" s="150"/>
    </row>
    <row r="44" spans="1:21" x14ac:dyDescent="0.35">
      <c r="B44" s="307" t="s">
        <v>85</v>
      </c>
      <c r="C44" s="308"/>
      <c r="D44" s="308"/>
      <c r="E44" s="308"/>
      <c r="F44" s="308"/>
      <c r="G44" s="308"/>
      <c r="H44" s="308"/>
      <c r="I44" s="308"/>
      <c r="J44" s="308"/>
      <c r="K44" s="308"/>
      <c r="L44" s="309"/>
      <c r="N44" s="316" t="s">
        <v>86</v>
      </c>
      <c r="O44" s="317"/>
      <c r="P44" s="151">
        <f>I25</f>
        <v>225184.5</v>
      </c>
    </row>
    <row r="45" spans="1:21" ht="15" customHeight="1" x14ac:dyDescent="0.35">
      <c r="B45" s="310"/>
      <c r="C45" s="311"/>
      <c r="D45" s="311"/>
      <c r="E45" s="311"/>
      <c r="F45" s="311"/>
      <c r="G45" s="311"/>
      <c r="H45" s="311"/>
      <c r="I45" s="311"/>
      <c r="J45" s="311"/>
      <c r="K45" s="311"/>
      <c r="L45" s="312"/>
      <c r="N45" s="318" t="s">
        <v>87</v>
      </c>
      <c r="O45" s="319"/>
      <c r="P45" s="152">
        <f>L25</f>
        <v>2702.2139999999995</v>
      </c>
    </row>
    <row r="46" spans="1:21" ht="15" customHeight="1" x14ac:dyDescent="0.35">
      <c r="B46" s="310"/>
      <c r="C46" s="311"/>
      <c r="D46" s="311"/>
      <c r="E46" s="311"/>
      <c r="F46" s="311"/>
      <c r="G46" s="311"/>
      <c r="H46" s="311"/>
      <c r="I46" s="311"/>
      <c r="J46" s="311"/>
      <c r="K46" s="311"/>
      <c r="L46" s="312"/>
      <c r="N46" s="318" t="s">
        <v>4</v>
      </c>
      <c r="O46" s="319"/>
      <c r="P46" s="153">
        <f>K25</f>
        <v>0</v>
      </c>
    </row>
    <row r="47" spans="1:21" ht="15" customHeight="1" x14ac:dyDescent="0.35">
      <c r="B47" s="310"/>
      <c r="C47" s="311"/>
      <c r="D47" s="311"/>
      <c r="E47" s="311"/>
      <c r="F47" s="311"/>
      <c r="G47" s="311"/>
      <c r="H47" s="311"/>
      <c r="I47" s="311"/>
      <c r="J47" s="311"/>
      <c r="K47" s="311"/>
      <c r="L47" s="312"/>
      <c r="M47" s="2"/>
      <c r="N47" s="318" t="s">
        <v>88</v>
      </c>
      <c r="O47" s="319"/>
      <c r="P47" s="152">
        <f>P44-P45-P46</f>
        <v>222482.28599999999</v>
      </c>
    </row>
    <row r="48" spans="1:21" ht="15" customHeight="1" x14ac:dyDescent="0.35">
      <c r="B48" s="310"/>
      <c r="C48" s="311"/>
      <c r="D48" s="311"/>
      <c r="E48" s="311"/>
      <c r="F48" s="311"/>
      <c r="G48" s="311"/>
      <c r="H48" s="311"/>
      <c r="I48" s="311"/>
      <c r="J48" s="311"/>
      <c r="K48" s="311"/>
      <c r="L48" s="312"/>
      <c r="M48" s="2"/>
      <c r="N48" s="154" t="s">
        <v>89</v>
      </c>
      <c r="O48" s="155">
        <f>IF(B12="Registered",18%,22%)</f>
        <v>0.22</v>
      </c>
      <c r="P48" s="152">
        <f>N25</f>
        <v>2215.8154799999998</v>
      </c>
    </row>
    <row r="49" spans="2:16" ht="15" customHeight="1" x14ac:dyDescent="0.35">
      <c r="B49" s="310"/>
      <c r="C49" s="311"/>
      <c r="D49" s="311"/>
      <c r="E49" s="311"/>
      <c r="F49" s="311"/>
      <c r="G49" s="311"/>
      <c r="H49" s="311"/>
      <c r="I49" s="311"/>
      <c r="J49" s="311"/>
      <c r="K49" s="311"/>
      <c r="L49" s="312"/>
      <c r="M49" s="2"/>
      <c r="N49" s="320" t="s">
        <v>90</v>
      </c>
      <c r="O49" s="321"/>
      <c r="P49" s="152">
        <f>P47+P48</f>
        <v>224698.10147999998</v>
      </c>
    </row>
    <row r="50" spans="2:16" ht="15" customHeight="1" thickBot="1" x14ac:dyDescent="0.4">
      <c r="B50" s="313"/>
      <c r="C50" s="314"/>
      <c r="D50" s="314"/>
      <c r="E50" s="314"/>
      <c r="F50" s="314"/>
      <c r="G50" s="314"/>
      <c r="H50" s="314"/>
      <c r="I50" s="314"/>
      <c r="J50" s="314"/>
      <c r="K50" s="314"/>
      <c r="L50" s="315"/>
      <c r="M50" s="156"/>
      <c r="N50" s="157" t="s">
        <v>91</v>
      </c>
      <c r="O50" s="158">
        <f>IF(B11="Filer",0.5%,2.5%)</f>
        <v>2.5000000000000001E-2</v>
      </c>
      <c r="P50" s="152">
        <f>O50*P49</f>
        <v>5617.4525370000001</v>
      </c>
    </row>
    <row r="51" spans="2:16" ht="15.75" customHeight="1" thickBot="1" x14ac:dyDescent="0.4">
      <c r="N51" s="298" t="s">
        <v>92</v>
      </c>
      <c r="O51" s="299"/>
      <c r="P51" s="159">
        <f>P49+P50</f>
        <v>230315.55401699999</v>
      </c>
    </row>
    <row r="52" spans="2:16" ht="15" thickBot="1" x14ac:dyDescent="0.4">
      <c r="B52" s="160" t="s">
        <v>93</v>
      </c>
      <c r="C52" s="300"/>
      <c r="D52" s="300"/>
      <c r="E52" s="300"/>
      <c r="F52" s="300"/>
      <c r="G52" s="300"/>
      <c r="H52" s="300"/>
      <c r="I52" s="301"/>
      <c r="J52" s="302"/>
      <c r="K52" s="303"/>
    </row>
    <row r="53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51:O51"/>
    <mergeCell ref="C52:I52"/>
    <mergeCell ref="J52:K52"/>
    <mergeCell ref="A25:B25"/>
    <mergeCell ref="C25:F25"/>
    <mergeCell ref="B44:L50"/>
    <mergeCell ref="N44:O44"/>
    <mergeCell ref="N45:O45"/>
    <mergeCell ref="N46:O46"/>
    <mergeCell ref="N47:O47"/>
    <mergeCell ref="N49:O49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4"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8.36328125" bestFit="1" customWidth="1"/>
    <col min="18" max="18" width="10.816406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102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103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165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4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0">
        <v>120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3">(G17*D17)*F17+H17*F17</f>
        <v>0</v>
      </c>
      <c r="J17" s="116"/>
      <c r="K17" s="1">
        <f t="shared" ref="K17:K21" si="4">I17*$K$13</f>
        <v>0</v>
      </c>
      <c r="L17" s="104">
        <f t="shared" ref="L17:L21" si="5">I17*18%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Q17" s="114">
        <v>120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Q18" s="114">
        <v>120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3"/>
        <v>0</v>
      </c>
      <c r="J19" s="116"/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1"/>
        <v>0</v>
      </c>
      <c r="P19" s="119">
        <f t="shared" si="2"/>
        <v>0</v>
      </c>
      <c r="Q19" s="114">
        <v>120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3"/>
        <v>0</v>
      </c>
      <c r="J20" s="116"/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1"/>
        <v>0</v>
      </c>
      <c r="P20" s="119">
        <f t="shared" si="2"/>
        <v>0</v>
      </c>
      <c r="Q20" s="114">
        <v>120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3"/>
        <v>0</v>
      </c>
      <c r="J21" s="116"/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1"/>
        <v>0</v>
      </c>
      <c r="P21" s="119">
        <f t="shared" si="2"/>
        <v>0</v>
      </c>
      <c r="Q21" s="114">
        <v>120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Q22" s="114"/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1002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104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103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165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4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80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14">
        <v>80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80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14">
        <v>80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14">
        <v>80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14">
        <v>80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1003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6" t="s">
        <v>103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56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4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80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14">
        <v>80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80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14">
        <v>80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14">
        <v>80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14">
        <v>80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1004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103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4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40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40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40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40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40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40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7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1005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107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6" t="s">
        <v>103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4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40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40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40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40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40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40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1006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108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103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4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20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20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20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20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20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20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1007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131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112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6" t="s">
        <v>103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4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15012.300000000001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2702.2139999999995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12310.086000000001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14525.90148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298" t="s">
        <v>92</v>
      </c>
      <c r="O35" s="299"/>
      <c r="P35" s="159">
        <f>P33+P34</f>
        <v>14598.530987400001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4" workbookViewId="0">
      <selection activeCell="H11" sqref="H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1008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132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109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103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4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40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40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40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40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40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40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3"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1009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133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113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4" t="s">
        <v>103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4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40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40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40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40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40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40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16" sqref="H16: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134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114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103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4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40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40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40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40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40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40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135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115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103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4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15012.300000000001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2702.2139999999995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12310.086000000001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14525.90148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298" t="s">
        <v>92</v>
      </c>
      <c r="O35" s="299"/>
      <c r="P35" s="159">
        <f>P33+P34</f>
        <v>14598.530987400001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zoomScale="106" zoomScaleNormal="106" workbookViewId="0">
      <selection activeCell="H9" sqref="H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1012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136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116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103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4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15012.300000000001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2702.2139999999995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12310.086000000001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14525.90148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298" t="s">
        <v>92</v>
      </c>
      <c r="O35" s="299"/>
      <c r="P35" s="159">
        <f>P33+P34</f>
        <v>14598.530987400001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1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2" max="2" width="29.81640625" bestFit="1" customWidth="1"/>
    <col min="3" max="3" width="5.6328125" bestFit="1" customWidth="1"/>
    <col min="4" max="4" width="5.36328125" bestFit="1" customWidth="1"/>
    <col min="5" max="5" width="5.6328125" bestFit="1" customWidth="1"/>
    <col min="6" max="6" width="6.6328125" bestFit="1" customWidth="1"/>
    <col min="7" max="7" width="4.08984375" bestFit="1" customWidth="1"/>
    <col min="8" max="8" width="5.453125" customWidth="1"/>
    <col min="9" max="9" width="11.54296875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" customWidth="1"/>
    <col min="14" max="14" width="10" style="69" customWidth="1"/>
    <col min="15" max="15" width="9.54296875" customWidth="1"/>
    <col min="16" max="16" width="9.8164062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A1" s="180"/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1"/>
      <c r="O1" s="180"/>
      <c r="P1" s="180"/>
      <c r="Q1" s="180"/>
    </row>
    <row r="2" spans="1:19 16383:16384" x14ac:dyDescent="0.35">
      <c r="A2" s="348" t="s">
        <v>45</v>
      </c>
      <c r="B2" s="348"/>
      <c r="C2" s="348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1"/>
      <c r="O2" s="180"/>
      <c r="P2" s="180"/>
      <c r="Q2" s="180"/>
    </row>
    <row r="3" spans="1:19 16383:16384" ht="15" customHeight="1" x14ac:dyDescent="0.35">
      <c r="A3" s="349" t="s">
        <v>46</v>
      </c>
      <c r="B3" s="349"/>
      <c r="C3" s="349"/>
      <c r="D3" s="180"/>
      <c r="E3" s="180"/>
      <c r="F3" s="182"/>
      <c r="G3" s="183"/>
      <c r="H3" s="180"/>
      <c r="I3" s="180"/>
      <c r="J3" s="180"/>
      <c r="K3" s="350" t="s">
        <v>47</v>
      </c>
      <c r="L3" s="350"/>
      <c r="M3" s="350"/>
      <c r="N3" s="349">
        <v>1013</v>
      </c>
      <c r="O3" s="349"/>
      <c r="P3" s="349"/>
      <c r="Q3" s="18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49" t="s">
        <v>94</v>
      </c>
      <c r="B4" s="349"/>
      <c r="C4" s="349"/>
      <c r="D4" s="180"/>
      <c r="E4" s="180"/>
      <c r="F4" s="182"/>
      <c r="G4" s="183"/>
      <c r="H4" s="180"/>
      <c r="I4" s="180"/>
      <c r="J4" s="180"/>
      <c r="K4" s="350" t="s">
        <v>49</v>
      </c>
      <c r="L4" s="350"/>
      <c r="M4" s="350"/>
      <c r="N4" s="351">
        <f ca="1">TODAY()</f>
        <v>46192</v>
      </c>
      <c r="O4" s="351"/>
      <c r="P4" s="351"/>
      <c r="Q4" s="18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52" t="s">
        <v>137</v>
      </c>
      <c r="B5" s="352"/>
      <c r="C5" s="352"/>
      <c r="D5" s="180"/>
      <c r="E5" s="180"/>
      <c r="F5" s="182"/>
      <c r="G5" s="183"/>
      <c r="H5" s="180"/>
      <c r="I5" s="180"/>
      <c r="J5" s="180"/>
      <c r="K5" s="350" t="s">
        <v>51</v>
      </c>
      <c r="L5" s="350"/>
      <c r="M5" s="350"/>
      <c r="N5" s="351">
        <f ca="1">N4-1</f>
        <v>46191</v>
      </c>
      <c r="O5" s="349"/>
      <c r="P5" s="349"/>
      <c r="Q5" s="180"/>
      <c r="R5" s="70"/>
      <c r="S5" s="71"/>
    </row>
    <row r="6" spans="1:19 16383:16384" ht="15" customHeight="1" x14ac:dyDescent="0.35">
      <c r="A6" s="350" t="s">
        <v>117</v>
      </c>
      <c r="B6" s="350"/>
      <c r="C6" s="350"/>
      <c r="D6" s="180"/>
      <c r="E6" s="180"/>
      <c r="F6" s="182"/>
      <c r="G6" s="184"/>
      <c r="H6" s="180"/>
      <c r="I6" s="180"/>
      <c r="J6" s="180"/>
      <c r="K6" s="350" t="s">
        <v>52</v>
      </c>
      <c r="L6" s="350"/>
      <c r="M6" s="350"/>
      <c r="N6" s="353" t="s">
        <v>100</v>
      </c>
      <c r="O6" s="353"/>
      <c r="P6" s="353"/>
      <c r="Q6" s="18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50"/>
      <c r="B7" s="350"/>
      <c r="C7" s="350"/>
      <c r="D7" s="185"/>
      <c r="E7" s="185"/>
      <c r="F7" s="182"/>
      <c r="G7" s="184"/>
      <c r="H7" s="185"/>
      <c r="I7" s="185"/>
      <c r="J7" s="185"/>
      <c r="K7" s="350"/>
      <c r="L7" s="350"/>
      <c r="M7" s="350"/>
      <c r="N7" s="353"/>
      <c r="O7" s="353"/>
      <c r="P7" s="353"/>
      <c r="Q7" s="18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54"/>
      <c r="B8" s="354"/>
      <c r="C8" s="354"/>
      <c r="D8" s="180"/>
      <c r="E8" s="180"/>
      <c r="F8" s="182"/>
      <c r="G8" s="184"/>
      <c r="H8" s="180"/>
      <c r="I8" s="180"/>
      <c r="J8" s="180"/>
      <c r="K8" s="350"/>
      <c r="L8" s="350"/>
      <c r="M8" s="350"/>
      <c r="N8" s="353"/>
      <c r="O8" s="353"/>
      <c r="P8" s="353"/>
      <c r="Q8" s="180"/>
      <c r="R8" s="70"/>
      <c r="S8" s="74"/>
    </row>
    <row r="9" spans="1:19 16383:16384" x14ac:dyDescent="0.35">
      <c r="A9" s="354"/>
      <c r="B9" s="354"/>
      <c r="C9" s="354"/>
      <c r="D9" s="180"/>
      <c r="E9" s="180"/>
      <c r="F9" s="182"/>
      <c r="G9" s="184"/>
      <c r="H9" s="180"/>
      <c r="I9" s="180"/>
      <c r="J9" s="180"/>
      <c r="K9" s="350"/>
      <c r="L9" s="350"/>
      <c r="M9" s="350"/>
      <c r="N9" s="353"/>
      <c r="O9" s="353"/>
      <c r="P9" s="353"/>
      <c r="Q9" s="180"/>
      <c r="R9" s="70"/>
      <c r="S9" s="74"/>
      <c r="XFD9" t="s">
        <v>55</v>
      </c>
    </row>
    <row r="10" spans="1:19 16383:16384" x14ac:dyDescent="0.35">
      <c r="A10" s="355" t="s">
        <v>95</v>
      </c>
      <c r="B10" s="187" t="s">
        <v>103</v>
      </c>
      <c r="C10" s="187"/>
      <c r="D10" s="180"/>
      <c r="E10" s="180"/>
      <c r="F10" s="182"/>
      <c r="G10" s="183"/>
      <c r="H10" s="180"/>
      <c r="I10" s="180"/>
      <c r="J10" s="180"/>
      <c r="K10" s="350" t="s">
        <v>56</v>
      </c>
      <c r="L10" s="350"/>
      <c r="M10" s="350"/>
      <c r="N10" s="349" t="s">
        <v>57</v>
      </c>
      <c r="O10" s="349"/>
      <c r="P10" s="349"/>
      <c r="Q10" s="180"/>
      <c r="R10" s="70"/>
      <c r="S10" s="71"/>
      <c r="XFD10" t="s">
        <v>58</v>
      </c>
    </row>
    <row r="11" spans="1:19 16383:16384" x14ac:dyDescent="0.35">
      <c r="A11" s="355"/>
      <c r="B11" s="188" t="s">
        <v>48</v>
      </c>
      <c r="C11" s="186" t="str">
        <f>IF($O34&gt;2.49%,"No","Yes")</f>
        <v>Yes</v>
      </c>
      <c r="D11" s="180"/>
      <c r="E11" s="180"/>
      <c r="F11" s="182"/>
      <c r="G11" s="183"/>
      <c r="H11" s="180"/>
      <c r="I11" s="180"/>
      <c r="J11" s="180"/>
      <c r="K11" s="350" t="s">
        <v>59</v>
      </c>
      <c r="L11" s="350"/>
      <c r="M11" s="350"/>
      <c r="N11" s="349" t="s">
        <v>55</v>
      </c>
      <c r="O11" s="349"/>
      <c r="P11" s="349"/>
      <c r="Q11" s="180"/>
      <c r="R11" s="70"/>
      <c r="S11" s="71"/>
    </row>
    <row r="12" spans="1:19 16383:16384" ht="14.65" customHeight="1" x14ac:dyDescent="0.35">
      <c r="A12" s="355" t="s">
        <v>60</v>
      </c>
      <c r="B12" s="188" t="s">
        <v>53</v>
      </c>
      <c r="C12" s="186" t="str">
        <f>IF($O32&gt;21.99%,"No","Yes")</f>
        <v>Yes</v>
      </c>
      <c r="D12" s="180"/>
      <c r="E12" s="180"/>
      <c r="F12" s="182"/>
      <c r="G12" s="183"/>
      <c r="H12" s="180"/>
      <c r="I12" s="180"/>
      <c r="J12" s="180"/>
      <c r="K12" s="350" t="s">
        <v>61</v>
      </c>
      <c r="L12" s="350"/>
      <c r="M12" s="350"/>
      <c r="N12" s="349"/>
      <c r="O12" s="349"/>
      <c r="P12" s="349"/>
      <c r="Q12" s="180"/>
      <c r="R12" s="70"/>
      <c r="S12" s="71"/>
      <c r="XFD12" t="s">
        <v>62</v>
      </c>
    </row>
    <row r="13" spans="1:19 16383:16384" ht="15" thickBot="1" x14ac:dyDescent="0.4">
      <c r="A13" s="356"/>
      <c r="B13" s="189">
        <v>3277876231301</v>
      </c>
      <c r="C13" s="180"/>
      <c r="D13" s="180"/>
      <c r="E13" s="180"/>
      <c r="F13" s="180"/>
      <c r="G13" s="180"/>
      <c r="H13" s="180"/>
      <c r="I13" s="180"/>
      <c r="J13" s="190"/>
      <c r="K13" s="190"/>
      <c r="L13" s="191">
        <v>0.05</v>
      </c>
      <c r="M13" s="180"/>
      <c r="N13" s="181"/>
      <c r="O13" s="180"/>
      <c r="P13" s="180"/>
      <c r="Q13" s="180"/>
      <c r="XFD13" t="s">
        <v>63</v>
      </c>
    </row>
    <row r="14" spans="1:19 16383:16384" ht="20.65" customHeight="1" thickBot="1" x14ac:dyDescent="0.4">
      <c r="A14" s="357" t="s">
        <v>64</v>
      </c>
      <c r="B14" s="358"/>
      <c r="C14" s="361" t="s">
        <v>65</v>
      </c>
      <c r="D14" s="192" t="s">
        <v>2</v>
      </c>
      <c r="E14" s="193" t="s">
        <v>66</v>
      </c>
      <c r="F14" s="194" t="s">
        <v>67</v>
      </c>
      <c r="G14" s="363" t="s">
        <v>68</v>
      </c>
      <c r="H14" s="364"/>
      <c r="I14" s="365" t="s">
        <v>69</v>
      </c>
      <c r="J14" s="363" t="s">
        <v>70</v>
      </c>
      <c r="K14" s="367"/>
      <c r="L14" s="364"/>
      <c r="M14" s="365" t="s">
        <v>71</v>
      </c>
      <c r="N14" s="196" t="s">
        <v>72</v>
      </c>
      <c r="O14" s="197" t="s">
        <v>73</v>
      </c>
      <c r="P14" s="198" t="s">
        <v>74</v>
      </c>
      <c r="Q14" s="180"/>
      <c r="XFD14" t="s">
        <v>75</v>
      </c>
    </row>
    <row r="15" spans="1:19 16383:16384" ht="25.5" thickBot="1" x14ac:dyDescent="0.4">
      <c r="A15" s="359"/>
      <c r="B15" s="360"/>
      <c r="C15" s="362"/>
      <c r="D15" s="199" t="s">
        <v>76</v>
      </c>
      <c r="E15" s="199" t="s">
        <v>3</v>
      </c>
      <c r="F15" s="200" t="s">
        <v>3</v>
      </c>
      <c r="G15" s="201" t="s">
        <v>2</v>
      </c>
      <c r="H15" s="202" t="s">
        <v>77</v>
      </c>
      <c r="I15" s="366"/>
      <c r="J15" s="201" t="s">
        <v>78</v>
      </c>
      <c r="K15" s="203" t="s">
        <v>79</v>
      </c>
      <c r="L15" s="275">
        <v>0.18</v>
      </c>
      <c r="M15" s="366"/>
      <c r="N15" s="204">
        <f>IF(B12="Registered",18%,22%)</f>
        <v>0.18</v>
      </c>
      <c r="O15" s="205">
        <f>IF(B11="Filer",0.5%,2.5%)</f>
        <v>5.0000000000000001E-3</v>
      </c>
      <c r="P15" s="206" t="s">
        <v>1</v>
      </c>
      <c r="Q15" s="180"/>
      <c r="XFD15" t="s">
        <v>81</v>
      </c>
    </row>
    <row r="16" spans="1:19 16383:16384" x14ac:dyDescent="0.35">
      <c r="A16" s="207" t="s">
        <v>27</v>
      </c>
      <c r="B16" s="208" t="str">
        <f>VLOOKUP($A16,'[1]Cust. Price List'!$D$6:$O$14,2,0)</f>
        <v xml:space="preserve">Meat Masala </v>
      </c>
      <c r="C16" s="209">
        <f>VLOOKUP(A16,'[1]Cust. Price List'!D6:M14,3,0)</f>
        <v>70</v>
      </c>
      <c r="D16" s="210">
        <f>VLOOKUP(A16,'[1]Cust. Price List'!D6:M14,4,0)</f>
        <v>40</v>
      </c>
      <c r="E16" s="210">
        <f>VLOOKUP(A16,'[1]Cust. Price List'!D6:M14,6,0)</f>
        <v>65</v>
      </c>
      <c r="F16" s="211">
        <f>VLOOKUP(A16,'[1]Cust. Price List'!D6:M14,10,0)</f>
        <v>52.462499999999999</v>
      </c>
      <c r="G16" s="212"/>
      <c r="H16" s="213">
        <v>80</v>
      </c>
      <c r="I16" s="214">
        <f>(G16*D16)*F16+H16*F16</f>
        <v>4197</v>
      </c>
      <c r="J16" s="215"/>
      <c r="K16" s="216">
        <f>I16*$K$13</f>
        <v>0</v>
      </c>
      <c r="L16" s="217">
        <f>I16*18%</f>
        <v>755.45999999999992</v>
      </c>
      <c r="M16" s="218">
        <f>I16-K16-L16</f>
        <v>3441.54</v>
      </c>
      <c r="N16" s="218">
        <f t="shared" ref="N16:N24" si="0">(M16*$N$15)+(J16*F16)*$N$15</f>
        <v>619.47719999999993</v>
      </c>
      <c r="O16" s="219">
        <f>(N16+M16)*$O$15</f>
        <v>20.305085999999999</v>
      </c>
      <c r="P16" s="217">
        <f t="shared" ref="P16:P24" si="1">M16+N16+O16</f>
        <v>4081.3222859999996</v>
      </c>
      <c r="Q16" s="220"/>
      <c r="XFD16" t="s">
        <v>82</v>
      </c>
    </row>
    <row r="17" spans="1:19 16384:16384" x14ac:dyDescent="0.35">
      <c r="A17" s="221" t="s">
        <v>25</v>
      </c>
      <c r="B17" s="222" t="str">
        <f>VLOOKUP($A17,'[1]Cust. Price List'!$D$6:$O$14,2,0)</f>
        <v>Lemon Tarka</v>
      </c>
      <c r="C17" s="223">
        <f>VLOOKUP(B17,'[1]Cust. Price List'!E7:P15,2,0)</f>
        <v>70</v>
      </c>
      <c r="D17" s="51">
        <f>VLOOKUP(A17,'[1]Cust. Price List'!D7:M15,4,0)</f>
        <v>40</v>
      </c>
      <c r="E17" s="51">
        <f>VLOOKUP(A17,'[1]Cust. Price List'!D7:M15,6,0)</f>
        <v>65</v>
      </c>
      <c r="F17" s="224">
        <f>VLOOKUP(A17,'[1]Cust. Price List'!D7:M15,10,0)</f>
        <v>52.462499999999999</v>
      </c>
      <c r="G17" s="225"/>
      <c r="H17" s="213">
        <v>80</v>
      </c>
      <c r="I17" s="226">
        <f t="shared" ref="I17:I23" si="2">(G17*D17)*F17+H17*F17</f>
        <v>4197</v>
      </c>
      <c r="J17" s="227"/>
      <c r="K17" s="228">
        <f t="shared" ref="K17:K21" si="3">I17*$K$13</f>
        <v>0</v>
      </c>
      <c r="L17" s="217">
        <f t="shared" ref="L17:L21" si="4">I17*18%</f>
        <v>755.45999999999992</v>
      </c>
      <c r="M17" s="229">
        <f t="shared" ref="M17:M23" si="5">I17-K17-L17</f>
        <v>3441.54</v>
      </c>
      <c r="N17" s="229">
        <f t="shared" si="0"/>
        <v>619.47719999999993</v>
      </c>
      <c r="O17" s="230">
        <f t="shared" ref="O17:O24" si="6">(N17+M17)*$O$15</f>
        <v>20.305085999999999</v>
      </c>
      <c r="P17" s="231">
        <f t="shared" si="1"/>
        <v>4081.3222859999996</v>
      </c>
      <c r="Q17" s="180"/>
      <c r="S17" s="64"/>
      <c r="XFD17" t="s">
        <v>83</v>
      </c>
    </row>
    <row r="18" spans="1:19 16384:16384" x14ac:dyDescent="0.35">
      <c r="A18" s="221" t="s">
        <v>23</v>
      </c>
      <c r="B18" s="222" t="str">
        <f>VLOOKUP($A18,'[1]Cust. Price List'!$D$6:$O$14,2,0)</f>
        <v>Chicken Chatkhara</v>
      </c>
      <c r="C18" s="223">
        <f>VLOOKUP(B18,'[1]Cust. Price List'!E8:P16,2,0)</f>
        <v>70</v>
      </c>
      <c r="D18" s="51">
        <f>VLOOKUP(A18,'[1]Cust. Price List'!D8:M16,4,0)</f>
        <v>40</v>
      </c>
      <c r="E18" s="51">
        <f>VLOOKUP(A18,'[1]Cust. Price List'!D8:M16,6,0)</f>
        <v>65</v>
      </c>
      <c r="F18" s="224">
        <f>VLOOKUP(A18,'[1]Cust. Price List'!D8:M16,10,0)</f>
        <v>52.462499999999999</v>
      </c>
      <c r="G18" s="225"/>
      <c r="H18" s="213">
        <v>80</v>
      </c>
      <c r="I18" s="226">
        <f t="shared" si="2"/>
        <v>4197</v>
      </c>
      <c r="J18" s="227"/>
      <c r="K18" s="228">
        <f t="shared" si="3"/>
        <v>0</v>
      </c>
      <c r="L18" s="217">
        <f t="shared" si="4"/>
        <v>755.45999999999992</v>
      </c>
      <c r="M18" s="229">
        <f t="shared" si="5"/>
        <v>3441.54</v>
      </c>
      <c r="N18" s="229">
        <f t="shared" si="0"/>
        <v>619.47719999999993</v>
      </c>
      <c r="O18" s="230">
        <f t="shared" si="6"/>
        <v>20.305085999999999</v>
      </c>
      <c r="P18" s="231">
        <f t="shared" si="1"/>
        <v>4081.3222859999996</v>
      </c>
      <c r="Q18" s="180"/>
    </row>
    <row r="19" spans="1:19 16384:16384" x14ac:dyDescent="0.35">
      <c r="A19" s="221" t="s">
        <v>33</v>
      </c>
      <c r="B19" s="222" t="str">
        <f>VLOOKUP($A19,'[1]Cust. Price List'!$D$6:$O$14,2,0)</f>
        <v>Meat Masala (Jumbo)</v>
      </c>
      <c r="C19" s="223">
        <f>VLOOKUP(B19,'[1]Cust. Price List'!E9:P17,2,0)</f>
        <v>120</v>
      </c>
      <c r="D19" s="51">
        <f>VLOOKUP(A19,'[1]Cust. Price List'!D9:M17,4,0)</f>
        <v>40</v>
      </c>
      <c r="E19" s="51">
        <f>VLOOKUP(A19,'[1]Cust. Price List'!D9:M17,6,0)</f>
        <v>90</v>
      </c>
      <c r="F19" s="224">
        <f>VLOOKUP(A19,'[1]Cust. Price List'!D9:M17,10,0)</f>
        <v>72.64</v>
      </c>
      <c r="G19" s="225"/>
      <c r="H19" s="213">
        <v>80</v>
      </c>
      <c r="I19" s="226">
        <f t="shared" si="2"/>
        <v>5811.2</v>
      </c>
      <c r="J19" s="227"/>
      <c r="K19" s="228">
        <f t="shared" si="3"/>
        <v>0</v>
      </c>
      <c r="L19" s="217">
        <f t="shared" si="4"/>
        <v>1046.0159999999998</v>
      </c>
      <c r="M19" s="229">
        <f t="shared" si="5"/>
        <v>4765.1840000000002</v>
      </c>
      <c r="N19" s="229">
        <f t="shared" si="0"/>
        <v>857.73311999999999</v>
      </c>
      <c r="O19" s="230">
        <f t="shared" si="6"/>
        <v>28.114585600000002</v>
      </c>
      <c r="P19" s="231">
        <f t="shared" si="1"/>
        <v>5651.0317056000004</v>
      </c>
      <c r="Q19" s="180"/>
    </row>
    <row r="20" spans="1:19 16384:16384" x14ac:dyDescent="0.35">
      <c r="A20" s="221" t="s">
        <v>31</v>
      </c>
      <c r="B20" s="222" t="str">
        <f>VLOOKUP($A20,'[1]Cust. Price List'!$D$6:$O$14,2,0)</f>
        <v>Lemon Tarka (Jumbo)</v>
      </c>
      <c r="C20" s="223">
        <f>VLOOKUP(B20,'[1]Cust. Price List'!E10:P18,2,0)</f>
        <v>120</v>
      </c>
      <c r="D20" s="51">
        <f>VLOOKUP(A20,'[1]Cust. Price List'!D10:M18,4,0)</f>
        <v>40</v>
      </c>
      <c r="E20" s="51">
        <f>VLOOKUP(A20,'[1]Cust. Price List'!D10:M18,6,0)</f>
        <v>90</v>
      </c>
      <c r="F20" s="224">
        <f>VLOOKUP(A20,'[1]Cust. Price List'!D10:M18,10,0)</f>
        <v>72.64</v>
      </c>
      <c r="G20" s="225"/>
      <c r="H20" s="213">
        <v>80</v>
      </c>
      <c r="I20" s="226">
        <f t="shared" si="2"/>
        <v>5811.2</v>
      </c>
      <c r="J20" s="227"/>
      <c r="K20" s="228">
        <f t="shared" si="3"/>
        <v>0</v>
      </c>
      <c r="L20" s="217">
        <f t="shared" si="4"/>
        <v>1046.0159999999998</v>
      </c>
      <c r="M20" s="229">
        <f t="shared" si="5"/>
        <v>4765.1840000000002</v>
      </c>
      <c r="N20" s="229">
        <f t="shared" si="0"/>
        <v>857.73311999999999</v>
      </c>
      <c r="O20" s="230">
        <f t="shared" si="6"/>
        <v>28.114585600000002</v>
      </c>
      <c r="P20" s="231">
        <f t="shared" si="1"/>
        <v>5651.0317056000004</v>
      </c>
      <c r="Q20" s="180"/>
    </row>
    <row r="21" spans="1:19 16384:16384" x14ac:dyDescent="0.35">
      <c r="A21" s="221" t="s">
        <v>29</v>
      </c>
      <c r="B21" s="222" t="str">
        <f>VLOOKUP($A21,'[1]Cust. Price List'!$D$6:$O$14,2,0)</f>
        <v>Chicken Chatkhara (Jumbo)</v>
      </c>
      <c r="C21" s="223">
        <f>VLOOKUP(B21,'[1]Cust. Price List'!E11:P19,2,0)</f>
        <v>120</v>
      </c>
      <c r="D21" s="51">
        <f>VLOOKUP(A21,'[1]Cust. Price List'!D11:M19,4,0)</f>
        <v>40</v>
      </c>
      <c r="E21" s="51">
        <f>VLOOKUP(A21,'[1]Cust. Price List'!D11:M19,6,0)</f>
        <v>90</v>
      </c>
      <c r="F21" s="224">
        <f>VLOOKUP(A21,'[1]Cust. Price List'!D11:M19,10,0)</f>
        <v>72.64</v>
      </c>
      <c r="G21" s="225"/>
      <c r="H21" s="213">
        <v>80</v>
      </c>
      <c r="I21" s="226">
        <f t="shared" si="2"/>
        <v>5811.2</v>
      </c>
      <c r="J21" s="227"/>
      <c r="K21" s="228">
        <f t="shared" si="3"/>
        <v>0</v>
      </c>
      <c r="L21" s="217">
        <f t="shared" si="4"/>
        <v>1046.0159999999998</v>
      </c>
      <c r="M21" s="229">
        <f t="shared" si="5"/>
        <v>4765.1840000000002</v>
      </c>
      <c r="N21" s="229">
        <f t="shared" si="0"/>
        <v>857.73311999999999</v>
      </c>
      <c r="O21" s="230">
        <f t="shared" si="6"/>
        <v>28.114585600000002</v>
      </c>
      <c r="P21" s="231">
        <f t="shared" si="1"/>
        <v>5651.0317056000004</v>
      </c>
      <c r="Q21" s="180"/>
    </row>
    <row r="22" spans="1:19 16384:16384" x14ac:dyDescent="0.35">
      <c r="A22" s="221" t="s">
        <v>35</v>
      </c>
      <c r="B22" s="222" t="str">
        <f>VLOOKUP($A22,'[1]Cust. Price List'!$D$6:$O$14,2,0)</f>
        <v>Chicken Chatkhara  (ECO)</v>
      </c>
      <c r="C22" s="223">
        <f>VLOOKUP(B22,'[1]Cust. Price List'!E12:P20,2,0)</f>
        <v>60</v>
      </c>
      <c r="D22" s="51">
        <f>VLOOKUP(A22,'[1]Cust. Price List'!D12:M20,4,0)</f>
        <v>40</v>
      </c>
      <c r="E22" s="51">
        <f>VLOOKUP(A22,'[1]Cust. Price List'!D12:M20,6,0)</f>
        <v>50</v>
      </c>
      <c r="F22" s="232">
        <f>VLOOKUP(A22,'[1]Cust. Price List'!D12:M20,10,0)</f>
        <v>39.230000000000004</v>
      </c>
      <c r="G22" s="225"/>
      <c r="H22" s="233"/>
      <c r="I22" s="226">
        <f t="shared" si="2"/>
        <v>0</v>
      </c>
      <c r="J22" s="227"/>
      <c r="K22" s="228">
        <f>I22*3.5%</f>
        <v>0</v>
      </c>
      <c r="L22" s="231">
        <f>I22*5%</f>
        <v>0</v>
      </c>
      <c r="M22" s="229">
        <f t="shared" si="5"/>
        <v>0</v>
      </c>
      <c r="N22" s="229">
        <f t="shared" si="0"/>
        <v>0</v>
      </c>
      <c r="O22" s="230">
        <f t="shared" si="6"/>
        <v>0</v>
      </c>
      <c r="P22" s="231">
        <f t="shared" si="1"/>
        <v>0</v>
      </c>
      <c r="Q22" s="180"/>
    </row>
    <row r="23" spans="1:19 16384:16384" x14ac:dyDescent="0.35">
      <c r="A23" s="221" t="s">
        <v>37</v>
      </c>
      <c r="B23" s="222" t="str">
        <f>VLOOKUP($A23,'[1]Cust. Price List'!$D$6:$O$14,2,0)</f>
        <v>Lemon Tarka (ECO)</v>
      </c>
      <c r="C23" s="223">
        <f>VLOOKUP(B23,'[1]Cust. Price List'!E13:P21,2,0)</f>
        <v>60</v>
      </c>
      <c r="D23" s="51">
        <f>VLOOKUP(A23,'[1]Cust. Price List'!D13:M21,4,0)</f>
        <v>40</v>
      </c>
      <c r="E23" s="51">
        <f>VLOOKUP(A23,'[1]Cust. Price List'!D13:M21,6,0)</f>
        <v>50</v>
      </c>
      <c r="F23" s="224">
        <f>VLOOKUP(A23,'[1]Cust. Price List'!D13:M21,10,0)</f>
        <v>39.230000000000004</v>
      </c>
      <c r="G23" s="225"/>
      <c r="H23" s="233"/>
      <c r="I23" s="226">
        <f t="shared" si="2"/>
        <v>0</v>
      </c>
      <c r="J23" s="227"/>
      <c r="K23" s="228">
        <f t="shared" ref="K23:K24" si="7">I23*3.5%</f>
        <v>0</v>
      </c>
      <c r="L23" s="231">
        <f t="shared" ref="L23:L24" si="8">I23*$L$13</f>
        <v>0</v>
      </c>
      <c r="M23" s="229">
        <f t="shared" si="5"/>
        <v>0</v>
      </c>
      <c r="N23" s="229">
        <f t="shared" si="0"/>
        <v>0</v>
      </c>
      <c r="O23" s="230">
        <f t="shared" si="6"/>
        <v>0</v>
      </c>
      <c r="P23" s="231">
        <f t="shared" si="1"/>
        <v>0</v>
      </c>
      <c r="Q23" s="180"/>
    </row>
    <row r="24" spans="1:19 16384:16384" ht="15" thickBot="1" x14ac:dyDescent="0.4">
      <c r="A24" s="234" t="s">
        <v>39</v>
      </c>
      <c r="B24" s="235" t="str">
        <f>VLOOKUP($A24,'[1]Cust. Price List'!$D$6:$O$14,2,0)</f>
        <v>Meat Masala (ECO)</v>
      </c>
      <c r="C24" s="236">
        <f>VLOOKUP(B24,'[1]Cust. Price List'!E14:P22,2,0)</f>
        <v>60</v>
      </c>
      <c r="D24" s="237">
        <f>VLOOKUP(A24,'[1]Cust. Price List'!D14:M22,4,0)</f>
        <v>40</v>
      </c>
      <c r="E24" s="237">
        <f>VLOOKUP(A24,'[1]Cust. Price List'!D14:M22,6,0)</f>
        <v>50</v>
      </c>
      <c r="F24" s="238">
        <f>VLOOKUP(A24,'[1]Cust. Price List'!D14:M22,10,0)</f>
        <v>39.230000000000004</v>
      </c>
      <c r="G24" s="239"/>
      <c r="H24" s="240"/>
      <c r="I24" s="241">
        <f>(G24*D24)*F24+H24*F24</f>
        <v>0</v>
      </c>
      <c r="J24" s="242"/>
      <c r="K24" s="243">
        <f t="shared" si="7"/>
        <v>0</v>
      </c>
      <c r="L24" s="244">
        <f t="shared" si="8"/>
        <v>0</v>
      </c>
      <c r="M24" s="245">
        <f>I24-K24-L24</f>
        <v>0</v>
      </c>
      <c r="N24" s="245">
        <f t="shared" si="0"/>
        <v>0</v>
      </c>
      <c r="O24" s="246">
        <f t="shared" si="6"/>
        <v>0</v>
      </c>
      <c r="P24" s="244">
        <f t="shared" si="1"/>
        <v>0</v>
      </c>
      <c r="Q24" s="180"/>
    </row>
    <row r="25" spans="1:19 16384:16384" ht="15" thickBot="1" x14ac:dyDescent="0.4">
      <c r="A25" s="374" t="s">
        <v>84</v>
      </c>
      <c r="B25" s="375"/>
      <c r="C25" s="376"/>
      <c r="D25" s="370"/>
      <c r="E25" s="370"/>
      <c r="F25" s="377"/>
      <c r="G25" s="247">
        <f t="shared" ref="G25:M25" si="9">SUM(G16:G24)</f>
        <v>0</v>
      </c>
      <c r="H25" s="248">
        <f t="shared" si="9"/>
        <v>480</v>
      </c>
      <c r="I25" s="249">
        <f t="shared" si="9"/>
        <v>30024.600000000002</v>
      </c>
      <c r="J25" s="250"/>
      <c r="K25" s="251">
        <f t="shared" si="9"/>
        <v>0</v>
      </c>
      <c r="L25" s="252">
        <f t="shared" si="9"/>
        <v>5404.427999999999</v>
      </c>
      <c r="M25" s="253">
        <f t="shared" si="9"/>
        <v>24620.172000000002</v>
      </c>
      <c r="N25" s="254">
        <f>SUM(N16:N24)</f>
        <v>4431.6309599999995</v>
      </c>
      <c r="O25" s="255">
        <f>SUM(O16:O24)</f>
        <v>145.25901479999999</v>
      </c>
      <c r="P25" s="256">
        <f>SUM(P16:P24)</f>
        <v>29197.061974799995</v>
      </c>
      <c r="Q25" s="180"/>
    </row>
    <row r="26" spans="1:19 16384:16384" x14ac:dyDescent="0.35">
      <c r="A26" s="257"/>
      <c r="B26" s="257"/>
      <c r="C26" s="257"/>
      <c r="D26" s="257"/>
      <c r="E26" s="257"/>
      <c r="F26" s="257"/>
      <c r="G26" s="258"/>
      <c r="H26" s="258"/>
      <c r="I26" s="259"/>
      <c r="J26" s="180"/>
      <c r="K26" s="260"/>
      <c r="L26" s="260"/>
      <c r="M26" s="260"/>
      <c r="N26" s="260"/>
      <c r="O26" s="261"/>
      <c r="P26" s="260"/>
      <c r="Q26" s="180"/>
    </row>
    <row r="27" spans="1:19 16384:16384" ht="15" thickBot="1" x14ac:dyDescent="0.4">
      <c r="A27" s="181"/>
      <c r="B27" s="181"/>
      <c r="C27" s="262"/>
      <c r="D27" s="262"/>
      <c r="E27" s="262"/>
      <c r="F27" s="262"/>
      <c r="G27" s="263"/>
      <c r="H27" s="263"/>
      <c r="I27" s="180"/>
      <c r="J27" s="180"/>
      <c r="K27" s="180"/>
      <c r="L27" s="180"/>
      <c r="M27" s="180"/>
      <c r="N27" s="181"/>
      <c r="O27" s="180"/>
      <c r="P27" s="180"/>
      <c r="Q27" s="180"/>
    </row>
    <row r="28" spans="1:19 16384:16384" x14ac:dyDescent="0.35">
      <c r="A28" s="180"/>
      <c r="B28" s="378" t="s">
        <v>85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M28" s="180"/>
      <c r="N28" s="387" t="s">
        <v>86</v>
      </c>
      <c r="O28" s="388"/>
      <c r="P28" s="264">
        <f>I25</f>
        <v>30024.600000000002</v>
      </c>
      <c r="Q28" s="180"/>
    </row>
    <row r="29" spans="1:19 16384:16384" ht="15" customHeight="1" x14ac:dyDescent="0.35">
      <c r="A29" s="180"/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M29" s="180"/>
      <c r="N29" s="389" t="s">
        <v>87</v>
      </c>
      <c r="O29" s="390"/>
      <c r="P29" s="266">
        <f>L25</f>
        <v>5404.427999999999</v>
      </c>
      <c r="Q29" s="180"/>
    </row>
    <row r="30" spans="1:19 16384:16384" ht="15" customHeight="1" x14ac:dyDescent="0.35">
      <c r="A30" s="180"/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M30" s="180"/>
      <c r="N30" s="389" t="s">
        <v>4</v>
      </c>
      <c r="O30" s="390"/>
      <c r="P30" s="267">
        <f>K25</f>
        <v>0</v>
      </c>
      <c r="Q30" s="180"/>
    </row>
    <row r="31" spans="1:19 16384:16384" ht="15" customHeight="1" x14ac:dyDescent="0.35">
      <c r="A31" s="180"/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268"/>
      <c r="N31" s="389" t="s">
        <v>88</v>
      </c>
      <c r="O31" s="390"/>
      <c r="P31" s="266">
        <f>P28-P29-P30</f>
        <v>24620.172000000002</v>
      </c>
      <c r="Q31" s="180"/>
    </row>
    <row r="32" spans="1:19 16384:16384" ht="15" customHeight="1" x14ac:dyDescent="0.35">
      <c r="A32" s="180"/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268"/>
      <c r="N32" s="265" t="s">
        <v>89</v>
      </c>
      <c r="O32" s="269">
        <f>IF(B12="Registered",18%,22%)</f>
        <v>0.18</v>
      </c>
      <c r="P32" s="266">
        <f>N25</f>
        <v>4431.6309599999995</v>
      </c>
      <c r="Q32" s="180"/>
    </row>
    <row r="33" spans="1:17" ht="15" customHeight="1" x14ac:dyDescent="0.35">
      <c r="A33" s="180"/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268"/>
      <c r="N33" s="391" t="s">
        <v>90</v>
      </c>
      <c r="O33" s="392"/>
      <c r="P33" s="266">
        <f>P31+P32</f>
        <v>29051.802960000001</v>
      </c>
      <c r="Q33" s="180"/>
    </row>
    <row r="34" spans="1:17" ht="15" customHeight="1" thickBot="1" x14ac:dyDescent="0.4">
      <c r="A34" s="180"/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271"/>
      <c r="N34" s="270" t="s">
        <v>91</v>
      </c>
      <c r="O34" s="272">
        <f>IF(B11="Filer",0.5%,2.5%)</f>
        <v>5.0000000000000001E-3</v>
      </c>
      <c r="P34" s="266">
        <f>O34*P33</f>
        <v>145.25901480000002</v>
      </c>
      <c r="Q34" s="180"/>
    </row>
    <row r="35" spans="1:17" ht="15.75" customHeight="1" thickBot="1" x14ac:dyDescent="0.4">
      <c r="A35" s="180"/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368" t="s">
        <v>92</v>
      </c>
      <c r="O35" s="369"/>
      <c r="P35" s="273">
        <f>P33+P34</f>
        <v>29197.061974800003</v>
      </c>
      <c r="Q35" s="180"/>
    </row>
    <row r="36" spans="1:17" ht="15" thickBot="1" x14ac:dyDescent="0.4">
      <c r="A36" s="180"/>
      <c r="B36" s="195" t="s">
        <v>93</v>
      </c>
      <c r="C36" s="370"/>
      <c r="D36" s="370"/>
      <c r="E36" s="370"/>
      <c r="F36" s="370"/>
      <c r="G36" s="370"/>
      <c r="H36" s="370"/>
      <c r="I36" s="371"/>
      <c r="J36" s="372"/>
      <c r="K36" s="373"/>
      <c r="L36" s="180"/>
      <c r="M36" s="180"/>
      <c r="N36" s="181"/>
      <c r="O36" s="180"/>
      <c r="P36" s="180"/>
      <c r="Q36" s="180"/>
    </row>
    <row r="37" spans="1:17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5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1014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138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118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103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4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workbookViewId="0">
      <selection activeCell="H16" sqref="H16: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139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119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77" t="s">
        <v>103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4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40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40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40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40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40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40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4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140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120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103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4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40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40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40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40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40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40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activeCell="H16" sqref="H16: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141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121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103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4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40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40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40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40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40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40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142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122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103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4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15012.300000000001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2702.2139999999995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12310.086000000001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14525.90148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298" t="s">
        <v>92</v>
      </c>
      <c r="O35" s="299"/>
      <c r="P35" s="159">
        <f>P33+P34</f>
        <v>14598.530987400001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workbookViewId="0">
      <selection activeCell="Q19" sqref="Q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143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123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103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4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80</v>
      </c>
      <c r="I18" s="115">
        <f t="shared" si="2"/>
        <v>4197</v>
      </c>
      <c r="J18" s="116"/>
      <c r="K18" s="1">
        <f t="shared" si="3"/>
        <v>0</v>
      </c>
      <c r="L18" s="104">
        <f t="shared" si="4"/>
        <v>755.45999999999992</v>
      </c>
      <c r="M18" s="117">
        <f t="shared" si="5"/>
        <v>3441.54</v>
      </c>
      <c r="N18" s="117">
        <f t="shared" si="0"/>
        <v>619.47719999999993</v>
      </c>
      <c r="O18" s="118">
        <f t="shared" si="6"/>
        <v>20.305085999999999</v>
      </c>
      <c r="P18" s="119">
        <f t="shared" si="1"/>
        <v>4081.3222859999996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480</v>
      </c>
      <c r="I25" s="136">
        <f t="shared" si="9"/>
        <v>30024.600000000002</v>
      </c>
      <c r="J25" s="137"/>
      <c r="K25" s="138">
        <f t="shared" si="9"/>
        <v>0</v>
      </c>
      <c r="L25" s="139">
        <f t="shared" si="9"/>
        <v>5404.427999999999</v>
      </c>
      <c r="M25" s="140">
        <f t="shared" si="9"/>
        <v>24620.172000000002</v>
      </c>
      <c r="N25" s="141">
        <f>SUM(N16:N24)</f>
        <v>4431.6309599999995</v>
      </c>
      <c r="O25" s="142">
        <f>SUM(O16:O24)</f>
        <v>145.25901479999999</v>
      </c>
      <c r="P25" s="143">
        <f>SUM(P16:P24)</f>
        <v>29197.061974799995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30024.600000000002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5404.427999999999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24620.172000000002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4431.6309599999995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29051.802960000001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145.25901480000002</v>
      </c>
    </row>
    <row r="35" spans="2:16" ht="15.75" customHeight="1" thickBot="1" x14ac:dyDescent="0.4">
      <c r="N35" s="298" t="s">
        <v>92</v>
      </c>
      <c r="O35" s="299"/>
      <c r="P35" s="159">
        <f>P33+P34</f>
        <v>29197.061974800003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4" workbookViewId="0">
      <selection activeCell="Q19" sqref="Q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144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124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103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4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80</v>
      </c>
      <c r="I18" s="115">
        <f t="shared" si="2"/>
        <v>4197</v>
      </c>
      <c r="J18" s="116"/>
      <c r="K18" s="1">
        <f t="shared" si="3"/>
        <v>0</v>
      </c>
      <c r="L18" s="104">
        <f t="shared" si="4"/>
        <v>755.45999999999992</v>
      </c>
      <c r="M18" s="117">
        <f t="shared" si="5"/>
        <v>3441.54</v>
      </c>
      <c r="N18" s="117">
        <f t="shared" si="0"/>
        <v>619.47719999999993</v>
      </c>
      <c r="O18" s="118">
        <f t="shared" si="6"/>
        <v>20.305085999999999</v>
      </c>
      <c r="P18" s="119">
        <f t="shared" si="1"/>
        <v>4081.3222859999996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480</v>
      </c>
      <c r="I25" s="136">
        <f t="shared" si="9"/>
        <v>30024.600000000002</v>
      </c>
      <c r="J25" s="137"/>
      <c r="K25" s="138">
        <f t="shared" si="9"/>
        <v>0</v>
      </c>
      <c r="L25" s="139">
        <f t="shared" si="9"/>
        <v>5404.427999999999</v>
      </c>
      <c r="M25" s="140">
        <f t="shared" si="9"/>
        <v>24620.172000000002</v>
      </c>
      <c r="N25" s="141">
        <f>SUM(N16:N24)</f>
        <v>4431.6309599999995</v>
      </c>
      <c r="O25" s="142">
        <f>SUM(O16:O24)</f>
        <v>145.25901479999999</v>
      </c>
      <c r="P25" s="143">
        <f>SUM(P16:P24)</f>
        <v>29197.061974799995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30024.600000000002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5404.427999999999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24620.172000000002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4431.6309599999995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29051.802960000001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145.25901480000002</v>
      </c>
    </row>
    <row r="35" spans="2:16" ht="15.75" customHeight="1" thickBot="1" x14ac:dyDescent="0.4">
      <c r="N35" s="298" t="s">
        <v>92</v>
      </c>
      <c r="O35" s="299"/>
      <c r="P35" s="159">
        <f>P33+P34</f>
        <v>29197.061974800003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76D9-5C05-4E33-AD7C-82D1AD457924}">
  <sheetPr>
    <pageSetUpPr fitToPage="1"/>
  </sheetPr>
  <dimension ref="A1:R36"/>
  <sheetViews>
    <sheetView workbookViewId="0">
      <selection activeCell="H16" sqref="H16"/>
    </sheetView>
  </sheetViews>
  <sheetFormatPr defaultRowHeight="14.5" x14ac:dyDescent="0.35"/>
  <cols>
    <col min="1" max="1" width="13" customWidth="1"/>
    <col min="2" max="2" width="19.08984375" customWidth="1"/>
    <col min="3" max="4" width="6.90625" customWidth="1"/>
    <col min="5" max="5" width="4.90625" customWidth="1"/>
    <col min="6" max="6" width="6.453125" customWidth="1"/>
    <col min="7" max="7" width="4.26953125" customWidth="1"/>
    <col min="9" max="9" width="7.81640625" customWidth="1"/>
  </cols>
  <sheetData>
    <row r="1" spans="1:18" x14ac:dyDescent="0.35">
      <c r="N1" s="69"/>
    </row>
    <row r="2" spans="1:18" ht="21" customHeight="1" x14ac:dyDescent="0.5">
      <c r="A2" s="340" t="s">
        <v>45</v>
      </c>
      <c r="B2" s="340"/>
      <c r="C2" s="340"/>
      <c r="N2" s="69"/>
    </row>
    <row r="3" spans="1:18" ht="14.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ht="14.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</row>
    <row r="5" spans="1:18" ht="14.5" customHeight="1" x14ac:dyDescent="0.35">
      <c r="A5" s="347" t="s">
        <v>145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</row>
    <row r="6" spans="1:18" x14ac:dyDescent="0.35">
      <c r="A6" s="324" t="s">
        <v>152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ht="14.5" customHeight="1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R7" s="70"/>
    </row>
    <row r="8" spans="1:18" ht="14.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ht="14.5" customHeight="1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ht="14.5" customHeight="1" x14ac:dyDescent="0.35">
      <c r="A10" s="322" t="s">
        <v>95</v>
      </c>
      <c r="B10" s="75" t="s">
        <v>103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8" ht="20.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Q14" s="107"/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4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40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40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40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40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40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40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ht="14.5" customHeight="1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4.5" customHeight="1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ht="14.5" customHeight="1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ht="14.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ht="14.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ht="14.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N35:O35"/>
    <mergeCell ref="C36:I36"/>
    <mergeCell ref="J36:K36"/>
    <mergeCell ref="M14:M15"/>
    <mergeCell ref="A25:B25"/>
    <mergeCell ref="C25:F25"/>
    <mergeCell ref="B28:L34"/>
    <mergeCell ref="N30:O30"/>
    <mergeCell ref="A14:B15"/>
    <mergeCell ref="C14:C15"/>
    <mergeCell ref="G14:H14"/>
    <mergeCell ref="I14:I15"/>
    <mergeCell ref="J14:L14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7:C7"/>
    <mergeCell ref="K7:M7"/>
    <mergeCell ref="N7:P7"/>
    <mergeCell ref="A6:C6"/>
    <mergeCell ref="K6:M6"/>
    <mergeCell ref="N6:P6"/>
    <mergeCell ref="K8:M8"/>
    <mergeCell ref="N8:P8"/>
    <mergeCell ref="K9:M9"/>
    <mergeCell ref="N9:P9"/>
    <mergeCell ref="A8:C8"/>
    <mergeCell ref="A9:C9"/>
    <mergeCell ref="A10:A11"/>
    <mergeCell ref="K10:M10"/>
    <mergeCell ref="N10:P10"/>
    <mergeCell ref="K11:M11"/>
    <mergeCell ref="N11:P11"/>
    <mergeCell ref="A12:A13"/>
    <mergeCell ref="K12:M12"/>
    <mergeCell ref="N12:P12"/>
    <mergeCell ref="N33:O33"/>
    <mergeCell ref="N28:O28"/>
    <mergeCell ref="N29:O29"/>
    <mergeCell ref="N31:O31"/>
  </mergeCells>
  <dataValidations disablePrompts="1" count="3">
    <dataValidation type="list" allowBlank="1" showInputMessage="1" showErrorMessage="1" sqref="B11" xr:uid="{1F8C90C3-76D1-48D9-90BD-A11BC4E4A313}">
      <formula1>$XFC$3:$XFC$4</formula1>
    </dataValidation>
    <dataValidation type="list" allowBlank="1" showInputMessage="1" showErrorMessage="1" sqref="B12" xr:uid="{C686C609-71DC-41CA-BB05-0B8A6A59C603}">
      <formula1>$XFC$6:$XFC$7</formula1>
    </dataValidation>
    <dataValidation type="list" allowBlank="1" showInputMessage="1" showErrorMessage="1" sqref="N9:P9" xr:uid="{B913C0E6-9569-4477-8B21-07D0ACAF027A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4AF1C5C-3A76-43EF-B85D-0A25F37DF6B6}">
          <x14:formula1>
            <xm:f>Sheet2!$B$6:$B$13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2FC3-8A01-42FC-A1D1-B13120BFE025}">
  <sheetPr>
    <pageSetUpPr fitToPage="1"/>
  </sheetPr>
  <dimension ref="A1:R37"/>
  <sheetViews>
    <sheetView workbookViewId="0">
      <selection activeCell="F8" sqref="F8"/>
    </sheetView>
  </sheetViews>
  <sheetFormatPr defaultRowHeight="14.5" x14ac:dyDescent="0.35"/>
  <cols>
    <col min="1" max="1" width="9.453125" customWidth="1"/>
    <col min="2" max="2" width="18.90625" customWidth="1"/>
    <col min="3" max="3" width="4.453125" bestFit="1" customWidth="1"/>
    <col min="4" max="4" width="4.54296875" customWidth="1"/>
    <col min="5" max="5" width="6" customWidth="1"/>
    <col min="6" max="6" width="6.453125" customWidth="1"/>
    <col min="7" max="7" width="4.90625" customWidth="1"/>
    <col min="8" max="8" width="4.72656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</row>
    <row r="5" spans="1:18" x14ac:dyDescent="0.35">
      <c r="A5" s="347" t="s">
        <v>146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</row>
    <row r="6" spans="1:18" x14ac:dyDescent="0.35">
      <c r="A6" s="324" t="s">
        <v>125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103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ht="20" customHeight="1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ht="17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4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15012.300000000001</v>
      </c>
    </row>
    <row r="29" spans="1:16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2702.2139999999995</v>
      </c>
    </row>
    <row r="30" spans="1:16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6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12310.086000000001</v>
      </c>
    </row>
    <row r="32" spans="1:16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14525.90148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" thickBot="1" x14ac:dyDescent="0.4">
      <c r="N35" s="298" t="s">
        <v>92</v>
      </c>
      <c r="O35" s="299"/>
      <c r="P35" s="159">
        <f>P33+P34</f>
        <v>14598.530987400001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1A19A30D-1422-4681-9478-2F35A640F1BD}">
      <formula1>$XFC$3:$XFC$4</formula1>
    </dataValidation>
    <dataValidation type="list" allowBlank="1" showInputMessage="1" showErrorMessage="1" sqref="B12" xr:uid="{B829076E-D596-4850-894F-EE47AE8F0292}">
      <formula1>$XFC$6:$XFC$7</formula1>
    </dataValidation>
    <dataValidation type="list" allowBlank="1" showInputMessage="1" showErrorMessage="1" sqref="N9:P9" xr:uid="{1DF37A8F-4D0C-4E8E-8086-85D451D7AD26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122813-4AD3-4A02-AD58-988D771D072D}">
          <x14:formula1>
            <xm:f>Sheet2!$B$6:$B$13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F548-AC9E-4E2A-B6F6-229D61104073}">
  <sheetPr>
    <pageSetUpPr fitToPage="1"/>
  </sheetPr>
  <dimension ref="A1:R37"/>
  <sheetViews>
    <sheetView topLeftCell="A4" workbookViewId="0">
      <selection activeCell="H20" sqref="H20"/>
    </sheetView>
  </sheetViews>
  <sheetFormatPr defaultRowHeight="14.5" x14ac:dyDescent="0.35"/>
  <cols>
    <col min="1" max="1" width="9.1796875" bestFit="1" customWidth="1"/>
    <col min="2" max="2" width="15.6328125" customWidth="1"/>
    <col min="3" max="3" width="10.7265625" customWidth="1"/>
    <col min="4" max="4" width="4.81640625" customWidth="1"/>
    <col min="5" max="5" width="5.54296875" customWidth="1"/>
    <col min="6" max="6" width="5.453125" customWidth="1"/>
    <col min="7" max="7" width="4.90625" customWidth="1"/>
    <col min="8" max="8" width="5.269531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</row>
    <row r="5" spans="1:18" x14ac:dyDescent="0.35">
      <c r="A5" s="347" t="s">
        <v>147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</row>
    <row r="6" spans="1:18" x14ac:dyDescent="0.35">
      <c r="A6" s="324" t="s">
        <v>126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103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4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40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40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40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40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40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40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1974A05-6BDF-4073-949F-6E724C4828E6}">
      <formula1>$XFC$3:$XFC$4</formula1>
    </dataValidation>
    <dataValidation type="list" allowBlank="1" showInputMessage="1" showErrorMessage="1" sqref="B12" xr:uid="{04115C25-EFFA-4656-BBCB-6D0F4D1C7847}">
      <formula1>$XFC$6:$XFC$7</formula1>
    </dataValidation>
    <dataValidation type="list" allowBlank="1" showInputMessage="1" showErrorMessage="1" sqref="N9:P9" xr:uid="{746424A2-B69C-4FE1-90BD-0AEDAFDA385B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F6FD33-8949-445A-A30C-35EBFA3E26D9}">
          <x14:formula1>
            <xm:f>Sheet2!$B$6:$B$13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5282-41E8-4EF9-A1B0-760DBE3E403A}">
  <sheetPr>
    <pageSetUpPr fitToPage="1"/>
  </sheetPr>
  <dimension ref="A1:R37"/>
  <sheetViews>
    <sheetView workbookViewId="0">
      <selection activeCell="A6" sqref="A6:C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5.453125" customWidth="1"/>
    <col min="4" max="4" width="4.6328125" customWidth="1"/>
    <col min="5" max="5" width="4.36328125" customWidth="1"/>
    <col min="6" max="6" width="5.363281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</row>
    <row r="5" spans="1:18" x14ac:dyDescent="0.35">
      <c r="A5" s="347" t="s">
        <v>148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</row>
    <row r="6" spans="1:18" x14ac:dyDescent="0.35">
      <c r="A6" s="324" t="s">
        <v>127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103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4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15012.300000000001</v>
      </c>
    </row>
    <row r="29" spans="1:16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2702.2139999999995</v>
      </c>
    </row>
    <row r="30" spans="1:16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6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12310.086000000001</v>
      </c>
    </row>
    <row r="32" spans="1:16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14525.90148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" thickBot="1" x14ac:dyDescent="0.4">
      <c r="N35" s="298" t="s">
        <v>92</v>
      </c>
      <c r="O35" s="299"/>
      <c r="P35" s="159">
        <f>P33+P34</f>
        <v>14598.530987400001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CFC6A46-5138-4892-B854-6C9A8BF765C0}">
      <formula1>$XFC$3:$XFC$4</formula1>
    </dataValidation>
    <dataValidation type="list" allowBlank="1" showInputMessage="1" showErrorMessage="1" sqref="B12" xr:uid="{841EA3D8-0D56-4A21-BC4D-55CECBB9C0D8}">
      <formula1>$XFC$6:$XFC$7</formula1>
    </dataValidation>
    <dataValidation type="list" allowBlank="1" showInputMessage="1" showErrorMessage="1" sqref="N9:P9" xr:uid="{B98D988A-364F-4437-9B46-6EDD8BC51766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125308-67DA-4188-87F2-C473D2C883B5}">
          <x14:formula1>
            <xm:f>Sheet2!$B$6:$B$13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3AE0-9A0D-4541-A941-8CB2A89145FE}">
  <sheetPr>
    <pageSetUpPr fitToPage="1"/>
  </sheetPr>
  <dimension ref="A1:R37"/>
  <sheetViews>
    <sheetView topLeftCell="A5" workbookViewId="0">
      <selection activeCell="G14" sqref="G14:H14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4.90625" customWidth="1"/>
    <col min="4" max="4" width="5.26953125" customWidth="1"/>
    <col min="5" max="5" width="6.7265625" customWidth="1"/>
    <col min="6" max="6" width="5.36328125" bestFit="1" customWidth="1"/>
    <col min="7" max="7" width="3.6328125" customWidth="1"/>
    <col min="8" max="8" width="3.72656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</row>
    <row r="5" spans="1:18" x14ac:dyDescent="0.35">
      <c r="A5" s="347" t="s">
        <v>149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</row>
    <row r="6" spans="1:18" x14ac:dyDescent="0.35">
      <c r="A6" s="324" t="s">
        <v>128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103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4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6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6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6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6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N35:O35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</mergeCells>
  <dataValidations count="3">
    <dataValidation type="list" allowBlank="1" showInputMessage="1" showErrorMessage="1" sqref="B11" xr:uid="{A5262D7F-A534-4B58-AB0D-D798C95E590C}">
      <formula1>$XFC$3:$XFC$4</formula1>
    </dataValidation>
    <dataValidation type="list" allowBlank="1" showInputMessage="1" showErrorMessage="1" sqref="B12" xr:uid="{837445CA-1641-46C8-A81C-F3CA63807791}">
      <formula1>$XFC$6:$XFC$7</formula1>
    </dataValidation>
    <dataValidation type="list" allowBlank="1" showInputMessage="1" showErrorMessage="1" sqref="N9:P9" xr:uid="{723566BE-44E4-48F8-B3DE-546F34620AE0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F82008-5CCC-48EF-8A24-13969F874BAE}">
          <x14:formula1>
            <xm:f>Sheet2!$B$6:$B$13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DEBB-F923-4584-B2CD-0A1B8321FED7}">
  <sheetPr>
    <pageSetUpPr fitToPage="1"/>
  </sheetPr>
  <dimension ref="A1:Q36"/>
  <sheetViews>
    <sheetView workbookViewId="0">
      <selection activeCell="A6" sqref="A6:C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.81640625" customWidth="1"/>
    <col min="4" max="4" width="4.1796875" bestFit="1" customWidth="1"/>
    <col min="5" max="5" width="3.90625" bestFit="1" customWidth="1"/>
    <col min="7" max="7" width="5.54296875" customWidth="1"/>
    <col min="8" max="8" width="5.08984375" customWidth="1"/>
  </cols>
  <sheetData>
    <row r="1" spans="1:17" x14ac:dyDescent="0.35">
      <c r="N1" s="69"/>
    </row>
    <row r="2" spans="1:17" ht="21" x14ac:dyDescent="0.5">
      <c r="A2" s="340" t="s">
        <v>45</v>
      </c>
      <c r="B2" s="340"/>
      <c r="C2" s="340"/>
      <c r="N2" s="69"/>
    </row>
    <row r="3" spans="1:17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</row>
    <row r="4" spans="1:17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</row>
    <row r="5" spans="1:17" x14ac:dyDescent="0.35">
      <c r="A5" s="347" t="s">
        <v>150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</row>
    <row r="6" spans="1:17" x14ac:dyDescent="0.35">
      <c r="A6" s="324" t="s">
        <v>129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</row>
    <row r="7" spans="1:17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</row>
    <row r="8" spans="1:17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</row>
    <row r="9" spans="1:17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</row>
    <row r="10" spans="1:17" x14ac:dyDescent="0.35">
      <c r="A10" s="322" t="s">
        <v>95</v>
      </c>
      <c r="B10" s="75" t="s">
        <v>103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</row>
    <row r="11" spans="1:17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7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7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4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15012.300000000001</v>
      </c>
    </row>
    <row r="29" spans="1:16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2702.2139999999995</v>
      </c>
    </row>
    <row r="30" spans="1:16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6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12310.086000000001</v>
      </c>
    </row>
    <row r="32" spans="1:16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14525.90148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" thickBot="1" x14ac:dyDescent="0.4">
      <c r="N35" s="298" t="s">
        <v>92</v>
      </c>
      <c r="O35" s="299"/>
      <c r="P35" s="159">
        <f>P33+P34</f>
        <v>14598.530987400001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D2CE0C59-F9B7-46A4-830F-2BAED051B612}">
      <formula1>$XFD$12:$XFD$17</formula1>
    </dataValidation>
    <dataValidation type="list" allowBlank="1" showInputMessage="1" showErrorMessage="1" sqref="B12" xr:uid="{D4F49A73-F873-45B7-A017-81F982D5DE00}">
      <formula1>$XFC$6:$XFC$7</formula1>
    </dataValidation>
    <dataValidation type="list" allowBlank="1" showInputMessage="1" showErrorMessage="1" sqref="B11" xr:uid="{29FBA7E5-5893-421E-85C0-50914C19E03D}">
      <formula1>$XFC$3:$XFC$4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02A5CB-195F-446D-B884-FD79DD467C2D}">
          <x14:formula1>
            <xm:f>Sheet2!$B$6:$B$13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E8D0-7C9C-4EE6-ADD9-CBE7633E8B90}">
  <sheetPr>
    <pageSetUpPr fitToPage="1"/>
  </sheetPr>
  <dimension ref="A1:Q36"/>
  <sheetViews>
    <sheetView workbookViewId="0">
      <selection activeCell="A6" sqref="A6:C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" customWidth="1"/>
    <col min="4" max="4" width="5.90625" customWidth="1"/>
    <col min="5" max="6" width="5.36328125" customWidth="1"/>
    <col min="7" max="7" width="3.7265625" customWidth="1"/>
    <col min="8" max="8" width="5.1796875" customWidth="1"/>
  </cols>
  <sheetData>
    <row r="1" spans="1:17" x14ac:dyDescent="0.35">
      <c r="N1" s="69"/>
    </row>
    <row r="2" spans="1:17" ht="21" x14ac:dyDescent="0.5">
      <c r="A2" s="340" t="s">
        <v>45</v>
      </c>
      <c r="B2" s="340"/>
      <c r="C2" s="340"/>
      <c r="N2" s="69"/>
    </row>
    <row r="3" spans="1:17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</row>
    <row r="4" spans="1:17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</row>
    <row r="5" spans="1:17" x14ac:dyDescent="0.35">
      <c r="A5" s="347" t="s">
        <v>151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</row>
    <row r="6" spans="1:17" x14ac:dyDescent="0.35">
      <c r="A6" s="324" t="s">
        <v>130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</row>
    <row r="7" spans="1:17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</row>
    <row r="8" spans="1:17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</row>
    <row r="9" spans="1:17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</row>
    <row r="10" spans="1:17" x14ac:dyDescent="0.35">
      <c r="A10" s="322" t="s">
        <v>95</v>
      </c>
      <c r="B10" s="75" t="s">
        <v>103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</row>
    <row r="11" spans="1:17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7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7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4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80</v>
      </c>
      <c r="I18" s="115">
        <f t="shared" si="2"/>
        <v>4197</v>
      </c>
      <c r="J18" s="116"/>
      <c r="K18" s="1">
        <f t="shared" si="3"/>
        <v>0</v>
      </c>
      <c r="L18" s="104">
        <f t="shared" si="4"/>
        <v>755.45999999999992</v>
      </c>
      <c r="M18" s="117">
        <f t="shared" si="5"/>
        <v>3441.54</v>
      </c>
      <c r="N18" s="117">
        <f t="shared" si="0"/>
        <v>619.47719999999993</v>
      </c>
      <c r="O18" s="118">
        <f t="shared" si="6"/>
        <v>20.305085999999999</v>
      </c>
      <c r="P18" s="119">
        <f t="shared" si="1"/>
        <v>4081.3222859999996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480</v>
      </c>
      <c r="I25" s="136">
        <f t="shared" si="9"/>
        <v>30024.600000000002</v>
      </c>
      <c r="J25" s="137"/>
      <c r="K25" s="138">
        <f t="shared" si="9"/>
        <v>0</v>
      </c>
      <c r="L25" s="139">
        <f t="shared" si="9"/>
        <v>5404.427999999999</v>
      </c>
      <c r="M25" s="140">
        <f t="shared" si="9"/>
        <v>24620.172000000002</v>
      </c>
      <c r="N25" s="141">
        <f>SUM(N16:N24)</f>
        <v>4431.6309599999995</v>
      </c>
      <c r="O25" s="142">
        <f>SUM(O16:O24)</f>
        <v>145.25901479999999</v>
      </c>
      <c r="P25" s="143">
        <f>SUM(P16:P24)</f>
        <v>29197.061974799995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30024.600000000002</v>
      </c>
    </row>
    <row r="29" spans="1:16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5404.427999999999</v>
      </c>
    </row>
    <row r="30" spans="1:16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6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24620.172000000002</v>
      </c>
    </row>
    <row r="32" spans="1:16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4431.6309599999995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29051.802960000001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145.25901480000002</v>
      </c>
    </row>
    <row r="35" spans="2:16" ht="15" thickBot="1" x14ac:dyDescent="0.4">
      <c r="N35" s="298" t="s">
        <v>92</v>
      </c>
      <c r="O35" s="299"/>
      <c r="P35" s="159">
        <f>P33+P34</f>
        <v>29197.061974800003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32524EA-0359-43A2-94FC-2AE4A343EEA3}">
      <formula1>$XFC$3:$XFC$4</formula1>
    </dataValidation>
    <dataValidation type="list" allowBlank="1" showInputMessage="1" showErrorMessage="1" sqref="B12" xr:uid="{EF8E23F5-60A3-40AB-B838-AF2E4D42C19D}">
      <formula1>$XFC$6:$XFC$7</formula1>
    </dataValidation>
    <dataValidation type="list" allowBlank="1" showInputMessage="1" showErrorMessage="1" sqref="N9:P9" xr:uid="{05A6EEC3-F282-494B-B340-2A6F3AFBE8F5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6A6126-DBB1-4064-ACED-8A9BFF335A1D}">
          <x14:formula1>
            <xm:f>Sheet2!$B$6:$B$13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0820-E2C6-4527-86EB-D89EA5184622}">
  <dimension ref="A1"/>
  <sheetViews>
    <sheetView workbookViewId="0">
      <selection activeCell="G10" sqref="G10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2026-06-19T13:40:04Z</dcterms:modified>
</cp:coreProperties>
</file>