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D534CCA-A772-408C-B755-3BB1232E2ECB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4">'2'!$A$1:$Q$37</definedName>
  </definedNames>
  <calcPr calcId="191029"/>
</workbook>
</file>

<file path=xl/calcChain.xml><?xml version="1.0" encoding="utf-8"?>
<calcChain xmlns="http://schemas.openxmlformats.org/spreadsheetml/2006/main">
  <c r="J17" i="17" l="1"/>
  <c r="J18" i="17"/>
  <c r="J19" i="17"/>
  <c r="J20" i="17"/>
  <c r="J20" i="15" s="1"/>
  <c r="J21" i="17"/>
  <c r="J16" i="17"/>
  <c r="L17" i="17"/>
  <c r="L19" i="17"/>
  <c r="L20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I16" i="34"/>
  <c r="I17" i="34"/>
  <c r="I18" i="34"/>
  <c r="I19" i="34"/>
  <c r="K19" i="34" s="1"/>
  <c r="I20" i="34"/>
  <c r="K20" i="34" s="1"/>
  <c r="I21" i="34"/>
  <c r="I22" i="34"/>
  <c r="K22" i="34" s="1"/>
  <c r="I23" i="34"/>
  <c r="I24" i="34"/>
  <c r="L24" i="34" s="1"/>
  <c r="M24" i="34" s="1"/>
  <c r="I16" i="29"/>
  <c r="I17" i="29"/>
  <c r="I18" i="29"/>
  <c r="K18" i="29" s="1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L22" i="34"/>
  <c r="K23" i="34"/>
  <c r="M23" i="34"/>
  <c r="L23" i="34"/>
  <c r="K24" i="34"/>
  <c r="K21" i="33"/>
  <c r="L22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L22" i="31"/>
  <c r="K24" i="31"/>
  <c r="L24" i="31"/>
  <c r="M24" i="31" s="1"/>
  <c r="K16" i="31"/>
  <c r="K18" i="31"/>
  <c r="K20" i="31"/>
  <c r="L23" i="31"/>
  <c r="K18" i="30"/>
  <c r="K20" i="30"/>
  <c r="K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L22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M21" i="30"/>
  <c r="N21" i="30" s="1"/>
  <c r="O21" i="30" s="1"/>
  <c r="K19" i="33"/>
  <c r="I25" i="34"/>
  <c r="P28" i="34" s="1"/>
  <c r="M18" i="29"/>
  <c r="N18" i="29" s="1"/>
  <c r="O18" i="29" s="1"/>
  <c r="M17" i="31"/>
  <c r="M22" i="29"/>
  <c r="M22" i="31"/>
  <c r="N22" i="31" s="1"/>
  <c r="O22" i="31" s="1"/>
  <c r="P22" i="31" s="1"/>
  <c r="M21" i="35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I25" i="27" s="1"/>
  <c r="P28" i="27" s="1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N16" i="29" s="1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17" i="28"/>
  <c r="O17" i="28" s="1"/>
  <c r="J25" i="15"/>
  <c r="K16" i="27"/>
  <c r="K17" i="27"/>
  <c r="K20" i="27"/>
  <c r="K22" i="27"/>
  <c r="L22" i="27"/>
  <c r="K23" i="27"/>
  <c r="L23" i="27"/>
  <c r="K24" i="27"/>
  <c r="L24" i="27"/>
  <c r="K19" i="27"/>
  <c r="K18" i="27"/>
  <c r="K19" i="26"/>
  <c r="L22" i="26"/>
  <c r="K23" i="26"/>
  <c r="L23" i="26"/>
  <c r="K20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1" i="27" l="1"/>
  <c r="K17" i="26"/>
  <c r="K21" i="26"/>
  <c r="L25" i="29"/>
  <c r="P29" i="29" s="1"/>
  <c r="P31" i="29" s="1"/>
  <c r="M21" i="27"/>
  <c r="N21" i="27" s="1"/>
  <c r="K25" i="34"/>
  <c r="P30" i="34" s="1"/>
  <c r="P31" i="34" s="1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5" i="17"/>
  <c r="P33" i="32" l="1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8" i="17" l="1"/>
  <c r="L18" i="17"/>
  <c r="I25" i="25"/>
  <c r="P28" i="25" s="1"/>
  <c r="K18" i="19"/>
  <c r="K17" i="23"/>
  <c r="M18" i="17"/>
  <c r="N18" i="17" s="1"/>
  <c r="O18" i="17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25" i="25" s="1"/>
  <c r="P30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M20" i="24"/>
  <c r="N20" i="24" s="1"/>
  <c r="O20" i="24" s="1"/>
  <c r="K19" i="24"/>
  <c r="M19" i="24" s="1"/>
  <c r="N19" i="24" s="1"/>
  <c r="O19" i="24" s="1"/>
  <c r="P19" i="24" s="1"/>
  <c r="L24" i="21"/>
  <c r="M17" i="20"/>
  <c r="N17" i="20" s="1"/>
  <c r="O17" i="20" s="1"/>
  <c r="K17" i="19"/>
  <c r="M17" i="19" s="1"/>
  <c r="N17" i="19" s="1"/>
  <c r="O17" i="19" s="1"/>
  <c r="M16" i="17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M16" i="25"/>
  <c r="N23" i="25"/>
  <c r="O23" i="25" s="1"/>
  <c r="P23" i="25" s="1"/>
  <c r="N23" i="24"/>
  <c r="O23" i="24" s="1"/>
  <c r="N24" i="24"/>
  <c r="O24" i="24" s="1"/>
  <c r="M16" i="22"/>
  <c r="M21" i="21"/>
  <c r="N21" i="21" s="1"/>
  <c r="M21" i="19"/>
  <c r="N24" i="19"/>
  <c r="O24" i="19" s="1"/>
  <c r="L25" i="19"/>
  <c r="P29" i="19" s="1"/>
  <c r="N24" i="18"/>
  <c r="O24" i="18" s="1"/>
  <c r="N22" i="18"/>
  <c r="O22" i="18" s="1"/>
  <c r="I23" i="15"/>
  <c r="L21" i="16" l="1"/>
  <c r="L21" i="15" s="1"/>
  <c r="K20" i="16"/>
  <c r="L20" i="16"/>
  <c r="L20" i="15" s="1"/>
  <c r="K16" i="16"/>
  <c r="K16" i="15" s="1"/>
  <c r="M16" i="15" s="1"/>
  <c r="L16" i="16"/>
  <c r="K18" i="16"/>
  <c r="K18" i="15" s="1"/>
  <c r="L18" i="16"/>
  <c r="L18" i="15" s="1"/>
  <c r="K25" i="24"/>
  <c r="P30" i="24" s="1"/>
  <c r="K25" i="19"/>
  <c r="P30" i="19" s="1"/>
  <c r="K22" i="15"/>
  <c r="M19" i="18"/>
  <c r="N19" i="18" s="1"/>
  <c r="O19" i="18" s="1"/>
  <c r="L25" i="24"/>
  <c r="P29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M21" i="15"/>
  <c r="M22" i="15"/>
  <c r="M25" i="19"/>
  <c r="P22" i="20"/>
  <c r="M25" i="20"/>
  <c r="P19" i="18"/>
  <c r="M25" i="18"/>
  <c r="M18" i="15"/>
  <c r="P31" i="24"/>
  <c r="P33" i="24" s="1"/>
  <c r="P34" i="24" s="1"/>
  <c r="P35" i="24" s="1"/>
  <c r="U22" i="15" s="1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33" i="20"/>
  <c r="P34" i="20" s="1"/>
  <c r="P35" i="20" s="1"/>
  <c r="U18" i="15" s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<sst xmlns="http://schemas.openxmlformats.org/spreadsheetml/2006/main" count="1579" uniqueCount="109">
  <si>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</si>
  <si>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</si>
  <si>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</si>
  <si>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</si>
  <si>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</si>
  <si>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</si>
  <si>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</si>
  <si>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</si>
  <si>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</si>
  <si>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</si>
  <si>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</si>
  <si>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</si>
  <si>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</si>
  <si>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</si>
  <si>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</si>
  <si>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</si>
  <si>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</si>
  <si>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</si>
  <si>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</si>
  <si>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</si>
  <si>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</si>
  <si>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</si>
  <si>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</si>
  <si>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</si>
  <si>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</si>
  <si>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</si>
  <si>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</si>
  <si>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</si>
  <si>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</si>
  <si>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</si>
  <si>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</si>
  <si>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</si>
  <si>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</si>
  <si>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</si>
  <si>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</si>
  <si>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</si>
  <si>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</si>
  <si>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</si>
  <si>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</si>
  <si>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</si>
  <si>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</si>
  <si>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</si>
  <si>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</si>
  <si>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</si>
  <si>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</si>
  <si>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</si>
  <si>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</si>
  <si>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</si>
  <si>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</si>
  <si>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</si>
  <si>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</si>
  <si>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</si>
  <si>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</si>
  <si>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</si>
  <si>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</si>
  <si>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</si>
  <si>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</si>
  <si>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</si>
  <si>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</si>
  <si>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</si>
  <si>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</si>
  <si>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</si>
  <si>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</si>
  <si>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</si>
  <si>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</si>
  <si>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</si>
  <si>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</si>
  <si>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</si>
  <si>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</si>
  <si>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</si>
  <si>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</si>
  <si>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</si>
  <si>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</si>
  <si>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</si>
  <si>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</si>
  <si>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</si>
  <si>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</si>
  <si>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</si>
  <si>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</si>
  <si>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</si>
  <si>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</si>
  <si>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</si>
  <si>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</si>
  <si>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</si>
  <si>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</si>
  <si>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</si>
  <si>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</si>
  <si>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</si>
  <si>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</si>
  <si>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</si>
  <si>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</si>
  <si>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</si>
  <si>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</si>
  <si>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</si>
  <si>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</si>
  <si>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</si>
  <si>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</si>
  <si>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</si>
  <si>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</si>
  <si>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</si>
  <si>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</si>
  <si>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</si>
  <si>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Swera</t>
  </si>
  <si>
    <t>Shop Bill Summary (Swera)</t>
  </si>
  <si>
    <t>Customer Name : Swera</t>
  </si>
  <si>
    <t>Address: Shadman</t>
  </si>
  <si>
    <t xml:space="preserve">1265416-7 </t>
  </si>
  <si>
    <t>Address:GT Road</t>
  </si>
  <si>
    <t>Address: GT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</si>
</sst>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8" sqref="L1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6" zoomScale="70" zoomScaleNormal="70" workbookViewId="0">
      <selection activeCell="S17" sqref="S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102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103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Swera</v>
      </c>
      <c r="U14" s="163">
        <f>+'1'!P35</f>
        <v>34738.905495600004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39"/>
      <c r="J15" s="170" t="s">
        <v>78</v>
      </c>
      <c r="K15" s="170" t="s">
        <v>79</v>
      </c>
      <c r="L15" s="173" t="s">
        <v>80</v>
      </c>
      <c r="M15" s="23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Swera</v>
      </c>
      <c r="U15" s="163">
        <f>+'2'!P35</f>
        <v>38571.672327299995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160</v>
      </c>
      <c r="I16" s="1">
        <f>(G16*D16)*F16+H16*F16</f>
        <v>8394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1007.28</v>
      </c>
      <c r="M16" s="105">
        <f>I16-K16-L16</f>
        <v>7386.72</v>
      </c>
      <c r="N16" s="100">
        <f>+'1'!N16+'2'!N16+'4'!N16+'3'!N16+'5'!N16+'6'!N16+'7'!N16+'8'!N16+'9'!N16+'10'!N16</f>
        <v>1367.3825999999999</v>
      </c>
      <c r="O16" s="100">
        <f>+'1'!O16+'2'!O16+'4'!O16+'3'!O16+'5'!O16+'6'!O16+'7'!O16+'8'!O16+'9'!O16+'10'!O16</f>
        <v>43.770513000000008</v>
      </c>
      <c r="P16" s="104">
        <f t="shared" ref="P16:P24" si="0">M16+N16+O16</f>
        <v>8797.8731129999996</v>
      </c>
      <c r="Q16" s="107"/>
      <c r="T16" s="162" t="str">
        <f>+'4'!A5</f>
        <v>Customer Name : Swera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160</v>
      </c>
      <c r="I17" s="1">
        <f t="shared" ref="I17:I23" si="1">(G17*D17)*F17+H17*F17</f>
        <v>8394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1007.28</v>
      </c>
      <c r="M17" s="117">
        <f t="shared" ref="M17:M23" si="2">I17-K17-L17</f>
        <v>7386.72</v>
      </c>
      <c r="N17" s="100">
        <f>+'1'!N17+'2'!N17+'4'!N17+'3'!N17+'5'!N17+'6'!N17+'7'!N17+'8'!N17+'9'!N17+'10'!N17</f>
        <v>1367.3825999999999</v>
      </c>
      <c r="O17" s="100">
        <f>+'1'!O17+'2'!O17+'4'!O17+'3'!O17+'5'!O17+'6'!O17+'7'!O17+'8'!O17+'9'!O17+'10'!O17</f>
        <v>43.770513000000008</v>
      </c>
      <c r="P17" s="119">
        <f t="shared" si="0"/>
        <v>8797.8731129999996</v>
      </c>
      <c r="S17" s="64"/>
      <c r="T17" s="162" t="str">
        <f>+'3'!A5</f>
        <v>Customer Name : Swera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120</v>
      </c>
      <c r="I18" s="1">
        <f t="shared" si="1"/>
        <v>6295.5</v>
      </c>
      <c r="J18" s="171">
        <f>+'1'!J18+'2'!J18+'4'!J18+'3'!J18+'5'!J18+'6'!J18+'7'!J18+'8'!J18+'9'!J18+'10'!J18+'11'!J18+'12'!J18+'13'!J18+'14'!J18+'15'!J18+'16'!J18+'17'!J18+'18'!J18</f>
        <v>2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755.46</v>
      </c>
      <c r="M18" s="117">
        <f t="shared" si="2"/>
        <v>5540.04</v>
      </c>
      <c r="N18" s="100">
        <f>+'1'!N18+'2'!N18+'4'!N18+'3'!N18+'5'!N18+'6'!N18+'7'!N18+'8'!N18+'9'!N18+'10'!N18</f>
        <v>1016.0937</v>
      </c>
      <c r="O18" s="100">
        <f>+'1'!O18+'2'!O18+'4'!O18+'3'!O18+'5'!O18+'6'!O18+'7'!O18+'8'!O18+'9'!O18+'10'!O18</f>
        <v>32.780668500000004</v>
      </c>
      <c r="P18" s="119">
        <f t="shared" si="0"/>
        <v>6588.9143684999999</v>
      </c>
      <c r="T18" s="162" t="str">
        <f>+'5'!A5</f>
        <v>Customer Name : Swera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160</v>
      </c>
      <c r="I19" s="1">
        <f t="shared" si="1"/>
        <v>11622.4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1394.6879999999999</v>
      </c>
      <c r="M19" s="117">
        <f t="shared" si="2"/>
        <v>10227.712</v>
      </c>
      <c r="N19" s="100">
        <f>+'1'!N19+'2'!N19+'4'!N19+'3'!N19+'5'!N19+'6'!N19+'7'!N19+'8'!N19+'9'!N19+'10'!N19</f>
        <v>1893.2889599999999</v>
      </c>
      <c r="O19" s="100">
        <f>+'1'!O19+'2'!O19+'4'!O19+'3'!O19+'5'!O19+'6'!O19+'7'!O19+'8'!O19+'9'!O19+'10'!O19</f>
        <v>60.605004799999996</v>
      </c>
      <c r="P19" s="119">
        <f t="shared" si="0"/>
        <v>12181.605964799999</v>
      </c>
      <c r="T19" s="162" t="str">
        <f>+'6'!A5</f>
        <v>Customer Name : Swera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160</v>
      </c>
      <c r="I20" s="1">
        <f t="shared" si="1"/>
        <v>11622.4</v>
      </c>
      <c r="J20" s="171">
        <f>+'1'!J20+'2'!J20+'4'!J20+'3'!J20+'5'!J20+'6'!J20+'7'!J20+'8'!J20+'9'!J20+'10'!J20+'11'!J20+'12'!J20+'13'!J20+'14'!J20+'15'!J20+'16'!J20+'17'!J20+'18'!J20</f>
        <v>4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1394.6879999999999</v>
      </c>
      <c r="M20" s="117">
        <f t="shared" si="2"/>
        <v>10227.712</v>
      </c>
      <c r="N20" s="100">
        <f>+'1'!N20+'2'!N20+'4'!N20+'3'!N20+'5'!N20+'6'!N20+'7'!N20+'8'!N20+'9'!N20+'10'!N20</f>
        <v>1893.2889599999999</v>
      </c>
      <c r="O20" s="100">
        <f>+'1'!O20+'2'!O20+'4'!O20+'3'!O20+'5'!O20+'6'!O20+'7'!O20+'8'!O20+'9'!O20+'10'!O20</f>
        <v>60.605004799999996</v>
      </c>
      <c r="P20" s="119">
        <f t="shared" si="0"/>
        <v>12181.605964799999</v>
      </c>
      <c r="T20" s="162" t="str">
        <f>+'7'!A5</f>
        <v>Customer Name : Swera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280</v>
      </c>
      <c r="I21" s="1">
        <f t="shared" si="1"/>
        <v>20339.2</v>
      </c>
      <c r="J21" s="171">
        <f>+'1'!J21+'2'!J21+'4'!J21+'3'!J21+'5'!J21+'6'!J21+'7'!J21+'8'!J21+'9'!J21+'10'!J21+'11'!J21+'12'!J21+'13'!J21+'14'!J21+'15'!J21+'16'!J21+'17'!J21+'18'!J21</f>
        <v>10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2440.7039999999997</v>
      </c>
      <c r="M21" s="117">
        <f t="shared" si="2"/>
        <v>17898.495999999999</v>
      </c>
      <c r="N21" s="100">
        <f>+'1'!N21+'2'!N21+'4'!N21+'3'!N21+'5'!N21+'6'!N21+'7'!N21+'8'!N21+'9'!N21+'10'!N21</f>
        <v>3352.4812799999995</v>
      </c>
      <c r="O21" s="100">
        <f>+'1'!O21+'2'!O21+'4'!O21+'3'!O21+'5'!O21+'6'!O21+'7'!O21+'8'!O21+'9'!O21+'10'!O21</f>
        <v>106.2548864</v>
      </c>
      <c r="P21" s="119">
        <f t="shared" si="0"/>
        <v>21357.232166399997</v>
      </c>
      <c r="T21" s="162" t="str">
        <f>+'8'!A5</f>
        <v>Customer Name : Swera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80</v>
      </c>
      <c r="I22" s="1">
        <f t="shared" si="1"/>
        <v>3138.4000000000005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109.84400000000002</v>
      </c>
      <c r="L22" s="174">
        <f>+'1'!L22+'2'!L22+'4'!L22+'3'!L22+'5'!L22+'6'!L22+'7'!L22+'8'!L22+'9'!L22+'10'!L22</f>
        <v>156.92000000000004</v>
      </c>
      <c r="M22" s="117">
        <f t="shared" si="2"/>
        <v>2871.6360000000004</v>
      </c>
      <c r="N22" s="100">
        <f>+'1'!N22+'2'!N22+'4'!N22+'3'!N22+'5'!N22+'6'!N22+'7'!N22+'8'!N22+'9'!N22+'10'!N22</f>
        <v>516.89448000000004</v>
      </c>
      <c r="O22" s="100">
        <f>+'1'!O22+'2'!O22+'4'!O22+'3'!O22+'5'!O22+'6'!O22+'7'!O22+'8'!O22+'9'!O22+'10'!O22</f>
        <v>16.942652400000004</v>
      </c>
      <c r="P22" s="119">
        <f t="shared" si="0"/>
        <v>3405.4731324000004</v>
      </c>
      <c r="T22" s="162" t="str">
        <f>+'9'!A5</f>
        <v>Customer Name : Swera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Swera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Swera</v>
      </c>
      <c r="U24" s="163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28</v>
      </c>
      <c r="D25" s="205"/>
      <c r="E25" s="205"/>
      <c r="F25" s="205"/>
      <c r="G25" s="175">
        <f t="shared" ref="G25:M25" si="3">SUM(G16:G24)</f>
        <v>0</v>
      </c>
      <c r="H25" s="176">
        <f t="shared" si="3"/>
        <v>1120</v>
      </c>
      <c r="I25" s="177">
        <f t="shared" si="3"/>
        <v>69805.899999999994</v>
      </c>
      <c r="J25" s="176">
        <f t="shared" si="3"/>
        <v>28</v>
      </c>
      <c r="K25" s="177">
        <f t="shared" si="3"/>
        <v>109.84400000000002</v>
      </c>
      <c r="L25" s="178">
        <f t="shared" si="3"/>
        <v>8157.0199999999995</v>
      </c>
      <c r="M25" s="140">
        <f t="shared" si="3"/>
        <v>61539.035999999993</v>
      </c>
      <c r="N25" s="141">
        <f>SUM(N16:N24)</f>
        <v>11406.81258</v>
      </c>
      <c r="O25" s="142">
        <f>SUM(O16:O24)</f>
        <v>364.72924289999997</v>
      </c>
      <c r="P25" s="143">
        <f>SUM(P16:P24)</f>
        <v>73310.577822899999</v>
      </c>
      <c r="T25" s="162" t="str">
        <f>+'12'!A5</f>
        <v>Customer Name : Swera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Swera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Swera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Swera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73310.577822899999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1">
        <f>I25</f>
        <v>69805.899999999994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2">
        <f>L25</f>
        <v>8157.0199999999995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3">
        <f>K25</f>
        <v>109.84400000000002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2">
        <f>P32-P33-P34</f>
        <v>61539.036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4" t="s">
        <v>89</v>
      </c>
      <c r="O36" s="155">
        <f>IF(B12="Registered",18%,22%)</f>
        <v>0.22</v>
      </c>
      <c r="P36" s="152">
        <f>N25</f>
        <v>11406.81258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2">
        <f>P35+P36</f>
        <v>72945.848580000005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6"/>
      <c r="N38" s="157" t="s">
        <v>91</v>
      </c>
      <c r="O38" s="158">
        <f>IF(B11="Filer",0.5%,2.5%)</f>
        <v>2.5000000000000001E-2</v>
      </c>
      <c r="P38" s="152">
        <f>O38*P37</f>
        <v>1823.6462145000003</v>
      </c>
    </row>
    <row r="39" spans="2:16" ht="15.75" customHeight="1" thickBot="1" x14ac:dyDescent="0.4">
      <c r="N39" s="203" t="s">
        <v>92</v>
      </c>
      <c r="O39" s="204"/>
      <c r="P39" s="159">
        <f>P37+P38</f>
        <v>74769.494794500002</v>
      </c>
    </row>
    <row r="40" spans="2:16" ht="15" thickBot="1" x14ac:dyDescent="0.4">
      <c r="B40" s="160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F9" sqref="F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I16*12%</f>
        <v>503.64</v>
      </c>
      <c r="M16" s="105">
        <f>I16-K16-L16</f>
        <v>3693.36</v>
      </c>
      <c r="N16" s="105">
        <f t="shared" ref="N16:N24" si="0">(M16*$N$15)+(J16*F16)*$N$15</f>
        <v>664.8048</v>
      </c>
      <c r="O16" s="106">
        <f t="shared" ref="O16:O24" si="1">(N16+M16)*$O$15</f>
        <v>21.790824000000004</v>
      </c>
      <c r="P16" s="104">
        <f t="shared" ref="P16:P24" si="2">M16+N16+O16</f>
        <v>4379.9556240000002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">
        <f t="shared" ref="K17:K21" si="4">I17*$K$13</f>
        <v>0</v>
      </c>
      <c r="L17" s="104">
        <f t="shared" ref="L17:L21" si="5">I17*12%</f>
        <v>503.64</v>
      </c>
      <c r="M17" s="117">
        <f t="shared" ref="M17:M23" si="6">I17-K17-L17</f>
        <v>3693.36</v>
      </c>
      <c r="N17" s="117">
        <f t="shared" si="0"/>
        <v>664.8048</v>
      </c>
      <c r="O17" s="118">
        <f t="shared" si="1"/>
        <v>21.790824000000004</v>
      </c>
      <c r="P17" s="119">
        <f t="shared" si="2"/>
        <v>4379.9556240000002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3"/>
        <v>4197</v>
      </c>
      <c r="J18" s="116"/>
      <c r="K18" s="1">
        <f t="shared" si="4"/>
        <v>0</v>
      </c>
      <c r="L18" s="104">
        <f t="shared" si="5"/>
        <v>503.64</v>
      </c>
      <c r="M18" s="117">
        <f t="shared" si="6"/>
        <v>3693.36</v>
      </c>
      <c r="N18" s="117">
        <f t="shared" si="0"/>
        <v>664.8048</v>
      </c>
      <c r="O18" s="118">
        <f t="shared" si="1"/>
        <v>21.790824000000004</v>
      </c>
      <c r="P18" s="119">
        <f t="shared" si="2"/>
        <v>4379.9556240000002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">
        <f t="shared" si="4"/>
        <v>0</v>
      </c>
      <c r="L19" s="104">
        <f t="shared" si="5"/>
        <v>697.34399999999994</v>
      </c>
      <c r="M19" s="117">
        <f t="shared" si="6"/>
        <v>5113.8559999999998</v>
      </c>
      <c r="N19" s="117">
        <f t="shared" si="0"/>
        <v>920.49407999999994</v>
      </c>
      <c r="O19" s="118">
        <f t="shared" si="1"/>
        <v>30.171750400000001</v>
      </c>
      <c r="P19" s="119">
        <f t="shared" si="2"/>
        <v>6064.5218304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">
        <f t="shared" si="4"/>
        <v>0</v>
      </c>
      <c r="L20" s="104">
        <f t="shared" si="5"/>
        <v>697.34399999999994</v>
      </c>
      <c r="M20" s="117">
        <f t="shared" si="6"/>
        <v>5113.8559999999998</v>
      </c>
      <c r="N20" s="117">
        <f t="shared" si="0"/>
        <v>920.49407999999994</v>
      </c>
      <c r="O20" s="118">
        <f t="shared" si="1"/>
        <v>30.171750400000001</v>
      </c>
      <c r="P20" s="119">
        <f t="shared" si="2"/>
        <v>6064.5218304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">
        <f t="shared" si="4"/>
        <v>0</v>
      </c>
      <c r="L21" s="104">
        <f t="shared" si="5"/>
        <v>697.34399999999994</v>
      </c>
      <c r="M21" s="117">
        <f t="shared" si="6"/>
        <v>5113.8559999999998</v>
      </c>
      <c r="N21" s="117">
        <f t="shared" si="0"/>
        <v>920.49407999999994</v>
      </c>
      <c r="O21" s="118">
        <f t="shared" si="1"/>
        <v>30.171750400000001</v>
      </c>
      <c r="P21" s="119">
        <f t="shared" si="2"/>
        <v>6064.5218304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3"/>
        <v>3138.4000000000005</v>
      </c>
      <c r="J22" s="116"/>
      <c r="K22" s="1">
        <f>I22*3.5%</f>
        <v>109.84400000000002</v>
      </c>
      <c r="L22" s="119">
        <f>I22*5%</f>
        <v>156.92000000000004</v>
      </c>
      <c r="M22" s="117">
        <f t="shared" si="6"/>
        <v>2871.6360000000004</v>
      </c>
      <c r="N22" s="117">
        <f t="shared" si="0"/>
        <v>516.89448000000004</v>
      </c>
      <c r="O22" s="118">
        <f t="shared" si="1"/>
        <v>16.942652400000004</v>
      </c>
      <c r="P22" s="119">
        <f t="shared" si="2"/>
        <v>3405.4731324000004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33163</v>
      </c>
      <c r="J25" s="137"/>
      <c r="K25" s="138">
        <f t="shared" si="9"/>
        <v>109.84400000000002</v>
      </c>
      <c r="L25" s="139">
        <f t="shared" si="9"/>
        <v>3759.8720000000003</v>
      </c>
      <c r="M25" s="140">
        <f t="shared" si="9"/>
        <v>29293.284</v>
      </c>
      <c r="N25" s="141">
        <f>SUM(N16:N24)</f>
        <v>5272.7911199999999</v>
      </c>
      <c r="O25" s="142">
        <f>SUM(O16:O24)</f>
        <v>172.83037560000005</v>
      </c>
      <c r="P25" s="143">
        <f>SUM(P16:P24)</f>
        <v>34738.905495600004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33163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3759.8720000000003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109.84400000000002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29293.284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5272.7911199999999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34566.075120000001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172.8303756</v>
      </c>
    </row>
    <row r="35" spans="2:16" ht="15.75" customHeight="1" thickBot="1" x14ac:dyDescent="0.4">
      <c r="N35" s="203" t="s">
        <v>92</v>
      </c>
      <c r="O35" s="204"/>
      <c r="P35" s="159">
        <f>P33+P34</f>
        <v>34738.905495600004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A12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v>46179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>N4-1</f>
        <v>46178</v>
      </c>
      <c r="O5" s="230"/>
      <c r="P5" s="230"/>
      <c r="R5" s="70"/>
      <c r="S5" s="71"/>
    </row>
    <row r="6" spans="1:19 16383:16384" ht="15" customHeight="1" x14ac:dyDescent="0.35">
      <c r="A6" s="229" t="s">
        <v>108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f>H16/20</f>
        <v>4</v>
      </c>
      <c r="K16" s="103">
        <f>I16*$K$13</f>
        <v>0</v>
      </c>
      <c r="L16" s="104">
        <f>I16*12%</f>
        <v>503.64</v>
      </c>
      <c r="M16" s="105">
        <f>I16-K16-L16</f>
        <v>3693.36</v>
      </c>
      <c r="N16" s="105">
        <f t="shared" ref="N16:N24" si="0">(M16*$N$15)+(J16*F16)*$N$15</f>
        <v>702.57780000000002</v>
      </c>
      <c r="O16" s="106">
        <f>(N16+M16)*$O$15</f>
        <v>21.979689</v>
      </c>
      <c r="P16" s="104">
        <f t="shared" ref="P16:P24" si="1">M16+N16+O16</f>
        <v>4417.9174889999995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>
        <f t="shared" ref="J17:J21" si="3">H17/20</f>
        <v>4</v>
      </c>
      <c r="K17" s="1">
        <f t="shared" ref="K17:K21" si="4">I17*$K$13</f>
        <v>0</v>
      </c>
      <c r="L17" s="104">
        <f t="shared" ref="L17:L21" si="5">I17*12%</f>
        <v>503.64</v>
      </c>
      <c r="M17" s="117">
        <f t="shared" ref="M17:M23" si="6">I17-K17-L17</f>
        <v>3693.36</v>
      </c>
      <c r="N17" s="117">
        <f t="shared" si="0"/>
        <v>702.57780000000002</v>
      </c>
      <c r="O17" s="118">
        <f t="shared" ref="O17:O24" si="7">(N17+M17)*$O$15</f>
        <v>21.979689</v>
      </c>
      <c r="P17" s="119">
        <f t="shared" si="1"/>
        <v>4417.9174889999995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40</v>
      </c>
      <c r="I18" s="115">
        <f t="shared" si="2"/>
        <v>2098.5</v>
      </c>
      <c r="J18" s="102">
        <f t="shared" si="3"/>
        <v>2</v>
      </c>
      <c r="K18" s="1">
        <f t="shared" si="4"/>
        <v>0</v>
      </c>
      <c r="L18" s="104">
        <f t="shared" si="5"/>
        <v>251.82</v>
      </c>
      <c r="M18" s="117">
        <f t="shared" si="6"/>
        <v>1846.68</v>
      </c>
      <c r="N18" s="117">
        <f t="shared" si="0"/>
        <v>351.28890000000001</v>
      </c>
      <c r="O18" s="118">
        <f t="shared" si="7"/>
        <v>10.9898445</v>
      </c>
      <c r="P18" s="119">
        <f t="shared" si="1"/>
        <v>2208.9587444999997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>
        <f t="shared" si="3"/>
        <v>4</v>
      </c>
      <c r="K19" s="1">
        <f t="shared" si="4"/>
        <v>0</v>
      </c>
      <c r="L19" s="104">
        <f t="shared" si="5"/>
        <v>697.34399999999994</v>
      </c>
      <c r="M19" s="117">
        <f t="shared" si="6"/>
        <v>5113.8559999999998</v>
      </c>
      <c r="N19" s="117">
        <f t="shared" si="0"/>
        <v>972.79487999999992</v>
      </c>
      <c r="O19" s="118">
        <f t="shared" si="7"/>
        <v>30.433254399999996</v>
      </c>
      <c r="P19" s="119">
        <f t="shared" si="1"/>
        <v>6117.0841343999991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02">
        <f t="shared" si="3"/>
        <v>4</v>
      </c>
      <c r="K20" s="1">
        <f t="shared" si="4"/>
        <v>0</v>
      </c>
      <c r="L20" s="104">
        <f t="shared" si="5"/>
        <v>697.34399999999994</v>
      </c>
      <c r="M20" s="117">
        <f t="shared" si="6"/>
        <v>5113.8559999999998</v>
      </c>
      <c r="N20" s="117">
        <f t="shared" si="0"/>
        <v>972.79487999999992</v>
      </c>
      <c r="O20" s="118">
        <f t="shared" si="7"/>
        <v>30.433254399999996</v>
      </c>
      <c r="P20" s="119">
        <f t="shared" si="1"/>
        <v>6117.0841343999991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2"/>
        <v>14528</v>
      </c>
      <c r="J21" s="102">
        <f t="shared" si="3"/>
        <v>10</v>
      </c>
      <c r="K21" s="1">
        <f t="shared" si="4"/>
        <v>0</v>
      </c>
      <c r="L21" s="104">
        <f t="shared" si="5"/>
        <v>1743.36</v>
      </c>
      <c r="M21" s="117">
        <f t="shared" si="6"/>
        <v>12784.64</v>
      </c>
      <c r="N21" s="117">
        <f t="shared" si="0"/>
        <v>2431.9871999999996</v>
      </c>
      <c r="O21" s="118">
        <f t="shared" si="7"/>
        <v>76.083135999999996</v>
      </c>
      <c r="P21" s="119">
        <f t="shared" si="1"/>
        <v>15292.710335999998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10">SUM(G16:G24)</f>
        <v>0</v>
      </c>
      <c r="H25" s="135">
        <f t="shared" si="10"/>
        <v>560</v>
      </c>
      <c r="I25" s="136">
        <f t="shared" si="10"/>
        <v>36642.9</v>
      </c>
      <c r="J25" s="137"/>
      <c r="K25" s="138">
        <f t="shared" si="10"/>
        <v>0</v>
      </c>
      <c r="L25" s="139">
        <f t="shared" si="10"/>
        <v>4397.1480000000001</v>
      </c>
      <c r="M25" s="140">
        <f t="shared" si="10"/>
        <v>32245.752</v>
      </c>
      <c r="N25" s="141">
        <f>SUM(N16:N24)</f>
        <v>6134.0214599999999</v>
      </c>
      <c r="O25" s="142">
        <f>SUM(O16:O24)</f>
        <v>191.89886730000001</v>
      </c>
      <c r="P25" s="143">
        <f>SUM(P16:P24)</f>
        <v>38571.672327299995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36642.9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4397.1480000000001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32245.752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6134.0214599999999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38379.773459999997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191.89886729999998</v>
      </c>
    </row>
    <row r="35" spans="2:16" ht="15.75" customHeight="1" thickBot="1" x14ac:dyDescent="0.4">
      <c r="N35" s="203" t="s">
        <v>92</v>
      </c>
      <c r="O35" s="204"/>
      <c r="P35" s="159">
        <f>P33+P34</f>
        <v>38571.672327299995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2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6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79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2026-07-21T09:07:23Z</dcterms:modified>
</cp:coreProperties>
</file>