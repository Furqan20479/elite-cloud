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94D6DFE-784E-46D4-BB51-AE7669C9C6A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'1'!$A$1:$Q$37</definedName>
  </definedNames>
  <calcPr calcId="191029"/>
</workbook>
</file>

<file path=xl/calcChain.xml><?xml version="1.0" encoding="utf-8"?>
<calcChain xmlns="http://schemas.openxmlformats.org/spreadsheetml/2006/main">
  <c r="L22" i="16" l="1"/>
  <c r="L17" i="16"/>
  <c r="L18" i="16"/>
  <c r="L19" i="16"/>
  <c r="L20" i="16"/>
  <c r="L21" i="16"/>
  <c r="L16" i="16"/>
  <c r="H19" i="15"/>
  <c r="J20" i="16"/>
  <c r="J20" i="15" s="1"/>
  <c r="J21" i="16"/>
  <c r="J21" i="15" s="1"/>
  <c r="J19" i="16"/>
  <c r="J18" i="15"/>
  <c r="J22" i="15"/>
  <c r="H17" i="15"/>
  <c r="H18" i="15"/>
  <c r="H20" i="15"/>
  <c r="H21" i="15"/>
  <c r="H22" i="15"/>
  <c r="H23" i="15"/>
  <c r="H24" i="15"/>
  <c r="H16" i="15"/>
  <c r="T31" i="15"/>
  <c r="T30" i="15"/>
  <c r="T29" i="15"/>
  <c r="J17" i="15"/>
  <c r="J23" i="15"/>
  <c r="J24" i="15"/>
  <c r="J16" i="15"/>
  <c r="J19" i="15" l="1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7" i="33"/>
  <c r="I21" i="33"/>
  <c r="L21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5" i="32" s="1"/>
  <c r="P28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K16" i="35"/>
  <c r="K17" i="35"/>
  <c r="M17" i="35"/>
  <c r="K19" i="35"/>
  <c r="K20" i="35"/>
  <c r="K21" i="35"/>
  <c r="K22" i="35"/>
  <c r="K23" i="35"/>
  <c r="L23" i="35"/>
  <c r="M23" i="35" s="1"/>
  <c r="K24" i="35"/>
  <c r="L24" i="35"/>
  <c r="K17" i="34"/>
  <c r="K18" i="34"/>
  <c r="K21" i="34"/>
  <c r="K23" i="34"/>
  <c r="M23" i="34" s="1"/>
  <c r="L23" i="34"/>
  <c r="K24" i="34"/>
  <c r="K21" i="33"/>
  <c r="K22" i="33"/>
  <c r="L22" i="33"/>
  <c r="K19" i="33"/>
  <c r="K23" i="33"/>
  <c r="K20" i="33"/>
  <c r="K24" i="33"/>
  <c r="L24" i="33"/>
  <c r="M18" i="33"/>
  <c r="K16" i="33"/>
  <c r="L24" i="32"/>
  <c r="K16" i="32"/>
  <c r="K17" i="32"/>
  <c r="K18" i="32"/>
  <c r="K19" i="32"/>
  <c r="K20" i="32"/>
  <c r="K21" i="32"/>
  <c r="K23" i="32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M23" i="30"/>
  <c r="L22" i="34"/>
  <c r="K18" i="35"/>
  <c r="M18" i="35" s="1"/>
  <c r="N18" i="35" s="1"/>
  <c r="O18" i="35" s="1"/>
  <c r="I25" i="35"/>
  <c r="P28" i="35" s="1"/>
  <c r="K17" i="33"/>
  <c r="L17" i="33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M17" i="29" s="1"/>
  <c r="N17" i="29" s="1"/>
  <c r="O17" i="29" s="1"/>
  <c r="P17" i="29" s="1"/>
  <c r="K21" i="29"/>
  <c r="M24" i="33"/>
  <c r="M22" i="35"/>
  <c r="K19" i="29"/>
  <c r="M19" i="29" s="1"/>
  <c r="N19" i="29" s="1"/>
  <c r="O19" i="29" s="1"/>
  <c r="L19" i="29"/>
  <c r="M24" i="34"/>
  <c r="K20" i="34"/>
  <c r="L20" i="34"/>
  <c r="M20" i="34" s="1"/>
  <c r="N20" i="34" s="1"/>
  <c r="O20" i="34" s="1"/>
  <c r="K19" i="31"/>
  <c r="L19" i="31"/>
  <c r="K21" i="31"/>
  <c r="L23" i="32"/>
  <c r="M23" i="32" s="1"/>
  <c r="N23" i="32" s="1"/>
  <c r="O23" i="32" s="1"/>
  <c r="M24" i="35"/>
  <c r="K18" i="31"/>
  <c r="L18" i="31"/>
  <c r="M22" i="33"/>
  <c r="N22" i="33" s="1"/>
  <c r="O22" i="33" s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4" i="33"/>
  <c r="O24" i="33" s="1"/>
  <c r="N18" i="33"/>
  <c r="O18" i="33" s="1"/>
  <c r="M16" i="33"/>
  <c r="N24" i="32"/>
  <c r="O24" i="32" s="1"/>
  <c r="P24" i="32" s="1"/>
  <c r="K25" i="32"/>
  <c r="P30" i="32" s="1"/>
  <c r="N21" i="31"/>
  <c r="O21" i="31" s="1"/>
  <c r="N24" i="31"/>
  <c r="O24" i="31" s="1"/>
  <c r="P24" i="31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L25" i="32"/>
  <c r="P29" i="32" s="1"/>
  <c r="K18" i="26"/>
  <c r="L18" i="26"/>
  <c r="L25" i="26" s="1"/>
  <c r="P29" i="26" s="1"/>
  <c r="K16" i="27"/>
  <c r="M17" i="33"/>
  <c r="N17" i="33" s="1"/>
  <c r="O17" i="33" s="1"/>
  <c r="M24" i="26"/>
  <c r="I25" i="27"/>
  <c r="P28" i="27" s="1"/>
  <c r="K25" i="35"/>
  <c r="P30" i="35" s="1"/>
  <c r="K16" i="26"/>
  <c r="L16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21" i="21"/>
  <c r="L21" i="21"/>
  <c r="K21" i="23"/>
  <c r="L21" i="23"/>
  <c r="K19" i="18"/>
  <c r="L19" i="18"/>
  <c r="K17" i="17"/>
  <c r="L17" i="17"/>
  <c r="K20" i="21"/>
  <c r="L20" i="21"/>
  <c r="K19" i="23"/>
  <c r="L19" i="23"/>
  <c r="K19" i="21"/>
  <c r="L19" i="21"/>
  <c r="K18" i="24"/>
  <c r="L18" i="24"/>
  <c r="K19" i="20"/>
  <c r="L19" i="20"/>
  <c r="K18" i="25"/>
  <c r="L18" i="25"/>
  <c r="K20" i="17"/>
  <c r="L20" i="17"/>
  <c r="K16" i="17"/>
  <c r="L16" i="17"/>
  <c r="K18" i="21"/>
  <c r="L18" i="21"/>
  <c r="K17" i="20"/>
  <c r="L17" i="20"/>
  <c r="K19" i="17"/>
  <c r="L19" i="17"/>
  <c r="K18" i="20"/>
  <c r="L18" i="20"/>
  <c r="K20" i="24"/>
  <c r="L20" i="24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K18" i="15" s="1"/>
  <c r="K16" i="16"/>
  <c r="M16" i="16" s="1"/>
  <c r="N16" i="16" s="1"/>
  <c r="L16" i="15"/>
  <c r="K22" i="16"/>
  <c r="K20" i="16"/>
  <c r="K20" i="15" s="1"/>
  <c r="L20" i="15"/>
  <c r="L21" i="15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L22" i="15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K16" i="15" l="1"/>
  <c r="M16" i="15" s="1"/>
  <c r="M18" i="15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6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<sst xmlns="http://schemas.openxmlformats.org/spreadsheetml/2006/main" count="1581" uniqueCount="110">
  <si>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</si>
  <si>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</si>
  <si>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</si>
  <si>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</si>
  <si>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</si>
  <si>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</si>
  <si>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</si>
  <si>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</si>
  <si>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</si>
  <si>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</si>
  <si>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</si>
  <si>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</si>
  <si>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</si>
  <si>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</si>
  <si>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</si>
  <si>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</si>
  <si>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</si>
  <si>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</si>
  <si>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</si>
  <si>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</si>
  <si>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</si>
  <si>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</si>
  <si>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</si>
  <si>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</si>
  <si>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</si>
  <si>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</si>
  <si>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</si>
  <si>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</si>
  <si>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</si>
  <si>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</si>
  <si>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</si>
  <si>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</si>
  <si>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</si>
  <si>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</si>
  <si>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</si>
  <si>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</si>
  <si>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</si>
  <si>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</si>
  <si>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</si>
  <si>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</si>
  <si>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</si>
  <si>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</si>
  <si>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</si>
  <si>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</si>
  <si>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</si>
  <si>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</si>
  <si>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</si>
  <si>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</si>
  <si>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</si>
  <si>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</si>
  <si>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</si>
  <si>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</si>
  <si>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</si>
  <si>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</si>
  <si>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</si>
  <si>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</si>
  <si>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</si>
  <si>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</si>
  <si>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</si>
  <si>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</si>
  <si>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</si>
  <si>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</si>
  <si>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</si>
  <si>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</si>
  <si>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</si>
  <si>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</si>
  <si>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</si>
  <si>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</si>
  <si>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</si>
  <si>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</si>
  <si>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</si>
  <si>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</si>
  <si>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</si>
  <si>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</si>
  <si>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</si>
  <si>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</si>
  <si>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</si>
  <si>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</si>
  <si>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</si>
  <si>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</si>
  <si>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</si>
  <si>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</si>
  <si>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</si>
  <si>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</si>
  <si>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</si>
  <si>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</si>
  <si>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</si>
  <si>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</si>
  <si>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</si>
  <si>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</si>
  <si>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</si>
  <si>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</si>
  <si>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</si>
  <si>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</si>
  <si>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</si>
  <si>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</si>
  <si>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</si>
  <si>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</si>
  <si>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</si>
  <si>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</si>
  <si>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</si>
  <si>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</si>
  <si>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</si>
  <si>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</si>
  <si>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</si>
  <si>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</si>
  <si>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</si>
  <si>
    <t>Customer Name : ABDULLAH TRADERS (Sub-D)</t>
  </si>
  <si>
    <t>Address: Server Hayat Colony Lahore</t>
  </si>
  <si>
    <t>H959818-4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</si>
</sst>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ABDULLAH TRADERS (Sub-D)</v>
      </c>
      <c r="U14" s="163">
        <f>+'1'!P35</f>
        <v>237311.21832750001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30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4406.8500000000004</v>
      </c>
      <c r="M16" s="105">
        <f>I16-K16-L16</f>
        <v>-4406.8500000000004</v>
      </c>
      <c r="N16" s="100">
        <f>+'1'!N16+'2'!N16+'4'!N16+'3'!N16+'5'!N16+'6'!N16+'7'!N16+'8'!N16+'9'!N16+'10'!N16</f>
        <v>6301.7955000000002</v>
      </c>
      <c r="O16" s="100">
        <f>+'1'!O16+'2'!O16+'4'!O16+'3'!O16+'5'!O16+'6'!O16+'7'!O16+'8'!O16+'9'!O16+'10'!O16</f>
        <v>166.86222750000002</v>
      </c>
      <c r="P16" s="104">
        <f t="shared" ref="P16:P24" si="0">M16+N16+O16</f>
        <v>2061.8077274999996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20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2937.9</v>
      </c>
      <c r="M17" s="117">
        <f t="shared" ref="M17:M23" si="2">I17-K17-L17</f>
        <v>-2937.9</v>
      </c>
      <c r="N17" s="100">
        <f>+'1'!N17+'2'!N17+'4'!N17+'3'!N17+'5'!N17+'6'!N17+'7'!N17+'8'!N17+'9'!N17+'10'!N17</f>
        <v>4201.1969999999992</v>
      </c>
      <c r="O17" s="100">
        <f>+'1'!O17+'2'!O17+'4'!O17+'3'!O17+'5'!O17+'6'!O17+'7'!O17+'8'!O17+'9'!O17+'10'!O17</f>
        <v>111.241485</v>
      </c>
      <c r="P17" s="119">
        <f t="shared" si="0"/>
        <v>1374.5384849999991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30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6101.76</v>
      </c>
      <c r="M19" s="117">
        <f t="shared" si="2"/>
        <v>-6101.76</v>
      </c>
      <c r="N19" s="100">
        <f>+'1'!N19+'2'!N19+'4'!N19+'3'!N19+'5'!N19+'6'!N19+'7'!N19+'8'!N19+'9'!N19+'10'!N19</f>
        <v>8725.5168000000012</v>
      </c>
      <c r="O19" s="100">
        <f>+'1'!O19+'2'!O19+'4'!O19+'3'!O19+'5'!O19+'6'!O19+'7'!O19+'8'!O19+'9'!O19+'10'!O19</f>
        <v>231.03878400000002</v>
      </c>
      <c r="P19" s="119">
        <f t="shared" si="0"/>
        <v>2854.7955840000009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20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4067.8400000000006</v>
      </c>
      <c r="M20" s="117">
        <f t="shared" si="2"/>
        <v>-4067.8400000000006</v>
      </c>
      <c r="N20" s="100">
        <f>+'1'!N20+'2'!N20+'4'!N20+'3'!N20+'5'!N20+'6'!N20+'7'!N20+'8'!N20+'9'!N20+'10'!N20</f>
        <v>5817.0111999999999</v>
      </c>
      <c r="O20" s="100">
        <f>+'1'!O20+'2'!O20+'4'!O20+'3'!O20+'5'!O20+'6'!O20+'7'!O20+'8'!O20+'9'!O20+'10'!O20</f>
        <v>154.025856</v>
      </c>
      <c r="P20" s="119">
        <f t="shared" si="0"/>
        <v>1903.1970559999993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30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6101.76</v>
      </c>
      <c r="M21" s="117">
        <f t="shared" si="2"/>
        <v>-6101.76</v>
      </c>
      <c r="N21" s="100">
        <f>+'1'!N21+'2'!N21+'4'!N21+'3'!N21+'5'!N21+'6'!N21+'7'!N21+'8'!N21+'9'!N21+'10'!N21</f>
        <v>8725.5168000000012</v>
      </c>
      <c r="O21" s="100">
        <f>+'1'!O21+'2'!O21+'4'!O21+'3'!O21+'5'!O21+'6'!O21+'7'!O21+'8'!O21+'9'!O21+'10'!O21</f>
        <v>231.03878400000002</v>
      </c>
      <c r="P21" s="119">
        <f t="shared" si="0"/>
        <v>2854.7955840000009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1922.2700000000004</v>
      </c>
      <c r="L22" s="174">
        <f>+'1'!L22+'2'!L22+'4'!L22+'3'!L22+'5'!L22+'6'!L22+'7'!L22+'8'!L22+'9'!L22+'10'!L22</f>
        <v>6041.420000000001</v>
      </c>
      <c r="M22" s="117">
        <f t="shared" si="2"/>
        <v>-7963.6900000000014</v>
      </c>
      <c r="N22" s="100">
        <f>+'1'!N22+'2'!N22+'4'!N22+'3'!N22+'5'!N22+'6'!N22+'7'!N22+'8'!N22+'9'!N22+'10'!N22</f>
        <v>10330.828200000004</v>
      </c>
      <c r="O22" s="100">
        <f>+'1'!O22+'2'!O22+'4'!O22+'3'!O22+'5'!O22+'6'!O22+'7'!O22+'8'!O22+'9'!O22+'10'!O22</f>
        <v>286.44569100000007</v>
      </c>
      <c r="P22" s="119">
        <f t="shared" si="0"/>
        <v>2653.583891000002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130</v>
      </c>
      <c r="K25" s="177">
        <f t="shared" si="3"/>
        <v>1922.2700000000004</v>
      </c>
      <c r="L25" s="178">
        <f t="shared" si="3"/>
        <v>29657.530000000002</v>
      </c>
      <c r="M25" s="140">
        <f t="shared" si="3"/>
        <v>-31579.800000000003</v>
      </c>
      <c r="N25" s="141">
        <f>SUM(N16:N24)</f>
        <v>44101.865500000007</v>
      </c>
      <c r="O25" s="142">
        <f>SUM(O16:O24)</f>
        <v>1180.6528275000003</v>
      </c>
      <c r="P25" s="143">
        <f>SUM(P16:P24)</f>
        <v>13702.718327500002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237311.21832750001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0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29657.530000000002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1922.2700000000004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-31579.800000000003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44101.865500000007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12522.065500000004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313.05163750000014</v>
      </c>
    </row>
    <row r="42" spans="1:21" ht="15.75" customHeight="1" thickBot="1" x14ac:dyDescent="0.4">
      <c r="N42" s="204" t="s">
        <v>92</v>
      </c>
      <c r="O42" s="205"/>
      <c r="P42" s="159">
        <f>P40+P41</f>
        <v>12835.117137500005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Normal="100" workbookViewId="0">
      <selection activeCell="E5" sqref="E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46178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46177</v>
      </c>
      <c r="O5" s="231"/>
      <c r="P5" s="231"/>
      <c r="R5" s="70"/>
      <c r="S5" s="71"/>
    </row>
    <row r="6" spans="1:19 16383:16384" ht="15" customHeight="1" x14ac:dyDescent="0.35">
      <c r="A6" s="230" t="s">
        <v>108</v>
      </c>
      <c r="B6" s="230"/>
      <c r="C6" s="230"/>
      <c r="F6" s="70"/>
      <c r="G6" s="74"/>
      <c r="K6" s="230" t="s">
        <v>52</v>
      </c>
      <c r="L6" s="230"/>
      <c r="M6" s="230"/>
      <c r="N6" s="243" t="s">
        <v>100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109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 t="s">
        <v>80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>
        <v>15</v>
      </c>
      <c r="H16" s="100"/>
      <c r="I16" s="101">
        <f>(G16*D16)*F16+H16*F16</f>
        <v>31477.5</v>
      </c>
      <c r="J16" s="102">
        <v>30</v>
      </c>
      <c r="K16" s="103">
        <f>I16*$K$13</f>
        <v>0</v>
      </c>
      <c r="L16" s="104">
        <f>I16*14%</f>
        <v>4406.8500000000004</v>
      </c>
      <c r="M16" s="105">
        <f>I16-K16-L16</f>
        <v>27070.65</v>
      </c>
      <c r="N16" s="105">
        <f t="shared" ref="N16:N24" si="0">(M16*$N$15)+(J16*F16)*$N$15</f>
        <v>6301.7955000000002</v>
      </c>
      <c r="O16" s="106">
        <f t="shared" ref="O16:O24" si="1">(N16+M16)*$O$15</f>
        <v>166.86222750000002</v>
      </c>
      <c r="P16" s="104">
        <f t="shared" ref="P16:P24" si="2">M16+N16+O16</f>
        <v>33539.307727500003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>
        <v>10</v>
      </c>
      <c r="H17" s="114"/>
      <c r="I17" s="115">
        <f t="shared" ref="I17:I23" si="3">(G17*D17)*F17+H17*F17</f>
        <v>20985</v>
      </c>
      <c r="J17" s="102">
        <v>20</v>
      </c>
      <c r="K17" s="1">
        <f t="shared" ref="K17:K21" si="4">I17*$K$13</f>
        <v>0</v>
      </c>
      <c r="L17" s="104">
        <f t="shared" ref="L17:L21" si="5">I17*14%</f>
        <v>2937.9</v>
      </c>
      <c r="M17" s="117">
        <f t="shared" ref="M17:M23" si="6">I17-K17-L17</f>
        <v>18047.099999999999</v>
      </c>
      <c r="N17" s="117">
        <f t="shared" si="0"/>
        <v>4201.1969999999992</v>
      </c>
      <c r="O17" s="118">
        <f t="shared" si="1"/>
        <v>111.241485</v>
      </c>
      <c r="P17" s="119">
        <f t="shared" si="2"/>
        <v>22359.538484999997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15</v>
      </c>
      <c r="H19" s="114"/>
      <c r="I19" s="115">
        <f t="shared" si="3"/>
        <v>43584</v>
      </c>
      <c r="J19" s="102">
        <f>G19*2</f>
        <v>30</v>
      </c>
      <c r="K19" s="1">
        <f t="shared" si="4"/>
        <v>0</v>
      </c>
      <c r="L19" s="104">
        <f t="shared" si="5"/>
        <v>6101.76</v>
      </c>
      <c r="M19" s="117">
        <f t="shared" si="6"/>
        <v>37482.239999999998</v>
      </c>
      <c r="N19" s="117">
        <f t="shared" si="0"/>
        <v>8725.5168000000012</v>
      </c>
      <c r="O19" s="118">
        <f t="shared" si="1"/>
        <v>231.03878400000002</v>
      </c>
      <c r="P19" s="119">
        <f t="shared" si="2"/>
        <v>46438.795584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10</v>
      </c>
      <c r="H20" s="114"/>
      <c r="I20" s="115">
        <f t="shared" si="3"/>
        <v>29056</v>
      </c>
      <c r="J20" s="102">
        <f t="shared" ref="J20:J21" si="7">G20*2</f>
        <v>20</v>
      </c>
      <c r="K20" s="1">
        <f t="shared" si="4"/>
        <v>0</v>
      </c>
      <c r="L20" s="104">
        <f t="shared" si="5"/>
        <v>4067.8400000000006</v>
      </c>
      <c r="M20" s="117">
        <f t="shared" si="6"/>
        <v>24988.16</v>
      </c>
      <c r="N20" s="117">
        <f t="shared" si="0"/>
        <v>5817.0111999999999</v>
      </c>
      <c r="O20" s="118">
        <f t="shared" si="1"/>
        <v>154.025856</v>
      </c>
      <c r="P20" s="119">
        <f t="shared" si="2"/>
        <v>30959.197056000001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15</v>
      </c>
      <c r="H21" s="114"/>
      <c r="I21" s="115">
        <f t="shared" si="3"/>
        <v>43584</v>
      </c>
      <c r="J21" s="102">
        <f t="shared" si="7"/>
        <v>30</v>
      </c>
      <c r="K21" s="1">
        <f t="shared" si="4"/>
        <v>0</v>
      </c>
      <c r="L21" s="104">
        <f t="shared" si="5"/>
        <v>6101.76</v>
      </c>
      <c r="M21" s="117">
        <f t="shared" si="6"/>
        <v>37482.239999999998</v>
      </c>
      <c r="N21" s="117">
        <f t="shared" si="0"/>
        <v>8725.5168000000012</v>
      </c>
      <c r="O21" s="118">
        <f t="shared" si="1"/>
        <v>231.03878400000002</v>
      </c>
      <c r="P21" s="119">
        <f t="shared" si="2"/>
        <v>46438.795584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35</v>
      </c>
      <c r="H22" s="114"/>
      <c r="I22" s="115">
        <f t="shared" si="3"/>
        <v>54922.000000000007</v>
      </c>
      <c r="J22" s="102"/>
      <c r="K22" s="1">
        <f>I22*3.5%</f>
        <v>1922.2700000000004</v>
      </c>
      <c r="L22" s="119">
        <f>I22*11%</f>
        <v>6041.420000000001</v>
      </c>
      <c r="M22" s="117">
        <f t="shared" si="6"/>
        <v>46958.310000000012</v>
      </c>
      <c r="N22" s="117">
        <f t="shared" si="0"/>
        <v>10330.828200000004</v>
      </c>
      <c r="O22" s="118">
        <f t="shared" si="1"/>
        <v>286.44569100000007</v>
      </c>
      <c r="P22" s="119">
        <f t="shared" si="2"/>
        <v>57575.583891000017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100</v>
      </c>
      <c r="H25" s="135">
        <f t="shared" si="10"/>
        <v>0</v>
      </c>
      <c r="I25" s="136">
        <f t="shared" si="10"/>
        <v>223608.5</v>
      </c>
      <c r="J25" s="182"/>
      <c r="K25" s="138">
        <f t="shared" si="10"/>
        <v>1922.2700000000004</v>
      </c>
      <c r="L25" s="139">
        <f t="shared" si="10"/>
        <v>29657.530000000002</v>
      </c>
      <c r="M25" s="140">
        <f t="shared" si="10"/>
        <v>192028.7</v>
      </c>
      <c r="N25" s="141">
        <f>SUM(N16:N24)</f>
        <v>44101.865500000007</v>
      </c>
      <c r="O25" s="142">
        <f>SUM(O16:O24)</f>
        <v>1180.6528275000003</v>
      </c>
      <c r="P25" s="143">
        <f>SUM(P16:P24)</f>
        <v>237311.21832750001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223608.5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29657.530000000002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1922.2700000000004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192028.7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44101.865500000007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236130.56550000003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1180.6528275000001</v>
      </c>
    </row>
    <row r="35" spans="2:16" ht="15.75" customHeight="1" thickBot="1" x14ac:dyDescent="0.4">
      <c r="N35" s="204" t="s">
        <v>92</v>
      </c>
      <c r="O35" s="205"/>
      <c r="P35" s="159">
        <f>P33+P34</f>
        <v>237311.21832750001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46295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46294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2026-09-30T06:38:44Z</dcterms:modified>
</cp:coreProperties>
</file>