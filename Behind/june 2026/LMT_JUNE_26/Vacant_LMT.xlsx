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63D2F11-B795-4141-8E8D-8FE02D5BFEA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<sst xmlns="http://schemas.openxmlformats.org/spreadsheetml/2006/main" count="1580" uniqueCount="109">
  <si>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</si>
  <si>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</si>
  <si>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</si>
  <si>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</si>
  <si>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</si>
  <si>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</si>
  <si>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</si>
  <si>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</si>
  <si>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</si>
  <si>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</si>
  <si>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</si>
  <si>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</si>
  <si>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</si>
  <si>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</si>
  <si>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</si>
  <si>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</si>
  <si>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</si>
  <si>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</si>
  <si>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</si>
  <si>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</si>
  <si>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</si>
  <si>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</si>
  <si>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</si>
  <si>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</si>
  <si>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</si>
  <si>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</si>
  <si>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</si>
  <si>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</si>
  <si>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</si>
  <si>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</si>
  <si>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</si>
  <si>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</si>
  <si>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</si>
  <si>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</si>
  <si>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</si>
  <si>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</si>
  <si>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</si>
  <si>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</si>
  <si>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</si>
  <si>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</si>
  <si>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</si>
  <si>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</si>
  <si>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</si>
  <si>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</si>
  <si>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</si>
  <si>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</si>
  <si>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</si>
  <si>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</si>
  <si>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</si>
  <si>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</si>
  <si>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</si>
  <si>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</si>
  <si>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</si>
  <si>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</si>
  <si>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</si>
  <si>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</si>
  <si>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</si>
  <si>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</si>
  <si>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</si>
  <si>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</si>
  <si>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</si>
  <si>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</si>
  <si>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</si>
  <si>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</si>
  <si>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</si>
  <si>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</si>
  <si>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</si>
  <si>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</si>
  <si>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</si>
  <si>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</si>
  <si>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</si>
  <si>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</si>
  <si>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</si>
  <si>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</si>
  <si>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</si>
  <si>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</si>
  <si>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</si>
  <si>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</si>
  <si>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</si>
  <si>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</si>
  <si>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</si>
  <si>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</si>
  <si>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</si>
  <si>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</si>
  <si>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</si>
  <si>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</si>
  <si>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</si>
  <si>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</si>
  <si>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</si>
  <si>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</si>
  <si>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</si>
  <si>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</si>
  <si>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</si>
  <si>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</si>
  <si>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</si>
  <si>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</si>
  <si>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</si>
  <si>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</si>
  <si>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</si>
  <si>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</si>
  <si>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</si>
  <si>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</si>
  <si>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</si>
  <si>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</si>
  <si>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Vacant__LMT</t>
  </si>
  <si>
    <t>Shop Bill Summary (LMT)</t>
  </si>
  <si>
    <t>5526536-5</t>
  </si>
  <si>
    <t>Customer Name : Euro Store</t>
  </si>
  <si>
    <t>Address: Ghari Shahu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</si>
</sst>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3" sqref="I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104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105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38789.673068099997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120</v>
      </c>
      <c r="I16" s="1">
        <f>(G16*D16)*F16+H16*F16</f>
        <v>6295.5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503.64</v>
      </c>
      <c r="M16" s="106">
        <f>I16-K16-L16</f>
        <v>5791.86</v>
      </c>
      <c r="N16" s="101">
        <f>+'1'!N16+'2'!N16+'4'!N16+'3'!N16+'5'!N16+'6'!N16+'7'!N16+'8'!N16+'9'!N16+'10'!N16</f>
        <v>1042.5347999999999</v>
      </c>
      <c r="O16" s="101">
        <f>+'1'!O16+'2'!O16+'4'!O16+'3'!O16+'5'!O16+'6'!O16+'7'!O16+'8'!O16+'9'!O16+'10'!O16</f>
        <v>34.171973999999999</v>
      </c>
      <c r="P16" s="105">
        <f t="shared" ref="P16:P24" si="0">M16+N16+O16</f>
        <v>6868.5667739999999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503.64</v>
      </c>
      <c r="M17" s="118">
        <f t="shared" ref="M17:M23" si="2">I17-K17-L17</f>
        <v>5791.86</v>
      </c>
      <c r="N17" s="101">
        <f>+'1'!N17+'2'!N17+'4'!N17+'3'!N17+'5'!N17+'6'!N17+'7'!N17+'8'!N17+'9'!N17+'10'!N17</f>
        <v>1042.5347999999999</v>
      </c>
      <c r="O17" s="101">
        <f>+'1'!O17+'2'!O17+'4'!O17+'3'!O17+'5'!O17+'6'!O17+'7'!O17+'8'!O17+'9'!O17+'10'!O17</f>
        <v>34.171973999999999</v>
      </c>
      <c r="P17" s="120">
        <f t="shared" si="0"/>
        <v>6868.5667739999999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50</v>
      </c>
      <c r="I18" s="1">
        <f t="shared" si="1"/>
        <v>2623.125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209.85</v>
      </c>
      <c r="M18" s="118">
        <f t="shared" si="2"/>
        <v>2413.2750000000001</v>
      </c>
      <c r="N18" s="101">
        <f>+'1'!N18+'2'!N18+'4'!N18+'3'!N18+'5'!N18+'6'!N18+'7'!N18+'8'!N18+'9'!N18+'10'!N18</f>
        <v>434.3895</v>
      </c>
      <c r="O18" s="101">
        <f>+'1'!O18+'2'!O18+'4'!O18+'3'!O18+'5'!O18+'6'!O18+'7'!O18+'8'!O18+'9'!O18+'10'!O18</f>
        <v>14.238322499999999</v>
      </c>
      <c r="P18" s="120">
        <f t="shared" si="0"/>
        <v>2861.9028224999997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697.34399999999994</v>
      </c>
      <c r="M19" s="118">
        <f t="shared" si="2"/>
        <v>8019.4559999999992</v>
      </c>
      <c r="N19" s="101">
        <f>+'1'!N19+'2'!N19+'4'!N19+'3'!N19+'5'!N19+'6'!N19+'7'!N19+'8'!N19+'9'!N19+'10'!N19</f>
        <v>1443.5020799999998</v>
      </c>
      <c r="O19" s="101">
        <f>+'1'!O19+'2'!O19+'4'!O19+'3'!O19+'5'!O19+'6'!O19+'7'!O19+'8'!O19+'9'!O19+'10'!O19</f>
        <v>47.314790399999993</v>
      </c>
      <c r="P19" s="120">
        <f t="shared" si="0"/>
        <v>9510.2728703999983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962.33471999999995</v>
      </c>
      <c r="O20" s="101">
        <f>+'1'!O20+'2'!O20+'4'!O20+'3'!O20+'5'!O20+'6'!O20+'7'!O20+'8'!O20+'9'!O20+'10'!O20</f>
        <v>31.543193599999999</v>
      </c>
      <c r="P20" s="120">
        <f t="shared" si="0"/>
        <v>6340.1819136000004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962.33471999999995</v>
      </c>
      <c r="O21" s="101">
        <f>+'1'!O21+'2'!O21+'4'!O21+'3'!O21+'5'!O21+'6'!O21+'7'!O21+'8'!O21+'9'!O21+'10'!O21</f>
        <v>31.543193599999999</v>
      </c>
      <c r="P21" s="120">
        <f t="shared" si="0"/>
        <v>6340.1819136000004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14.25</v>
      </c>
      <c r="D25" s="222"/>
      <c r="E25" s="222"/>
      <c r="F25" s="222"/>
      <c r="G25" s="176">
        <f t="shared" ref="G25:M25" si="3">SUM(G16:G24)</f>
        <v>0</v>
      </c>
      <c r="H25" s="177">
        <f t="shared" si="3"/>
        <v>570</v>
      </c>
      <c r="I25" s="178">
        <f t="shared" si="3"/>
        <v>35553.324999999997</v>
      </c>
      <c r="J25" s="177">
        <f t="shared" si="3"/>
        <v>0</v>
      </c>
      <c r="K25" s="178">
        <f t="shared" si="3"/>
        <v>0</v>
      </c>
      <c r="L25" s="179">
        <f t="shared" si="3"/>
        <v>2844.2660000000001</v>
      </c>
      <c r="M25" s="141">
        <f t="shared" si="3"/>
        <v>32709.058999999997</v>
      </c>
      <c r="N25" s="142">
        <f>SUM(N16:N24)</f>
        <v>5887.6306199999999</v>
      </c>
      <c r="O25" s="143">
        <f>SUM(O16:O24)</f>
        <v>192.98344809999998</v>
      </c>
      <c r="P25" s="144">
        <f>SUM(P16:P24)</f>
        <v>38789.673068099997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38789.673068099997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35553.324999999997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2844.2660000000001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32709.058999999997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5887.6306199999999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38596.689619999997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964.91724049999993</v>
      </c>
    </row>
    <row r="42" spans="1:21" ht="15.75" customHeight="1" thickBot="1" x14ac:dyDescent="0.4">
      <c r="N42" s="220" t="s">
        <v>92</v>
      </c>
      <c r="O42" s="221"/>
      <c r="P42" s="160">
        <f>P40+P41</f>
        <v>39561.606860499996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9.36328125" bestFit="1" customWidth="1"/>
    <col min="12" max="12" width="8.36328125" bestFit="1" customWidth="1"/>
    <col min="13" max="13" width="11.90625" bestFit="1" customWidth="1"/>
    <col min="14" max="14" width="8.7265625" style="69" bestFit="1" customWidth="1"/>
    <col min="15" max="15" width="7.81640625" bestFit="1" customWidth="1"/>
    <col min="16" max="16" width="8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108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0</v>
      </c>
      <c r="K16" s="104">
        <f>I16*$K$13</f>
        <v>0</v>
      </c>
      <c r="L16" s="105">
        <f>I16*8%</f>
        <v>503.64</v>
      </c>
      <c r="M16" s="106">
        <f>I16-K16-L16</f>
        <v>5791.86</v>
      </c>
      <c r="N16" s="106">
        <f t="shared" ref="N16:N24" si="0">(M16*$N$15)+(J16*F16)*$N$15</f>
        <v>1042.5347999999999</v>
      </c>
      <c r="O16" s="107">
        <f t="shared" ref="O16:O24" si="1">(N16+M16)*$O$15</f>
        <v>34.171973999999999</v>
      </c>
      <c r="P16" s="105">
        <f t="shared" ref="P16:P24" si="2">M16+N16+O16</f>
        <v>6868.5667739999999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3">(G17*D17)*F17+H17*F17</f>
        <v>6295.5</v>
      </c>
      <c r="J17" s="117">
        <v>0</v>
      </c>
      <c r="K17" s="1">
        <f t="shared" ref="K17:K21" si="4">I17*$K$13</f>
        <v>0</v>
      </c>
      <c r="L17" s="105">
        <f t="shared" ref="L17:L21" si="5">I17*8%</f>
        <v>503.64</v>
      </c>
      <c r="M17" s="118">
        <f t="shared" ref="M17:M23" si="6">I17-K17-L17</f>
        <v>5791.86</v>
      </c>
      <c r="N17" s="118">
        <f t="shared" si="0"/>
        <v>1042.5347999999999</v>
      </c>
      <c r="O17" s="119">
        <f t="shared" si="1"/>
        <v>34.171973999999999</v>
      </c>
      <c r="P17" s="120">
        <f t="shared" si="2"/>
        <v>6868.5667739999999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50</v>
      </c>
      <c r="I18" s="116">
        <f t="shared" si="3"/>
        <v>2623.125</v>
      </c>
      <c r="J18" s="117">
        <v>0</v>
      </c>
      <c r="K18" s="1">
        <f t="shared" si="4"/>
        <v>0</v>
      </c>
      <c r="L18" s="105">
        <f t="shared" si="5"/>
        <v>209.85</v>
      </c>
      <c r="M18" s="118">
        <f t="shared" si="6"/>
        <v>2413.2750000000001</v>
      </c>
      <c r="N18" s="118">
        <f t="shared" si="0"/>
        <v>434.3895</v>
      </c>
      <c r="O18" s="119">
        <f t="shared" si="1"/>
        <v>14.238322499999999</v>
      </c>
      <c r="P18" s="120">
        <f t="shared" si="2"/>
        <v>2861.9028224999997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3"/>
        <v>8716.7999999999993</v>
      </c>
      <c r="J19" s="117">
        <v>0</v>
      </c>
      <c r="K19" s="1">
        <f t="shared" si="4"/>
        <v>0</v>
      </c>
      <c r="L19" s="105">
        <f t="shared" si="5"/>
        <v>697.34399999999994</v>
      </c>
      <c r="M19" s="118">
        <f t="shared" si="6"/>
        <v>8019.4559999999992</v>
      </c>
      <c r="N19" s="118">
        <f t="shared" si="0"/>
        <v>1443.5020799999998</v>
      </c>
      <c r="O19" s="119">
        <f t="shared" si="1"/>
        <v>47.314790399999993</v>
      </c>
      <c r="P19" s="120">
        <f t="shared" si="2"/>
        <v>9510.2728703999983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3"/>
        <v>5811.2</v>
      </c>
      <c r="J20" s="117">
        <v>0</v>
      </c>
      <c r="K20" s="1">
        <f t="shared" si="4"/>
        <v>0</v>
      </c>
      <c r="L20" s="105">
        <f t="shared" si="5"/>
        <v>464.89600000000002</v>
      </c>
      <c r="M20" s="118">
        <f t="shared" si="6"/>
        <v>5346.3040000000001</v>
      </c>
      <c r="N20" s="118">
        <f t="shared" si="0"/>
        <v>962.33471999999995</v>
      </c>
      <c r="O20" s="119">
        <f t="shared" si="1"/>
        <v>31.543193599999999</v>
      </c>
      <c r="P20" s="120">
        <f t="shared" si="2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0</v>
      </c>
      <c r="K21" s="1">
        <f t="shared" si="4"/>
        <v>0</v>
      </c>
      <c r="L21" s="105">
        <f t="shared" si="5"/>
        <v>464.89600000000002</v>
      </c>
      <c r="M21" s="118">
        <f t="shared" si="6"/>
        <v>5346.3040000000001</v>
      </c>
      <c r="N21" s="118">
        <f t="shared" si="0"/>
        <v>962.33471999999995</v>
      </c>
      <c r="O21" s="119">
        <f t="shared" si="1"/>
        <v>31.543193599999999</v>
      </c>
      <c r="P21" s="120">
        <f t="shared" si="2"/>
        <v>6340.1819136000004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570</v>
      </c>
      <c r="I25" s="137">
        <f t="shared" si="9"/>
        <v>35553.324999999997</v>
      </c>
      <c r="J25" s="183">
        <f>SUM(J16:J21)</f>
        <v>0</v>
      </c>
      <c r="K25" s="139">
        <f t="shared" si="9"/>
        <v>0</v>
      </c>
      <c r="L25" s="140">
        <f t="shared" si="9"/>
        <v>2844.2660000000001</v>
      </c>
      <c r="M25" s="141">
        <f t="shared" si="9"/>
        <v>32709.058999999997</v>
      </c>
      <c r="N25" s="142">
        <f>SUM(N16:N24)</f>
        <v>5887.6306199999999</v>
      </c>
      <c r="O25" s="143">
        <f>SUM(O16:O24)</f>
        <v>192.98344809999998</v>
      </c>
      <c r="P25" s="144">
        <f>SUM(P16:P24)</f>
        <v>38789.673068099997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35553.324999999997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2844.2660000000001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32709.058999999997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5887.6306199999999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38596.689619999997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192.9834481</v>
      </c>
    </row>
    <row r="35" spans="2:16" ht="15.75" customHeight="1" thickBot="1" x14ac:dyDescent="0.4">
      <c r="N35" s="220" t="s">
        <v>92</v>
      </c>
      <c r="O35" s="221"/>
      <c r="P35" s="160">
        <f>P33+P34</f>
        <v>38789.673068099997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2026-07-21T09:28:55Z</dcterms:modified>
</cp:coreProperties>
</file>