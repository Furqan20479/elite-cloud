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A9874A7-2EBC-4746-8611-46160F7501A1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6" i="16"/>
  <c r="K16" i="15" s="1"/>
  <c r="L16" i="16"/>
  <c r="L16" i="15" s="1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6" i="15" l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<sst xmlns="http://schemas.openxmlformats.org/spreadsheetml/2006/main" count="1579" uniqueCount="107">
  <si>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</si>
  <si>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</si>
  <si>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</si>
  <si>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</si>
  <si>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</si>
  <si>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</si>
  <si>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</si>
  <si>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</si>
  <si>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</si>
  <si>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</si>
  <si>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</si>
  <si>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</si>
  <si>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</si>
  <si>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</si>
  <si>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</si>
  <si>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</si>
  <si>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</si>
  <si>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</si>
  <si>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</si>
  <si>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</si>
  <si>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</si>
  <si>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</si>
  <si>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</si>
  <si>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</si>
  <si>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</si>
  <si>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</si>
  <si>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</si>
  <si>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</si>
  <si>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</si>
  <si>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</si>
  <si>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</si>
  <si>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</si>
  <si>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</si>
  <si>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</si>
  <si>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</si>
  <si>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</si>
  <si>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</si>
  <si>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</si>
  <si>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</si>
  <si>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</si>
  <si>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</si>
  <si>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</si>
  <si>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</si>
  <si>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</si>
  <si>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</si>
  <si>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</si>
  <si>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</si>
  <si>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</si>
  <si>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</si>
  <si>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</si>
  <si>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</si>
  <si>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</si>
  <si>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</si>
  <si>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</si>
  <si>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</si>
  <si>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</si>
  <si>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</si>
  <si>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</si>
  <si>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</si>
  <si>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</si>
  <si>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</si>
  <si>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</si>
  <si>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</si>
  <si>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</si>
  <si>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</si>
  <si>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</si>
  <si>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</si>
  <si>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</si>
  <si>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</si>
  <si>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</si>
  <si>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</si>
  <si>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</si>
  <si>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</si>
  <si>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</si>
  <si>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</si>
  <si>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</si>
  <si>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</si>
  <si>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</si>
  <si>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</si>
  <si>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</si>
  <si>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</si>
  <si>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</si>
  <si>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</si>
  <si>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</si>
  <si>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</si>
  <si>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</si>
  <si>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</si>
  <si>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</si>
  <si>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</si>
  <si>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</si>
  <si>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</si>
  <si>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</si>
  <si>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</si>
  <si>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</si>
  <si>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</si>
  <si>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</si>
  <si>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</si>
  <si>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</si>
  <si>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</si>
  <si>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</si>
  <si>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</si>
  <si>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</si>
  <si>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</si>
  <si>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Manavan (Risen)</t>
  </si>
  <si>
    <t>Shop Bill Summary (Manavan (Risen))</t>
  </si>
  <si>
    <t>Customer Name : Manawa (Risen)</t>
  </si>
  <si>
    <t>Address: Manawan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</si>
</sst>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103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Manawa (Risen)</v>
      </c>
      <c r="U14" s="163">
        <f>+'1'!P35</f>
        <v>25744.067839499996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6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881.37000000000012</v>
      </c>
      <c r="M16" s="105">
        <f>I16-K16-L16</f>
        <v>5414.13</v>
      </c>
      <c r="N16" s="100">
        <f>+'1'!N16+'2'!N16+'4'!N16+'3'!N16+'5'!N16+'6'!N16+'7'!N16+'8'!N16+'9'!N16+'10'!N16</f>
        <v>1031.2029</v>
      </c>
      <c r="O16" s="100">
        <f>+'1'!O16+'2'!O16+'4'!O16+'3'!O16+'5'!O16+'6'!O16+'7'!O16+'8'!O16+'9'!O16+'10'!O16</f>
        <v>32.226664500000005</v>
      </c>
      <c r="P16" s="104">
        <f t="shared" ref="P16:P24" si="0">M16+N16+O16</f>
        <v>6477.5595645000003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687.46860000000004</v>
      </c>
      <c r="O17" s="100">
        <f>+'1'!O17+'2'!O17+'4'!O17+'3'!O17+'5'!O17+'6'!O17+'7'!O17+'8'!O17+'9'!O17+'10'!O17</f>
        <v>21.484443000000002</v>
      </c>
      <c r="P17" s="119">
        <f t="shared" si="0"/>
        <v>4318.3730430000005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406.78400000000005</v>
      </c>
      <c r="M20" s="117">
        <f t="shared" si="2"/>
        <v>2498.8159999999998</v>
      </c>
      <c r="N20" s="100">
        <f>+'1'!N20+'2'!N20+'4'!N20+'3'!N20+'5'!N20+'6'!N20+'7'!N20+'8'!N20+'9'!N20+'10'!N20</f>
        <v>475.93727999999993</v>
      </c>
      <c r="O20" s="100">
        <f>+'1'!O20+'2'!O20+'4'!O20+'3'!O20+'5'!O20+'6'!O20+'7'!O20+'8'!O20+'9'!O20+'10'!O20</f>
        <v>14.873766399999999</v>
      </c>
      <c r="P20" s="119">
        <f t="shared" si="0"/>
        <v>2989.6270463999999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1427.8118399999998</v>
      </c>
      <c r="O21" s="100">
        <f>+'1'!O21+'2'!O21+'4'!O21+'3'!O21+'5'!O21+'6'!O21+'7'!O21+'8'!O21+'9'!O21+'10'!O21</f>
        <v>44.621299199999996</v>
      </c>
      <c r="P21" s="119">
        <f t="shared" si="0"/>
        <v>8968.8811391999989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10</v>
      </c>
      <c r="D25" s="205"/>
      <c r="E25" s="205"/>
      <c r="F25" s="205"/>
      <c r="G25" s="175">
        <f t="shared" ref="G25:M25" si="3">SUM(G16:G24)</f>
        <v>0</v>
      </c>
      <c r="H25" s="176">
        <f t="shared" si="3"/>
        <v>400</v>
      </c>
      <c r="I25" s="177">
        <f t="shared" si="3"/>
        <v>25020.5</v>
      </c>
      <c r="J25" s="176">
        <f t="shared" si="3"/>
        <v>20</v>
      </c>
      <c r="K25" s="177">
        <f t="shared" si="3"/>
        <v>0</v>
      </c>
      <c r="L25" s="178">
        <f t="shared" si="3"/>
        <v>3502.8700000000008</v>
      </c>
      <c r="M25" s="140">
        <f t="shared" si="3"/>
        <v>21517.629999999997</v>
      </c>
      <c r="N25" s="141">
        <f>SUM(N16:N24)</f>
        <v>4098.3579</v>
      </c>
      <c r="O25" s="142">
        <f>SUM(O16:O24)</f>
        <v>128.07993949999999</v>
      </c>
      <c r="P25" s="143">
        <f>SUM(P16:P24)</f>
        <v>25744.0678395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25744.067839499996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1">
        <f>I25</f>
        <v>25020.5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2">
        <f>L25</f>
        <v>3502.8700000000008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3">
        <f>K25</f>
        <v>0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2">
        <f>P32-P33-P34</f>
        <v>21517.629999999997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4" t="s">
        <v>89</v>
      </c>
      <c r="O36" s="155">
        <f>IF(B12="Registered",18%,22%)</f>
        <v>0.22</v>
      </c>
      <c r="P36" s="152">
        <f>N25</f>
        <v>4098.3579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2">
        <f>P35+P36</f>
        <v>25615.987899999996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6"/>
      <c r="N38" s="157" t="s">
        <v>91</v>
      </c>
      <c r="O38" s="158">
        <f>IF(B11="Filer",0.5%,2.5%)</f>
        <v>2.5000000000000001E-2</v>
      </c>
      <c r="P38" s="152">
        <f>O38*P37</f>
        <v>640.3996975</v>
      </c>
    </row>
    <row r="39" spans="2:16" ht="15.75" customHeight="1" thickBot="1" x14ac:dyDescent="0.4">
      <c r="N39" s="203" t="s">
        <v>92</v>
      </c>
      <c r="O39" s="204"/>
      <c r="P39" s="159">
        <f>P37+P38</f>
        <v>26256.387597499997</v>
      </c>
    </row>
    <row r="40" spans="2:16" ht="15" thickBot="1" x14ac:dyDescent="0.4">
      <c r="B40" s="160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4" workbookViewId="0">
      <selection activeCell="B12" sqref="B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6</v>
      </c>
      <c r="K16" s="103">
        <f>I16*$K$13</f>
        <v>0</v>
      </c>
      <c r="L16" s="104">
        <f>I16*14%</f>
        <v>881.37000000000012</v>
      </c>
      <c r="M16" s="105">
        <f>I16-K16-L16</f>
        <v>5414.13</v>
      </c>
      <c r="N16" s="105">
        <f t="shared" ref="N16:N24" si="0">(M16*$N$15)+(J16*F16)*$N$15</f>
        <v>1031.2029</v>
      </c>
      <c r="O16" s="106">
        <f t="shared" ref="O16:O24" si="1">(N16+M16)*$O$15</f>
        <v>32.226664500000005</v>
      </c>
      <c r="P16" s="104">
        <f t="shared" ref="P16:P24" si="2">M16+N16+O16</f>
        <v>6477.5595645000003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687.46860000000004</v>
      </c>
      <c r="O17" s="118">
        <f t="shared" si="1"/>
        <v>21.484443000000002</v>
      </c>
      <c r="P17" s="119">
        <f t="shared" si="2"/>
        <v>4318.3730430000005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">
        <f t="shared" si="4"/>
        <v>0</v>
      </c>
      <c r="L20" s="104">
        <f t="shared" si="5"/>
        <v>406.78400000000005</v>
      </c>
      <c r="M20" s="117">
        <f t="shared" si="6"/>
        <v>2498.8159999999998</v>
      </c>
      <c r="N20" s="117">
        <f t="shared" si="0"/>
        <v>475.93727999999993</v>
      </c>
      <c r="O20" s="118">
        <f t="shared" si="1"/>
        <v>14.873766399999999</v>
      </c>
      <c r="P20" s="119">
        <f t="shared" si="2"/>
        <v>2989.6270463999999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>
        <v>6</v>
      </c>
      <c r="K21" s="1">
        <f t="shared" si="4"/>
        <v>0</v>
      </c>
      <c r="L21" s="104">
        <f t="shared" si="5"/>
        <v>1220.3520000000001</v>
      </c>
      <c r="M21" s="117">
        <f t="shared" si="6"/>
        <v>7496.4479999999994</v>
      </c>
      <c r="N21" s="117">
        <f t="shared" si="0"/>
        <v>1427.8118399999998</v>
      </c>
      <c r="O21" s="118">
        <f t="shared" si="1"/>
        <v>44.621299199999996</v>
      </c>
      <c r="P21" s="119">
        <f t="shared" si="2"/>
        <v>8968.8811391999989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400</v>
      </c>
      <c r="I25" s="136">
        <f t="shared" si="9"/>
        <v>25020.5</v>
      </c>
      <c r="J25" s="137"/>
      <c r="K25" s="138">
        <f t="shared" si="9"/>
        <v>0</v>
      </c>
      <c r="L25" s="139">
        <f t="shared" si="9"/>
        <v>3502.8700000000008</v>
      </c>
      <c r="M25" s="140">
        <f t="shared" si="9"/>
        <v>21517.629999999997</v>
      </c>
      <c r="N25" s="141">
        <f>SUM(N16:N24)</f>
        <v>4098.3579</v>
      </c>
      <c r="O25" s="142">
        <f>SUM(O16:O24)</f>
        <v>128.07993949999999</v>
      </c>
      <c r="P25" s="143">
        <f>SUM(P16:P24)</f>
        <v>25744.0678395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25020.5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3502.8700000000008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21517.629999999997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4098.3579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25615.987899999996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128.07993949999999</v>
      </c>
    </row>
    <row r="35" spans="2:16" ht="15.75" customHeight="1" thickBot="1" x14ac:dyDescent="0.4">
      <c r="N35" s="203" t="s">
        <v>92</v>
      </c>
      <c r="O35" s="204"/>
      <c r="P35" s="159">
        <f>P33+P34</f>
        <v>25744.067839499996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46212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46211</v>
      </c>
      <c r="O5" s="230"/>
      <c r="P5" s="230"/>
      <c r="R5" s="70"/>
      <c r="S5" s="71"/>
    </row>
    <row r="6" spans="1:19 16383:16384" ht="15" customHeight="1" x14ac:dyDescent="0.35">
      <c r="A6" s="229" t="s">
        <v>106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2026-07-09T07:47:00Z</dcterms:modified>
</cp:coreProperties>
</file>