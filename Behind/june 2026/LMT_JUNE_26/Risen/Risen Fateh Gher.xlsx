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7AE9C4B-3D09-4004-AFE2-A06FA294D2C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2" i="16" l="1"/>
  <c r="H23" i="16"/>
  <c r="H24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M20" i="16" s="1"/>
  <c r="N20" i="16" s="1"/>
  <c r="K18" i="16"/>
  <c r="K18" i="15" s="1"/>
  <c r="L18" i="16"/>
  <c r="L18" i="15" s="1"/>
  <c r="K16" i="16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16" i="16" l="1"/>
  <c r="N16" i="16" s="1"/>
  <c r="L20" i="15"/>
  <c r="M20" i="15" s="1"/>
  <c r="M18" i="15"/>
  <c r="M21" i="15"/>
  <c r="M24" i="16"/>
  <c r="N24" i="16" s="1"/>
  <c r="M17" i="15"/>
  <c r="M18" i="16"/>
  <c r="N18" i="16" s="1"/>
  <c r="O18" i="16" s="1"/>
  <c r="O18" i="15" s="1"/>
  <c r="L25" i="16"/>
  <c r="P29" i="16" s="1"/>
  <c r="M22" i="16"/>
  <c r="N22" i="16" s="1"/>
  <c r="N22" i="15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N18" i="15" l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<sst xmlns="http://schemas.openxmlformats.org/spreadsheetml/2006/main" count="1599" uniqueCount="127">
  <si>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</si>
  <si>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</si>
  <si>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</si>
  <si>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</si>
  <si>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</si>
  <si>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</si>
  <si>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</si>
  <si>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</si>
  <si>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</si>
  <si>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</si>
  <si>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</si>
  <si>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</si>
  <si>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</si>
  <si>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</si>
  <si>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</si>
  <si>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</si>
  <si>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</si>
  <si>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</si>
  <si>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</si>
  <si>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</si>
  <si>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</si>
  <si>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</si>
  <si>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</si>
  <si>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</si>
  <si>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</si>
  <si>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</si>
  <si>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</si>
  <si>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</si>
  <si>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</si>
  <si>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</si>
  <si>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</si>
  <si>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</si>
  <si>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</si>
  <si>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</si>
  <si>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</si>
  <si>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</si>
  <si>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</si>
  <si>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</si>
  <si>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</si>
  <si>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</si>
  <si>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</si>
  <si>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</si>
  <si>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</si>
  <si>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</si>
  <si>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</si>
  <si>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</si>
  <si>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</si>
  <si>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</si>
  <si>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</si>
  <si>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</si>
  <si>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</si>
  <si>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</si>
  <si>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</si>
  <si>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</si>
  <si>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</si>
  <si>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</si>
  <si>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</si>
  <si>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</si>
  <si>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</si>
  <si>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</si>
  <si>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</si>
  <si>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</si>
  <si>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</si>
  <si>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</si>
  <si>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</si>
  <si>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</si>
  <si>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</si>
  <si>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</si>
  <si>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</si>
  <si>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</si>
  <si>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</si>
  <si>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</si>
  <si>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</si>
  <si>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</si>
  <si>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</si>
  <si>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</si>
  <si>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</si>
  <si>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</si>
  <si>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</si>
  <si>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</si>
  <si>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</si>
  <si>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</si>
  <si>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</si>
  <si>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</si>
  <si>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</si>
  <si>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</si>
  <si>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</si>
  <si>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</si>
  <si>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</si>
  <si>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</si>
  <si>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</si>
  <si>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</si>
  <si>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</si>
  <si>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</si>
  <si>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</si>
  <si>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</si>
  <si>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</si>
  <si>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</si>
  <si>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</si>
  <si>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</si>
  <si>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</si>
  <si>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</si>
  <si>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</si>
  <si>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</si>
  <si>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</si>
  <si>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</si>
  <si>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</si>
  <si>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</si>
  <si>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</si>
  <si>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</si>
  <si>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</si>
  <si>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</si>
  <si>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</si>
  <si>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</si>
  <si>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</si>
  <si>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</si>
  <si>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</si>
  <si>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</si>
  <si>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</si>
  <si>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</si>
  <si>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</si>
  <si>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</si>
  <si>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</si>
  <si>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Address: Fateh gher Mughalpura</t>
  </si>
  <si>
    <t>9725069-2</t>
  </si>
  <si>
    <t>327787628553-1</t>
  </si>
  <si>
    <t xml:space="preserve">Customer Name : Rafaqat 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</si>
</sst>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24" zoomScale="70" zoomScaleNormal="70" workbookViewId="0">
      <selection activeCell="J25" sqref="J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122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Rafaqat Sons </v>
      </c>
      <c r="U14" s="164">
        <f>+'1'!P35</f>
        <v>127588.78708499999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2937.9</v>
      </c>
      <c r="M16" s="106">
        <f>I16-K16-L16</f>
        <v>18047.099999999999</v>
      </c>
      <c r="N16" s="101">
        <f>+'1'!N16+'2'!N16+'4'!N16+'3'!N16+'5'!N16+'6'!N16+'7'!N16+'8'!N16+'9'!N16+'10'!N16</f>
        <v>3248.4779999999996</v>
      </c>
      <c r="O16" s="101">
        <f>+'1'!O16+'2'!O16+'4'!O16+'3'!O16+'5'!O16+'6'!O16+'7'!O16+'8'!O16+'9'!O16+'10'!O16</f>
        <v>106.47788999999999</v>
      </c>
      <c r="P16" s="105">
        <f t="shared" ref="P16:P24" si="0">M16+N16+O16</f>
        <v>21402.055889999996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1468.95</v>
      </c>
      <c r="M17" s="118">
        <f t="shared" ref="M17:M23" si="2">I17-K17-L17</f>
        <v>9023.5499999999993</v>
      </c>
      <c r="N17" s="101">
        <f>+'1'!N17+'2'!N17+'4'!N17+'3'!N17+'5'!N17+'6'!N17+'7'!N17+'8'!N17+'9'!N17+'10'!N17</f>
        <v>1624.2389999999998</v>
      </c>
      <c r="O17" s="101">
        <f>+'1'!O17+'2'!O17+'4'!O17+'3'!O17+'5'!O17+'6'!O17+'7'!O17+'8'!O17+'9'!O17+'10'!O17</f>
        <v>53.238944999999994</v>
      </c>
      <c r="P17" s="120">
        <f t="shared" si="0"/>
        <v>10701.027944999998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400</v>
      </c>
      <c r="I18" s="1">
        <f t="shared" si="1"/>
        <v>20985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2937.9</v>
      </c>
      <c r="M18" s="118">
        <f t="shared" si="2"/>
        <v>18047.099999999999</v>
      </c>
      <c r="N18" s="101">
        <f>+'1'!N18+'2'!N18+'4'!N18+'3'!N18+'5'!N18+'6'!N18+'7'!N18+'8'!N18+'9'!N18+'10'!N18</f>
        <v>3248.4779999999996</v>
      </c>
      <c r="O18" s="101">
        <f>+'1'!O18+'2'!O18+'4'!O18+'3'!O18+'5'!O18+'6'!O18+'7'!O18+'8'!O18+'9'!O18+'10'!O18</f>
        <v>106.47788999999999</v>
      </c>
      <c r="P18" s="120">
        <f t="shared" si="0"/>
        <v>21402.055889999996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400</v>
      </c>
      <c r="I19" s="1">
        <f t="shared" si="1"/>
        <v>29056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4067.8400000000006</v>
      </c>
      <c r="M19" s="118">
        <f t="shared" si="2"/>
        <v>24988.16</v>
      </c>
      <c r="N19" s="101">
        <f>+'1'!N19+'2'!N19+'4'!N19+'3'!N19+'5'!N19+'6'!N19+'7'!N19+'8'!N19+'9'!N19+'10'!N19</f>
        <v>4497.8688000000002</v>
      </c>
      <c r="O19" s="101">
        <f>+'1'!O19+'2'!O19+'4'!O19+'3'!O19+'5'!O19+'6'!O19+'7'!O19+'8'!O19+'9'!O19+'10'!O19</f>
        <v>147.43014400000001</v>
      </c>
      <c r="P19" s="120">
        <f t="shared" si="0"/>
        <v>29633.458944000002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200</v>
      </c>
      <c r="I20" s="1">
        <f t="shared" si="1"/>
        <v>14528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2033.9200000000003</v>
      </c>
      <c r="M20" s="118">
        <f t="shared" si="2"/>
        <v>12494.08</v>
      </c>
      <c r="N20" s="101">
        <f>+'1'!N20+'2'!N20+'4'!N20+'3'!N20+'5'!N20+'6'!N20+'7'!N20+'8'!N20+'9'!N20+'10'!N20</f>
        <v>2248.9344000000001</v>
      </c>
      <c r="O20" s="101">
        <f>+'1'!O20+'2'!O20+'4'!O20+'3'!O20+'5'!O20+'6'!O20+'7'!O20+'8'!O20+'9'!O20+'10'!O20</f>
        <v>73.715072000000006</v>
      </c>
      <c r="P20" s="120">
        <f t="shared" si="0"/>
        <v>14816.729472000001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400</v>
      </c>
      <c r="I21" s="1">
        <f t="shared" si="1"/>
        <v>29056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4067.8400000000006</v>
      </c>
      <c r="M21" s="118">
        <f t="shared" si="2"/>
        <v>24988.16</v>
      </c>
      <c r="N21" s="101">
        <f>+'1'!N21+'2'!N21+'4'!N21+'3'!N21+'5'!N21+'6'!N21+'7'!N21+'8'!N21+'9'!N21+'10'!N21</f>
        <v>4497.8688000000002</v>
      </c>
      <c r="O21" s="101">
        <f>+'1'!O21+'2'!O21+'4'!O21+'3'!O21+'5'!O21+'6'!O21+'7'!O21+'8'!O21+'9'!O21+'10'!O21</f>
        <v>147.43014400000001</v>
      </c>
      <c r="P21" s="120">
        <f t="shared" si="0"/>
        <v>29633.458944000002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2000</v>
      </c>
      <c r="I25" s="178">
        <f t="shared" si="3"/>
        <v>125102.5</v>
      </c>
      <c r="J25" s="177">
        <f t="shared" si="3"/>
        <v>0</v>
      </c>
      <c r="K25" s="178">
        <f t="shared" si="3"/>
        <v>0</v>
      </c>
      <c r="L25" s="179">
        <f t="shared" si="3"/>
        <v>17514.350000000002</v>
      </c>
      <c r="M25" s="141">
        <f t="shared" si="3"/>
        <v>107588.15000000001</v>
      </c>
      <c r="N25" s="142">
        <f>SUM(N16:N24)</f>
        <v>19365.866999999998</v>
      </c>
      <c r="O25" s="143">
        <f>SUM(O16:O24)</f>
        <v>634.77008499999999</v>
      </c>
      <c r="P25" s="144">
        <f>SUM(P16:P24)</f>
        <v>127588.78708499999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127588.78708499999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125102.5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17514.350000000002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107588.15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19365.866999999998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126954.01699999999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3173.8504250000001</v>
      </c>
    </row>
    <row r="35" spans="2:16" ht="15.75" customHeight="1" thickBot="1" x14ac:dyDescent="0.4">
      <c r="N35" s="200" t="s">
        <v>92</v>
      </c>
      <c r="O35" s="201"/>
      <c r="P35" s="160">
        <f>P33+P34</f>
        <v>130127.86742499999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1001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v>46182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126</v>
      </c>
      <c r="B5" s="249"/>
      <c r="C5" s="249"/>
      <c r="F5" s="70"/>
      <c r="G5" s="71"/>
      <c r="K5" s="226" t="s">
        <v>51</v>
      </c>
      <c r="L5" s="226"/>
      <c r="M5" s="226"/>
      <c r="N5" s="240">
        <f>N4-1</f>
        <v>46181</v>
      </c>
      <c r="O5" s="227"/>
      <c r="P5" s="227"/>
      <c r="R5" s="70"/>
      <c r="S5" s="71"/>
    </row>
    <row r="6" spans="1:19 16383:16384" ht="15" customHeight="1" x14ac:dyDescent="0.35">
      <c r="A6" s="226" t="s">
        <v>123</v>
      </c>
      <c r="B6" s="226"/>
      <c r="C6" s="226"/>
      <c r="F6" s="70"/>
      <c r="G6" s="74"/>
      <c r="K6" s="226" t="s">
        <v>52</v>
      </c>
      <c r="L6" s="226"/>
      <c r="M6" s="226"/>
      <c r="N6" s="239" t="s">
        <v>106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124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 t="s">
        <v>125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400</v>
      </c>
      <c r="I16" s="102">
        <f>(G16*D16)*F16+H16*F16</f>
        <v>20985</v>
      </c>
      <c r="J16" s="103"/>
      <c r="K16" s="104">
        <f>I16*$K$13</f>
        <v>0</v>
      </c>
      <c r="L16" s="105">
        <f>I16*14%</f>
        <v>2937.9</v>
      </c>
      <c r="M16" s="106">
        <f>I16-K16-L16</f>
        <v>18047.099999999999</v>
      </c>
      <c r="N16" s="106">
        <f t="shared" ref="N16:N24" si="0">(M16*$N$15)+(J16*F16)*$N$15</f>
        <v>3248.4779999999996</v>
      </c>
      <c r="O16" s="107">
        <f t="shared" ref="O16:O24" si="1">(N16+M16)*$O$15</f>
        <v>106.47788999999999</v>
      </c>
      <c r="P16" s="105">
        <f t="shared" ref="P16:P24" si="2">M16+N16+O16</f>
        <v>21402.055889999996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01">
        <v>200</v>
      </c>
      <c r="I17" s="116">
        <f t="shared" ref="I17:I23" si="3">(G17*D17)*F17+H17*F17</f>
        <v>10492.5</v>
      </c>
      <c r="J17" s="117"/>
      <c r="K17" s="1">
        <f t="shared" ref="K17:K21" si="4">I17*$K$13</f>
        <v>0</v>
      </c>
      <c r="L17" s="105">
        <f t="shared" ref="L17:L21" si="5">I17*14%</f>
        <v>1468.95</v>
      </c>
      <c r="M17" s="118">
        <f t="shared" ref="M17:M23" si="6">I17-K17-L17</f>
        <v>9023.5499999999993</v>
      </c>
      <c r="N17" s="118">
        <f t="shared" si="0"/>
        <v>1624.2389999999998</v>
      </c>
      <c r="O17" s="119">
        <f t="shared" si="1"/>
        <v>53.238944999999994</v>
      </c>
      <c r="P17" s="120">
        <f t="shared" si="2"/>
        <v>10701.027944999998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01">
        <v>400</v>
      </c>
      <c r="I18" s="116">
        <f t="shared" si="3"/>
        <v>20985</v>
      </c>
      <c r="J18" s="117"/>
      <c r="K18" s="1">
        <f t="shared" si="4"/>
        <v>0</v>
      </c>
      <c r="L18" s="105">
        <f t="shared" si="5"/>
        <v>2937.9</v>
      </c>
      <c r="M18" s="118">
        <f t="shared" si="6"/>
        <v>18047.099999999999</v>
      </c>
      <c r="N18" s="118">
        <f t="shared" si="0"/>
        <v>3248.4779999999996</v>
      </c>
      <c r="O18" s="119">
        <f t="shared" si="1"/>
        <v>106.47788999999999</v>
      </c>
      <c r="P18" s="120">
        <f t="shared" si="2"/>
        <v>21402.055889999996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01">
        <v>400</v>
      </c>
      <c r="I19" s="116">
        <f t="shared" si="3"/>
        <v>29056</v>
      </c>
      <c r="J19" s="117"/>
      <c r="K19" s="1">
        <f t="shared" si="4"/>
        <v>0</v>
      </c>
      <c r="L19" s="105">
        <f t="shared" si="5"/>
        <v>4067.8400000000006</v>
      </c>
      <c r="M19" s="118">
        <f t="shared" si="6"/>
        <v>24988.16</v>
      </c>
      <c r="N19" s="118">
        <f t="shared" si="0"/>
        <v>4497.8688000000002</v>
      </c>
      <c r="O19" s="119">
        <f t="shared" si="1"/>
        <v>147.43014400000001</v>
      </c>
      <c r="P19" s="120">
        <f t="shared" si="2"/>
        <v>29633.458944000002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01">
        <v>200</v>
      </c>
      <c r="I20" s="116">
        <f t="shared" si="3"/>
        <v>14528</v>
      </c>
      <c r="J20" s="117"/>
      <c r="K20" s="1">
        <f t="shared" si="4"/>
        <v>0</v>
      </c>
      <c r="L20" s="105">
        <f t="shared" si="5"/>
        <v>2033.9200000000003</v>
      </c>
      <c r="M20" s="118">
        <f t="shared" si="6"/>
        <v>12494.08</v>
      </c>
      <c r="N20" s="118">
        <f t="shared" si="0"/>
        <v>2248.9344000000001</v>
      </c>
      <c r="O20" s="119">
        <f t="shared" si="1"/>
        <v>73.715072000000006</v>
      </c>
      <c r="P20" s="120">
        <f t="shared" si="2"/>
        <v>14816.729472000001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01">
        <v>400</v>
      </c>
      <c r="I21" s="116">
        <f t="shared" si="3"/>
        <v>29056</v>
      </c>
      <c r="J21" s="117"/>
      <c r="K21" s="1">
        <f t="shared" si="4"/>
        <v>0</v>
      </c>
      <c r="L21" s="105">
        <f t="shared" si="5"/>
        <v>4067.8400000000006</v>
      </c>
      <c r="M21" s="118">
        <f t="shared" si="6"/>
        <v>24988.16</v>
      </c>
      <c r="N21" s="118">
        <f t="shared" si="0"/>
        <v>4497.8688000000002</v>
      </c>
      <c r="O21" s="119">
        <f t="shared" si="1"/>
        <v>147.43014400000001</v>
      </c>
      <c r="P21" s="120">
        <f t="shared" si="2"/>
        <v>29633.458944000002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>
        <f t="shared" ref="H22:H24" si="7">G22*40</f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01">
        <f t="shared" si="7"/>
        <v>0</v>
      </c>
      <c r="I23" s="116">
        <f t="shared" si="3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01">
        <f t="shared" si="7"/>
        <v>0</v>
      </c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10">SUM(G16:G24)</f>
        <v>0</v>
      </c>
      <c r="H25" s="136">
        <f t="shared" si="10"/>
        <v>2000</v>
      </c>
      <c r="I25" s="137">
        <f t="shared" si="10"/>
        <v>125102.5</v>
      </c>
      <c r="J25" s="138"/>
      <c r="K25" s="139">
        <f t="shared" si="10"/>
        <v>0</v>
      </c>
      <c r="L25" s="140">
        <f t="shared" si="10"/>
        <v>17514.350000000002</v>
      </c>
      <c r="M25" s="141">
        <f t="shared" si="10"/>
        <v>107588.15000000001</v>
      </c>
      <c r="N25" s="142">
        <f>SUM(N16:N24)</f>
        <v>19365.866999999998</v>
      </c>
      <c r="O25" s="143">
        <f>SUM(O16:O24)</f>
        <v>634.77008499999999</v>
      </c>
      <c r="P25" s="144">
        <f>SUM(P16:P24)</f>
        <v>127588.78708499999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125102.5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17514.350000000002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107588.15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19365.866999999998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126954.01699999999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634.77008499999999</v>
      </c>
    </row>
    <row r="35" spans="2:16" ht="15.75" customHeight="1" thickBot="1" x14ac:dyDescent="0.4">
      <c r="N35" s="200" t="s">
        <v>92</v>
      </c>
      <c r="O35" s="201"/>
      <c r="P35" s="160">
        <f>P33+P34</f>
        <v>127588.78708499999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111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113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114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115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116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118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119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120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117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46303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46302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2026-10-08T08:53:24Z</dcterms:modified>
</cp:coreProperties>
</file>