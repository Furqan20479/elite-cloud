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59E4C21-78D4-4351-954B-6F0119DEF01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  <definedName name="_xlnm.Print_Area" localSheetId="4">'2'!$A$1:$P$36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5" i="17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M16" i="16"/>
  <c r="N16" i="16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22" i="15" l="1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<sst xmlns="http://schemas.openxmlformats.org/spreadsheetml/2006/main" count="1599" uniqueCount="112">
  <si>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</si>
  <si>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</si>
  <si>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</si>
  <si>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</si>
  <si>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</si>
  <si>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</si>
  <si>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</si>
  <si>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</si>
  <si>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</si>
  <si>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</si>
  <si>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</si>
  <si>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</si>
  <si>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</si>
  <si>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</si>
  <si>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</si>
  <si>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</si>
  <si>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</si>
  <si>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</si>
  <si>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</si>
  <si>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</si>
  <si>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</si>
  <si>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</si>
  <si>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</si>
  <si>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</si>
  <si>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</si>
  <si>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</si>
  <si>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</si>
  <si>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</si>
  <si>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</si>
  <si>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</si>
  <si>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</si>
  <si>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</si>
  <si>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</si>
  <si>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</si>
  <si>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</si>
  <si>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</si>
  <si>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</si>
  <si>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</si>
  <si>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</si>
  <si>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</si>
  <si>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</si>
  <si>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</si>
  <si>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</si>
  <si>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</si>
  <si>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</si>
  <si>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</si>
  <si>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</si>
  <si>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</si>
  <si>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</si>
  <si>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</si>
  <si>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</si>
  <si>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</si>
  <si>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</si>
  <si>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</si>
  <si>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</si>
  <si>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</si>
  <si>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</si>
  <si>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</si>
  <si>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</si>
  <si>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</si>
  <si>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</si>
  <si>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</si>
  <si>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</si>
  <si>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</si>
  <si>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</si>
  <si>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</si>
  <si>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</si>
  <si>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</si>
  <si>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</si>
  <si>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</si>
  <si>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</si>
  <si>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</si>
  <si>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</si>
  <si>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</si>
  <si>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</si>
  <si>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</si>
  <si>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</si>
  <si>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</si>
  <si>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</si>
  <si>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</si>
  <si>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</si>
  <si>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</si>
  <si>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</si>
  <si>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</si>
  <si>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</si>
  <si>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</si>
  <si>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</si>
  <si>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</si>
  <si>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</si>
  <si>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</si>
  <si>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</si>
  <si>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</si>
  <si>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</si>
  <si>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</si>
  <si>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</si>
  <si>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</si>
  <si>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</si>
  <si>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</si>
  <si>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</si>
  <si>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</si>
  <si>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</si>
  <si>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</si>
  <si>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</si>
  <si>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</si>
  <si>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</si>
  <si>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</si>
  <si>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</si>
  <si>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</si>
  <si>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</si>
  <si>
    <t>Customer Name : Jalal Sons  (Bahria Orchard)</t>
  </si>
  <si>
    <t>Address: Bahria Orchard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</si>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</sst>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8" t="s">
        <v>45</v>
      </c>
      <c r="B2" s="198"/>
      <c r="C2" s="198"/>
    </row>
    <row r="3" spans="1:21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03" t="s">
        <v>108</v>
      </c>
      <c r="B5" s="203"/>
      <c r="C5" s="203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21 16383:16384" x14ac:dyDescent="0.35">
      <c r="A6" s="203"/>
      <c r="B6" s="203"/>
      <c r="C6" s="203"/>
      <c r="F6" s="70"/>
      <c r="G6" s="74"/>
      <c r="K6" s="200" t="s">
        <v>52</v>
      </c>
      <c r="L6" s="200"/>
      <c r="M6" s="200"/>
      <c r="N6" s="202" t="s">
        <v>42</v>
      </c>
      <c r="O6" s="202"/>
      <c r="P6" s="20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21 16383:16384" ht="16.5" customHeight="1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21 16383:16384" x14ac:dyDescent="0.35">
      <c r="A10" s="205"/>
      <c r="B10" s="75"/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21 16383:16384" ht="15" thickBot="1" x14ac:dyDescent="0.4">
      <c r="A11" s="205"/>
      <c r="B11" s="76"/>
      <c r="C11" s="77"/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21 16383:16384" ht="14.65" customHeight="1" x14ac:dyDescent="0.35">
      <c r="A12" s="205"/>
      <c r="B12" s="76"/>
      <c r="C12" s="77"/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T12" s="214" t="s">
        <v>102</v>
      </c>
      <c r="U12" s="215"/>
      <c r="XFD12" t="s">
        <v>62</v>
      </c>
    </row>
    <row r="13" spans="1:21 16383:16384" ht="15" thickBot="1" x14ac:dyDescent="0.4">
      <c r="A13" s="242"/>
      <c r="J13" s="78"/>
      <c r="K13" s="78"/>
      <c r="L13" s="79">
        <v>0.05</v>
      </c>
      <c r="T13" s="216"/>
      <c r="U13" s="217"/>
      <c r="XFD13" t="s">
        <v>63</v>
      </c>
    </row>
    <row r="14" spans="1:21 16383:16384" ht="29.25" customHeight="1" x14ac:dyDescent="0.6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08" t="s">
        <v>68</v>
      </c>
      <c r="H14" s="209"/>
      <c r="I14" s="209" t="s">
        <v>69</v>
      </c>
      <c r="J14" s="209" t="s">
        <v>70</v>
      </c>
      <c r="K14" s="209"/>
      <c r="L14" s="211"/>
      <c r="M14" s="21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8786.6651519999978</v>
      </c>
      <c r="XFD14" t="s">
        <v>75</v>
      </c>
    </row>
    <row r="15" spans="1:21 16383:16384" ht="29.25" customHeight="1" thickBot="1" x14ac:dyDescent="0.65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0"/>
      <c r="J15" s="169" t="s">
        <v>78</v>
      </c>
      <c r="K15" s="169" t="s">
        <v>79</v>
      </c>
      <c r="L15" s="172" t="s">
        <v>80</v>
      </c>
      <c r="M15" s="21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(Bahria Orchard)</v>
      </c>
      <c r="U15" s="163">
        <f>+'2'!P35</f>
        <v>14644.441919999999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871.68</v>
      </c>
      <c r="M19" s="117">
        <f t="shared" si="2"/>
        <v>4939.5199999999995</v>
      </c>
      <c r="N19" s="100">
        <f>+'1'!N19+'2'!N19+'4'!N19+'3'!N19+'5'!N19+'6'!N19+'7'!N19+'8'!N19+'9'!N19+'10'!N19</f>
        <v>889.11359999999991</v>
      </c>
      <c r="O19" s="100">
        <f>+'1'!O19+'2'!O19+'4'!O19+'3'!O19+'5'!O19+'6'!O19+'7'!O19+'8'!O19+'9'!O19+'10'!O19</f>
        <v>29.143167999999996</v>
      </c>
      <c r="P19" s="119">
        <f t="shared" si="0"/>
        <v>5857.7767679999988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871.68</v>
      </c>
      <c r="M20" s="117">
        <f t="shared" si="2"/>
        <v>4939.5199999999995</v>
      </c>
      <c r="N20" s="100">
        <f>+'1'!N20+'2'!N20+'4'!N20+'3'!N20+'5'!N20+'6'!N20+'7'!N20+'8'!N20+'9'!N20+'10'!N20</f>
        <v>889.11359999999991</v>
      </c>
      <c r="O20" s="100">
        <f>+'1'!O20+'2'!O20+'4'!O20+'3'!O20+'5'!O20+'6'!O20+'7'!O20+'8'!O20+'9'!O20+'10'!O20</f>
        <v>29.143167999999996</v>
      </c>
      <c r="P20" s="119">
        <f t="shared" si="0"/>
        <v>5857.7767679999988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160</v>
      </c>
      <c r="I21" s="1">
        <f t="shared" si="1"/>
        <v>11622.4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1743.3599999999997</v>
      </c>
      <c r="M21" s="117">
        <f t="shared" si="2"/>
        <v>9879.0400000000009</v>
      </c>
      <c r="N21" s="100">
        <f>+'1'!N21+'2'!N21+'4'!N21+'3'!N21+'5'!N21+'6'!N21+'7'!N21+'8'!N21+'9'!N21+'10'!N21</f>
        <v>1778.2271999999998</v>
      </c>
      <c r="O21" s="100">
        <f>+'1'!O21+'2'!O21+'4'!O21+'3'!O21+'5'!O21+'6'!O21+'7'!O21+'8'!O21+'9'!O21+'10'!O21</f>
        <v>58.286335999999991</v>
      </c>
      <c r="P21" s="119">
        <f t="shared" si="0"/>
        <v>11715.553535999999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24" t="s">
        <v>84</v>
      </c>
      <c r="B25" s="225"/>
      <c r="C25" s="226">
        <f>H25/40</f>
        <v>8</v>
      </c>
      <c r="D25" s="220"/>
      <c r="E25" s="220"/>
      <c r="F25" s="220"/>
      <c r="G25" s="174">
        <f t="shared" ref="G25:M25" si="3">SUM(G16:G24)</f>
        <v>0</v>
      </c>
      <c r="H25" s="175">
        <f t="shared" si="3"/>
        <v>320</v>
      </c>
      <c r="I25" s="176">
        <f t="shared" si="3"/>
        <v>23244.799999999999</v>
      </c>
      <c r="J25" s="175">
        <f t="shared" si="3"/>
        <v>0</v>
      </c>
      <c r="K25" s="176">
        <f t="shared" si="3"/>
        <v>0</v>
      </c>
      <c r="L25" s="177">
        <f t="shared" si="3"/>
        <v>3486.7199999999993</v>
      </c>
      <c r="M25" s="140">
        <f t="shared" si="3"/>
        <v>19758.080000000002</v>
      </c>
      <c r="N25" s="141">
        <f>SUM(N16:N24)</f>
        <v>3556.4543999999996</v>
      </c>
      <c r="O25" s="142">
        <f>SUM(O16:O24)</f>
        <v>116.57267199999998</v>
      </c>
      <c r="P25" s="143">
        <f>SUM(P16:P24)</f>
        <v>23431.107071999999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23431.107071999999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7" t="s">
        <v>85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N32" s="236" t="s">
        <v>86</v>
      </c>
      <c r="O32" s="237"/>
      <c r="P32" s="151">
        <f>I25</f>
        <v>23244.799999999999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N33" s="238" t="s">
        <v>87</v>
      </c>
      <c r="O33" s="239"/>
      <c r="P33" s="152">
        <f>L25</f>
        <v>3486.7199999999993</v>
      </c>
    </row>
    <row r="34" spans="2:16" ht="15" customHeight="1" x14ac:dyDescent="0.35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N34" s="238" t="s">
        <v>4</v>
      </c>
      <c r="O34" s="239"/>
      <c r="P34" s="153">
        <f>K25</f>
        <v>0</v>
      </c>
    </row>
    <row r="35" spans="2:16" ht="15" customHeight="1" x14ac:dyDescent="0.35">
      <c r="B35" s="230"/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M35" s="2"/>
      <c r="N35" s="238" t="s">
        <v>88</v>
      </c>
      <c r="O35" s="239"/>
      <c r="P35" s="152">
        <f>P32-P33-P34</f>
        <v>19758.080000000002</v>
      </c>
    </row>
    <row r="36" spans="2:16" ht="15" customHeight="1" x14ac:dyDescent="0.35">
      <c r="B36" s="230"/>
      <c r="C36" s="231"/>
      <c r="D36" s="231"/>
      <c r="E36" s="231"/>
      <c r="F36" s="231"/>
      <c r="G36" s="231"/>
      <c r="H36" s="231"/>
      <c r="I36" s="231"/>
      <c r="J36" s="231"/>
      <c r="K36" s="231"/>
      <c r="L36" s="232"/>
      <c r="M36" s="2"/>
      <c r="N36" s="154" t="s">
        <v>89</v>
      </c>
      <c r="O36" s="155">
        <f>IF(B12="Registered",18%,22%)</f>
        <v>0.22</v>
      </c>
      <c r="P36" s="152">
        <f>N25</f>
        <v>3556.4543999999996</v>
      </c>
    </row>
    <row r="37" spans="2:16" ht="15" customHeight="1" x14ac:dyDescent="0.35">
      <c r="B37" s="230"/>
      <c r="C37" s="231"/>
      <c r="D37" s="231"/>
      <c r="E37" s="231"/>
      <c r="F37" s="231"/>
      <c r="G37" s="231"/>
      <c r="H37" s="231"/>
      <c r="I37" s="231"/>
      <c r="J37" s="231"/>
      <c r="K37" s="231"/>
      <c r="L37" s="232"/>
      <c r="M37" s="2"/>
      <c r="N37" s="240" t="s">
        <v>90</v>
      </c>
      <c r="O37" s="241"/>
      <c r="P37" s="152">
        <f>P35+P36</f>
        <v>23314.5344</v>
      </c>
    </row>
    <row r="38" spans="2:16" ht="15" customHeight="1" thickBot="1" x14ac:dyDescent="0.4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156"/>
      <c r="N38" s="157" t="s">
        <v>91</v>
      </c>
      <c r="O38" s="158">
        <f>IF(B11="Filer",0.5%,2.5%)</f>
        <v>2.5000000000000001E-2</v>
      </c>
      <c r="P38" s="152">
        <f>O38*P37</f>
        <v>582.86336000000006</v>
      </c>
    </row>
    <row r="39" spans="2:16" ht="15.75" customHeight="1" thickBot="1" x14ac:dyDescent="0.4">
      <c r="N39" s="218" t="s">
        <v>92</v>
      </c>
      <c r="O39" s="219"/>
      <c r="P39" s="159">
        <f>P37+P38</f>
        <v>23897.39776</v>
      </c>
    </row>
    <row r="40" spans="2:16" ht="15" thickBot="1" x14ac:dyDescent="0.4">
      <c r="B40" s="160" t="s">
        <v>93</v>
      </c>
      <c r="C40" s="220"/>
      <c r="D40" s="220"/>
      <c r="E40" s="220"/>
      <c r="F40" s="220"/>
      <c r="G40" s="220"/>
      <c r="H40" s="220"/>
      <c r="I40" s="221"/>
      <c r="J40" s="222"/>
      <c r="K40" s="223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107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111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435.84</v>
      </c>
      <c r="M19" s="117">
        <f t="shared" si="6"/>
        <v>2469.7599999999998</v>
      </c>
      <c r="N19" s="117">
        <f t="shared" si="0"/>
        <v>444.55679999999995</v>
      </c>
      <c r="O19" s="118">
        <f t="shared" si="1"/>
        <v>14.571583999999998</v>
      </c>
      <c r="P19" s="119">
        <f t="shared" si="2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435.84</v>
      </c>
      <c r="M21" s="117">
        <f t="shared" si="6"/>
        <v>2469.7599999999998</v>
      </c>
      <c r="N21" s="117">
        <f t="shared" si="0"/>
        <v>444.55679999999995</v>
      </c>
      <c r="O21" s="118">
        <f t="shared" si="1"/>
        <v>14.571583999999998</v>
      </c>
      <c r="P21" s="119">
        <f t="shared" si="2"/>
        <v>2928.8883839999994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120</v>
      </c>
      <c r="I25" s="136">
        <f t="shared" si="9"/>
        <v>8716.7999999999993</v>
      </c>
      <c r="J25" s="137"/>
      <c r="K25" s="138">
        <f t="shared" si="9"/>
        <v>0</v>
      </c>
      <c r="L25" s="139">
        <f t="shared" si="9"/>
        <v>1307.52</v>
      </c>
      <c r="M25" s="140">
        <f t="shared" si="9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8716.7999999999993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1307.52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7409.2799999999988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1333.6704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8742.9503999999979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43.71475199999999</v>
      </c>
    </row>
    <row r="35" spans="2:16" ht="15.75" customHeight="1" thickBot="1" x14ac:dyDescent="0.4">
      <c r="N35" s="218" t="s">
        <v>92</v>
      </c>
      <c r="O35" s="219"/>
      <c r="P35" s="159">
        <f>P33+P34</f>
        <v>8786.6651519999978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0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109</v>
      </c>
      <c r="B5" s="245"/>
      <c r="C5" s="245"/>
      <c r="F5" s="70"/>
      <c r="G5" s="71"/>
      <c r="K5" s="200" t="s">
        <v>51</v>
      </c>
      <c r="L5" s="200"/>
      <c r="M5" s="200"/>
      <c r="N5" s="201">
        <f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110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111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435.84</v>
      </c>
      <c r="M19" s="117">
        <f t="shared" si="5"/>
        <v>2469.7599999999998</v>
      </c>
      <c r="N19" s="117">
        <f t="shared" si="0"/>
        <v>444.55679999999995</v>
      </c>
      <c r="O19" s="118">
        <f t="shared" si="6"/>
        <v>14.571583999999998</v>
      </c>
      <c r="P19" s="119">
        <f t="shared" si="1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435.84</v>
      </c>
      <c r="M20" s="117">
        <f t="shared" si="5"/>
        <v>2469.7599999999998</v>
      </c>
      <c r="N20" s="117">
        <f t="shared" si="0"/>
        <v>444.55679999999995</v>
      </c>
      <c r="O20" s="118">
        <f t="shared" si="6"/>
        <v>14.571583999999998</v>
      </c>
      <c r="P20" s="119">
        <f t="shared" si="1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">
        <f t="shared" si="3"/>
        <v>0</v>
      </c>
      <c r="L21" s="104">
        <f t="shared" si="4"/>
        <v>1307.5199999999998</v>
      </c>
      <c r="M21" s="117">
        <f t="shared" si="5"/>
        <v>7409.28</v>
      </c>
      <c r="N21" s="117">
        <f t="shared" si="0"/>
        <v>1333.6704</v>
      </c>
      <c r="O21" s="118">
        <f t="shared" si="6"/>
        <v>43.714751999999997</v>
      </c>
      <c r="P21" s="119">
        <f t="shared" si="1"/>
        <v>8786.6651519999996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200</v>
      </c>
      <c r="I25" s="136">
        <f t="shared" si="9"/>
        <v>14528</v>
      </c>
      <c r="J25" s="137"/>
      <c r="K25" s="138">
        <f t="shared" si="9"/>
        <v>0</v>
      </c>
      <c r="L25" s="139">
        <f t="shared" si="9"/>
        <v>2179.1999999999998</v>
      </c>
      <c r="M25" s="140">
        <f t="shared" si="9"/>
        <v>12348.8</v>
      </c>
      <c r="N25" s="141">
        <f>SUM(N16:N24)</f>
        <v>2222.7839999999997</v>
      </c>
      <c r="O25" s="142">
        <f>SUM(O16:O24)</f>
        <v>72.857919999999993</v>
      </c>
      <c r="P25" s="143">
        <f>SUM(P16:P24)</f>
        <v>14644.441919999997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14528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2179.1999999999998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12348.8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2222.7839999999997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14571.583999999999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72.857919999999993</v>
      </c>
    </row>
    <row r="35" spans="2:16" ht="15.75" customHeight="1" thickBot="1" x14ac:dyDescent="0.4">
      <c r="N35" s="218" t="s">
        <v>92</v>
      </c>
      <c r="O35" s="219"/>
      <c r="P35" s="159">
        <f>P33+P34</f>
        <v>14644.441919999999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6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78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2026-07-21T09:42:19Z</dcterms:modified>
</cp:coreProperties>
</file>