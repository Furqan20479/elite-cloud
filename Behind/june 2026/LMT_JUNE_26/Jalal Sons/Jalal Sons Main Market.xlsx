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87C2F34-23E1-4336-8CEB-8972F929DF4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I19" i="16" l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9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0" i="16" l="1"/>
  <c r="L20" i="16"/>
  <c r="K16" i="16"/>
  <c r="L16" i="16"/>
  <c r="K18" i="16"/>
  <c r="L18" i="16"/>
  <c r="L18" i="15" s="1"/>
  <c r="L21" i="16"/>
  <c r="L21" i="15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N16" i="18"/>
  <c r="N16" i="15" s="1"/>
  <c r="M18" i="16"/>
  <c r="N18" i="16" s="1"/>
  <c r="N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18" i="16" l="1"/>
  <c r="O18" i="15" s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<sst xmlns="http://schemas.openxmlformats.org/spreadsheetml/2006/main" count="1579" uniqueCount="107">
  <si>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</si>
  <si>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</si>
  <si>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</si>
  <si>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</si>
  <si>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</si>
  <si>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</si>
  <si>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</si>
  <si>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</si>
  <si>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</si>
  <si>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</si>
  <si>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</si>
  <si>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</si>
  <si>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</si>
  <si>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</si>
  <si>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</si>
  <si>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</si>
  <si>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</si>
  <si>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</si>
  <si>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</si>
  <si>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</si>
  <si>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</si>
  <si>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</si>
  <si>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</si>
  <si>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</si>
  <si>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</si>
  <si>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</si>
  <si>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</si>
  <si>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</si>
  <si>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</si>
  <si>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</si>
  <si>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</si>
  <si>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</si>
  <si>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</si>
  <si>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</si>
  <si>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</si>
  <si>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</si>
  <si>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</si>
  <si>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</si>
  <si>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</si>
  <si>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</si>
  <si>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</si>
  <si>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</si>
  <si>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</si>
  <si>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</si>
  <si>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</si>
  <si>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</si>
  <si>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</si>
  <si>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</si>
  <si>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</si>
  <si>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</si>
  <si>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</si>
  <si>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</si>
  <si>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</si>
  <si>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</si>
  <si>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</si>
  <si>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</si>
  <si>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</si>
  <si>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</si>
  <si>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</si>
  <si>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</si>
  <si>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</si>
  <si>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</si>
  <si>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</si>
  <si>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</si>
  <si>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</si>
  <si>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</si>
  <si>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</si>
  <si>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</si>
  <si>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</si>
  <si>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</si>
  <si>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</si>
  <si>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</si>
  <si>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</si>
  <si>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</si>
  <si>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</si>
  <si>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</si>
  <si>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</si>
  <si>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</si>
  <si>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</si>
  <si>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</si>
  <si>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</si>
  <si>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</si>
  <si>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</si>
  <si>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</si>
  <si>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</si>
  <si>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</si>
  <si>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</si>
  <si>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</si>
  <si>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</si>
  <si>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</si>
  <si>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</si>
  <si>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</si>
  <si>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</si>
  <si>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</si>
  <si>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</si>
  <si>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</si>
  <si>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</si>
  <si>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</si>
  <si>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</si>
  <si>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</si>
  <si>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</si>
  <si>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</si>
  <si>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</si>
  <si>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</si>
  <si>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1010737-1</t>
  </si>
  <si>
    <t xml:space="preserve">Customer Name : Jalal Sons </t>
  </si>
  <si>
    <t xml:space="preserve">Address: DHA H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</si>
</sst>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3" sqref="B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Jalal Sons </v>
      </c>
      <c r="U14" s="163">
        <f>+'1'!P35</f>
        <v>87878.609839124998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Jalal Sons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1573.875</v>
      </c>
      <c r="M16" s="105">
        <f>I16-K16-L16</f>
        <v>8918.625</v>
      </c>
      <c r="N16" s="100">
        <f>+'1'!N16+'2'!N16+'4'!N16+'3'!N16+'5'!N16+'6'!N16+'7'!N16+'8'!N16+'9'!N16+'10'!N16</f>
        <v>1605.3525</v>
      </c>
      <c r="O16" s="100">
        <f>+'1'!O16+'2'!O16+'4'!O16+'3'!O16+'5'!O16+'6'!O16+'7'!O16+'8'!O16+'9'!O16+'10'!O16</f>
        <v>52.619887500000004</v>
      </c>
      <c r="P16" s="104">
        <f t="shared" ref="P16:P24" si="0">M16+N16+O16</f>
        <v>10576.597387500002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200</v>
      </c>
      <c r="I17" s="1">
        <f t="shared" ref="I17:I23" si="1">(G17*D17)*F17+H17*F17</f>
        <v>10492.5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1573.875</v>
      </c>
      <c r="M17" s="117">
        <f t="shared" ref="M17:M23" si="2">I17-K17-L17</f>
        <v>8918.625</v>
      </c>
      <c r="N17" s="100">
        <f>+'1'!N17+'2'!N17+'4'!N17+'3'!N17+'5'!N17+'6'!N17+'7'!N17+'8'!N17+'9'!N17+'10'!N17</f>
        <v>1605.3525</v>
      </c>
      <c r="O17" s="100">
        <f>+'1'!O17+'2'!O17+'4'!O17+'3'!O17+'5'!O17+'6'!O17+'7'!O17+'8'!O17+'9'!O17+'10'!O17</f>
        <v>52.619887500000004</v>
      </c>
      <c r="P17" s="119">
        <f t="shared" si="0"/>
        <v>10576.597387500002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270</v>
      </c>
      <c r="I18" s="1">
        <f t="shared" si="1"/>
        <v>14164.875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2124.7312499999998</v>
      </c>
      <c r="M18" s="117">
        <f t="shared" si="2"/>
        <v>12040.143749999999</v>
      </c>
      <c r="N18" s="100">
        <f>+'1'!N18+'2'!N18+'4'!N18+'3'!N18+'5'!N18+'6'!N18+'7'!N18+'8'!N18+'9'!N18+'10'!N18</f>
        <v>2167.2258749999996</v>
      </c>
      <c r="O18" s="100">
        <f>+'1'!O18+'2'!O18+'4'!O18+'3'!O18+'5'!O18+'6'!O18+'7'!O18+'8'!O18+'9'!O18+'10'!O18</f>
        <v>71.036848124999992</v>
      </c>
      <c r="P18" s="119">
        <f t="shared" si="0"/>
        <v>14278.406473125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2179.1999999999998</v>
      </c>
      <c r="M19" s="117">
        <f t="shared" si="2"/>
        <v>12348.8</v>
      </c>
      <c r="N19" s="100">
        <f>+'1'!N19+'2'!N19+'4'!N19+'3'!N19+'5'!N19+'6'!N19+'7'!N19+'8'!N19+'9'!N19+'10'!N19</f>
        <v>2222.7839999999997</v>
      </c>
      <c r="O19" s="100">
        <f>+'1'!O19+'2'!O19+'4'!O19+'3'!O19+'5'!O19+'6'!O19+'7'!O19+'8'!O19+'9'!O19+'10'!O19</f>
        <v>72.857919999999993</v>
      </c>
      <c r="P19" s="119">
        <f t="shared" si="0"/>
        <v>14644.441919999999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200</v>
      </c>
      <c r="I20" s="1">
        <f t="shared" si="1"/>
        <v>14528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2179.1999999999998</v>
      </c>
      <c r="M20" s="117">
        <f t="shared" si="2"/>
        <v>12348.8</v>
      </c>
      <c r="N20" s="100">
        <f>+'1'!N20+'2'!N20+'4'!N20+'3'!N20+'5'!N20+'6'!N20+'7'!N20+'8'!N20+'9'!N20+'10'!N20</f>
        <v>2222.7839999999997</v>
      </c>
      <c r="O20" s="100">
        <f>+'1'!O20+'2'!O20+'4'!O20+'3'!O20+'5'!O20+'6'!O20+'7'!O20+'8'!O20+'9'!O20+'10'!O20</f>
        <v>72.857919999999993</v>
      </c>
      <c r="P20" s="119">
        <f t="shared" si="0"/>
        <v>14644.441919999999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2179.1999999999998</v>
      </c>
      <c r="M21" s="117">
        <f t="shared" si="2"/>
        <v>12348.8</v>
      </c>
      <c r="N21" s="100">
        <f>+'1'!N21+'2'!N21+'4'!N21+'3'!N21+'5'!N21+'6'!N21+'7'!N21+'8'!N21+'9'!N21+'10'!N21</f>
        <v>2222.7839999999997</v>
      </c>
      <c r="O21" s="100">
        <f>+'1'!O21+'2'!O21+'4'!O21+'3'!O21+'5'!O21+'6'!O21+'7'!O21+'8'!O21+'9'!O21+'10'!O21</f>
        <v>72.857919999999993</v>
      </c>
      <c r="P21" s="119">
        <f t="shared" si="0"/>
        <v>14644.441919999999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200</v>
      </c>
      <c r="I22" s="1">
        <f t="shared" si="1"/>
        <v>7846.0000000000009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274.61000000000007</v>
      </c>
      <c r="L22" s="174">
        <f>+'1'!L22+'2'!L22+'4'!L22+'3'!L22+'5'!L22+'6'!L22+'7'!L22+'8'!L22+'9'!L22+'10'!L22</f>
        <v>392.30000000000007</v>
      </c>
      <c r="M22" s="117">
        <f t="shared" si="2"/>
        <v>7179.0900000000011</v>
      </c>
      <c r="N22" s="100">
        <f>+'1'!N22+'2'!N22+'4'!N22+'3'!N22+'5'!N22+'6'!N22+'7'!N22+'8'!N22+'9'!N22+'10'!N22</f>
        <v>1292.2362000000001</v>
      </c>
      <c r="O22" s="100">
        <f>+'1'!O22+'2'!O22+'4'!O22+'3'!O22+'5'!O22+'6'!O22+'7'!O22+'8'!O22+'9'!O22+'10'!O22</f>
        <v>42.356631000000007</v>
      </c>
      <c r="P22" s="119">
        <f t="shared" si="0"/>
        <v>8513.6828310000019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36.75</v>
      </c>
      <c r="D25" s="221"/>
      <c r="E25" s="221"/>
      <c r="F25" s="221"/>
      <c r="G25" s="175">
        <f t="shared" ref="G25:M25" si="3">SUM(G16:G24)</f>
        <v>0</v>
      </c>
      <c r="H25" s="176">
        <f t="shared" si="3"/>
        <v>1470</v>
      </c>
      <c r="I25" s="177">
        <f t="shared" si="3"/>
        <v>86579.875</v>
      </c>
      <c r="J25" s="176">
        <f t="shared" si="3"/>
        <v>0</v>
      </c>
      <c r="K25" s="177">
        <f t="shared" si="3"/>
        <v>274.61000000000007</v>
      </c>
      <c r="L25" s="178">
        <f t="shared" si="3"/>
        <v>12202.381249999999</v>
      </c>
      <c r="M25" s="140">
        <f t="shared" si="3"/>
        <v>74102.883749999994</v>
      </c>
      <c r="N25" s="141">
        <f>SUM(N16:N24)</f>
        <v>13338.519074999998</v>
      </c>
      <c r="O25" s="142">
        <f>SUM(O16:O24)</f>
        <v>437.20701412499994</v>
      </c>
      <c r="P25" s="143">
        <f>SUM(P16:P24)</f>
        <v>87878.609839124998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87878.609839124998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86579.875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12202.381249999999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274.61000000000007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74102.883749999994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13338.519074999998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87441.402824999997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2186.0350706250001</v>
      </c>
    </row>
    <row r="39" spans="2:16" ht="15.75" customHeight="1" thickBot="1" x14ac:dyDescent="0.4">
      <c r="N39" s="219" t="s">
        <v>92</v>
      </c>
      <c r="O39" s="220"/>
      <c r="P39" s="159">
        <f>P37+P38</f>
        <v>89627.437895625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v>46179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>N4-1</f>
        <v>46178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/>
      <c r="K16" s="103">
        <f>I16*$K$13</f>
        <v>0</v>
      </c>
      <c r="L16" s="104">
        <f>I16*15%</f>
        <v>1573.875</v>
      </c>
      <c r="M16" s="105">
        <f>I16-K16-L16</f>
        <v>8918.625</v>
      </c>
      <c r="N16" s="105">
        <f t="shared" ref="N16:N24" si="0">(M16*$N$15)+(J16*F16)*$N$15</f>
        <v>1605.3525</v>
      </c>
      <c r="O16" s="106">
        <f t="shared" ref="O16:O24" si="1">(N16+M16)*$O$15</f>
        <v>52.619887500000004</v>
      </c>
      <c r="P16" s="104">
        <f t="shared" ref="P16:P24" si="2">M16+N16+O16</f>
        <v>10576.597387500002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200</v>
      </c>
      <c r="I17" s="115">
        <f t="shared" ref="I17:I23" si="3">(G17*D17)*F17+H17*F17</f>
        <v>10492.5</v>
      </c>
      <c r="J17" s="116"/>
      <c r="K17" s="1">
        <f t="shared" ref="K17:K21" si="4">I17*$K$13</f>
        <v>0</v>
      </c>
      <c r="L17" s="104">
        <f t="shared" ref="L17:L21" si="5">I17*15%</f>
        <v>1573.875</v>
      </c>
      <c r="M17" s="117">
        <f t="shared" ref="M17:M23" si="6">I17-K17-L17</f>
        <v>8918.625</v>
      </c>
      <c r="N17" s="117">
        <f t="shared" si="0"/>
        <v>1605.3525</v>
      </c>
      <c r="O17" s="118">
        <f t="shared" si="1"/>
        <v>52.619887500000004</v>
      </c>
      <c r="P17" s="119">
        <f t="shared" si="2"/>
        <v>10576.597387500002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270</v>
      </c>
      <c r="I18" s="115">
        <f t="shared" si="3"/>
        <v>14164.875</v>
      </c>
      <c r="J18" s="116"/>
      <c r="K18" s="1">
        <f t="shared" si="4"/>
        <v>0</v>
      </c>
      <c r="L18" s="104">
        <f t="shared" si="5"/>
        <v>2124.7312499999998</v>
      </c>
      <c r="M18" s="117">
        <f t="shared" si="6"/>
        <v>12040.143749999999</v>
      </c>
      <c r="N18" s="117">
        <f t="shared" si="0"/>
        <v>2167.2258749999996</v>
      </c>
      <c r="O18" s="118">
        <f t="shared" si="1"/>
        <v>71.036848124999992</v>
      </c>
      <c r="P18" s="119">
        <f t="shared" si="2"/>
        <v>14278.406473125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/>
      <c r="K19" s="1">
        <f t="shared" si="4"/>
        <v>0</v>
      </c>
      <c r="L19" s="104">
        <f t="shared" si="5"/>
        <v>2179.1999999999998</v>
      </c>
      <c r="M19" s="117">
        <f t="shared" si="6"/>
        <v>12348.8</v>
      </c>
      <c r="N19" s="117">
        <f t="shared" si="0"/>
        <v>2222.7839999999997</v>
      </c>
      <c r="O19" s="118">
        <f t="shared" si="1"/>
        <v>72.857919999999993</v>
      </c>
      <c r="P19" s="119">
        <f t="shared" si="2"/>
        <v>14644.441919999999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200</v>
      </c>
      <c r="I20" s="115">
        <f t="shared" si="3"/>
        <v>14528</v>
      </c>
      <c r="J20" s="116"/>
      <c r="K20" s="1">
        <f t="shared" si="4"/>
        <v>0</v>
      </c>
      <c r="L20" s="104">
        <f t="shared" si="5"/>
        <v>2179.1999999999998</v>
      </c>
      <c r="M20" s="117">
        <f t="shared" si="6"/>
        <v>12348.8</v>
      </c>
      <c r="N20" s="117">
        <f t="shared" si="0"/>
        <v>2222.7839999999997</v>
      </c>
      <c r="O20" s="118">
        <f t="shared" si="1"/>
        <v>72.857919999999993</v>
      </c>
      <c r="P20" s="119">
        <f t="shared" si="2"/>
        <v>14644.441919999999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/>
      <c r="K21" s="1">
        <f t="shared" si="4"/>
        <v>0</v>
      </c>
      <c r="L21" s="104">
        <f t="shared" si="5"/>
        <v>2179.1999999999998</v>
      </c>
      <c r="M21" s="117">
        <f t="shared" si="6"/>
        <v>12348.8</v>
      </c>
      <c r="N21" s="117">
        <f t="shared" si="0"/>
        <v>2222.7839999999997</v>
      </c>
      <c r="O21" s="118">
        <f t="shared" si="1"/>
        <v>72.857919999999993</v>
      </c>
      <c r="P21" s="119">
        <f t="shared" si="2"/>
        <v>14644.441919999999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200</v>
      </c>
      <c r="I22" s="115">
        <f t="shared" si="3"/>
        <v>7846.0000000000009</v>
      </c>
      <c r="J22" s="116"/>
      <c r="K22" s="1">
        <f>I22*3.5%</f>
        <v>274.61000000000007</v>
      </c>
      <c r="L22" s="119">
        <f>I22*5%</f>
        <v>392.30000000000007</v>
      </c>
      <c r="M22" s="117">
        <f t="shared" si="6"/>
        <v>7179.0900000000011</v>
      </c>
      <c r="N22" s="117">
        <f t="shared" si="0"/>
        <v>1292.2362000000001</v>
      </c>
      <c r="O22" s="118">
        <f t="shared" si="1"/>
        <v>42.356631000000007</v>
      </c>
      <c r="P22" s="119">
        <f t="shared" si="2"/>
        <v>8513.6828310000019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1470</v>
      </c>
      <c r="I25" s="136">
        <f t="shared" si="9"/>
        <v>86579.875</v>
      </c>
      <c r="J25" s="137"/>
      <c r="K25" s="138">
        <f t="shared" si="9"/>
        <v>274.61000000000007</v>
      </c>
      <c r="L25" s="139">
        <f t="shared" si="9"/>
        <v>12202.381249999999</v>
      </c>
      <c r="M25" s="140">
        <f t="shared" si="9"/>
        <v>74102.883749999994</v>
      </c>
      <c r="N25" s="141">
        <f>SUM(N16:N24)</f>
        <v>13338.519074999998</v>
      </c>
      <c r="O25" s="142">
        <f>SUM(O16:O24)</f>
        <v>437.20701412499994</v>
      </c>
      <c r="P25" s="143">
        <f>SUM(P16:P24)</f>
        <v>87878.609839124998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86579.875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12202.381249999999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274.61000000000007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74102.883749999994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13338.519074999998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87441.402824999997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437.207014125</v>
      </c>
    </row>
    <row r="35" spans="2:16" ht="15.75" customHeight="1" thickBot="1" x14ac:dyDescent="0.4">
      <c r="N35" s="219" t="s">
        <v>92</v>
      </c>
      <c r="O35" s="220"/>
      <c r="P35" s="159">
        <f>P33+P34</f>
        <v>87878.609839124998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2026-07-21T07:57:23Z</dcterms:modified>
</cp:coreProperties>
</file>