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56049F7C-0F29-4306-9E9A-F5ED0F588D08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4">'2'!$A$1:$Q$37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C22" i="32"/>
  <c r="B22" i="32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L16" i="28" s="1"/>
  <c r="I17" i="28"/>
  <c r="L17" i="28" s="1"/>
  <c r="I18" i="28"/>
  <c r="L18" i="28" s="1"/>
  <c r="I19" i="28"/>
  <c r="L19" i="28" s="1"/>
  <c r="I20" i="28"/>
  <c r="L20" i="28" s="1"/>
  <c r="I21" i="28"/>
  <c r="L21" i="28" s="1"/>
  <c r="I22" i="28"/>
  <c r="I23" i="28"/>
  <c r="K23" i="28" s="1"/>
  <c r="I24" i="28"/>
  <c r="I22" i="32"/>
  <c r="I18" i="33"/>
  <c r="I20" i="33"/>
  <c r="L20" i="33" s="1"/>
  <c r="K17" i="33"/>
  <c r="L17" i="33"/>
  <c r="I16" i="30"/>
  <c r="L16" i="30" s="1"/>
  <c r="I17" i="30"/>
  <c r="L17" i="30" s="1"/>
  <c r="I18" i="30"/>
  <c r="L18" i="30" s="1"/>
  <c r="I19" i="30"/>
  <c r="L19" i="30" s="1"/>
  <c r="I20" i="30"/>
  <c r="L20" i="30" s="1"/>
  <c r="I21" i="30"/>
  <c r="L21" i="30" s="1"/>
  <c r="I22" i="30"/>
  <c r="I23" i="30"/>
  <c r="I24" i="30"/>
  <c r="I16" i="32"/>
  <c r="L16" i="32" s="1"/>
  <c r="I17" i="32"/>
  <c r="L17" i="32" s="1"/>
  <c r="I18" i="32"/>
  <c r="L18" i="32" s="1"/>
  <c r="I19" i="32"/>
  <c r="L19" i="32" s="1"/>
  <c r="I20" i="32"/>
  <c r="L20" i="32" s="1"/>
  <c r="I21" i="32"/>
  <c r="L21" i="32" s="1"/>
  <c r="I16" i="33"/>
  <c r="L16" i="33" s="1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K24" i="31" s="1"/>
  <c r="I23" i="32"/>
  <c r="L23" i="32" s="1"/>
  <c r="M23" i="32" s="1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L22" i="34" s="1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L24" i="29" s="1"/>
  <c r="M24" i="29" s="1"/>
  <c r="I24" i="32"/>
  <c r="K24" i="32" s="1"/>
  <c r="M24" i="32" s="1"/>
  <c r="I19" i="33"/>
  <c r="L19" i="33" s="1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M22" i="35" s="1"/>
  <c r="L22" i="35"/>
  <c r="K23" i="35"/>
  <c r="L23" i="35"/>
  <c r="M23" i="35" s="1"/>
  <c r="K24" i="35"/>
  <c r="L24" i="35"/>
  <c r="K17" i="34"/>
  <c r="K18" i="34"/>
  <c r="K23" i="34"/>
  <c r="M23" i="34" s="1"/>
  <c r="L23" i="34"/>
  <c r="K24" i="34"/>
  <c r="K21" i="33"/>
  <c r="K22" i="33"/>
  <c r="L22" i="33"/>
  <c r="K19" i="33"/>
  <c r="K23" i="33"/>
  <c r="K24" i="33"/>
  <c r="L24" i="33"/>
  <c r="M17" i="33"/>
  <c r="K16" i="33"/>
  <c r="L24" i="32"/>
  <c r="K17" i="32"/>
  <c r="K18" i="32"/>
  <c r="K21" i="32"/>
  <c r="K23" i="32"/>
  <c r="K22" i="32"/>
  <c r="L22" i="32"/>
  <c r="K17" i="31"/>
  <c r="L24" i="31"/>
  <c r="K16" i="31"/>
  <c r="L23" i="31"/>
  <c r="K18" i="30"/>
  <c r="K20" i="30"/>
  <c r="K23" i="30"/>
  <c r="L23" i="30"/>
  <c r="K19" i="30"/>
  <c r="K22" i="30"/>
  <c r="L22" i="30"/>
  <c r="K24" i="30"/>
  <c r="L24" i="30"/>
  <c r="K24" i="29"/>
  <c r="K20" i="29"/>
  <c r="K22" i="29"/>
  <c r="K18" i="29"/>
  <c r="K23" i="29"/>
  <c r="K16" i="28"/>
  <c r="K17" i="28"/>
  <c r="M17" i="28"/>
  <c r="K18" i="28"/>
  <c r="K19" i="28"/>
  <c r="K20" i="28"/>
  <c r="K21" i="28"/>
  <c r="K22" i="28"/>
  <c r="L22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17" i="30" l="1"/>
  <c r="M24" i="31"/>
  <c r="I16" i="27"/>
  <c r="L16" i="27" s="1"/>
  <c r="I17" i="27"/>
  <c r="L17" i="27" s="1"/>
  <c r="I18" i="27"/>
  <c r="L18" i="27" s="1"/>
  <c r="I19" i="27"/>
  <c r="L19" i="27" s="1"/>
  <c r="I20" i="27"/>
  <c r="L20" i="27" s="1"/>
  <c r="I22" i="27"/>
  <c r="I23" i="27"/>
  <c r="I24" i="27"/>
  <c r="K17" i="29"/>
  <c r="K25" i="29" s="1"/>
  <c r="P30" i="29" s="1"/>
  <c r="K21" i="29"/>
  <c r="K16" i="30"/>
  <c r="K20" i="32"/>
  <c r="K25" i="32" s="1"/>
  <c r="P30" i="32" s="1"/>
  <c r="K16" i="32"/>
  <c r="M24" i="33"/>
  <c r="K22" i="34"/>
  <c r="K19" i="29"/>
  <c r="M19" i="29" s="1"/>
  <c r="N19" i="29" s="1"/>
  <c r="O19" i="29" s="1"/>
  <c r="L19" i="29"/>
  <c r="M24" i="34"/>
  <c r="K20" i="34"/>
  <c r="L20" i="34"/>
  <c r="L25" i="34" s="1"/>
  <c r="P29" i="34" s="1"/>
  <c r="K19" i="31"/>
  <c r="L19" i="31"/>
  <c r="L23" i="28"/>
  <c r="L25" i="28" s="1"/>
  <c r="P29" i="28" s="1"/>
  <c r="I25" i="28"/>
  <c r="P28" i="28" s="1"/>
  <c r="M24" i="30"/>
  <c r="M23" i="30"/>
  <c r="K18" i="33"/>
  <c r="K25" i="33" s="1"/>
  <c r="P30" i="33" s="1"/>
  <c r="L18" i="33"/>
  <c r="L25" i="33" s="1"/>
  <c r="P29" i="33" s="1"/>
  <c r="K16" i="29"/>
  <c r="I25" i="30"/>
  <c r="P28" i="30" s="1"/>
  <c r="K21" i="30"/>
  <c r="M21" i="30" s="1"/>
  <c r="N21" i="30" s="1"/>
  <c r="O21" i="30" s="1"/>
  <c r="K20" i="31"/>
  <c r="M20" i="31" s="1"/>
  <c r="N20" i="31" s="1"/>
  <c r="O20" i="31" s="1"/>
  <c r="K21" i="31"/>
  <c r="K19" i="32"/>
  <c r="I25" i="32"/>
  <c r="P28" i="32" s="1"/>
  <c r="M18" i="33"/>
  <c r="N18" i="33" s="1"/>
  <c r="O18" i="33" s="1"/>
  <c r="K20" i="33"/>
  <c r="K21" i="34"/>
  <c r="M24" i="35"/>
  <c r="N24" i="35" s="1"/>
  <c r="O24" i="35" s="1"/>
  <c r="P24" i="35" s="1"/>
  <c r="K18" i="31"/>
  <c r="M18" i="31" s="1"/>
  <c r="N18" i="31" s="1"/>
  <c r="O18" i="31" s="1"/>
  <c r="L18" i="31"/>
  <c r="M22" i="33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K24" i="26" s="1"/>
  <c r="I21" i="27"/>
  <c r="L21" i="27" s="1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M20" i="32"/>
  <c r="N20" i="32" s="1"/>
  <c r="O20" i="32" s="1"/>
  <c r="L25" i="31"/>
  <c r="P29" i="31" s="1"/>
  <c r="M18" i="30"/>
  <c r="N18" i="30" s="1"/>
  <c r="O18" i="30" s="1"/>
  <c r="P18" i="30" s="1"/>
  <c r="M18" i="29"/>
  <c r="N18" i="29" s="1"/>
  <c r="O18" i="29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N23" i="34"/>
  <c r="O23" i="34" s="1"/>
  <c r="P23" i="34" s="1"/>
  <c r="N23" i="33"/>
  <c r="O23" i="33" s="1"/>
  <c r="N24" i="33"/>
  <c r="O24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N24" i="31"/>
  <c r="O24" i="31" s="1"/>
  <c r="P24" i="31"/>
  <c r="N17" i="31"/>
  <c r="O17" i="31" s="1"/>
  <c r="M16" i="31"/>
  <c r="K25" i="31"/>
  <c r="P30" i="31" s="1"/>
  <c r="N17" i="30"/>
  <c r="O17" i="30" s="1"/>
  <c r="K25" i="30"/>
  <c r="P30" i="30" s="1"/>
  <c r="N24" i="30"/>
  <c r="O24" i="30" s="1"/>
  <c r="P24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N24" i="28"/>
  <c r="O24" i="28" s="1"/>
  <c r="P24" i="28" s="1"/>
  <c r="K25" i="28"/>
  <c r="P30" i="28" s="1"/>
  <c r="M16" i="28"/>
  <c r="N21" i="28"/>
  <c r="O21" i="28" s="1"/>
  <c r="N17" i="28"/>
  <c r="O17" i="28" s="1"/>
  <c r="J25" i="15"/>
  <c r="K16" i="27"/>
  <c r="K17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L24" i="26"/>
  <c r="T23" i="15"/>
  <c r="T22" i="15"/>
  <c r="T21" i="15"/>
  <c r="T20" i="15"/>
  <c r="T19" i="15"/>
  <c r="T18" i="15"/>
  <c r="T17" i="15"/>
  <c r="T16" i="15"/>
  <c r="T15" i="15"/>
  <c r="T14" i="15"/>
  <c r="M24" i="26" l="1"/>
  <c r="K21" i="27"/>
  <c r="I25" i="27"/>
  <c r="P28" i="27" s="1"/>
  <c r="M20" i="34"/>
  <c r="N20" i="34" s="1"/>
  <c r="O20" i="34" s="1"/>
  <c r="K16" i="26"/>
  <c r="L16" i="26"/>
  <c r="M23" i="28"/>
  <c r="N23" i="28" s="1"/>
  <c r="O23" i="28" s="1"/>
  <c r="P23" i="28" s="1"/>
  <c r="K20" i="27"/>
  <c r="K25" i="27" s="1"/>
  <c r="P30" i="27" s="1"/>
  <c r="K18" i="26"/>
  <c r="L18" i="26"/>
  <c r="K25" i="34"/>
  <c r="P30" i="34" s="1"/>
  <c r="P31" i="34" s="1"/>
  <c r="L22" i="26"/>
  <c r="L25" i="26" s="1"/>
  <c r="P29" i="26" s="1"/>
  <c r="I25" i="26"/>
  <c r="P28" i="26" s="1"/>
  <c r="M23" i="27"/>
  <c r="P23" i="32"/>
  <c r="P23" i="31"/>
  <c r="M17" i="26"/>
  <c r="P17" i="31"/>
  <c r="P18" i="29"/>
  <c r="M25" i="29"/>
  <c r="P19" i="32"/>
  <c r="M25" i="32"/>
  <c r="P22" i="35"/>
  <c r="P17" i="32"/>
  <c r="P17" i="33"/>
  <c r="P21" i="31"/>
  <c r="P31" i="31"/>
  <c r="P31" i="33"/>
  <c r="P20" i="31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2" l="1"/>
  <c r="L16" i="22" s="1"/>
  <c r="I17" i="22"/>
  <c r="L17" i="22" s="1"/>
  <c r="I18" i="22"/>
  <c r="L18" i="22" s="1"/>
  <c r="I19" i="22"/>
  <c r="L19" i="22" s="1"/>
  <c r="I20" i="22"/>
  <c r="L20" i="22" s="1"/>
  <c r="I21" i="22"/>
  <c r="L21" i="22" s="1"/>
  <c r="I22" i="22"/>
  <c r="M25" i="34"/>
  <c r="M20" i="27"/>
  <c r="N20" i="27" s="1"/>
  <c r="O20" i="27" s="1"/>
  <c r="P20" i="34"/>
  <c r="I16" i="25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L24" i="19" s="1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L23" i="23" s="1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3" i="25"/>
  <c r="K23" i="25"/>
  <c r="K23" i="24"/>
  <c r="K23" i="23"/>
  <c r="K16" i="22"/>
  <c r="K20" i="22"/>
  <c r="K22" i="22"/>
  <c r="L22" i="22"/>
  <c r="K17" i="22"/>
  <c r="K21" i="22"/>
  <c r="L24" i="20"/>
  <c r="K24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0" l="1"/>
  <c r="L17" i="20"/>
  <c r="K18" i="19"/>
  <c r="M18" i="19" s="1"/>
  <c r="N18" i="19" s="1"/>
  <c r="O18" i="19" s="1"/>
  <c r="K18" i="20"/>
  <c r="L18" i="20"/>
  <c r="K21" i="19"/>
  <c r="M21" i="19" s="1"/>
  <c r="K20" i="19"/>
  <c r="K19" i="22"/>
  <c r="M19" i="22" s="1"/>
  <c r="N19" i="22" s="1"/>
  <c r="O19" i="22" s="1"/>
  <c r="K21" i="24"/>
  <c r="L22" i="25"/>
  <c r="K21" i="21"/>
  <c r="M21" i="21" s="1"/>
  <c r="N21" i="21" s="1"/>
  <c r="L21" i="21"/>
  <c r="K21" i="23"/>
  <c r="L21" i="23"/>
  <c r="K18" i="21"/>
  <c r="M18" i="21" s="1"/>
  <c r="N18" i="21" s="1"/>
  <c r="O18" i="21" s="1"/>
  <c r="L18" i="21"/>
  <c r="K17" i="25"/>
  <c r="K20" i="24"/>
  <c r="L20" i="24"/>
  <c r="M20" i="24" s="1"/>
  <c r="N20" i="24" s="1"/>
  <c r="O20" i="24" s="1"/>
  <c r="K23" i="20"/>
  <c r="M23" i="20" s="1"/>
  <c r="N23" i="20" s="1"/>
  <c r="O23" i="20" s="1"/>
  <c r="K18" i="22"/>
  <c r="K17" i="23"/>
  <c r="M17" i="23" s="1"/>
  <c r="N17" i="23" s="1"/>
  <c r="O17" i="23" s="1"/>
  <c r="K19" i="18"/>
  <c r="L19" i="18"/>
  <c r="L25" i="18" s="1"/>
  <c r="P29" i="18" s="1"/>
  <c r="K20" i="21"/>
  <c r="L20" i="21"/>
  <c r="K19" i="23"/>
  <c r="M19" i="23" s="1"/>
  <c r="N19" i="23" s="1"/>
  <c r="O19" i="23" s="1"/>
  <c r="L19" i="23"/>
  <c r="K19" i="21"/>
  <c r="L19" i="21"/>
  <c r="K18" i="24"/>
  <c r="L18" i="24"/>
  <c r="K19" i="20"/>
  <c r="L19" i="20"/>
  <c r="K18" i="25"/>
  <c r="M18" i="25" s="1"/>
  <c r="N18" i="25" s="1"/>
  <c r="O18" i="25" s="1"/>
  <c r="L18" i="25"/>
  <c r="K18" i="17"/>
  <c r="L18" i="17"/>
  <c r="K17" i="17"/>
  <c r="L17" i="17"/>
  <c r="K20" i="17"/>
  <c r="L20" i="17"/>
  <c r="M20" i="17" s="1"/>
  <c r="N20" i="17" s="1"/>
  <c r="O20" i="17" s="1"/>
  <c r="K19" i="17"/>
  <c r="L19" i="17"/>
  <c r="K16" i="17"/>
  <c r="L16" i="17"/>
  <c r="K21" i="18"/>
  <c r="I25" i="25"/>
  <c r="P28" i="25" s="1"/>
  <c r="K17" i="24"/>
  <c r="K22" i="18"/>
  <c r="M22" i="18" s="1"/>
  <c r="L22" i="19"/>
  <c r="M22" i="19" s="1"/>
  <c r="N22" i="19" s="1"/>
  <c r="O22" i="19" s="1"/>
  <c r="P22" i="19" s="1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24" i="21" s="1"/>
  <c r="N24" i="21" s="1"/>
  <c r="O24" i="21" s="1"/>
  <c r="P24" i="21" s="1"/>
  <c r="M17" i="20"/>
  <c r="N17" i="20" s="1"/>
  <c r="O17" i="20" s="1"/>
  <c r="K17" i="19"/>
  <c r="K20" i="18"/>
  <c r="M20" i="18" s="1"/>
  <c r="N20" i="18" s="1"/>
  <c r="O20" i="18" s="1"/>
  <c r="M19" i="20"/>
  <c r="N19" i="20" s="1"/>
  <c r="O19" i="20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N23" i="25" s="1"/>
  <c r="O23" i="25" s="1"/>
  <c r="P23" i="25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17" i="18"/>
  <c r="N17" i="18" s="1"/>
  <c r="O17" i="18" s="1"/>
  <c r="I25" i="18"/>
  <c r="P28" i="18" s="1"/>
  <c r="I25" i="17"/>
  <c r="P28" i="17" s="1"/>
  <c r="M19" i="25"/>
  <c r="N19" i="25" s="1"/>
  <c r="O19" i="25" s="1"/>
  <c r="M22" i="25"/>
  <c r="N22" i="25" s="1"/>
  <c r="O22" i="25" s="1"/>
  <c r="M20" i="25"/>
  <c r="N20" i="25" s="1"/>
  <c r="O20" i="25" s="1"/>
  <c r="M17" i="24"/>
  <c r="N17" i="24" s="1"/>
  <c r="O17" i="24" s="1"/>
  <c r="M23" i="24"/>
  <c r="N23" i="24" s="1"/>
  <c r="O23" i="24" s="1"/>
  <c r="I25" i="23"/>
  <c r="P28" i="23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21" i="23"/>
  <c r="N21" i="23" s="1"/>
  <c r="O21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21" i="25"/>
  <c r="N21" i="25" s="1"/>
  <c r="O21" i="25" s="1"/>
  <c r="P21" i="25" s="1"/>
  <c r="M16" i="25"/>
  <c r="M16" i="22"/>
  <c r="M17" i="19"/>
  <c r="N17" i="19" s="1"/>
  <c r="O17" i="19" s="1"/>
  <c r="L25" i="19"/>
  <c r="P29" i="19" s="1"/>
  <c r="N24" i="18"/>
  <c r="O24" i="18" s="1"/>
  <c r="N22" i="18"/>
  <c r="O22" i="18" s="1"/>
  <c r="M16" i="17"/>
  <c r="I23" i="15"/>
  <c r="K25" i="22" l="1"/>
  <c r="P30" i="22" s="1"/>
  <c r="M19" i="17"/>
  <c r="N19" i="17" s="1"/>
  <c r="O19" i="17" s="1"/>
  <c r="P19" i="17" s="1"/>
  <c r="M17" i="17"/>
  <c r="N17" i="17" s="1"/>
  <c r="O17" i="17" s="1"/>
  <c r="K25" i="24"/>
  <c r="P30" i="24" s="1"/>
  <c r="K25" i="25"/>
  <c r="P30" i="25" s="1"/>
  <c r="L21" i="16"/>
  <c r="L21" i="15" s="1"/>
  <c r="K20" i="16"/>
  <c r="K20" i="15" s="1"/>
  <c r="L20" i="16"/>
  <c r="L20" i="15" s="1"/>
  <c r="K18" i="16"/>
  <c r="K18" i="15" s="1"/>
  <c r="L18" i="16"/>
  <c r="K16" i="16"/>
  <c r="L16" i="16"/>
  <c r="L16" i="15" s="1"/>
  <c r="K25" i="19"/>
  <c r="P30" i="19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K16" i="15"/>
  <c r="M16" i="15" s="1"/>
  <c r="M21" i="15"/>
  <c r="M18" i="15"/>
  <c r="P22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O16" i="18" l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<sst xmlns="http://schemas.openxmlformats.org/spreadsheetml/2006/main" count="1579" uniqueCount="108">
  <si>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</si>
  <si>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</si>
  <si>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</si>
  <si>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</si>
  <si>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</si>
  <si>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</si>
  <si>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</si>
  <si>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</si>
  <si>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</si>
  <si>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</si>
  <si>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</si>
  <si>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</si>
  <si>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</si>
  <si>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</si>
  <si>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</si>
  <si>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</si>
  <si>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</si>
  <si>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</si>
  <si>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</si>
  <si>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</si>
  <si>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</si>
  <si>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</si>
  <si>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</si>
  <si>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</si>
  <si>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</si>
  <si>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</si>
  <si>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</si>
  <si>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</si>
  <si>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</si>
  <si>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</si>
  <si>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</si>
  <si>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</si>
  <si>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</si>
  <si>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</si>
  <si>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</si>
  <si>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</si>
  <si>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</si>
  <si>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</si>
  <si>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</si>
  <si>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</si>
  <si>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</si>
  <si>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</si>
  <si>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</si>
  <si>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</si>
  <si>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</si>
  <si>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</si>
  <si>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</si>
  <si>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</si>
  <si>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</si>
  <si>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</si>
  <si>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</si>
  <si>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</si>
  <si>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</si>
  <si>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</si>
  <si>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</si>
  <si>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</si>
  <si>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</si>
  <si>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</si>
  <si>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</si>
  <si>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</si>
  <si>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</si>
  <si>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</si>
  <si>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</si>
  <si>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</si>
  <si>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</si>
  <si>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</si>
  <si>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</si>
  <si>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</si>
  <si>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</si>
  <si>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</si>
  <si>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</si>
  <si>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</si>
  <si>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</si>
  <si>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</si>
  <si>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</si>
  <si>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</si>
  <si>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</si>
  <si>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</si>
  <si>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</si>
  <si>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</si>
  <si>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</si>
  <si>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</si>
  <si>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</si>
  <si>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</si>
  <si>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</si>
  <si>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</si>
  <si>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</si>
  <si>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</si>
  <si>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</si>
  <si>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</si>
  <si>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</si>
  <si>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</si>
  <si>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</si>
  <si>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</si>
  <si>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</si>
  <si>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</si>
  <si>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</si>
  <si>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</si>
  <si>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</si>
  <si>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</si>
  <si>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</si>
  <si>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</si>
  <si>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</si>
  <si>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</si>
  <si>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Customer Name : Aslam Super Market</t>
  </si>
  <si>
    <t>Address: LDA Aveneu</t>
  </si>
  <si>
    <t>8538860-2</t>
  </si>
  <si>
    <t>Address: Behria Orchard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</si>
</sst>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3" zoomScale="70" zoomScaleNormal="70" workbookViewId="0">
      <selection activeCell="H25" sqref="H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102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46231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Aslam Super Market</v>
      </c>
      <c r="U14" s="163">
        <f>+'1'!P35</f>
        <v>59554.578567660006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Aslam Super Market</v>
      </c>
      <c r="U15" s="163">
        <f>+'2'!P35</f>
        <v>78333.580907999989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314</v>
      </c>
      <c r="I16" s="1">
        <f>(G16*D16)*F16+H16*F16</f>
        <v>16473.224999999999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1976.7869999999998</v>
      </c>
      <c r="M16" s="105">
        <f>I16-K16-L16</f>
        <v>14496.437999999998</v>
      </c>
      <c r="N16" s="100">
        <f>+'1'!N16+'2'!N16+'4'!N16+'3'!N16+'5'!N16+'6'!N16+'7'!N16+'8'!N16+'9'!N16+'10'!N16</f>
        <v>2609.3588399999999</v>
      </c>
      <c r="O16" s="100">
        <f>+'1'!O16+'2'!O16+'4'!O16+'3'!O16+'5'!O16+'6'!O16+'7'!O16+'8'!O16+'9'!O16+'10'!O16</f>
        <v>85.528984199999996</v>
      </c>
      <c r="P16" s="104">
        <f t="shared" ref="P16:P24" si="0">M16+N16+O16</f>
        <v>17191.325824199997</v>
      </c>
      <c r="Q16" s="107"/>
      <c r="T16" s="162" t="str">
        <f>+'4'!A5</f>
        <v>Customer Name : Aslam Super Market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353</v>
      </c>
      <c r="I17" s="1">
        <f t="shared" ref="I17:I23" si="1">(G17*D17)*F17+H17*F17</f>
        <v>18519.262500000001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2222.3114999999998</v>
      </c>
      <c r="M17" s="117">
        <f t="shared" ref="M17:M23" si="2">I17-K17-L17</f>
        <v>16296.951000000001</v>
      </c>
      <c r="N17" s="100">
        <f>+'1'!N17+'2'!N17+'4'!N17+'3'!N17+'5'!N17+'6'!N17+'7'!N17+'8'!N17+'9'!N17+'10'!N17</f>
        <v>2933.45118</v>
      </c>
      <c r="O17" s="100">
        <f>+'1'!O17+'2'!O17+'4'!O17+'3'!O17+'5'!O17+'6'!O17+'7'!O17+'8'!O17+'9'!O17+'10'!O17</f>
        <v>96.152010899999993</v>
      </c>
      <c r="P17" s="119">
        <f t="shared" si="0"/>
        <v>19326.554190900002</v>
      </c>
      <c r="S17" s="64"/>
      <c r="T17" s="162" t="str">
        <f>+'3'!A5</f>
        <v>Customer Name : Aslam Super Market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388</v>
      </c>
      <c r="I18" s="1">
        <f t="shared" si="1"/>
        <v>20355.45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2442.6539999999995</v>
      </c>
      <c r="M18" s="117">
        <f t="shared" si="2"/>
        <v>17912.796000000002</v>
      </c>
      <c r="N18" s="100">
        <f>+'1'!N18+'2'!N18+'4'!N18+'3'!N18+'5'!N18+'6'!N18+'7'!N18+'8'!N18+'9'!N18+'10'!N18</f>
        <v>3224.3032799999996</v>
      </c>
      <c r="O18" s="100">
        <f>+'1'!O18+'2'!O18+'4'!O18+'3'!O18+'5'!O18+'6'!O18+'7'!O18+'8'!O18+'9'!O18+'10'!O18</f>
        <v>105.68549639999999</v>
      </c>
      <c r="P18" s="119">
        <f t="shared" si="0"/>
        <v>21242.784776400003</v>
      </c>
      <c r="T18" s="162" t="str">
        <f>+'5'!A5</f>
        <v>Customer Name : Aslam Super Market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350</v>
      </c>
      <c r="I19" s="1">
        <f t="shared" si="1"/>
        <v>25424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3050.88</v>
      </c>
      <c r="M19" s="117">
        <f t="shared" si="2"/>
        <v>22373.119999999999</v>
      </c>
      <c r="N19" s="100">
        <f>+'1'!N19+'2'!N19+'4'!N19+'3'!N19+'5'!N19+'6'!N19+'7'!N19+'8'!N19+'9'!N19+'10'!N19</f>
        <v>4027.1615999999995</v>
      </c>
      <c r="O19" s="100">
        <f>+'1'!O19+'2'!O19+'4'!O19+'3'!O19+'5'!O19+'6'!O19+'7'!O19+'8'!O19+'9'!O19+'10'!O19</f>
        <v>132.001408</v>
      </c>
      <c r="P19" s="119">
        <f t="shared" si="0"/>
        <v>26532.283007999999</v>
      </c>
      <c r="T19" s="162" t="str">
        <f>+'6'!A5</f>
        <v>Customer Name : Aslam Super Market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311</v>
      </c>
      <c r="I20" s="1">
        <f t="shared" si="1"/>
        <v>22591.040000000001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2710.9247999999998</v>
      </c>
      <c r="M20" s="117">
        <f t="shared" si="2"/>
        <v>19880.1152</v>
      </c>
      <c r="N20" s="100">
        <f>+'1'!N20+'2'!N20+'4'!N20+'3'!N20+'5'!N20+'6'!N20+'7'!N20+'8'!N20+'9'!N20+'10'!N20</f>
        <v>3578.4207359999996</v>
      </c>
      <c r="O20" s="100">
        <f>+'1'!O20+'2'!O20+'4'!O20+'3'!O20+'5'!O20+'6'!O20+'7'!O20+'8'!O20+'9'!O20+'10'!O20</f>
        <v>117.29267967999999</v>
      </c>
      <c r="P20" s="119">
        <f t="shared" si="0"/>
        <v>23575.828615679999</v>
      </c>
      <c r="T20" s="162" t="str">
        <f>+'7'!A5</f>
        <v>Customer Name : Aslam Super Market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396</v>
      </c>
      <c r="I21" s="1">
        <f t="shared" si="1"/>
        <v>28765.439999999999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3451.8527999999997</v>
      </c>
      <c r="M21" s="117">
        <f t="shared" si="2"/>
        <v>25313.587199999998</v>
      </c>
      <c r="N21" s="100">
        <f>+'1'!N21+'2'!N21+'4'!N21+'3'!N21+'5'!N21+'6'!N21+'7'!N21+'8'!N21+'9'!N21+'10'!N21</f>
        <v>4556.4456959999998</v>
      </c>
      <c r="O21" s="100">
        <f>+'1'!O21+'2'!O21+'4'!O21+'3'!O21+'5'!O21+'6'!O21+'7'!O21+'8'!O21+'9'!O21+'10'!O21</f>
        <v>149.35016447999999</v>
      </c>
      <c r="P21" s="119">
        <f t="shared" si="0"/>
        <v>30019.383060479999</v>
      </c>
      <c r="T21" s="162" t="str">
        <f>+'8'!A5</f>
        <v>Customer Name : Aslam Super Market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Aslam Super Market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Aslam Super Market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Aslam Super Market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52.8</v>
      </c>
      <c r="D25" s="206"/>
      <c r="E25" s="206"/>
      <c r="F25" s="206"/>
      <c r="G25" s="175">
        <f t="shared" ref="G25:M25" si="3">SUM(G16:G24)</f>
        <v>0</v>
      </c>
      <c r="H25" s="176">
        <f t="shared" si="3"/>
        <v>2112</v>
      </c>
      <c r="I25" s="177">
        <f t="shared" si="3"/>
        <v>132128.41750000001</v>
      </c>
      <c r="J25" s="176">
        <f t="shared" si="3"/>
        <v>0</v>
      </c>
      <c r="K25" s="177">
        <f t="shared" si="3"/>
        <v>0</v>
      </c>
      <c r="L25" s="178">
        <f t="shared" si="3"/>
        <v>15855.410100000001</v>
      </c>
      <c r="M25" s="140">
        <f t="shared" si="3"/>
        <v>116273.00739999999</v>
      </c>
      <c r="N25" s="141">
        <f>SUM(N16:N24)</f>
        <v>20929.141331999999</v>
      </c>
      <c r="O25" s="142">
        <f>SUM(O16:O24)</f>
        <v>686.01074366</v>
      </c>
      <c r="P25" s="143">
        <f>SUM(P16:P24)</f>
        <v>137888.15947566001</v>
      </c>
      <c r="T25" s="162" t="str">
        <f>+'12'!A5</f>
        <v>Customer Name : Aslam Super Market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Aslam Super Market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Aslam Super Market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Aslam Super Market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Aslam Super Market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Aslam Super Market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Aslam Super Market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137888.15947566001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132128.41750000001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15855.410100000001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0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116273.0074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20929.141331999999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137202.148732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3430.0537183000001</v>
      </c>
    </row>
    <row r="42" spans="1:21" ht="15.75" customHeight="1" thickBot="1" x14ac:dyDescent="0.4">
      <c r="N42" s="204" t="s">
        <v>92</v>
      </c>
      <c r="O42" s="205"/>
      <c r="P42" s="159">
        <f>P40+P41</f>
        <v>140632.20245030001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7" zoomScale="85" zoomScaleNormal="85" workbookViewId="0">
      <selection activeCell="R21" sqref="R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114</v>
      </c>
      <c r="I16" s="101">
        <f>(G16*D16)*F16+H16*F16</f>
        <v>5980.7249999999995</v>
      </c>
      <c r="J16" s="102">
        <v>0</v>
      </c>
      <c r="K16" s="103">
        <f>I16*$K$13</f>
        <v>0</v>
      </c>
      <c r="L16" s="104">
        <f>I16*12%</f>
        <v>717.6869999999999</v>
      </c>
      <c r="M16" s="105">
        <f>I16-K16-L16</f>
        <v>5263.0379999999996</v>
      </c>
      <c r="N16" s="105">
        <f t="shared" ref="N16:N24" si="0">(M16*$N$15)+(J16*F16)*$N$15</f>
        <v>947.34683999999993</v>
      </c>
      <c r="O16" s="106">
        <f t="shared" ref="O16:O24" si="1">(N16+M16)*$O$15</f>
        <v>31.051924199999998</v>
      </c>
      <c r="P16" s="104">
        <f t="shared" ref="P16:P24" si="2">M16+N16+O16</f>
        <v>6241.4367641999997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153</v>
      </c>
      <c r="I17" s="115">
        <f t="shared" ref="I17:I23" si="3">(G17*D17)*F17+H17*F17</f>
        <v>8026.7624999999998</v>
      </c>
      <c r="J17" s="116">
        <v>0</v>
      </c>
      <c r="K17" s="1">
        <f t="shared" ref="K17:K21" si="4">I17*$K$13</f>
        <v>0</v>
      </c>
      <c r="L17" s="104">
        <f t="shared" ref="L17:L21" si="5">I17*12%</f>
        <v>963.21149999999989</v>
      </c>
      <c r="M17" s="117">
        <f t="shared" ref="M17:M23" si="6">I17-K17-L17</f>
        <v>7063.5509999999995</v>
      </c>
      <c r="N17" s="117">
        <f t="shared" si="0"/>
        <v>1271.4391799999999</v>
      </c>
      <c r="O17" s="118">
        <f t="shared" si="1"/>
        <v>41.674950899999992</v>
      </c>
      <c r="P17" s="119">
        <f t="shared" si="2"/>
        <v>8376.665130899999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188</v>
      </c>
      <c r="I18" s="115">
        <f t="shared" si="3"/>
        <v>9862.9499999999989</v>
      </c>
      <c r="J18" s="116">
        <v>0</v>
      </c>
      <c r="K18" s="1">
        <f t="shared" si="4"/>
        <v>0</v>
      </c>
      <c r="L18" s="104">
        <f t="shared" si="5"/>
        <v>1183.5539999999999</v>
      </c>
      <c r="M18" s="117">
        <f t="shared" si="6"/>
        <v>8679.3959999999988</v>
      </c>
      <c r="N18" s="117">
        <f t="shared" si="0"/>
        <v>1562.2912799999997</v>
      </c>
      <c r="O18" s="118">
        <f t="shared" si="1"/>
        <v>51.208436399999989</v>
      </c>
      <c r="P18" s="119">
        <f t="shared" si="2"/>
        <v>10292.895716399998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150</v>
      </c>
      <c r="I19" s="115">
        <f t="shared" si="3"/>
        <v>10896</v>
      </c>
      <c r="J19" s="116">
        <v>0</v>
      </c>
      <c r="K19" s="1">
        <f t="shared" si="4"/>
        <v>0</v>
      </c>
      <c r="L19" s="104">
        <f t="shared" si="5"/>
        <v>1307.52</v>
      </c>
      <c r="M19" s="117">
        <f t="shared" si="6"/>
        <v>9588.48</v>
      </c>
      <c r="N19" s="117">
        <f t="shared" si="0"/>
        <v>1725.9263999999998</v>
      </c>
      <c r="O19" s="118">
        <f t="shared" si="1"/>
        <v>56.572032</v>
      </c>
      <c r="P19" s="119">
        <f t="shared" si="2"/>
        <v>11370.978432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111</v>
      </c>
      <c r="I20" s="115">
        <f t="shared" si="3"/>
        <v>8063.04</v>
      </c>
      <c r="J20" s="116">
        <v>0</v>
      </c>
      <c r="K20" s="1">
        <f t="shared" si="4"/>
        <v>0</v>
      </c>
      <c r="L20" s="104">
        <f t="shared" si="5"/>
        <v>967.56479999999999</v>
      </c>
      <c r="M20" s="117">
        <f t="shared" si="6"/>
        <v>7095.4751999999999</v>
      </c>
      <c r="N20" s="117">
        <f t="shared" si="0"/>
        <v>1277.185536</v>
      </c>
      <c r="O20" s="118">
        <f t="shared" si="1"/>
        <v>41.863303680000001</v>
      </c>
      <c r="P20" s="119">
        <f t="shared" si="2"/>
        <v>8414.52403968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196</v>
      </c>
      <c r="I21" s="115">
        <f t="shared" si="3"/>
        <v>14237.44</v>
      </c>
      <c r="J21" s="116">
        <v>0</v>
      </c>
      <c r="K21" s="1">
        <f t="shared" si="4"/>
        <v>0</v>
      </c>
      <c r="L21" s="104">
        <f t="shared" si="5"/>
        <v>1708.4928</v>
      </c>
      <c r="M21" s="117">
        <f t="shared" si="6"/>
        <v>12528.947200000001</v>
      </c>
      <c r="N21" s="117">
        <f t="shared" si="0"/>
        <v>2255.2104960000001</v>
      </c>
      <c r="O21" s="118">
        <f t="shared" si="1"/>
        <v>73.920788479999999</v>
      </c>
      <c r="P21" s="119">
        <f t="shared" si="2"/>
        <v>14858.07848448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912</v>
      </c>
      <c r="I25" s="136">
        <f t="shared" si="9"/>
        <v>57066.917500000003</v>
      </c>
      <c r="J25" s="182">
        <f>SUM(J16:J21)</f>
        <v>0</v>
      </c>
      <c r="K25" s="138">
        <f t="shared" si="9"/>
        <v>0</v>
      </c>
      <c r="L25" s="139">
        <f t="shared" si="9"/>
        <v>6848.0300999999999</v>
      </c>
      <c r="M25" s="140">
        <f t="shared" si="9"/>
        <v>50218.8874</v>
      </c>
      <c r="N25" s="141">
        <f>SUM(N16:N24)</f>
        <v>9039.3997319999999</v>
      </c>
      <c r="O25" s="142">
        <f>SUM(O16:O24)</f>
        <v>296.29143565999999</v>
      </c>
      <c r="P25" s="143">
        <f>SUM(P16:P24)</f>
        <v>59554.578567659992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57066.917500000003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6848.0300999999999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50218.887400000007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9039.3997319999999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59258.287132000005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296.29143566000005</v>
      </c>
    </row>
    <row r="35" spans="2:16" ht="15.75" customHeight="1" thickBot="1" x14ac:dyDescent="0.4">
      <c r="N35" s="204" t="s">
        <v>92</v>
      </c>
      <c r="O35" s="205"/>
      <c r="P35" s="159">
        <f>P33+P34</f>
        <v>59554.578567660006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3" workbookViewId="0">
      <selection activeCell="J8" sqref="J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46231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200</v>
      </c>
      <c r="I16" s="101">
        <f>(G16*D16)*F16+H16*F16</f>
        <v>10492.5</v>
      </c>
      <c r="J16" s="102">
        <v>0</v>
      </c>
      <c r="K16" s="103">
        <f>I16*$K$13</f>
        <v>0</v>
      </c>
      <c r="L16" s="104">
        <f>I16*12%</f>
        <v>1259.0999999999999</v>
      </c>
      <c r="M16" s="105">
        <f>I16-K16-L16</f>
        <v>9233.4</v>
      </c>
      <c r="N16" s="105">
        <f t="shared" ref="N16:N24" si="0">(M16*$N$15)+(J16*F16)*$N$15</f>
        <v>1662.0119999999999</v>
      </c>
      <c r="O16" s="106">
        <f>(N16+M16)*$O$15</f>
        <v>54.477060000000002</v>
      </c>
      <c r="P16" s="104">
        <f t="shared" ref="P16:P24" si="1">M16+N16+O16</f>
        <v>10949.88906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200</v>
      </c>
      <c r="I17" s="115">
        <f t="shared" ref="I17:I23" si="2">(G17*D17)*F17+H17*F17</f>
        <v>10492.5</v>
      </c>
      <c r="J17" s="116">
        <v>0</v>
      </c>
      <c r="K17" s="1">
        <f t="shared" ref="K17:K21" si="3">I17*$K$13</f>
        <v>0</v>
      </c>
      <c r="L17" s="104">
        <f t="shared" ref="L17:L21" si="4">I17*12%</f>
        <v>1259.0999999999999</v>
      </c>
      <c r="M17" s="117">
        <f t="shared" ref="M17:M23" si="5">I17-K17-L17</f>
        <v>9233.4</v>
      </c>
      <c r="N17" s="117">
        <f t="shared" si="0"/>
        <v>1662.0119999999999</v>
      </c>
      <c r="O17" s="118">
        <f t="shared" ref="O17:O24" si="6">(N17+M17)*$O$15</f>
        <v>54.477060000000002</v>
      </c>
      <c r="P17" s="119">
        <f t="shared" si="1"/>
        <v>10949.88906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200</v>
      </c>
      <c r="I18" s="115">
        <f t="shared" si="2"/>
        <v>10492.5</v>
      </c>
      <c r="J18" s="116">
        <v>0</v>
      </c>
      <c r="K18" s="1">
        <f t="shared" si="3"/>
        <v>0</v>
      </c>
      <c r="L18" s="104">
        <f t="shared" si="4"/>
        <v>1259.0999999999999</v>
      </c>
      <c r="M18" s="117">
        <f t="shared" si="5"/>
        <v>9233.4</v>
      </c>
      <c r="N18" s="117">
        <f t="shared" si="0"/>
        <v>1662.0119999999999</v>
      </c>
      <c r="O18" s="118">
        <f t="shared" si="6"/>
        <v>54.477060000000002</v>
      </c>
      <c r="P18" s="119">
        <f t="shared" si="1"/>
        <v>10949.88906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200</v>
      </c>
      <c r="I19" s="115">
        <f t="shared" si="2"/>
        <v>14528</v>
      </c>
      <c r="J19" s="116">
        <v>0</v>
      </c>
      <c r="K19" s="1">
        <f t="shared" si="3"/>
        <v>0</v>
      </c>
      <c r="L19" s="104">
        <f t="shared" si="4"/>
        <v>1743.36</v>
      </c>
      <c r="M19" s="117">
        <f t="shared" si="5"/>
        <v>12784.64</v>
      </c>
      <c r="N19" s="117">
        <f t="shared" si="0"/>
        <v>2301.2351999999996</v>
      </c>
      <c r="O19" s="118">
        <f t="shared" si="6"/>
        <v>75.429375999999991</v>
      </c>
      <c r="P19" s="119">
        <f t="shared" si="1"/>
        <v>15161.304575999999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200</v>
      </c>
      <c r="I20" s="115">
        <f t="shared" si="2"/>
        <v>14528</v>
      </c>
      <c r="J20" s="116">
        <v>0</v>
      </c>
      <c r="K20" s="1">
        <f t="shared" si="3"/>
        <v>0</v>
      </c>
      <c r="L20" s="104">
        <f t="shared" si="4"/>
        <v>1743.36</v>
      </c>
      <c r="M20" s="117">
        <f t="shared" si="5"/>
        <v>12784.64</v>
      </c>
      <c r="N20" s="117">
        <f t="shared" si="0"/>
        <v>2301.2351999999996</v>
      </c>
      <c r="O20" s="118">
        <f t="shared" si="6"/>
        <v>75.429375999999991</v>
      </c>
      <c r="P20" s="119">
        <f t="shared" si="1"/>
        <v>15161.304575999999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200</v>
      </c>
      <c r="I21" s="115">
        <f t="shared" si="2"/>
        <v>14528</v>
      </c>
      <c r="J21" s="116">
        <v>0</v>
      </c>
      <c r="K21" s="1">
        <f t="shared" si="3"/>
        <v>0</v>
      </c>
      <c r="L21" s="104">
        <f t="shared" si="4"/>
        <v>1743.36</v>
      </c>
      <c r="M21" s="117">
        <f t="shared" si="5"/>
        <v>12784.64</v>
      </c>
      <c r="N21" s="117">
        <f t="shared" si="0"/>
        <v>2301.2351999999996</v>
      </c>
      <c r="O21" s="118">
        <f t="shared" si="6"/>
        <v>75.429375999999991</v>
      </c>
      <c r="P21" s="119">
        <f t="shared" si="1"/>
        <v>15161.304575999999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1200</v>
      </c>
      <c r="I25" s="136">
        <f t="shared" si="9"/>
        <v>75061.5</v>
      </c>
      <c r="J25" s="137"/>
      <c r="K25" s="138">
        <f t="shared" si="9"/>
        <v>0</v>
      </c>
      <c r="L25" s="139">
        <f t="shared" si="9"/>
        <v>9007.3799999999992</v>
      </c>
      <c r="M25" s="140">
        <f t="shared" si="9"/>
        <v>66054.12</v>
      </c>
      <c r="N25" s="141">
        <f>SUM(N16:N24)</f>
        <v>11889.741599999998</v>
      </c>
      <c r="O25" s="142">
        <f>SUM(O16:O24)</f>
        <v>389.71930800000001</v>
      </c>
      <c r="P25" s="143">
        <f>SUM(P16:P24)</f>
        <v>78333.580907999989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75061.5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9007.3799999999992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66054.12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11889.741599999998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77943.861599999989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389.71930799999996</v>
      </c>
    </row>
    <row r="35" spans="2:16" ht="15.75" customHeight="1" thickBot="1" x14ac:dyDescent="0.4">
      <c r="N35" s="204" t="s">
        <v>92</v>
      </c>
      <c r="O35" s="205"/>
      <c r="P35" s="159">
        <f>P33+P34</f>
        <v>78333.580907999989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2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46232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46231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2026-07-29T08:23:29Z</dcterms:modified>
</cp:coreProperties>
</file>