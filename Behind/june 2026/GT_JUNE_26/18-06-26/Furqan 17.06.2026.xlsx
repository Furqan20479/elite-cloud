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236B251-D7A9-4390-A427-F33AB05D898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C12" i="35" s="1"/>
  <c r="H25" i="35"/>
  <c r="G25" i="35"/>
  <c r="F24" i="35"/>
  <c r="E24" i="35"/>
  <c r="D24" i="35"/>
  <c r="I24" i="35" s="1"/>
  <c r="B24" i="35"/>
  <c r="C24" i="35" s="1"/>
  <c r="F23" i="35"/>
  <c r="E23" i="35"/>
  <c r="D23" i="35"/>
  <c r="B23" i="35"/>
  <c r="C23" i="35" s="1"/>
  <c r="F22" i="35"/>
  <c r="E22" i="35"/>
  <c r="D22" i="35"/>
  <c r="I22" i="35" s="1"/>
  <c r="B22" i="35"/>
  <c r="C22" i="35" s="1"/>
  <c r="F21" i="35"/>
  <c r="E21" i="35"/>
  <c r="D21" i="35"/>
  <c r="B21" i="35"/>
  <c r="C21" i="35" s="1"/>
  <c r="F20" i="35"/>
  <c r="E20" i="35"/>
  <c r="D20" i="35"/>
  <c r="I20" i="35" s="1"/>
  <c r="B20" i="35"/>
  <c r="C20" i="35" s="1"/>
  <c r="F19" i="35"/>
  <c r="E19" i="35"/>
  <c r="D19" i="35"/>
  <c r="B19" i="35"/>
  <c r="C19" i="35" s="1"/>
  <c r="F18" i="35"/>
  <c r="E18" i="35"/>
  <c r="D18" i="35"/>
  <c r="I18" i="35" s="1"/>
  <c r="B18" i="35"/>
  <c r="C18" i="35" s="1"/>
  <c r="F17" i="35"/>
  <c r="E17" i="35"/>
  <c r="D17" i="35"/>
  <c r="B17" i="35"/>
  <c r="C17" i="35" s="1"/>
  <c r="F16" i="35"/>
  <c r="E16" i="35"/>
  <c r="D16" i="35"/>
  <c r="I16" i="35" s="1"/>
  <c r="C16" i="35"/>
  <c r="B16" i="35"/>
  <c r="O15" i="35"/>
  <c r="N15" i="35"/>
  <c r="C11" i="35"/>
  <c r="N4" i="35"/>
  <c r="N5" i="35" s="1"/>
  <c r="O34" i="34"/>
  <c r="C11" i="34" s="1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N4" i="34"/>
  <c r="N5" i="34" s="1"/>
  <c r="O34" i="33"/>
  <c r="O32" i="33"/>
  <c r="C12" i="33" s="1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B18" i="33"/>
  <c r="C18" i="33" s="1"/>
  <c r="F17" i="33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1" i="33"/>
  <c r="N4" i="33"/>
  <c r="N5" i="33" s="1"/>
  <c r="O34" i="32"/>
  <c r="C11" i="32" s="1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B22" i="32"/>
  <c r="C22" i="32" s="1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B23" i="28"/>
  <c r="C23" i="28" s="1"/>
  <c r="F22" i="28"/>
  <c r="E22" i="28"/>
  <c r="D22" i="28"/>
  <c r="I22" i="28" s="1"/>
  <c r="B22" i="28"/>
  <c r="C22" i="28" s="1"/>
  <c r="F21" i="28"/>
  <c r="E21" i="28"/>
  <c r="D21" i="28"/>
  <c r="B21" i="28"/>
  <c r="C21" i="28" s="1"/>
  <c r="F20" i="28"/>
  <c r="E20" i="28"/>
  <c r="D20" i="28"/>
  <c r="I20" i="28" s="1"/>
  <c r="B20" i="28"/>
  <c r="C20" i="28" s="1"/>
  <c r="F19" i="28"/>
  <c r="E19" i="28"/>
  <c r="D19" i="28"/>
  <c r="B19" i="28"/>
  <c r="C19" i="28" s="1"/>
  <c r="F18" i="28"/>
  <c r="E18" i="28"/>
  <c r="D18" i="28"/>
  <c r="I18" i="28" s="1"/>
  <c r="B18" i="28"/>
  <c r="C18" i="28" s="1"/>
  <c r="F17" i="28"/>
  <c r="E17" i="28"/>
  <c r="D17" i="28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24" i="33" l="1"/>
  <c r="I17" i="35"/>
  <c r="I19" i="35"/>
  <c r="I21" i="35"/>
  <c r="K21" i="35" s="1"/>
  <c r="M21" i="35" s="1"/>
  <c r="I23" i="35"/>
  <c r="L23" i="35" s="1"/>
  <c r="M23" i="35" s="1"/>
  <c r="I17" i="28"/>
  <c r="K17" i="28" s="1"/>
  <c r="I19" i="28"/>
  <c r="I21" i="28"/>
  <c r="K21" i="28" s="1"/>
  <c r="I23" i="28"/>
  <c r="I17" i="33"/>
  <c r="K17" i="33" s="1"/>
  <c r="I16" i="31"/>
  <c r="I17" i="31"/>
  <c r="I18" i="31"/>
  <c r="L18" i="31" s="1"/>
  <c r="I19" i="31"/>
  <c r="K19" i="31" s="1"/>
  <c r="I20" i="31"/>
  <c r="I21" i="31"/>
  <c r="L21" i="31" s="1"/>
  <c r="I22" i="31"/>
  <c r="I23" i="31"/>
  <c r="K23" i="31" s="1"/>
  <c r="I24" i="31"/>
  <c r="I23" i="32"/>
  <c r="I22" i="33"/>
  <c r="K22" i="33" s="1"/>
  <c r="M22" i="33" s="1"/>
  <c r="I16" i="34"/>
  <c r="I17" i="34"/>
  <c r="K17" i="34" s="1"/>
  <c r="I18" i="34"/>
  <c r="I19" i="34"/>
  <c r="I20" i="34"/>
  <c r="K20" i="34" s="1"/>
  <c r="I21" i="34"/>
  <c r="I22" i="34"/>
  <c r="I23" i="34"/>
  <c r="I24" i="34"/>
  <c r="L24" i="34" s="1"/>
  <c r="I16" i="29"/>
  <c r="I17" i="29"/>
  <c r="I18" i="29"/>
  <c r="I19" i="29"/>
  <c r="K19" i="29" s="1"/>
  <c r="I20" i="29"/>
  <c r="I21" i="29"/>
  <c r="I22" i="29"/>
  <c r="K22" i="29" s="1"/>
  <c r="I23" i="29"/>
  <c r="L23" i="29" s="1"/>
  <c r="I24" i="29"/>
  <c r="I24" i="32"/>
  <c r="L24" i="32" s="1"/>
  <c r="I19" i="33"/>
  <c r="I23" i="33"/>
  <c r="L23" i="33" s="1"/>
  <c r="L17" i="33"/>
  <c r="L18" i="33"/>
  <c r="I25" i="35"/>
  <c r="P28" i="35" s="1"/>
  <c r="K16" i="35"/>
  <c r="L16" i="35"/>
  <c r="K17" i="35"/>
  <c r="M17" i="35" s="1"/>
  <c r="L17" i="35"/>
  <c r="K18" i="35"/>
  <c r="L18" i="35"/>
  <c r="M18" i="35" s="1"/>
  <c r="K19" i="35"/>
  <c r="L19" i="35"/>
  <c r="K20" i="35"/>
  <c r="L20" i="35"/>
  <c r="L21" i="35"/>
  <c r="K22" i="35"/>
  <c r="L22" i="35"/>
  <c r="M22" i="35"/>
  <c r="K23" i="35"/>
  <c r="K24" i="35"/>
  <c r="M24" i="35" s="1"/>
  <c r="L24" i="35"/>
  <c r="L17" i="34"/>
  <c r="K18" i="34"/>
  <c r="L18" i="34"/>
  <c r="K19" i="34"/>
  <c r="L19" i="34"/>
  <c r="L20" i="34"/>
  <c r="K21" i="34"/>
  <c r="L21" i="34"/>
  <c r="K22" i="34"/>
  <c r="L22" i="34"/>
  <c r="K23" i="34"/>
  <c r="K21" i="33"/>
  <c r="L21" i="33"/>
  <c r="L22" i="33"/>
  <c r="K19" i="33"/>
  <c r="L19" i="33"/>
  <c r="K23" i="33"/>
  <c r="K20" i="33"/>
  <c r="L20" i="33"/>
  <c r="K24" i="33"/>
  <c r="L24" i="33"/>
  <c r="M17" i="33"/>
  <c r="M18" i="33"/>
  <c r="K16" i="33"/>
  <c r="K24" i="32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K22" i="31"/>
  <c r="L22" i="31"/>
  <c r="K24" i="31"/>
  <c r="L24" i="31"/>
  <c r="K16" i="31"/>
  <c r="L16" i="31"/>
  <c r="K18" i="31"/>
  <c r="K20" i="31"/>
  <c r="L20" i="31"/>
  <c r="L23" i="31"/>
  <c r="K18" i="30"/>
  <c r="L18" i="30"/>
  <c r="K20" i="30"/>
  <c r="L20" i="30"/>
  <c r="K21" i="30"/>
  <c r="L21" i="30"/>
  <c r="M21" i="30" s="1"/>
  <c r="K23" i="30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18" i="29"/>
  <c r="L18" i="29"/>
  <c r="I25" i="28"/>
  <c r="P28" i="28" s="1"/>
  <c r="K16" i="28"/>
  <c r="L16" i="28"/>
  <c r="K18" i="28"/>
  <c r="L18" i="28"/>
  <c r="K19" i="28"/>
  <c r="L19" i="28"/>
  <c r="K20" i="28"/>
  <c r="L20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I23" i="27" s="1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I19" i="27" s="1"/>
  <c r="B19" i="27"/>
  <c r="C19" i="27" s="1"/>
  <c r="F18" i="27"/>
  <c r="E18" i="27"/>
  <c r="D18" i="27"/>
  <c r="B18" i="27"/>
  <c r="C18" i="27" s="1"/>
  <c r="F17" i="27"/>
  <c r="E17" i="27"/>
  <c r="D17" i="27"/>
  <c r="I17" i="27" s="1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29" l="1"/>
  <c r="M24" i="32"/>
  <c r="L23" i="34"/>
  <c r="M23" i="34" s="1"/>
  <c r="N23" i="34" s="1"/>
  <c r="O23" i="34" s="1"/>
  <c r="P23" i="34" s="1"/>
  <c r="M24" i="30"/>
  <c r="I25" i="34"/>
  <c r="P28" i="34" s="1"/>
  <c r="K23" i="29"/>
  <c r="L19" i="31"/>
  <c r="L25" i="31" s="1"/>
  <c r="P29" i="31" s="1"/>
  <c r="M24" i="31"/>
  <c r="M24" i="33"/>
  <c r="I16" i="27"/>
  <c r="I18" i="27"/>
  <c r="I20" i="27"/>
  <c r="I22" i="27"/>
  <c r="K22" i="27" s="1"/>
  <c r="I24" i="27"/>
  <c r="L21" i="28"/>
  <c r="M21" i="28" s="1"/>
  <c r="N21" i="28" s="1"/>
  <c r="O21" i="28" s="1"/>
  <c r="L17" i="28"/>
  <c r="M17" i="28" s="1"/>
  <c r="L22" i="29"/>
  <c r="I25" i="32"/>
  <c r="P28" i="32" s="1"/>
  <c r="L16" i="34"/>
  <c r="M23" i="30"/>
  <c r="N23" i="30" s="1"/>
  <c r="O23" i="30" s="1"/>
  <c r="M22" i="31"/>
  <c r="K24" i="34"/>
  <c r="K25" i="34" s="1"/>
  <c r="P30" i="34" s="1"/>
  <c r="M23" i="33"/>
  <c r="I16" i="26"/>
  <c r="I17" i="26"/>
  <c r="I18" i="26"/>
  <c r="K18" i="26" s="1"/>
  <c r="I19" i="26"/>
  <c r="I20" i="26"/>
  <c r="K20" i="26" s="1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K25" i="31"/>
  <c r="P30" i="31" s="1"/>
  <c r="N22" i="31"/>
  <c r="O22" i="31" s="1"/>
  <c r="P22" i="31" s="1"/>
  <c r="N21" i="30"/>
  <c r="O21" i="30" s="1"/>
  <c r="K25" i="30"/>
  <c r="P30" i="30" s="1"/>
  <c r="N24" i="30"/>
  <c r="O24" i="30" s="1"/>
  <c r="P24" i="30" s="1"/>
  <c r="N22" i="30"/>
  <c r="O22" i="30" s="1"/>
  <c r="P22" i="30" s="1"/>
  <c r="N22" i="29"/>
  <c r="O22" i="29" s="1"/>
  <c r="N21" i="29"/>
  <c r="O21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17" i="28"/>
  <c r="O17" i="28" s="1"/>
  <c r="J25" i="15"/>
  <c r="K16" i="27"/>
  <c r="L16" i="27"/>
  <c r="K17" i="27"/>
  <c r="L17" i="27"/>
  <c r="K20" i="27"/>
  <c r="L20" i="27"/>
  <c r="K21" i="27"/>
  <c r="L21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L18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L25" i="28" l="1"/>
  <c r="P29" i="28" s="1"/>
  <c r="M24" i="34"/>
  <c r="I25" i="27"/>
  <c r="P28" i="27" s="1"/>
  <c r="L22" i="26"/>
  <c r="M16" i="34"/>
  <c r="N16" i="34" s="1"/>
  <c r="I25" i="26"/>
  <c r="P28" i="26" s="1"/>
  <c r="M23" i="27"/>
  <c r="P23" i="32"/>
  <c r="P23" i="31"/>
  <c r="M17" i="26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B21" i="22"/>
  <c r="C21" i="22" s="1"/>
  <c r="F20" i="22"/>
  <c r="E20" i="22"/>
  <c r="D20" i="22"/>
  <c r="I20" i="22" s="1"/>
  <c r="B20" i="22"/>
  <c r="C20" i="22" s="1"/>
  <c r="F19" i="22"/>
  <c r="E19" i="22"/>
  <c r="D19" i="22"/>
  <c r="B19" i="22"/>
  <c r="C19" i="22" s="1"/>
  <c r="F18" i="22"/>
  <c r="E18" i="22"/>
  <c r="D18" i="22"/>
  <c r="I18" i="22" s="1"/>
  <c r="B18" i="22"/>
  <c r="C18" i="22" s="1"/>
  <c r="F17" i="22"/>
  <c r="E17" i="22"/>
  <c r="D17" i="22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34" l="1"/>
  <c r="N24" i="34"/>
  <c r="I17" i="22"/>
  <c r="I19" i="22"/>
  <c r="L19" i="22" s="1"/>
  <c r="I21" i="22"/>
  <c r="I16" i="25"/>
  <c r="I17" i="25"/>
  <c r="L17" i="25" s="1"/>
  <c r="I18" i="25"/>
  <c r="K18" i="25" s="1"/>
  <c r="I19" i="25"/>
  <c r="I20" i="25"/>
  <c r="I22" i="25"/>
  <c r="K22" i="25" s="1"/>
  <c r="I23" i="25"/>
  <c r="K23" i="25" s="1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P16" i="34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L18" i="25"/>
  <c r="K20" i="25"/>
  <c r="L20" i="25"/>
  <c r="K16" i="25"/>
  <c r="L16" i="25"/>
  <c r="K24" i="25"/>
  <c r="L22" i="25"/>
  <c r="K17" i="25"/>
  <c r="L23" i="25"/>
  <c r="K17" i="24"/>
  <c r="L23" i="24"/>
  <c r="K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K19" i="22"/>
  <c r="L21" i="22"/>
  <c r="K21" i="22"/>
  <c r="L24" i="20"/>
  <c r="K23" i="20"/>
  <c r="K20" i="19"/>
  <c r="L20" i="19"/>
  <c r="K24" i="19"/>
  <c r="L24" i="19"/>
  <c r="L21" i="19"/>
  <c r="K21" i="19"/>
  <c r="L21" i="18"/>
  <c r="K21" i="18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3" l="1"/>
  <c r="K24" i="18"/>
  <c r="M24" i="18" s="1"/>
  <c r="N24" i="18" s="1"/>
  <c r="O24" i="18" s="1"/>
  <c r="K18" i="19"/>
  <c r="K21" i="24"/>
  <c r="K22" i="18"/>
  <c r="M22" i="18" s="1"/>
  <c r="I25" i="25"/>
  <c r="P28" i="25" s="1"/>
  <c r="O24" i="34"/>
  <c r="O25" i="34" s="1"/>
  <c r="N25" i="34"/>
  <c r="P32" i="34" s="1"/>
  <c r="P33" i="34" s="1"/>
  <c r="P34" i="34" s="1"/>
  <c r="P35" i="34" s="1"/>
  <c r="L22" i="19"/>
  <c r="L25" i="19" s="1"/>
  <c r="P29" i="19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M21" i="25" s="1"/>
  <c r="N21" i="25" s="1"/>
  <c r="O21" i="25" s="1"/>
  <c r="P21" i="25" s="1"/>
  <c r="K16" i="24"/>
  <c r="K25" i="24" s="1"/>
  <c r="P30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M24" i="24" s="1"/>
  <c r="N24" i="24" s="1"/>
  <c r="O24" i="24" s="1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M16" i="22"/>
  <c r="M21" i="21"/>
  <c r="N21" i="21" s="1"/>
  <c r="M17" i="19"/>
  <c r="N17" i="19" s="1"/>
  <c r="O17" i="19" s="1"/>
  <c r="M21" i="19"/>
  <c r="N18" i="18"/>
  <c r="O18" i="18" s="1"/>
  <c r="N22" i="18"/>
  <c r="O22" i="18" s="1"/>
  <c r="M16" i="17"/>
  <c r="I23" i="15"/>
  <c r="L21" i="15" l="1"/>
  <c r="K25" i="22"/>
  <c r="P30" i="22" s="1"/>
  <c r="P24" i="34"/>
  <c r="P25" i="34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4" i="15" l="1"/>
  <c r="M22" i="15"/>
  <c r="N16" i="18"/>
  <c r="N16" i="15" s="1"/>
  <c r="M18" i="16"/>
  <c r="N18" i="16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P33" i="20" l="1"/>
  <c r="P34" i="20" s="1"/>
  <c r="P35" i="20" s="1"/>
  <c r="U18" i="15" s="1"/>
  <c r="O16" i="18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U7" i="6" s="1"/>
  <c r="S9" i="6"/>
  <c r="S13" i="6"/>
  <c r="Q7" i="6"/>
  <c r="Q9" i="6"/>
  <c r="Q13" i="6"/>
  <c r="S8" i="6"/>
  <c r="S14" i="6"/>
  <c r="S11" i="6"/>
  <c r="S10" i="6"/>
  <c r="S6" i="6"/>
  <c r="Q6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O8" i="6"/>
  <c r="U8" i="6" s="1"/>
  <c r="N9" i="6"/>
  <c r="W6" i="6" l="1"/>
  <c r="Y6" i="6" s="1"/>
  <c r="O9" i="6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<sst xmlns="http://schemas.openxmlformats.org/spreadsheetml/2006/main" count="1582" uniqueCount="122">
  <si>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</si>
  <si>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</si>
  <si>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</si>
  <si>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</si>
  <si>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</si>
  <si>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</si>
  <si>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</si>
  <si>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</si>
  <si>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</si>
  <si>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</si>
  <si>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</si>
  <si>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</si>
  <si>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</si>
  <si>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</si>
  <si>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</si>
  <si>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</si>
  <si>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</si>
  <si>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</si>
  <si>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</si>
  <si>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</si>
  <si>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</si>
  <si>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</si>
  <si>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</si>
  <si>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</si>
  <si>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</si>
  <si>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</si>
  <si>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</si>
  <si>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</si>
  <si>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</si>
  <si>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</si>
  <si>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</si>
  <si>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</si>
  <si>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</si>
  <si>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</si>
  <si>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</si>
  <si>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</si>
  <si>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</si>
  <si>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</si>
  <si>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</si>
  <si>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</si>
  <si>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</si>
  <si>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</si>
  <si>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</si>
  <si>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</si>
  <si>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</si>
  <si>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</si>
  <si>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</si>
  <si>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</si>
  <si>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</si>
  <si>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</si>
  <si>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</si>
  <si>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</si>
  <si>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</si>
  <si>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</si>
  <si>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</si>
  <si>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</si>
  <si>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</si>
  <si>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</si>
  <si>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</si>
  <si>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</si>
  <si>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</si>
  <si>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</si>
  <si>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</si>
  <si>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</si>
  <si>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</si>
  <si>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</si>
  <si>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</si>
  <si>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</si>
  <si>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</si>
  <si>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</si>
  <si>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</si>
  <si>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</si>
  <si>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</si>
  <si>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</si>
  <si>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</si>
  <si>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</si>
  <si>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</si>
  <si>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</si>
  <si>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</si>
  <si>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</si>
  <si>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</si>
  <si>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</si>
  <si>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</si>
  <si>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</si>
  <si>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</si>
  <si>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</si>
  <si>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</si>
  <si>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</si>
  <si>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</si>
  <si>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</si>
  <si>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</si>
  <si>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</si>
  <si>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</si>
  <si>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</si>
  <si>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</si>
  <si>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</si>
  <si>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</si>
  <si>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</si>
  <si>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</si>
  <si>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</si>
  <si>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</si>
  <si>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</si>
  <si>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</si>
  <si>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</si>
  <si>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Customer Name : Shell Pump</t>
  </si>
  <si>
    <t>Address: Near PSO</t>
  </si>
  <si>
    <t xml:space="preserve">Customer Name : Imran Madna </t>
  </si>
  <si>
    <t>Address: Saadi Park</t>
  </si>
  <si>
    <t>Customer Name : Mughal Bakery</t>
  </si>
  <si>
    <t>Address: Bagh gul Begum</t>
  </si>
  <si>
    <t>Customer Name : Hafiz Store</t>
  </si>
  <si>
    <t>Address: Kanak Mandi Mazang</t>
  </si>
  <si>
    <t>3255339-7</t>
  </si>
  <si>
    <t xml:space="preserve">Customer Name : Saeed Bakery </t>
  </si>
  <si>
    <t xml:space="preserve">Address: Kanak Mandi </t>
  </si>
  <si>
    <t>G0858352</t>
  </si>
  <si>
    <t>Customer Name : A Plus Store</t>
  </si>
  <si>
    <t>Address: Mola Baksh Road Mazang</t>
  </si>
  <si>
    <t>352020834134-7</t>
  </si>
  <si>
    <t xml:space="preserve">Customer Name : Makkah Dry Fruits </t>
  </si>
  <si>
    <t>Address: Mozang</t>
  </si>
  <si>
    <t>Shop Bill Summary (Furqan) (17.06.2026)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</si>
</sst>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179687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1796875" defaultRowHeight="14.5" x14ac:dyDescent="0.35"/>
  <cols>
    <col min="1" max="1" width="2.81640625" bestFit="1" customWidth="1"/>
    <col min="2" max="2" width="5.1796875" style="3" bestFit="1" customWidth="1"/>
    <col min="3" max="4" width="4.81640625" style="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179687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81640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4" zoomScale="70" zoomScaleNormal="70" workbookViewId="0">
      <selection activeCell="H22" sqref="H22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81640625" hidden="1" customWidth="1"/>
    <col min="17" max="17" width="4.54296875" hidden="1" customWidth="1"/>
    <col min="18" max="18" width="7.1796875" hidden="1" customWidth="1"/>
    <col min="20" max="20" width="61.6328125" bestFit="1" customWidth="1"/>
    <col min="21" max="21" width="10.906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96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7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121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Shell Pump</v>
      </c>
      <c r="U14" s="164">
        <f>+'1'!P35</f>
        <v>11626.876227000001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Imran Madna </v>
      </c>
      <c r="U15" s="164">
        <f>+'2'!P35</f>
        <v>2042.8965819000002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54</v>
      </c>
      <c r="I16" s="1">
        <f>(G16*D16)*F16+H16*F16</f>
        <v>2832.9749999999999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226.63799999999998</v>
      </c>
      <c r="M16" s="106">
        <f>I16-K16-L16</f>
        <v>2606.337</v>
      </c>
      <c r="N16" s="101">
        <f>+'1'!N16+'2'!N16+'4'!N16+'3'!N16+'5'!N16+'6'!N16+'7'!N16+'8'!N16+'9'!N16+'10'!N16</f>
        <v>559.58600999999999</v>
      </c>
      <c r="O16" s="101">
        <f>+'1'!O16+'2'!O16+'4'!O16+'3'!O16+'5'!O16+'6'!O16+'7'!O16+'8'!O16+'9'!O16+'10'!O16</f>
        <v>79.148075250000005</v>
      </c>
      <c r="P16" s="105">
        <f t="shared" ref="P16:P24" si="0">M16+N16+O16</f>
        <v>3245.0710852500001</v>
      </c>
      <c r="Q16" s="108"/>
      <c r="T16" s="163" t="str">
        <f>+'4'!A5</f>
        <v>Customer Name : Hafiz Store</v>
      </c>
      <c r="U16" s="164">
        <f>+'4'!P35</f>
        <v>6619.3461504000006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25</v>
      </c>
      <c r="I17" s="1">
        <f t="shared" ref="I17:I23" si="1">(G17*D17)*F17+H17*F17</f>
        <v>1311.5625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104.925</v>
      </c>
      <c r="M17" s="118">
        <f t="shared" ref="M17:M23" si="2">I17-K17-L17</f>
        <v>1206.6375</v>
      </c>
      <c r="N17" s="101">
        <f>+'1'!N17+'2'!N17+'4'!N17+'3'!N17+'5'!N17+'6'!N17+'7'!N17+'8'!N17+'9'!N17+'10'!N17</f>
        <v>288.54375000000005</v>
      </c>
      <c r="O17" s="101">
        <f>+'1'!O17+'2'!O17+'4'!O17+'3'!O17+'5'!O17+'6'!O17+'7'!O17+'8'!O17+'9'!O17+'10'!O17</f>
        <v>37.379531250000007</v>
      </c>
      <c r="P17" s="120">
        <f t="shared" si="0"/>
        <v>1532.56078125</v>
      </c>
      <c r="S17" s="64"/>
      <c r="T17" s="163" t="str">
        <f>+'3'!A5</f>
        <v>Customer Name : Mughal Bakery</v>
      </c>
      <c r="U17" s="164">
        <f>+'3'!P35</f>
        <v>538.64712270000007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25</v>
      </c>
      <c r="I18" s="1">
        <f t="shared" si="1"/>
        <v>1311.5625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104.925</v>
      </c>
      <c r="M18" s="118">
        <f t="shared" si="2"/>
        <v>1206.6375</v>
      </c>
      <c r="N18" s="101">
        <f>+'1'!N18+'2'!N18+'4'!N18+'3'!N18+'5'!N18+'6'!N18+'7'!N18+'8'!N18+'9'!N18+'10'!N18</f>
        <v>265.46025000000003</v>
      </c>
      <c r="O18" s="101">
        <f>+'1'!O18+'2'!O18+'4'!O18+'3'!O18+'5'!O18+'6'!O18+'7'!O18+'8'!O18+'9'!O18+'10'!O18</f>
        <v>36.802443750000002</v>
      </c>
      <c r="P18" s="120">
        <f t="shared" si="0"/>
        <v>1508.9001937500002</v>
      </c>
      <c r="T18" s="163" t="str">
        <f>+'5'!A5</f>
        <v xml:space="preserve">Customer Name : Saeed Bakery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96</v>
      </c>
      <c r="I19" s="1">
        <f t="shared" si="1"/>
        <v>6973.4400000000005</v>
      </c>
      <c r="J19" s="172">
        <f>+'1'!J19+'2'!J19+'4'!J19+'3'!J19+'5'!J19+'6'!J19+'7'!J19+'8'!J19+'9'!J19+'10'!J19+'11'!J19+'12'!J19+'13'!J19+'14'!J19+'15'!J19+'16'!J19+'17'!J19+'18'!J19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557.87519999999995</v>
      </c>
      <c r="M19" s="118">
        <f t="shared" si="2"/>
        <v>6415.5648000000001</v>
      </c>
      <c r="N19" s="101">
        <f>+'1'!N19+'2'!N19+'4'!N19+'3'!N19+'5'!N19+'6'!N19+'7'!N19+'8'!N19+'9'!N19+'10'!N19</f>
        <v>1378.590976</v>
      </c>
      <c r="O19" s="101">
        <f>+'1'!O19+'2'!O19+'4'!O19+'3'!O19+'5'!O19+'6'!O19+'7'!O19+'8'!O19+'9'!O19+'10'!O19</f>
        <v>161.92182400000002</v>
      </c>
      <c r="P19" s="120">
        <f t="shared" si="0"/>
        <v>7956.0775999999996</v>
      </c>
      <c r="T19" s="163" t="str">
        <f>+'6'!A5</f>
        <v>Customer Name : A Plus Store</v>
      </c>
      <c r="U19" s="164">
        <f>+'6'!P35</f>
        <v>1410.7302652499998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61</v>
      </c>
      <c r="I20" s="1">
        <f t="shared" si="1"/>
        <v>4431.04</v>
      </c>
      <c r="J20" s="172">
        <f>+'1'!J20+'2'!J20+'4'!J20+'3'!J20+'5'!J20+'6'!J20+'7'!J20+'8'!J20+'9'!J20+'10'!J20+'11'!J20+'12'!J20+'13'!J20+'14'!J20+'15'!J20+'16'!J20+'17'!J20+'18'!J20</f>
        <v>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354.48320000000001</v>
      </c>
      <c r="M20" s="118">
        <f t="shared" si="2"/>
        <v>4076.5567999999998</v>
      </c>
      <c r="N20" s="101">
        <f>+'1'!N20+'2'!N20+'4'!N20+'3'!N20+'5'!N20+'6'!N20+'7'!N20+'8'!N20+'9'!N20+'10'!N20</f>
        <v>960.76569599999993</v>
      </c>
      <c r="O20" s="101">
        <f>+'1'!O20+'2'!O20+'4'!O20+'3'!O20+'5'!O20+'6'!O20+'7'!O20+'8'!O20+'9'!O20+'10'!O20</f>
        <v>76.375148800000005</v>
      </c>
      <c r="P20" s="120">
        <f t="shared" si="0"/>
        <v>5113.6976447999996</v>
      </c>
      <c r="T20" s="163" t="str">
        <f>+'7'!A5</f>
        <v xml:space="preserve">Customer Name : Makkah Dry Fruits </v>
      </c>
      <c r="U20" s="164">
        <f>+'7'!P35</f>
        <v>6519.9630079999997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101</v>
      </c>
      <c r="I21" s="1">
        <f t="shared" si="1"/>
        <v>7336.64</v>
      </c>
      <c r="J21" s="172">
        <f>+'1'!J21+'2'!J21+'4'!J21+'3'!J21+'5'!J21+'6'!J21+'7'!J21+'8'!J21+'9'!J21+'10'!J21+'11'!J21+'12'!J21+'13'!J21+'14'!J21+'15'!J21+'16'!J21+'17'!J21+'18'!J21</f>
        <v>3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586.93119999999999</v>
      </c>
      <c r="M21" s="118">
        <f t="shared" si="2"/>
        <v>6749.7088000000003</v>
      </c>
      <c r="N21" s="101">
        <f>+'1'!N21+'2'!N21+'4'!N21+'3'!N21+'5'!N21+'6'!N21+'7'!N21+'8'!N21+'9'!N21+'10'!N21</f>
        <v>1420.1410559999999</v>
      </c>
      <c r="O21" s="101">
        <f>+'1'!O21+'2'!O21+'4'!O21+'3'!O21+'5'!O21+'6'!O21+'7'!O21+'8'!O21+'9'!O21+'10'!O21</f>
        <v>155.00794880000001</v>
      </c>
      <c r="P21" s="120">
        <f t="shared" si="0"/>
        <v>8324.8578047999999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24</v>
      </c>
      <c r="I22" s="1">
        <f t="shared" si="1"/>
        <v>941.5200000000001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32.95320000000001</v>
      </c>
      <c r="L22" s="175">
        <f>+'1'!L22+'2'!L22+'4'!L22+'3'!L22+'5'!L22+'6'!L22+'7'!L22+'8'!L22+'9'!L22+'10'!L22</f>
        <v>47.076000000000008</v>
      </c>
      <c r="M22" s="118">
        <f t="shared" si="2"/>
        <v>861.49080000000004</v>
      </c>
      <c r="N22" s="101">
        <f>+'1'!N22+'2'!N22+'4'!N22+'3'!N22+'5'!N22+'6'!N22+'7'!N22+'8'!N22+'9'!N22+'10'!N22</f>
        <v>189.527976</v>
      </c>
      <c r="O22" s="101">
        <f>+'1'!O22+'2'!O22+'4'!O22+'3'!O22+'5'!O22+'6'!O22+'7'!O22+'8'!O22+'9'!O22+'10'!O22</f>
        <v>26.275469400000006</v>
      </c>
      <c r="P22" s="120">
        <f t="shared" si="0"/>
        <v>1077.2942454000001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9.65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386</v>
      </c>
      <c r="I25" s="178">
        <f t="shared" si="3"/>
        <v>25138.74</v>
      </c>
      <c r="J25" s="177">
        <f t="shared" si="3"/>
        <v>17</v>
      </c>
      <c r="K25" s="178">
        <f t="shared" si="3"/>
        <v>32.95320000000001</v>
      </c>
      <c r="L25" s="179">
        <f t="shared" si="3"/>
        <v>1982.8535999999999</v>
      </c>
      <c r="M25" s="141">
        <f t="shared" si="3"/>
        <v>23122.933199999999</v>
      </c>
      <c r="N25" s="142">
        <f>SUM(N16:N24)</f>
        <v>5062.6157140000005</v>
      </c>
      <c r="O25" s="143">
        <f>SUM(O16:O24)</f>
        <v>572.91044125000008</v>
      </c>
      <c r="P25" s="144">
        <f>SUM(P16:P24)</f>
        <v>28758.459355250001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28758.459355250001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25138.74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1982.8535999999999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32.95320000000001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23122.933200000003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5062.6157140000005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28185.548914000003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704.63872285000014</v>
      </c>
    </row>
    <row r="39" spans="2:16" ht="15.75" customHeight="1" thickBot="1" x14ac:dyDescent="0.4">
      <c r="N39" s="203" t="s">
        <v>92</v>
      </c>
      <c r="O39" s="204"/>
      <c r="P39" s="160">
        <f>P37+P38</f>
        <v>28890.187636850002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A5" sqref="A5:C5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1796875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30</v>
      </c>
      <c r="I16" s="102">
        <f>(G16*D16)*F16+H16*F16</f>
        <v>1573.875</v>
      </c>
      <c r="J16" s="103">
        <v>2</v>
      </c>
      <c r="K16" s="104">
        <f>I16*$K$13</f>
        <v>0</v>
      </c>
      <c r="L16" s="105">
        <f>I16*8%</f>
        <v>125.91</v>
      </c>
      <c r="M16" s="106">
        <f>I16-K16-L16</f>
        <v>1447.9649999999999</v>
      </c>
      <c r="N16" s="106">
        <f t="shared" ref="N16:N24" si="0">(M16*$N$15)+(J16*F16)*$N$15</f>
        <v>341.63580000000002</v>
      </c>
      <c r="O16" s="107">
        <f t="shared" ref="O16:O24" si="1">(N16+M16)*$O$15</f>
        <v>44.740020000000001</v>
      </c>
      <c r="P16" s="105">
        <f t="shared" ref="P16:P24" si="2">M16+N16+O16</f>
        <v>1834.3408199999999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25</v>
      </c>
      <c r="I17" s="116">
        <f t="shared" ref="I17:I23" si="3">(G17*D17)*F17+H17*F17</f>
        <v>1311.5625</v>
      </c>
      <c r="J17" s="117">
        <v>2</v>
      </c>
      <c r="K17" s="1">
        <f t="shared" ref="K17:K21" si="4">I17*$K$13</f>
        <v>0</v>
      </c>
      <c r="L17" s="105">
        <f t="shared" ref="L17:L21" si="5">I17*8%</f>
        <v>104.925</v>
      </c>
      <c r="M17" s="118">
        <f t="shared" ref="M17:M23" si="6">I17-K17-L17</f>
        <v>1206.6375</v>
      </c>
      <c r="N17" s="118">
        <f t="shared" si="0"/>
        <v>288.54375000000005</v>
      </c>
      <c r="O17" s="119">
        <f t="shared" si="1"/>
        <v>37.379531250000007</v>
      </c>
      <c r="P17" s="120">
        <f t="shared" si="2"/>
        <v>1532.56078125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25</v>
      </c>
      <c r="I18" s="116">
        <f t="shared" si="3"/>
        <v>1311.5625</v>
      </c>
      <c r="J18" s="117"/>
      <c r="K18" s="1">
        <f t="shared" si="4"/>
        <v>0</v>
      </c>
      <c r="L18" s="105">
        <f t="shared" si="5"/>
        <v>104.925</v>
      </c>
      <c r="M18" s="118">
        <f t="shared" si="6"/>
        <v>1206.6375</v>
      </c>
      <c r="N18" s="118">
        <f t="shared" si="0"/>
        <v>265.46025000000003</v>
      </c>
      <c r="O18" s="119">
        <f t="shared" si="1"/>
        <v>36.802443750000002</v>
      </c>
      <c r="P18" s="120">
        <f t="shared" si="2"/>
        <v>1508.9001937500002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30</v>
      </c>
      <c r="I19" s="116">
        <f t="shared" si="3"/>
        <v>2179.1999999999998</v>
      </c>
      <c r="J19" s="117">
        <v>2</v>
      </c>
      <c r="K19" s="1">
        <f t="shared" si="4"/>
        <v>0</v>
      </c>
      <c r="L19" s="105">
        <f t="shared" si="5"/>
        <v>174.33599999999998</v>
      </c>
      <c r="M19" s="118">
        <f t="shared" si="6"/>
        <v>2004.8639999999998</v>
      </c>
      <c r="N19" s="118">
        <f t="shared" si="0"/>
        <v>473.03167999999994</v>
      </c>
      <c r="O19" s="119">
        <f t="shared" si="1"/>
        <v>61.947391999999994</v>
      </c>
      <c r="P19" s="120">
        <f t="shared" si="2"/>
        <v>2539.8430719999997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25</v>
      </c>
      <c r="I20" s="116">
        <f t="shared" si="3"/>
        <v>1816</v>
      </c>
      <c r="J20" s="117">
        <v>2</v>
      </c>
      <c r="K20" s="1">
        <f t="shared" si="4"/>
        <v>0</v>
      </c>
      <c r="L20" s="105">
        <f t="shared" si="5"/>
        <v>145.28</v>
      </c>
      <c r="M20" s="118">
        <f t="shared" si="6"/>
        <v>1670.72</v>
      </c>
      <c r="N20" s="118">
        <f t="shared" si="0"/>
        <v>399.52</v>
      </c>
      <c r="O20" s="119">
        <f t="shared" si="1"/>
        <v>51.756</v>
      </c>
      <c r="P20" s="120">
        <f t="shared" si="2"/>
        <v>2121.9959999999996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25</v>
      </c>
      <c r="I21" s="116">
        <f t="shared" si="3"/>
        <v>1816</v>
      </c>
      <c r="J21" s="117"/>
      <c r="K21" s="1">
        <f t="shared" si="4"/>
        <v>0</v>
      </c>
      <c r="L21" s="105">
        <f t="shared" si="5"/>
        <v>145.28</v>
      </c>
      <c r="M21" s="118">
        <f t="shared" si="6"/>
        <v>1670.72</v>
      </c>
      <c r="N21" s="118">
        <f t="shared" si="0"/>
        <v>367.55840000000001</v>
      </c>
      <c r="O21" s="119">
        <f t="shared" si="1"/>
        <v>50.956960000000009</v>
      </c>
      <c r="P21" s="120">
        <f t="shared" si="2"/>
        <v>2089.2353600000001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160</v>
      </c>
      <c r="I25" s="137">
        <f t="shared" si="9"/>
        <v>10008.200000000001</v>
      </c>
      <c r="J25" s="138"/>
      <c r="K25" s="139">
        <f t="shared" si="9"/>
        <v>0</v>
      </c>
      <c r="L25" s="140">
        <f t="shared" si="9"/>
        <v>800.65599999999995</v>
      </c>
      <c r="M25" s="141">
        <f t="shared" si="9"/>
        <v>9207.5439999999999</v>
      </c>
      <c r="N25" s="142">
        <f>SUM(N16:N24)</f>
        <v>2135.7498799999998</v>
      </c>
      <c r="O25" s="143">
        <f>SUM(O16:O24)</f>
        <v>283.58234700000003</v>
      </c>
      <c r="P25" s="144">
        <f>SUM(P16:P24)</f>
        <v>11626.876226999999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10008.200000000001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800.65599999999995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9207.5440000000017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2135.7498799999998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11343.293880000001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283.58234700000003</v>
      </c>
    </row>
    <row r="35" spans="2:16" ht="15.75" customHeight="1" thickBot="1" x14ac:dyDescent="0.4">
      <c r="N35" s="203" t="s">
        <v>92</v>
      </c>
      <c r="O35" s="204"/>
      <c r="P35" s="160">
        <f>P33+P34</f>
        <v>11626.876227000001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L19" sqref="L19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12.229670400000002</v>
      </c>
      <c r="P19" s="120">
        <f t="shared" si="1"/>
        <v>501.4164864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12.229670400000002</v>
      </c>
      <c r="P20" s="120">
        <f t="shared" si="1"/>
        <v>501.4164864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30</v>
      </c>
      <c r="I25" s="137">
        <f t="shared" si="9"/>
        <v>1778.28</v>
      </c>
      <c r="J25" s="138"/>
      <c r="K25" s="139">
        <f t="shared" si="9"/>
        <v>16.476600000000005</v>
      </c>
      <c r="L25" s="140">
        <f t="shared" si="9"/>
        <v>128.13960000000003</v>
      </c>
      <c r="M25" s="141">
        <f t="shared" si="9"/>
        <v>1633.6638</v>
      </c>
      <c r="N25" s="142">
        <f>SUM(N16:N24)</f>
        <v>359.40603599999997</v>
      </c>
      <c r="O25" s="143">
        <f>SUM(O16:O24)</f>
        <v>49.826745900000006</v>
      </c>
      <c r="P25" s="144">
        <f>SUM(P16:P24)</f>
        <v>2042.8965819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1778.28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128.13960000000003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1633.6638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359.40603599999997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1993.0698360000001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49.826745900000006</v>
      </c>
    </row>
    <row r="35" spans="2:16" ht="15.75" customHeight="1" thickBot="1" x14ac:dyDescent="0.4">
      <c r="N35" s="203" t="s">
        <v>92</v>
      </c>
      <c r="O35" s="204"/>
      <c r="P35" s="160">
        <f>P33+P34</f>
        <v>2042.8965819000002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E10" sqref="E1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470.76000000000005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23.538000000000004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430.74540000000002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525.50938800000006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03" t="s">
        <v>92</v>
      </c>
      <c r="O35" s="204"/>
      <c r="P35" s="160">
        <f>P33+P34</f>
        <v>538.64712270000007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D13" sqref="D13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30</v>
      </c>
      <c r="I20" s="116">
        <f t="shared" si="2"/>
        <v>2179.1999999999998</v>
      </c>
      <c r="J20" s="117">
        <v>2</v>
      </c>
      <c r="K20" s="1">
        <f t="shared" si="3"/>
        <v>0</v>
      </c>
      <c r="L20" s="105">
        <f t="shared" si="4"/>
        <v>174.33599999999998</v>
      </c>
      <c r="M20" s="118">
        <f t="shared" si="5"/>
        <v>2004.8639999999998</v>
      </c>
      <c r="N20" s="118">
        <f t="shared" si="0"/>
        <v>473.03167999999994</v>
      </c>
      <c r="O20" s="119">
        <f t="shared" si="6"/>
        <v>12.389478399999998</v>
      </c>
      <c r="P20" s="120">
        <f t="shared" si="1"/>
        <v>2490.2851583999995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30</v>
      </c>
      <c r="I21" s="116">
        <f t="shared" si="2"/>
        <v>2179.1999999999998</v>
      </c>
      <c r="J21" s="117">
        <v>1</v>
      </c>
      <c r="K21" s="1">
        <f t="shared" si="3"/>
        <v>0</v>
      </c>
      <c r="L21" s="105">
        <f t="shared" si="4"/>
        <v>174.33599999999998</v>
      </c>
      <c r="M21" s="118">
        <f t="shared" si="5"/>
        <v>2004.8639999999998</v>
      </c>
      <c r="N21" s="118">
        <f t="shared" si="0"/>
        <v>457.05087999999995</v>
      </c>
      <c r="O21" s="119">
        <f t="shared" si="6"/>
        <v>12.309574399999999</v>
      </c>
      <c r="P21" s="120">
        <f t="shared" si="1"/>
        <v>2474.2244544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464.89599999999996</v>
      </c>
      <c r="M25" s="141">
        <f t="shared" si="9"/>
        <v>5346.3039999999992</v>
      </c>
      <c r="N25" s="142">
        <f>SUM(N16:N24)</f>
        <v>1240.1100799999999</v>
      </c>
      <c r="O25" s="143">
        <f>SUM(O16:O24)</f>
        <v>32.932070400000001</v>
      </c>
      <c r="P25" s="144">
        <f>SUM(P16:P24)</f>
        <v>6619.3461504000006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5811.2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464.89599999999996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5346.3040000000001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6586.4140800000005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32.932070400000001</v>
      </c>
    </row>
    <row r="35" spans="2:16" ht="15.75" customHeight="1" thickBot="1" x14ac:dyDescent="0.4">
      <c r="N35" s="203" t="s">
        <v>92</v>
      </c>
      <c r="O35" s="204"/>
      <c r="P35" s="160">
        <f>P33+P34</f>
        <v>6619.3461504000006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J20" sqref="J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81640625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114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sqref="A1:Q36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118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24</v>
      </c>
      <c r="I16" s="102">
        <f>(G16*D16)*F16+H16*F16</f>
        <v>1259.0999999999999</v>
      </c>
      <c r="J16" s="103">
        <v>1</v>
      </c>
      <c r="K16" s="104">
        <f>I16*$K$13</f>
        <v>0</v>
      </c>
      <c r="L16" s="105">
        <f>I16*8%</f>
        <v>100.72799999999999</v>
      </c>
      <c r="M16" s="106">
        <f>I16-K16-L16</f>
        <v>1158.3719999999998</v>
      </c>
      <c r="N16" s="106">
        <f t="shared" ref="N16:N24" si="0">(M16*$N$15)+(J16*F16)*$N$15</f>
        <v>217.95020999999997</v>
      </c>
      <c r="O16" s="107">
        <f>(N16+M16)*$O$15</f>
        <v>34.408055249999997</v>
      </c>
      <c r="P16" s="105">
        <f t="shared" ref="P16:P24" si="1">M16+N16+O16</f>
        <v>1410.7302652499998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</v>
      </c>
      <c r="I25" s="137">
        <f t="shared" si="9"/>
        <v>1259.0999999999999</v>
      </c>
      <c r="J25" s="138"/>
      <c r="K25" s="139">
        <f t="shared" si="9"/>
        <v>0</v>
      </c>
      <c r="L25" s="140">
        <f t="shared" si="9"/>
        <v>100.72799999999999</v>
      </c>
      <c r="M25" s="141">
        <f t="shared" si="9"/>
        <v>1158.3719999999998</v>
      </c>
      <c r="N25" s="142">
        <f>SUM(N16:N24)</f>
        <v>217.95020999999997</v>
      </c>
      <c r="O25" s="143">
        <f>SUM(O16:O24)</f>
        <v>34.408055249999997</v>
      </c>
      <c r="P25" s="144">
        <f>SUM(P16:P24)</f>
        <v>1410.7302652499998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1259.0999999999999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100.72799999999999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1158.3719999999998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217.95020999999997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1376.3222099999998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34.408055249999997</v>
      </c>
    </row>
    <row r="35" spans="2:16" ht="15.75" customHeight="1" thickBot="1" x14ac:dyDescent="0.4">
      <c r="N35" s="203" t="s">
        <v>92</v>
      </c>
      <c r="O35" s="204"/>
      <c r="P35" s="160">
        <f>P33+P34</f>
        <v>1410.7302652499998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sqref="A1:Q36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120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3520114212667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79.511744000000007</v>
      </c>
      <c r="P19" s="120">
        <f t="shared" si="1"/>
        <v>3259.9815039999999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79.511744000000007</v>
      </c>
      <c r="P21" s="120">
        <f t="shared" si="1"/>
        <v>3259.9815039999999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1014.6355199999999</v>
      </c>
      <c r="O25" s="143">
        <f>SUM(O16:O24)</f>
        <v>159.02348800000001</v>
      </c>
      <c r="P25" s="144">
        <f>SUM(P16:P24)</f>
        <v>6519.9630079999997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5811.2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464.89600000000002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5346.3040000000001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1014.6355199999999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6360.9395199999999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159.02348800000001</v>
      </c>
    </row>
    <row r="35" spans="2:16" ht="15.75" customHeight="1" thickBot="1" x14ac:dyDescent="0.4">
      <c r="N35" s="203" t="s">
        <v>92</v>
      </c>
      <c r="O35" s="204"/>
      <c r="P35" s="160">
        <f>P33+P34</f>
        <v>6519.9630079999997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I4" sqref="I4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3" sqref="H3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2026-06-19T08:28:27Z</dcterms:modified>
</cp:coreProperties>
</file>