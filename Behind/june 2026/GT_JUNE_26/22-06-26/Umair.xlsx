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84E50DA-5043-4679-BD70-3D608E5EC63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1" i="16" l="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24" i="19"/>
  <c r="L24" i="19"/>
  <c r="L21" i="19"/>
  <c r="K21" i="19"/>
  <c r="L21" i="18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8" i="19" l="1"/>
  <c r="K17" i="23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P22" i="20"/>
  <c r="N16" i="18"/>
  <c r="N16" i="15" s="1"/>
  <c r="M18" i="16"/>
  <c r="N18" i="16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<sst xmlns="http://schemas.openxmlformats.org/spreadsheetml/2006/main" count="1580" uniqueCount="121">
  <si>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</si>
  <si>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</si>
  <si>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</si>
  <si>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</si>
  <si>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</si>
  <si>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</si>
  <si>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</si>
  <si>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</si>
  <si>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</si>
  <si>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</si>
  <si>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</si>
  <si>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</si>
  <si>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</si>
  <si>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</si>
  <si>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</si>
  <si>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</si>
  <si>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</si>
  <si>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</si>
  <si>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</si>
  <si>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</si>
  <si>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</si>
  <si>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</si>
  <si>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</si>
  <si>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</si>
  <si>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</si>
  <si>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</si>
  <si>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</si>
  <si>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</si>
  <si>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</si>
  <si>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</si>
  <si>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</si>
  <si>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</si>
  <si>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</si>
  <si>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</si>
  <si>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</si>
  <si>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</si>
  <si>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</si>
  <si>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</si>
  <si>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</si>
  <si>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</si>
  <si>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</si>
  <si>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</si>
  <si>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</si>
  <si>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</si>
  <si>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</si>
  <si>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</si>
  <si>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</si>
  <si>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</si>
  <si>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</si>
  <si>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</si>
  <si>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</si>
  <si>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</si>
  <si>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</si>
  <si>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</si>
  <si>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</si>
  <si>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</si>
  <si>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</si>
  <si>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</si>
  <si>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</si>
  <si>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</si>
  <si>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</si>
  <si>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</si>
  <si>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</si>
  <si>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</si>
  <si>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</si>
  <si>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</si>
  <si>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</si>
  <si>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</si>
  <si>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</si>
  <si>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</si>
  <si>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</si>
  <si>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</si>
  <si>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</si>
  <si>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</si>
  <si>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</si>
  <si>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</si>
  <si>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</si>
  <si>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</si>
  <si>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</si>
  <si>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</si>
  <si>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</si>
  <si>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</si>
  <si>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</si>
  <si>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</si>
  <si>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</si>
  <si>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</si>
  <si>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</si>
  <si>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</si>
  <si>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</si>
  <si>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</si>
  <si>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</si>
  <si>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</si>
  <si>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</si>
  <si>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</si>
  <si>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</si>
  <si>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</si>
  <si>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</si>
  <si>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</si>
  <si>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</si>
  <si>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</si>
  <si>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</si>
  <si>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</si>
  <si>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</si>
  <si>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</si>
  <si>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</si>
  <si>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Shop Bill Summary (Umair)</t>
  </si>
  <si>
    <t xml:space="preserve">Customer Name : Suyan Mart </t>
  </si>
  <si>
    <t>Address: Central Park Gate 2</t>
  </si>
  <si>
    <t>Customer Name : Saphair Store</t>
  </si>
  <si>
    <t>Address: Central Park Medical Girl Hostal</t>
  </si>
  <si>
    <t>Customer Name : AS Cash &amp; Carry</t>
  </si>
  <si>
    <t>Address: Central Park Gate 1</t>
  </si>
  <si>
    <t>Customer Name : Gujjar Mart</t>
  </si>
  <si>
    <t>Address: Central Park</t>
  </si>
  <si>
    <t>Customer Name : D Mart</t>
  </si>
  <si>
    <t xml:space="preserve">Address: Central Park </t>
  </si>
  <si>
    <t>Customer Name : SM Rise Mart</t>
  </si>
  <si>
    <t>Address: Central Park Behria Nashomi</t>
  </si>
  <si>
    <t>Customer Name : Bajwa Mart</t>
  </si>
  <si>
    <t xml:space="preserve">Customer Name : MA Mart </t>
  </si>
  <si>
    <t xml:space="preserve">Address: Behraia Nashomi Central Park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</si>
</sst>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J19" sqref="J19"/>
      <selection pane="topRight" activeCell="J19" sqref="J19"/>
      <selection pane="bottomLeft" activeCell="J19" sqref="J19"/>
      <selection pane="bottomRight" activeCell="J19" sqref="J1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3" zoomScale="70" zoomScaleNormal="70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Suyan Mart </v>
      </c>
      <c r="U14" s="164">
        <f>+'1'!P35</f>
        <v>5667.3821872800008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Saphair Store</v>
      </c>
      <c r="U15" s="164">
        <f>+'2'!P35</f>
        <v>448.87260225000006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32</v>
      </c>
      <c r="I16" s="1">
        <f>(G16*D16)*F16+H16*F16</f>
        <v>1678.8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134.304</v>
      </c>
      <c r="M16" s="106">
        <f>I16-K16-L16</f>
        <v>1544.4959999999999</v>
      </c>
      <c r="N16" s="101">
        <f>+'1'!N16+'2'!N16+'4'!N16+'3'!N16+'5'!N16+'6'!N16+'7'!N16+'8'!N16+'9'!N16+'10'!N16</f>
        <v>351.33087</v>
      </c>
      <c r="O16" s="101">
        <f>+'1'!O16+'2'!O16+'4'!O16+'3'!O16+'5'!O16+'6'!O16+'7'!O16+'8'!O16+'9'!O16+'10'!O16</f>
        <v>47.395671749999998</v>
      </c>
      <c r="P16" s="105">
        <f t="shared" ref="P16:P24" si="0">M16+N16+O16</f>
        <v>1943.2225417499999</v>
      </c>
      <c r="Q16" s="108"/>
      <c r="T16" s="163" t="str">
        <f>+'4'!A5</f>
        <v>Customer Name : Gujjar Mart</v>
      </c>
      <c r="U16" s="164">
        <f>+'4'!P35</f>
        <v>897.74520450000011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32</v>
      </c>
      <c r="I17" s="1">
        <f t="shared" ref="I17:I23" si="1">(G17*D17)*F17+H17*F17</f>
        <v>1678.8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134.304</v>
      </c>
      <c r="M17" s="118">
        <f t="shared" ref="M17:M23" si="2">I17-K17-L17</f>
        <v>1544.4959999999999</v>
      </c>
      <c r="N17" s="101">
        <f>+'1'!N17+'2'!N17+'4'!N17+'3'!N17+'5'!N17+'6'!N17+'7'!N17+'8'!N17+'9'!N17+'10'!N17</f>
        <v>362.87261999999998</v>
      </c>
      <c r="O17" s="101">
        <f>+'1'!O17+'2'!O17+'4'!O17+'3'!O17+'5'!O17+'6'!O17+'7'!O17+'8'!O17+'9'!O17+'10'!O17</f>
        <v>47.684215499999993</v>
      </c>
      <c r="P17" s="120">
        <f t="shared" si="0"/>
        <v>1955.0528354999997</v>
      </c>
      <c r="S17" s="64"/>
      <c r="T17" s="163" t="str">
        <f>+'3'!A5</f>
        <v>Customer Name : AS Cash &amp; Carry</v>
      </c>
      <c r="U17" s="164">
        <f>+'3'!P35</f>
        <v>1702.7365662000002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12</v>
      </c>
      <c r="I18" s="1">
        <f t="shared" si="1"/>
        <v>629.54999999999995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50.363999999999997</v>
      </c>
      <c r="M18" s="118">
        <f t="shared" si="2"/>
        <v>579.18599999999992</v>
      </c>
      <c r="N18" s="101">
        <f>+'1'!N18+'2'!N18+'4'!N18+'3'!N18+'5'!N18+'6'!N18+'7'!N18+'8'!N18+'9'!N18+'10'!N18</f>
        <v>127.42091999999998</v>
      </c>
      <c r="O18" s="101">
        <f>+'1'!O18+'2'!O18+'4'!O18+'3'!O18+'5'!O18+'6'!O18+'7'!O18+'8'!O18+'9'!O18+'10'!O18</f>
        <v>17.665172999999999</v>
      </c>
      <c r="P18" s="120">
        <f t="shared" si="0"/>
        <v>724.27209299999993</v>
      </c>
      <c r="T18" s="163" t="str">
        <f>+'5'!A5</f>
        <v>Customer Name : D Mart</v>
      </c>
      <c r="U18" s="164">
        <f>+'5'!P35</f>
        <v>6141.8468198399996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66</v>
      </c>
      <c r="I19" s="1">
        <f t="shared" si="1"/>
        <v>4794.24</v>
      </c>
      <c r="J19" s="172">
        <f>+'1'!J19+'2'!J19+'4'!J19+'3'!J19+'5'!J19+'6'!J19+'7'!J19+'8'!J19+'9'!J19+'10'!J19+'11'!J19+'12'!J19+'13'!J19+'14'!J19+'15'!J19+'16'!J19+'17'!J19+'18'!J19</f>
        <v>2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383.53919999999999</v>
      </c>
      <c r="M19" s="118">
        <f t="shared" si="2"/>
        <v>4410.7007999999996</v>
      </c>
      <c r="N19" s="101">
        <f>+'1'!N19+'2'!N19+'4'!N19+'3'!N19+'5'!N19+'6'!N19+'7'!N19+'8'!N19+'9'!N19+'10'!N19</f>
        <v>889.57849599999997</v>
      </c>
      <c r="O19" s="101">
        <f>+'1'!O19+'2'!O19+'4'!O19+'3'!O19+'5'!O19+'6'!O19+'7'!O19+'8'!O19+'9'!O19+'10'!O19</f>
        <v>46.068869120000002</v>
      </c>
      <c r="P19" s="120">
        <f t="shared" si="0"/>
        <v>5346.34816512</v>
      </c>
      <c r="T19" s="163" t="str">
        <f>+'6'!A5</f>
        <v>Customer Name : SM Rise Mart</v>
      </c>
      <c r="U19" s="164">
        <f>+'6'!P35</f>
        <v>448.87260225000006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36</v>
      </c>
      <c r="I20" s="1">
        <f t="shared" si="1"/>
        <v>2615.04</v>
      </c>
      <c r="J20" s="172">
        <f>+'1'!J20+'2'!J20+'4'!J20+'3'!J20+'5'!J20+'6'!J20+'7'!J20+'8'!J20+'9'!J20+'10'!J20+'11'!J20+'12'!J20+'13'!J20+'14'!J20+'15'!J20+'16'!J20+'17'!J20+'18'!J20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209.20320000000004</v>
      </c>
      <c r="M20" s="118">
        <f t="shared" si="2"/>
        <v>2405.8368</v>
      </c>
      <c r="N20" s="101">
        <f>+'1'!N20+'2'!N20+'4'!N20+'3'!N20+'5'!N20+'6'!N20+'7'!N20+'8'!N20+'9'!N20+'10'!N20</f>
        <v>510.16524800000002</v>
      </c>
      <c r="O20" s="101">
        <f>+'1'!O20+'2'!O20+'4'!O20+'3'!O20+'5'!O20+'6'!O20+'7'!O20+'8'!O20+'9'!O20+'10'!O20</f>
        <v>34.467098880000002</v>
      </c>
      <c r="P20" s="120">
        <f t="shared" si="0"/>
        <v>2950.4691468800002</v>
      </c>
      <c r="T20" s="163" t="str">
        <f>+'7'!A5</f>
        <v>Customer Name : Bajwa Mart</v>
      </c>
      <c r="U20" s="164">
        <f>+'7'!P35</f>
        <v>5748.1729338500008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37</v>
      </c>
      <c r="I21" s="1">
        <f t="shared" si="1"/>
        <v>2687.68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215.01440000000002</v>
      </c>
      <c r="M21" s="118">
        <f t="shared" si="2"/>
        <v>2472.6655999999998</v>
      </c>
      <c r="N21" s="101">
        <f>+'1'!N21+'2'!N21+'4'!N21+'3'!N21+'5'!N21+'6'!N21+'7'!N21+'8'!N21+'9'!N21+'10'!N21</f>
        <v>509.235456</v>
      </c>
      <c r="O21" s="101">
        <f>+'1'!O21+'2'!O21+'4'!O21+'3'!O21+'5'!O21+'6'!O21+'7'!O21+'8'!O21+'9'!O21+'10'!O21</f>
        <v>34.476977920000003</v>
      </c>
      <c r="P21" s="120">
        <f t="shared" si="0"/>
        <v>3016.3780339199998</v>
      </c>
      <c r="T21" s="163" t="str">
        <f>+'8'!A5</f>
        <v xml:space="preserve">Customer Name : MA Mart </v>
      </c>
      <c r="U21" s="164">
        <f>+'8'!P35</f>
        <v>4233.3913064999997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212</v>
      </c>
      <c r="I22" s="1">
        <f t="shared" si="1"/>
        <v>8316.76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291.08660000000009</v>
      </c>
      <c r="L22" s="175">
        <f>+'1'!L22+'2'!L22+'4'!L22+'3'!L22+'5'!L22+'6'!L22+'7'!L22+'8'!L22+'9'!L22+'10'!L22</f>
        <v>415.83800000000014</v>
      </c>
      <c r="M22" s="118">
        <f t="shared" si="2"/>
        <v>7609.8353999999999</v>
      </c>
      <c r="N22" s="101">
        <f>+'1'!N22+'2'!N22+'4'!N22+'3'!N22+'5'!N22+'6'!N22+'7'!N22+'8'!N22+'9'!N22+'10'!N22</f>
        <v>1616.7310680000001</v>
      </c>
      <c r="O22" s="101">
        <f>+'1'!O22+'2'!O22+'4'!O22+'3'!O22+'5'!O22+'6'!O22+'7'!O22+'8'!O22+'9'!O22+'10'!O22</f>
        <v>126.71093850000003</v>
      </c>
      <c r="P22" s="120">
        <f t="shared" si="0"/>
        <v>9353.2774065000012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10.675000000000001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427</v>
      </c>
      <c r="I25" s="178">
        <f t="shared" si="3"/>
        <v>22400.870000000003</v>
      </c>
      <c r="J25" s="177">
        <f t="shared" si="3"/>
        <v>8</v>
      </c>
      <c r="K25" s="178">
        <f t="shared" si="3"/>
        <v>291.08660000000009</v>
      </c>
      <c r="L25" s="179">
        <f t="shared" si="3"/>
        <v>1542.5668000000001</v>
      </c>
      <c r="M25" s="141">
        <f t="shared" si="3"/>
        <v>20567.2166</v>
      </c>
      <c r="N25" s="142">
        <f>SUM(N16:N24)</f>
        <v>4367.3346779999993</v>
      </c>
      <c r="O25" s="143">
        <f>SUM(O16:O24)</f>
        <v>354.46894467000004</v>
      </c>
      <c r="P25" s="144">
        <f>SUM(P16:P24)</f>
        <v>25289.020222669998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25289.020222670006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22400.870000000003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1542.5668000000001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291.08660000000009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20567.216600000003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4367.3346779999993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24934.551278000003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623.36378195000009</v>
      </c>
    </row>
    <row r="39" spans="2:16" ht="15.75" customHeight="1" thickBot="1" x14ac:dyDescent="0.4">
      <c r="N39" s="219" t="s">
        <v>92</v>
      </c>
      <c r="O39" s="220"/>
      <c r="P39" s="160">
        <f>P37+P38</f>
        <v>25557.915059950003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H18" sqref="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3520194542009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H11">
        <f>49-15</f>
        <v>34</v>
      </c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14</v>
      </c>
      <c r="I19" s="116">
        <f t="shared" si="3"/>
        <v>1016.96</v>
      </c>
      <c r="J19" s="117"/>
      <c r="K19" s="1">
        <f t="shared" si="4"/>
        <v>0</v>
      </c>
      <c r="L19" s="105">
        <f t="shared" si="5"/>
        <v>81.356800000000007</v>
      </c>
      <c r="M19" s="118">
        <f t="shared" si="6"/>
        <v>935.60320000000002</v>
      </c>
      <c r="N19" s="118">
        <f t="shared" si="0"/>
        <v>205.83270400000001</v>
      </c>
      <c r="O19" s="119">
        <f t="shared" si="1"/>
        <v>5.7071795199999995</v>
      </c>
      <c r="P19" s="120">
        <f t="shared" si="2"/>
        <v>1147.1430835199999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>
        <v>1</v>
      </c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15.9808</v>
      </c>
      <c r="O20" s="119">
        <f t="shared" si="1"/>
        <v>7.9904000000000003E-2</v>
      </c>
      <c r="P20" s="120">
        <f t="shared" si="2"/>
        <v>16.060704000000001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3"/>
        <v>871.68000000000006</v>
      </c>
      <c r="J21" s="117"/>
      <c r="K21" s="1">
        <f t="shared" si="4"/>
        <v>0</v>
      </c>
      <c r="L21" s="105">
        <f t="shared" si="5"/>
        <v>69.734400000000008</v>
      </c>
      <c r="M21" s="118">
        <f t="shared" si="6"/>
        <v>801.94560000000001</v>
      </c>
      <c r="N21" s="118">
        <f t="shared" si="0"/>
        <v>176.428032</v>
      </c>
      <c r="O21" s="119">
        <f t="shared" si="1"/>
        <v>4.8918681600000005</v>
      </c>
      <c r="P21" s="120">
        <f t="shared" si="2"/>
        <v>983.26550015999999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3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6"/>
        <v>2871.6360000000004</v>
      </c>
      <c r="N22" s="118">
        <f t="shared" si="0"/>
        <v>631.75992000000008</v>
      </c>
      <c r="O22" s="119">
        <f t="shared" si="1"/>
        <v>17.516979600000003</v>
      </c>
      <c r="P22" s="120">
        <f t="shared" si="2"/>
        <v>3520.9128996000004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106</v>
      </c>
      <c r="I25" s="137">
        <f t="shared" si="9"/>
        <v>5027.0400000000009</v>
      </c>
      <c r="J25" s="138"/>
      <c r="K25" s="139">
        <f t="shared" si="9"/>
        <v>109.84400000000002</v>
      </c>
      <c r="L25" s="140">
        <f t="shared" si="9"/>
        <v>308.01120000000003</v>
      </c>
      <c r="M25" s="141">
        <f t="shared" si="9"/>
        <v>4609.1848000000009</v>
      </c>
      <c r="N25" s="142">
        <f>SUM(N16:N24)</f>
        <v>1030.001456</v>
      </c>
      <c r="O25" s="143">
        <f>SUM(O16:O24)</f>
        <v>28.195931280000003</v>
      </c>
      <c r="P25" s="144">
        <f>SUM(P16:P24)</f>
        <v>5667.3821872799999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5027.0400000000009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308.01120000000003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109.84400000000002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4609.1848000000009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1030.001456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5639.1862560000009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28.195931280000003</v>
      </c>
    </row>
    <row r="35" spans="2:16" ht="15.75" customHeight="1" thickBot="1" x14ac:dyDescent="0.4">
      <c r="N35" s="219" t="s">
        <v>92</v>
      </c>
      <c r="O35" s="220"/>
      <c r="P35" s="160">
        <f>P33+P34</f>
        <v>5667.3821872800008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111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3244656520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3244656520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1569.2000000000003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78.460000000000022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1435.8180000000002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1694.2652400000002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19" t="s">
        <v>92</v>
      </c>
      <c r="O35" s="220"/>
      <c r="P35" s="160">
        <f>P33+P34</f>
        <v>1702.7365662000002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8" workbookViewId="0">
      <selection activeCell="A8" sqref="A8:C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I22*5%</f>
        <v>39.230000000000011</v>
      </c>
      <c r="M22" s="118">
        <f t="shared" si="5"/>
        <v>717.90900000000011</v>
      </c>
      <c r="N22" s="118">
        <f t="shared" si="0"/>
        <v>157.93998000000002</v>
      </c>
      <c r="O22" s="119">
        <f t="shared" si="6"/>
        <v>21.896224500000002</v>
      </c>
      <c r="P22" s="120">
        <f t="shared" si="1"/>
        <v>897.74520450000011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39.230000000000011</v>
      </c>
      <c r="M25" s="141">
        <f t="shared" si="9"/>
        <v>717.90900000000011</v>
      </c>
      <c r="N25" s="142">
        <f>SUM(N16:N24)</f>
        <v>157.93998000000002</v>
      </c>
      <c r="O25" s="143">
        <f>SUM(O16:O24)</f>
        <v>21.896224500000002</v>
      </c>
      <c r="P25" s="144">
        <f>SUM(P16:P24)</f>
        <v>897.74520450000011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784.60000000000014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39.230000000000011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27.461000000000006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717.90900000000011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157.93998000000002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875.8489800000001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21.896224500000002</v>
      </c>
    </row>
    <row r="35" spans="2:16" ht="15.75" customHeight="1" thickBot="1" x14ac:dyDescent="0.4">
      <c r="N35" s="219" t="s">
        <v>92</v>
      </c>
      <c r="O35" s="220"/>
      <c r="P35" s="160">
        <f>P33+P34</f>
        <v>897.74520450000011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I21" sqref="I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115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7">
        <v>3520264397567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3520264397567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24</v>
      </c>
      <c r="I20" s="116">
        <f t="shared" si="2"/>
        <v>1743.3600000000001</v>
      </c>
      <c r="J20" s="117">
        <v>1</v>
      </c>
      <c r="K20" s="1">
        <f t="shared" si="3"/>
        <v>0</v>
      </c>
      <c r="L20" s="105">
        <f t="shared" si="4"/>
        <v>139.46880000000002</v>
      </c>
      <c r="M20" s="118">
        <f t="shared" si="5"/>
        <v>1603.8912</v>
      </c>
      <c r="N20" s="118">
        <f t="shared" si="0"/>
        <v>301.77561600000001</v>
      </c>
      <c r="O20" s="119">
        <f t="shared" si="6"/>
        <v>9.5283340800000005</v>
      </c>
      <c r="P20" s="120">
        <f t="shared" si="1"/>
        <v>1915.1951500799998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13</v>
      </c>
      <c r="I21" s="116">
        <f t="shared" si="2"/>
        <v>944.32</v>
      </c>
      <c r="J21" s="117">
        <v>0</v>
      </c>
      <c r="K21" s="1">
        <f t="shared" si="3"/>
        <v>0</v>
      </c>
      <c r="L21" s="105">
        <f t="shared" si="4"/>
        <v>75.545600000000007</v>
      </c>
      <c r="M21" s="118">
        <f t="shared" si="5"/>
        <v>868.77440000000001</v>
      </c>
      <c r="N21" s="118">
        <f t="shared" si="0"/>
        <v>156.379392</v>
      </c>
      <c r="O21" s="119">
        <f t="shared" si="6"/>
        <v>5.1257689600000003</v>
      </c>
      <c r="P21" s="120">
        <f t="shared" si="1"/>
        <v>1030.27956096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77</v>
      </c>
      <c r="I25" s="137">
        <f t="shared" si="9"/>
        <v>5593.28</v>
      </c>
      <c r="J25" s="138"/>
      <c r="K25" s="139">
        <f t="shared" si="9"/>
        <v>0</v>
      </c>
      <c r="L25" s="140">
        <f t="shared" si="9"/>
        <v>447.4624</v>
      </c>
      <c r="M25" s="141">
        <f t="shared" si="9"/>
        <v>5145.8176000000003</v>
      </c>
      <c r="N25" s="142">
        <f>SUM(N16:N24)</f>
        <v>965.47276800000009</v>
      </c>
      <c r="O25" s="143">
        <f>SUM(O16:O24)</f>
        <v>30.556451840000001</v>
      </c>
      <c r="P25" s="144">
        <f>SUM(P16:P24)</f>
        <v>6141.8468198399996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5593.28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447.4624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5145.8175999999994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965.47276800000009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6111.2903679999999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30.556451840000001</v>
      </c>
    </row>
    <row r="35" spans="2:16" ht="15.75" customHeight="1" thickBot="1" x14ac:dyDescent="0.4">
      <c r="N35" s="219" t="s">
        <v>92</v>
      </c>
      <c r="O35" s="220"/>
      <c r="P35" s="160">
        <f>P33+P34</f>
        <v>6141.8468198399996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116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">
        <f>I22*3.5%</f>
        <v>13.730500000000003</v>
      </c>
      <c r="L22" s="120">
        <f>I22*5%</f>
        <v>19.615000000000006</v>
      </c>
      <c r="M22" s="118">
        <f t="shared" si="5"/>
        <v>358.95450000000005</v>
      </c>
      <c r="N22" s="118">
        <f t="shared" si="0"/>
        <v>78.96999000000001</v>
      </c>
      <c r="O22" s="119">
        <f t="shared" si="6"/>
        <v>10.948112250000001</v>
      </c>
      <c r="P22" s="120">
        <f t="shared" si="1"/>
        <v>448.87260225000006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10</v>
      </c>
      <c r="I25" s="137">
        <f t="shared" si="9"/>
        <v>392.30000000000007</v>
      </c>
      <c r="J25" s="138"/>
      <c r="K25" s="139">
        <f t="shared" si="9"/>
        <v>13.730500000000003</v>
      </c>
      <c r="L25" s="140">
        <f t="shared" si="9"/>
        <v>19.615000000000006</v>
      </c>
      <c r="M25" s="141">
        <f t="shared" si="9"/>
        <v>358.95450000000005</v>
      </c>
      <c r="N25" s="142">
        <f>SUM(N16:N24)</f>
        <v>78.96999000000001</v>
      </c>
      <c r="O25" s="143">
        <f>SUM(O16:O24)</f>
        <v>10.948112250000001</v>
      </c>
      <c r="P25" s="144">
        <f>SUM(P16:P24)</f>
        <v>448.87260225000006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392.30000000000007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19.615000000000006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13.730500000000003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358.95450000000005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78.96999000000001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437.92449000000005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10.948112250000001</v>
      </c>
    </row>
    <row r="35" spans="2:16" ht="15.75" customHeight="1" thickBot="1" x14ac:dyDescent="0.4">
      <c r="N35" s="219" t="s">
        <v>92</v>
      </c>
      <c r="O35" s="220"/>
      <c r="P35" s="160">
        <f>P33+P34</f>
        <v>448.87260225000006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117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I16*$K$13</f>
        <v>0</v>
      </c>
      <c r="L16" s="105">
        <f>I16*8%</f>
        <v>50.363999999999997</v>
      </c>
      <c r="M16" s="106">
        <f>I16-K16-L16</f>
        <v>579.18599999999992</v>
      </c>
      <c r="N16" s="106">
        <f t="shared" ref="N16:N24" si="0">(M16*$N$15)+(J16*F16)*$N$15</f>
        <v>127.42091999999998</v>
      </c>
      <c r="O16" s="107">
        <f>(N16+M16)*$O$15</f>
        <v>17.665172999999999</v>
      </c>
      <c r="P16" s="105">
        <f t="shared" ref="P16:P24" si="1">M16+N16+O16</f>
        <v>724.27209299999993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>
        <v>1</v>
      </c>
      <c r="K17" s="1">
        <f t="shared" ref="K17:K21" si="3">I17*$K$13</f>
        <v>0</v>
      </c>
      <c r="L17" s="105">
        <f t="shared" ref="L17:L21" si="4">I17*8%</f>
        <v>50.363999999999997</v>
      </c>
      <c r="M17" s="118">
        <f t="shared" ref="M17:M23" si="5">I17-K17-L17</f>
        <v>579.18599999999992</v>
      </c>
      <c r="N17" s="118">
        <f t="shared" si="0"/>
        <v>138.96266999999997</v>
      </c>
      <c r="O17" s="119">
        <f t="shared" ref="O17:O24" si="6">(N17+M17)*$O$15</f>
        <v>17.953716749999998</v>
      </c>
      <c r="P17" s="120">
        <f t="shared" si="1"/>
        <v>736.10238674999994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2"/>
        <v>629.54999999999995</v>
      </c>
      <c r="J18" s="117"/>
      <c r="K18" s="1">
        <f t="shared" si="3"/>
        <v>0</v>
      </c>
      <c r="L18" s="105">
        <f t="shared" si="4"/>
        <v>50.363999999999997</v>
      </c>
      <c r="M18" s="118">
        <f t="shared" si="5"/>
        <v>579.18599999999992</v>
      </c>
      <c r="N18" s="118">
        <f t="shared" si="0"/>
        <v>127.42091999999998</v>
      </c>
      <c r="O18" s="119">
        <f t="shared" si="6"/>
        <v>17.665172999999999</v>
      </c>
      <c r="P18" s="120">
        <f t="shared" si="1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">
        <f t="shared" si="3"/>
        <v>0</v>
      </c>
      <c r="L19" s="105">
        <f t="shared" si="4"/>
        <v>69.734400000000008</v>
      </c>
      <c r="M19" s="118">
        <f t="shared" si="5"/>
        <v>801.94560000000001</v>
      </c>
      <c r="N19" s="118">
        <f t="shared" si="0"/>
        <v>176.428032</v>
      </c>
      <c r="O19" s="119">
        <f t="shared" si="6"/>
        <v>24.459340800000003</v>
      </c>
      <c r="P19" s="120">
        <f t="shared" si="1"/>
        <v>1002.8329728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12</v>
      </c>
      <c r="I20" s="116">
        <f t="shared" si="2"/>
        <v>871.68000000000006</v>
      </c>
      <c r="J20" s="117">
        <v>1</v>
      </c>
      <c r="K20" s="1">
        <f t="shared" si="3"/>
        <v>0</v>
      </c>
      <c r="L20" s="105">
        <f t="shared" si="4"/>
        <v>69.734400000000008</v>
      </c>
      <c r="M20" s="118">
        <f t="shared" si="5"/>
        <v>801.94560000000001</v>
      </c>
      <c r="N20" s="118">
        <f t="shared" si="0"/>
        <v>192.40883199999999</v>
      </c>
      <c r="O20" s="119">
        <f t="shared" si="6"/>
        <v>24.858860800000002</v>
      </c>
      <c r="P20" s="120">
        <f t="shared" si="1"/>
        <v>1019.2132928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12</v>
      </c>
      <c r="I21" s="116">
        <f t="shared" si="2"/>
        <v>871.68000000000006</v>
      </c>
      <c r="J21" s="117"/>
      <c r="K21" s="1">
        <f t="shared" si="3"/>
        <v>0</v>
      </c>
      <c r="L21" s="105">
        <f t="shared" si="4"/>
        <v>69.734400000000008</v>
      </c>
      <c r="M21" s="118">
        <f t="shared" si="5"/>
        <v>801.94560000000001</v>
      </c>
      <c r="N21" s="118">
        <f t="shared" si="0"/>
        <v>176.428032</v>
      </c>
      <c r="O21" s="119">
        <f t="shared" si="6"/>
        <v>24.459340800000003</v>
      </c>
      <c r="P21" s="120">
        <f t="shared" si="1"/>
        <v>1002.8329728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5"/>
        <v>430.74540000000002</v>
      </c>
      <c r="N22" s="118">
        <f t="shared" si="0"/>
        <v>94.763987999999998</v>
      </c>
      <c r="O22" s="119">
        <f t="shared" si="6"/>
        <v>13.137734700000003</v>
      </c>
      <c r="P22" s="120">
        <f t="shared" si="1"/>
        <v>538.64712270000007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84</v>
      </c>
      <c r="I25" s="137">
        <f t="shared" si="9"/>
        <v>4974.4500000000007</v>
      </c>
      <c r="J25" s="138"/>
      <c r="K25" s="139">
        <f t="shared" si="9"/>
        <v>16.476600000000005</v>
      </c>
      <c r="L25" s="140">
        <f t="shared" si="9"/>
        <v>383.83319999999998</v>
      </c>
      <c r="M25" s="141">
        <f t="shared" si="9"/>
        <v>4574.1401999999998</v>
      </c>
      <c r="N25" s="142">
        <f>SUM(N16:N24)</f>
        <v>1033.833394</v>
      </c>
      <c r="O25" s="143">
        <f>SUM(O16:O24)</f>
        <v>140.19933985</v>
      </c>
      <c r="P25" s="144">
        <f>SUM(P16:P24)</f>
        <v>5748.1729338499999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4974.4500000000007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383.83319999999998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16.476600000000005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4574.1402000000007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1033.833394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5607.973594000001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140.19933985000003</v>
      </c>
    </row>
    <row r="35" spans="2:16" ht="15.75" customHeight="1" thickBot="1" x14ac:dyDescent="0.4">
      <c r="N35" s="219" t="s">
        <v>92</v>
      </c>
      <c r="O35" s="220"/>
      <c r="P35" s="160">
        <f>P33+P34</f>
        <v>5748.1729338500008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120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>(N16+M16)*$O$15</f>
        <v>29.730498749999999</v>
      </c>
      <c r="P16" s="105">
        <f t="shared" ref="P16:P24" si="1">M16+N16+O16</f>
        <v>1218.9504487499999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>
        <v>1</v>
      </c>
      <c r="K17" s="1">
        <f t="shared" ref="K17:K21" si="3">I17*$K$13</f>
        <v>0</v>
      </c>
      <c r="L17" s="105">
        <f t="shared" ref="L17:L21" si="4">I17*8%</f>
        <v>83.94</v>
      </c>
      <c r="M17" s="118">
        <f t="shared" ref="M17:M23" si="5">I17-K17-L17</f>
        <v>965.31</v>
      </c>
      <c r="N17" s="118">
        <f t="shared" si="0"/>
        <v>223.90995000000001</v>
      </c>
      <c r="O17" s="119">
        <f t="shared" ref="O17:O24" si="6">(N17+M17)*$O$15</f>
        <v>29.730498749999999</v>
      </c>
      <c r="P17" s="120">
        <f t="shared" si="1"/>
        <v>1218.9504487499999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246.34000000000003</v>
      </c>
      <c r="M25" s="141">
        <f t="shared" si="9"/>
        <v>3366.4380000000001</v>
      </c>
      <c r="N25" s="142">
        <f>SUM(N16:N24)</f>
        <v>763.69986000000006</v>
      </c>
      <c r="O25" s="143">
        <f>SUM(O16:O24)</f>
        <v>103.2534465</v>
      </c>
      <c r="P25" s="144">
        <f>SUM(P16:P24)</f>
        <v>4233.3913064999997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3667.7000000000003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246.34000000000003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54.922000000000011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3366.4380000000001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763.69986000000006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4130.1378599999998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103.2534465</v>
      </c>
    </row>
    <row r="35" spans="2:16" ht="15.75" customHeight="1" thickBot="1" x14ac:dyDescent="0.4">
      <c r="N35" s="219" t="s">
        <v>92</v>
      </c>
      <c r="O35" s="220"/>
      <c r="P35" s="160">
        <f>P33+P34</f>
        <v>4233.3913064999997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C11" sqref="C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11" sqref="B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2026-06-24T08:55:41Z</dcterms:modified>
</cp:coreProperties>
</file>