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00D8924-AB35-49A6-B32B-55CACE104C6F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L22" i="26" l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<sst xmlns="http://schemas.openxmlformats.org/spreadsheetml/2006/main" count="1586" uniqueCount="124">
  <si>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</si>
  <si>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</si>
  <si>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</si>
  <si>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</si>
  <si>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</si>
  <si>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</si>
  <si>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</si>
  <si>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</si>
  <si>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</si>
  <si>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</si>
  <si>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</si>
  <si>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</si>
  <si>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</si>
  <si>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</si>
  <si>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</si>
  <si>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</si>
  <si>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</si>
  <si>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</si>
  <si>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</si>
  <si>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</si>
  <si>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</si>
  <si>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</si>
  <si>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</si>
  <si>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</si>
  <si>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</si>
  <si>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</si>
  <si>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</si>
  <si>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</si>
  <si>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</si>
  <si>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</si>
  <si>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</si>
  <si>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</si>
  <si>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</si>
  <si>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</si>
  <si>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</si>
  <si>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</si>
  <si>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</si>
  <si>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</si>
  <si>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</si>
  <si>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</si>
  <si>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</si>
  <si>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</si>
  <si>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</si>
  <si>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</si>
  <si>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</si>
  <si>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</si>
  <si>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</si>
  <si>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</si>
  <si>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</si>
  <si>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</si>
  <si>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</si>
  <si>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</si>
  <si>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</si>
  <si>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</si>
  <si>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</si>
  <si>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</si>
  <si>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</si>
  <si>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</si>
  <si>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</si>
  <si>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</si>
  <si>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</si>
  <si>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</si>
  <si>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</si>
  <si>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</si>
  <si>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</si>
  <si>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</si>
  <si>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</si>
  <si>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</si>
  <si>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</si>
  <si>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</si>
  <si>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</si>
  <si>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</si>
  <si>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</si>
  <si>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</si>
  <si>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</si>
  <si>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</si>
  <si>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</si>
  <si>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</si>
  <si>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</si>
  <si>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</si>
  <si>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</si>
  <si>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</si>
  <si>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</si>
  <si>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</si>
  <si>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</si>
  <si>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</si>
  <si>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</si>
  <si>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</si>
  <si>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</si>
  <si>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</si>
  <si>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</si>
  <si>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</si>
  <si>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</si>
  <si>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</si>
  <si>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</si>
  <si>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</si>
  <si>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</si>
  <si>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</si>
  <si>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</si>
  <si>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</si>
  <si>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</si>
  <si>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</si>
  <si>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</si>
  <si>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</si>
  <si>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Zeshan</t>
  </si>
  <si>
    <t>Shop Bill Summary (Zeshan)</t>
  </si>
  <si>
    <t>Customer Name : Yaseen Sadique</t>
  </si>
  <si>
    <t>Address: Badian Road</t>
  </si>
  <si>
    <t>0725094-7</t>
  </si>
  <si>
    <t>Customer Name : MM Cash &amp; Carry</t>
  </si>
  <si>
    <t>Address: Bedian Road</t>
  </si>
  <si>
    <t>2123057-9</t>
  </si>
  <si>
    <t>Customer Name : Fakhar Grocery</t>
  </si>
  <si>
    <t>Customer Name : Mian Bakers</t>
  </si>
  <si>
    <t>Customer Name : Hikma Store</t>
  </si>
  <si>
    <t>Address: Askari 11</t>
  </si>
  <si>
    <t>2302644-8</t>
  </si>
  <si>
    <t>Customer Name : Aslam Super Store</t>
  </si>
  <si>
    <t>Customer Name : Zeshan Bakers</t>
  </si>
  <si>
    <t>Customer Name : Ghafar Store</t>
  </si>
  <si>
    <t>Customer Name : Nadeem Store</t>
  </si>
  <si>
    <t>Customer Name : Toheed Store</t>
  </si>
  <si>
    <t>E260396-8</t>
  </si>
  <si>
    <t>LMT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</si>
</sst>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V22" sqref="V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2 16383:16384" ht="21" x14ac:dyDescent="0.5">
      <c r="A2" s="199" t="s">
        <v>45</v>
      </c>
      <c r="B2" s="199"/>
      <c r="C2" s="199"/>
    </row>
    <row r="3" spans="1:22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2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2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2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2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2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2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2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2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2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2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2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Yaseen Sadique</v>
      </c>
      <c r="U14" s="164">
        <f>+'1'!P35</f>
        <v>1654.8365376000002</v>
      </c>
      <c r="XFD14" t="s">
        <v>75</v>
      </c>
    </row>
    <row r="15" spans="1:22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MM Cash &amp; Carry</v>
      </c>
      <c r="U15" s="164">
        <f>+'2'!P35</f>
        <v>1598.1860543999999</v>
      </c>
      <c r="V15" t="s">
        <v>123</v>
      </c>
      <c r="XFD15" t="s">
        <v>81</v>
      </c>
    </row>
    <row r="16" spans="1:22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60</v>
      </c>
      <c r="I16" s="1">
        <f>(G16*D16)*F16+H16*F16</f>
        <v>3147.75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251.82</v>
      </c>
      <c r="M16" s="106">
        <f>I16-K16-L16</f>
        <v>2895.93</v>
      </c>
      <c r="N16" s="101">
        <f>+'1'!N16+'2'!N16+'4'!N16+'3'!N16+'5'!N16+'6'!N16+'7'!N16+'8'!N16+'9'!N16+'10'!N16</f>
        <v>549.59715000000006</v>
      </c>
      <c r="O16" s="101">
        <f>+'1'!O16+'2'!O16+'4'!O16+'3'!O16+'5'!O16+'6'!O16+'7'!O16+'8'!O16+'9'!O16+'10'!O16</f>
        <v>17.227635749999997</v>
      </c>
      <c r="P16" s="105">
        <f t="shared" ref="P16:P24" si="0">M16+N16+O16</f>
        <v>3462.7547857499999</v>
      </c>
      <c r="Q16" s="108"/>
      <c r="T16" s="163" t="str">
        <f>+'4'!A5</f>
        <v>Customer Name : Mian Bakers</v>
      </c>
      <c r="U16" s="164">
        <f>+'4'!P35</f>
        <v>1687.7686080000001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60</v>
      </c>
      <c r="I17" s="1">
        <f t="shared" ref="I17:I23" si="1">(G17*D17)*F17+H17*F17</f>
        <v>3147.75</v>
      </c>
      <c r="J17" s="172">
        <f>+'1'!J17+'2'!J17+'4'!J17+'3'!J17+'5'!J17+'6'!J17+'7'!J17+'8'!J17+'9'!J17+'10'!J17+'11'!J17+'12'!J17+'13'!J17+'14'!J17+'15'!J17+'16'!J17+'17'!J17+'18'!J17</f>
        <v>3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2895.93</v>
      </c>
      <c r="N17" s="101">
        <f>+'1'!N17+'2'!N17+'4'!N17+'3'!N17+'5'!N17+'6'!N17+'7'!N17+'8'!N17+'9'!N17+'10'!N17</f>
        <v>549.59715000000006</v>
      </c>
      <c r="O17" s="101">
        <f>+'1'!O17+'2'!O17+'4'!O17+'3'!O17+'5'!O17+'6'!O17+'7'!O17+'8'!O17+'9'!O17+'10'!O17</f>
        <v>17.227635749999997</v>
      </c>
      <c r="P17" s="120">
        <f t="shared" si="0"/>
        <v>3462.7547857499999</v>
      </c>
      <c r="S17" s="64"/>
      <c r="T17" s="163" t="str">
        <f>+'3'!A5</f>
        <v>Customer Name : Fakhar Grocery</v>
      </c>
      <c r="U17" s="164">
        <f>+'3'!P35</f>
        <v>835.69414400000005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Hikma Store</v>
      </c>
      <c r="U18" s="164">
        <f>+'5'!P35</f>
        <v>20807.967948599999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464.89600000000002</v>
      </c>
      <c r="M19" s="118">
        <f t="shared" si="2"/>
        <v>5346.3040000000001</v>
      </c>
      <c r="N19" s="101">
        <f>+'1'!N19+'2'!N19+'4'!N19+'3'!N19+'5'!N19+'6'!N19+'7'!N19+'8'!N19+'9'!N19+'10'!N19</f>
        <v>1028.2918399999999</v>
      </c>
      <c r="O19" s="101">
        <f>+'1'!O19+'2'!O19+'4'!O19+'3'!O19+'5'!O19+'6'!O19+'7'!O19+'8'!O19+'9'!O19+'10'!O19</f>
        <v>48.179206399999998</v>
      </c>
      <c r="P19" s="120">
        <f t="shared" si="0"/>
        <v>6422.7750464000001</v>
      </c>
      <c r="T19" s="163" t="str">
        <f>+'6'!A5</f>
        <v>Customer Name : Hikma Store</v>
      </c>
      <c r="U19" s="164">
        <f>+'6'!P35</f>
        <v>10403.983974299999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1057.3478399999999</v>
      </c>
      <c r="O20" s="101">
        <f>+'1'!O20+'2'!O20+'4'!O20+'3'!O20+'5'!O20+'6'!O20+'7'!O20+'8'!O20+'9'!O20+'10'!O20</f>
        <v>48.644102400000001</v>
      </c>
      <c r="P20" s="120">
        <f t="shared" si="0"/>
        <v>6452.2959424000001</v>
      </c>
      <c r="T20" s="163" t="str">
        <f>+'7'!A5</f>
        <v>Customer Name : Aslam Super Store</v>
      </c>
      <c r="U20" s="164">
        <f>+'7'!P35</f>
        <v>448.87260225000006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150</v>
      </c>
      <c r="I21" s="1">
        <f t="shared" si="1"/>
        <v>10896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871.68</v>
      </c>
      <c r="M21" s="118">
        <f t="shared" si="2"/>
        <v>10024.32</v>
      </c>
      <c r="N21" s="101">
        <f>+'1'!N21+'2'!N21+'4'!N21+'3'!N21+'5'!N21+'6'!N21+'7'!N21+'8'!N21+'9'!N21+'10'!N21</f>
        <v>1979.00416</v>
      </c>
      <c r="O21" s="101">
        <f>+'1'!O21+'2'!O21+'4'!O21+'3'!O21+'5'!O21+'6'!O21+'7'!O21+'8'!O21+'9'!O21+'10'!O21</f>
        <v>76.322848000000008</v>
      </c>
      <c r="P21" s="120">
        <f t="shared" si="0"/>
        <v>12079.647008</v>
      </c>
      <c r="T21" s="163" t="str">
        <f>+'8'!A5</f>
        <v>Customer Name : Zeshan Bakers</v>
      </c>
      <c r="U21" s="164">
        <f>+'8'!P35</f>
        <v>448.87260225000006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200</v>
      </c>
      <c r="I22" s="1">
        <f t="shared" si="1"/>
        <v>7846.0000000000009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219.68800000000005</v>
      </c>
      <c r="L22" s="175">
        <f>+'1'!L22+'2'!L22+'4'!L22+'3'!L22+'5'!L22+'6'!L22+'7'!L22+'8'!L22+'9'!L22+'10'!L22</f>
        <v>313.84000000000009</v>
      </c>
      <c r="M22" s="118">
        <f t="shared" si="2"/>
        <v>7312.4720000000007</v>
      </c>
      <c r="N22" s="101">
        <f>+'1'!N22+'2'!N22+'4'!N22+'3'!N22+'5'!N22+'6'!N22+'7'!N22+'8'!N22+'9'!N22+'10'!N22</f>
        <v>1091.2216800000003</v>
      </c>
      <c r="O22" s="101">
        <f>+'1'!O22+'2'!O22+'4'!O22+'3'!O22+'5'!O22+'6'!O22+'7'!O22+'8'!O22+'9'!O22+'10'!O22</f>
        <v>69.206427600000012</v>
      </c>
      <c r="P22" s="120">
        <f t="shared" si="0"/>
        <v>8472.9001076000004</v>
      </c>
      <c r="T22" s="163" t="str">
        <f>+'9'!A5</f>
        <v>Customer Name : Ghafar Store</v>
      </c>
      <c r="U22" s="164">
        <f>+'9'!P35</f>
        <v>448.87260225000006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Nadeem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Toheed Store</v>
      </c>
      <c r="U24" s="164">
        <f>+'11'!P35</f>
        <v>1702.7365662000002</v>
      </c>
    </row>
    <row r="25" spans="1:21 16384:16384" ht="26.5" thickBot="1" x14ac:dyDescent="0.65">
      <c r="A25" s="225" t="s">
        <v>84</v>
      </c>
      <c r="B25" s="226"/>
      <c r="C25" s="227">
        <f>H25/40</f>
        <v>15.75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630</v>
      </c>
      <c r="I25" s="178">
        <f t="shared" si="3"/>
        <v>36659.9</v>
      </c>
      <c r="J25" s="177">
        <f t="shared" si="3"/>
        <v>21</v>
      </c>
      <c r="K25" s="178">
        <f t="shared" si="3"/>
        <v>219.68800000000005</v>
      </c>
      <c r="L25" s="179">
        <f t="shared" si="3"/>
        <v>2618.9520000000002</v>
      </c>
      <c r="M25" s="141">
        <f t="shared" si="3"/>
        <v>33821.26</v>
      </c>
      <c r="N25" s="142">
        <f>SUM(N16:N24)</f>
        <v>6255.0598200000004</v>
      </c>
      <c r="O25" s="143">
        <f>SUM(O16:O24)</f>
        <v>276.80785590000005</v>
      </c>
      <c r="P25" s="144">
        <f>SUM(P16:P24)</f>
        <v>40353.127675900003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40486.664242099992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36659.9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2618.9520000000002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219.68800000000005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33821.26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6255.0598200000004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40076.319820000004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1001.9079955000002</v>
      </c>
    </row>
    <row r="39" spans="2:16" ht="15.75" customHeight="1" thickBot="1" x14ac:dyDescent="0.4">
      <c r="N39" s="219" t="s">
        <v>92</v>
      </c>
      <c r="O39" s="220"/>
      <c r="P39" s="160">
        <f>P37+P38</f>
        <v>41078.227815500002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111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3520202792073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120.29183999999999</v>
      </c>
      <c r="O19" s="119">
        <f t="shared" si="6"/>
        <v>3.9428991999999998</v>
      </c>
      <c r="P19" s="120">
        <f t="shared" si="1"/>
        <v>792.52273920000005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253.65888000000001</v>
      </c>
      <c r="O25" s="143">
        <f>SUM(O16:O24)</f>
        <v>7.9511743999999993</v>
      </c>
      <c r="P25" s="144">
        <f>SUM(P16:P24)</f>
        <v>1598.1860544000001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253.65888000000001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1590.23488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7.9511744000000002</v>
      </c>
    </row>
    <row r="35" spans="2:16" ht="15.75" customHeight="1" thickBot="1" x14ac:dyDescent="0.4">
      <c r="N35" s="219" t="s">
        <v>92</v>
      </c>
      <c r="O35" s="220"/>
      <c r="P35" s="160">
        <f>P33+P34</f>
        <v>1598.1860543999999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0</v>
      </c>
      <c r="L25" s="140">
        <f t="shared" si="9"/>
        <v>58.112000000000002</v>
      </c>
      <c r="M25" s="141">
        <f t="shared" si="9"/>
        <v>668.28800000000001</v>
      </c>
      <c r="N25" s="142">
        <f>SUM(N16:N24)</f>
        <v>147.02336</v>
      </c>
      <c r="O25" s="143">
        <f>SUM(O16:O24)</f>
        <v>20.382784000000001</v>
      </c>
      <c r="P25" s="144">
        <f>SUM(P16:P24)</f>
        <v>835.69414400000005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726.4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58.112000000000002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668.28800000000001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147.02336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815.31136000000004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20.382784000000001</v>
      </c>
    </row>
    <row r="35" spans="2:16" ht="15.75" customHeight="1" thickBot="1" x14ac:dyDescent="0.4">
      <c r="N35" s="219" t="s">
        <v>92</v>
      </c>
      <c r="O35" s="220"/>
      <c r="P35" s="160">
        <f>P33+P34</f>
        <v>835.69414400000005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E27" sqref="E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41.165087999999997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19" t="s">
        <v>92</v>
      </c>
      <c r="O35" s="220"/>
      <c r="P35" s="160">
        <f>P33+P34</f>
        <v>1687.7686080000001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2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366.3981</v>
      </c>
      <c r="O17" s="119">
        <f t="shared" ref="O17:O24" si="6">(N17+M17)*$O$15</f>
        <v>11.485090499999998</v>
      </c>
      <c r="P17" s="120">
        <f t="shared" si="1"/>
        <v>2308.5031904999996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16.942652400000004</v>
      </c>
      <c r="P22" s="120">
        <f t="shared" si="1"/>
        <v>3405.4731324000004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320</v>
      </c>
      <c r="I25" s="137">
        <f t="shared" si="9"/>
        <v>18957.800000000003</v>
      </c>
      <c r="J25" s="138"/>
      <c r="K25" s="139">
        <f t="shared" si="9"/>
        <v>109.84400000000002</v>
      </c>
      <c r="L25" s="140">
        <f t="shared" si="9"/>
        <v>1422.472</v>
      </c>
      <c r="M25" s="141">
        <f t="shared" si="9"/>
        <v>17425.484</v>
      </c>
      <c r="N25" s="142">
        <f>SUM(N16:N24)</f>
        <v>3278.9617199999998</v>
      </c>
      <c r="O25" s="143">
        <f>SUM(O16:O24)</f>
        <v>103.52222859999999</v>
      </c>
      <c r="P25" s="144">
        <f>SUM(P16:P24)</f>
        <v>20807.967948600002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18957.800000000003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1422.472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17425.484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3278.9617199999998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20704.44572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103.52222860000001</v>
      </c>
    </row>
    <row r="35" spans="2:16" ht="15.75" customHeight="1" thickBot="1" x14ac:dyDescent="0.4">
      <c r="N35" s="219" t="s">
        <v>92</v>
      </c>
      <c r="O35" s="220"/>
      <c r="P35" s="160">
        <f>P33+P34</f>
        <v>20807.967948599999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3520115913991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160</v>
      </c>
      <c r="I25" s="137">
        <f t="shared" si="9"/>
        <v>9478.9000000000015</v>
      </c>
      <c r="J25" s="138"/>
      <c r="K25" s="139">
        <f t="shared" si="9"/>
        <v>54.922000000000011</v>
      </c>
      <c r="L25" s="140">
        <f t="shared" si="9"/>
        <v>711.23599999999999</v>
      </c>
      <c r="M25" s="141">
        <f t="shared" si="9"/>
        <v>8712.7420000000002</v>
      </c>
      <c r="N25" s="142">
        <f>SUM(N16:N24)</f>
        <v>1639.4808599999999</v>
      </c>
      <c r="O25" s="143">
        <f>SUM(O16:O24)</f>
        <v>51.761114299999996</v>
      </c>
      <c r="P25" s="144">
        <f>SUM(P16:P24)</f>
        <v>10403.983974300001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9478.9000000000015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711.23599999999999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8712.7420000000002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1639.4808599999999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10352.22286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51.761114300000003</v>
      </c>
    </row>
    <row r="35" spans="2:16" ht="15.75" customHeight="1" thickBot="1" x14ac:dyDescent="0.4">
      <c r="N35" s="219" t="s">
        <v>92</v>
      </c>
      <c r="O35" s="220"/>
      <c r="P35" s="160">
        <f>P33+P34</f>
        <v>10403.983974299999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4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22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1694.2652400000002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19" t="s">
        <v>92</v>
      </c>
      <c r="O35" s="220"/>
      <c r="P35" s="160">
        <f>P33+P34</f>
        <v>1702.7365662000002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3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0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2026-06-24T08:35:21Z</dcterms:modified>
</cp:coreProperties>
</file>