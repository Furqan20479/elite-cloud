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9B3C2F1-123A-4D0F-A9C4-DA3D3C2E4729}" xr6:coauthVersionLast="47" xr6:coauthVersionMax="47" xr10:uidLastSave="{00000000-0000-0000-0000-000000000000}"/>
  <bookViews>
    <workbookView xWindow="-110" yWindow="-110" windowWidth="19420" windowHeight="10420" tabRatio="949" activeTab="1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<sst xmlns="http://schemas.openxmlformats.org/spreadsheetml/2006/main" count="1581" uniqueCount="121">
  <si>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</si>
  <si>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</si>
  <si>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</si>
  <si>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</si>
  <si>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</si>
  <si>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</si>
  <si>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</si>
  <si>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</si>
  <si>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</si>
  <si>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</si>
  <si>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</si>
  <si>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</si>
  <si>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</si>
  <si>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</si>
  <si>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</si>
  <si>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</si>
  <si>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</si>
  <si>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</si>
  <si>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</si>
  <si>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</si>
  <si>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</si>
  <si>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</si>
  <si>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</si>
  <si>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</si>
  <si>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</si>
  <si>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</si>
  <si>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</si>
  <si>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</si>
  <si>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</si>
  <si>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</si>
  <si>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</si>
  <si>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</si>
  <si>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</si>
  <si>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</si>
  <si>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</si>
  <si>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</si>
  <si>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</si>
  <si>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</si>
  <si>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</si>
  <si>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</si>
  <si>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</si>
  <si>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</si>
  <si>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</si>
  <si>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</si>
  <si>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</si>
  <si>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</si>
  <si>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</si>
  <si>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</si>
  <si>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</si>
  <si>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</si>
  <si>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</si>
  <si>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</si>
  <si>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</si>
  <si>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</si>
  <si>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</si>
  <si>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</si>
  <si>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</si>
  <si>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</si>
  <si>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</si>
  <si>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</si>
  <si>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</si>
  <si>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</si>
  <si>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</si>
  <si>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</si>
  <si>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</si>
  <si>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</si>
  <si>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</si>
  <si>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</si>
  <si>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</si>
  <si>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</si>
  <si>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</si>
  <si>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</si>
  <si>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</si>
  <si>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</si>
  <si>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</si>
  <si>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</si>
  <si>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</si>
  <si>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</si>
  <si>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</si>
  <si>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</si>
  <si>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</si>
  <si>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</si>
  <si>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</si>
  <si>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</si>
  <si>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</si>
  <si>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</si>
  <si>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</si>
  <si>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</si>
  <si>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</si>
  <si>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</si>
  <si>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</si>
  <si>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</si>
  <si>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</si>
  <si>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</si>
  <si>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</si>
  <si>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</si>
  <si>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</si>
  <si>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</si>
  <si>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</si>
  <si>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</si>
  <si>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</si>
  <si>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</si>
  <si>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</si>
  <si>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</si>
  <si>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(Zeshan)</t>
  </si>
  <si>
    <t>Zeshan</t>
  </si>
  <si>
    <t xml:space="preserve">Customer Name : Bravo Mart </t>
  </si>
  <si>
    <t>Address: DHA</t>
  </si>
  <si>
    <t>a276821-8</t>
  </si>
  <si>
    <t>Customer Name : Hikma Store</t>
  </si>
  <si>
    <t>Address: Askari 11</t>
  </si>
  <si>
    <t>2302644-8</t>
  </si>
  <si>
    <t>Customer Name : Bilal Store</t>
  </si>
  <si>
    <t>Customer Name : Usman Store</t>
  </si>
  <si>
    <t>Customer Name : Ms Store</t>
  </si>
  <si>
    <t>Customer Name : Pakistan Store</t>
  </si>
  <si>
    <t>Customer Name : Maharaja</t>
  </si>
  <si>
    <t>Customer Name : Adnan</t>
  </si>
  <si>
    <t>Customer Name : Hafiz Store</t>
  </si>
  <si>
    <t>Customer Name : Faisal Store</t>
  </si>
  <si>
    <t>Address: Charar Pind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</si>
</sst>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tabSelected="1"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22" zoomScale="70" zoomScaleNormal="70" workbookViewId="0">
      <selection activeCell="S39" sqref="S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Bravo Mart </v>
      </c>
      <c r="U14" s="164">
        <f>+'1'!P35</f>
        <v>3309.6730752000003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Hikma Store</v>
      </c>
      <c r="U15" s="164">
        <f>+'2'!P35</f>
        <v>20807.967948599999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590.30804999999998</v>
      </c>
      <c r="O16" s="101">
        <f>+'1'!O16+'2'!O16+'4'!O16+'3'!O16+'5'!O16+'6'!O16+'7'!O16+'8'!O16+'9'!O16+'10'!O16</f>
        <v>41.215589249999994</v>
      </c>
      <c r="P16" s="105">
        <f t="shared" ref="P16:P24" si="0">M16+N16+O16</f>
        <v>3527.4536392499999</v>
      </c>
      <c r="Q16" s="108"/>
      <c r="T16" s="163" t="str">
        <f>+'4'!A5</f>
        <v>Customer Name : Usman Store</v>
      </c>
      <c r="U16" s="164">
        <f>+'4'!P35</f>
        <v>6711.1833180000003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2895.93</v>
      </c>
      <c r="N17" s="101">
        <f>+'1'!N17+'2'!N17+'4'!N17+'3'!N17+'5'!N17+'6'!N17+'7'!N17+'8'!N17+'9'!N17+'10'!N17</f>
        <v>590.30804999999998</v>
      </c>
      <c r="O17" s="101">
        <f>+'1'!O17+'2'!O17+'4'!O17+'3'!O17+'5'!O17+'6'!O17+'7'!O17+'8'!O17+'9'!O17+'10'!O17</f>
        <v>41.215589249999994</v>
      </c>
      <c r="P17" s="120">
        <f t="shared" si="0"/>
        <v>3527.4536392499999</v>
      </c>
      <c r="S17" s="64"/>
      <c r="T17" s="163" t="str">
        <f>+'3'!A5</f>
        <v>Customer Name : Bilal Store</v>
      </c>
      <c r="U17" s="164">
        <f>+'3'!P35</f>
        <v>1654.8365376000002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Ms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70</v>
      </c>
      <c r="I19" s="1">
        <f t="shared" si="1"/>
        <v>5084.8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406.78399999999999</v>
      </c>
      <c r="M19" s="118">
        <f t="shared" si="2"/>
        <v>4678.0160000000005</v>
      </c>
      <c r="N19" s="101">
        <f>+'1'!N19+'2'!N19+'4'!N19+'3'!N19+'5'!N19+'6'!N19+'7'!N19+'8'!N19+'9'!N19+'10'!N19</f>
        <v>964.36863999999991</v>
      </c>
      <c r="O19" s="101">
        <f>+'1'!O19+'2'!O19+'4'!O19+'3'!O19+'5'!O19+'6'!O19+'7'!O19+'8'!O19+'9'!O19+'10'!O19</f>
        <v>52.671264000000001</v>
      </c>
      <c r="P19" s="120">
        <f t="shared" si="0"/>
        <v>5695.0559039999998</v>
      </c>
      <c r="T19" s="163" t="str">
        <f>+'6'!A5</f>
        <v>Customer Name : Pakistan Store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1143.3535999999999</v>
      </c>
      <c r="O20" s="101">
        <f>+'1'!O20+'2'!O20+'4'!O20+'3'!O20+'5'!O20+'6'!O20+'7'!O20+'8'!O20+'9'!O20+'10'!O20</f>
        <v>49.074131199999997</v>
      </c>
      <c r="P20" s="120">
        <f t="shared" si="0"/>
        <v>6538.7317312000005</v>
      </c>
      <c r="T20" s="163" t="str">
        <f>+'7'!A5</f>
        <v>Customer Name : Maharaja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110</v>
      </c>
      <c r="I21" s="1">
        <f t="shared" si="1"/>
        <v>7990.4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639.23199999999997</v>
      </c>
      <c r="M21" s="118">
        <f t="shared" si="2"/>
        <v>7351.1679999999997</v>
      </c>
      <c r="N21" s="101">
        <f>+'1'!N21+'2'!N21+'4'!N21+'3'!N21+'5'!N21+'6'!N21+'7'!N21+'8'!N21+'9'!N21+'10'!N21</f>
        <v>1471.6864</v>
      </c>
      <c r="O21" s="101">
        <f>+'1'!O21+'2'!O21+'4'!O21+'3'!O21+'5'!O21+'6'!O21+'7'!O21+'8'!O21+'9'!O21+'10'!O21</f>
        <v>68.893228800000003</v>
      </c>
      <c r="P21" s="120">
        <f t="shared" si="0"/>
        <v>8891.7476287999998</v>
      </c>
      <c r="T21" s="163" t="str">
        <f>+'8'!A5</f>
        <v>Customer Name : Adnan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270</v>
      </c>
      <c r="I22" s="1">
        <f t="shared" si="1"/>
        <v>10592.1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370.72350000000006</v>
      </c>
      <c r="L22" s="175">
        <f>+'1'!L22+'2'!L22+'4'!L22+'3'!L22+'5'!L22+'6'!L22+'7'!L22+'8'!L22+'9'!L22+'10'!L22</f>
        <v>529.60500000000013</v>
      </c>
      <c r="M22" s="118">
        <f t="shared" si="2"/>
        <v>9691.7715000000007</v>
      </c>
      <c r="N22" s="101">
        <f>+'1'!N22+'2'!N22+'4'!N22+'3'!N22+'5'!N22+'6'!N22+'7'!N22+'8'!N22+'9'!N22+'10'!N22</f>
        <v>2017.3242900000005</v>
      </c>
      <c r="O22" s="101">
        <f>+'1'!O22+'2'!O22+'4'!O22+'3'!O22+'5'!O22+'6'!O22+'7'!O22+'8'!O22+'9'!O22+'10'!O22</f>
        <v>224.95678515000003</v>
      </c>
      <c r="P22" s="120">
        <f t="shared" si="0"/>
        <v>11934.052575150001</v>
      </c>
      <c r="T22" s="163" t="str">
        <f>+'9'!A5</f>
        <v>Customer Name : Hafiz Store</v>
      </c>
      <c r="U22" s="164">
        <f>+'9'!P35</f>
        <v>5386.471227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Faisal Store</v>
      </c>
      <c r="U23" s="164">
        <f>+'10'!P35</f>
        <v>448.87260225000006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16.25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650</v>
      </c>
      <c r="I25" s="178">
        <f t="shared" si="3"/>
        <v>35774</v>
      </c>
      <c r="J25" s="177">
        <f t="shared" si="3"/>
        <v>19</v>
      </c>
      <c r="K25" s="178">
        <f t="shared" si="3"/>
        <v>370.72350000000006</v>
      </c>
      <c r="L25" s="179">
        <f t="shared" si="3"/>
        <v>2544.1570000000002</v>
      </c>
      <c r="M25" s="141">
        <f t="shared" si="3"/>
        <v>32859.119500000001</v>
      </c>
      <c r="N25" s="142">
        <f>SUM(N16:N24)</f>
        <v>6777.3490300000003</v>
      </c>
      <c r="O25" s="143">
        <f>SUM(O16:O24)</f>
        <v>478.02658765000001</v>
      </c>
      <c r="P25" s="144">
        <f>SUM(P16:P24)</f>
        <v>40114.495117650004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40114.495117649989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35774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2544.1570000000002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370.72350000000006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32859.119500000001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6777.3490300000003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39636.468529999998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990.91171325000005</v>
      </c>
    </row>
    <row r="39" spans="2:16" ht="15.75" customHeight="1" thickBot="1" x14ac:dyDescent="0.4">
      <c r="N39" s="203" t="s">
        <v>92</v>
      </c>
      <c r="O39" s="204"/>
      <c r="P39" s="160">
        <f>P37+P38</f>
        <v>40627.380243250002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1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236.51583999999997</v>
      </c>
      <c r="O19" s="119">
        <f t="shared" si="1"/>
        <v>6.194739199999999</v>
      </c>
      <c r="P19" s="120">
        <f t="shared" si="2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1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163.00415999999998</v>
      </c>
      <c r="O20" s="119">
        <f t="shared" si="1"/>
        <v>4.1564607999999996</v>
      </c>
      <c r="P20" s="120">
        <f t="shared" si="2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220.53503999999998</v>
      </c>
      <c r="O21" s="119">
        <f t="shared" si="1"/>
        <v>6.1148351999999999</v>
      </c>
      <c r="P21" s="120">
        <f t="shared" si="2"/>
        <v>1229.0818752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6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320</v>
      </c>
      <c r="I25" s="137">
        <f t="shared" si="9"/>
        <v>18957.800000000003</v>
      </c>
      <c r="J25" s="138"/>
      <c r="K25" s="139">
        <f t="shared" si="9"/>
        <v>109.84400000000002</v>
      </c>
      <c r="L25" s="140">
        <f t="shared" si="9"/>
        <v>1422.472</v>
      </c>
      <c r="M25" s="141">
        <f t="shared" si="9"/>
        <v>17425.484</v>
      </c>
      <c r="N25" s="142">
        <f>SUM(N16:N24)</f>
        <v>3278.9617199999998</v>
      </c>
      <c r="O25" s="143">
        <f>SUM(O16:O24)</f>
        <v>103.52222859999999</v>
      </c>
      <c r="P25" s="144">
        <f>SUM(P16:P24)</f>
        <v>20807.967948600002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18957.800000000003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1422.472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17425.484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3278.9617199999998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20704.44572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103.52222860000001</v>
      </c>
    </row>
    <row r="35" spans="2:16" ht="15.75" customHeight="1" thickBot="1" x14ac:dyDescent="0.4">
      <c r="N35" s="203" t="s">
        <v>92</v>
      </c>
      <c r="O35" s="204"/>
      <c r="P35" s="160">
        <f>P33+P34</f>
        <v>20807.967948599999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E38" sqref="E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03" t="s">
        <v>92</v>
      </c>
      <c r="O35" s="204"/>
      <c r="P35" s="160">
        <f>P33+P34</f>
        <v>1654.8365376000002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activeCell="F35" sqref="F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30.973695999999997</v>
      </c>
      <c r="P21" s="120">
        <f t="shared" si="1"/>
        <v>1269.9215359999998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27.461000000000006</v>
      </c>
      <c r="L25" s="140">
        <f t="shared" si="9"/>
        <v>439.55800000000005</v>
      </c>
      <c r="M25" s="141">
        <f t="shared" si="9"/>
        <v>5321.6810000000005</v>
      </c>
      <c r="N25" s="142">
        <f>SUM(N16:N24)</f>
        <v>1225.81492</v>
      </c>
      <c r="O25" s="143">
        <f>SUM(O16:O24)</f>
        <v>163.68739799999997</v>
      </c>
      <c r="P25" s="144">
        <f>SUM(P16:P24)</f>
        <v>6711.1833179999994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5788.7000000000007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439.55800000000005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27.461000000000006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5321.6810000000005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1225.81492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6547.4959200000003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163.68739800000003</v>
      </c>
    </row>
    <row r="35" spans="2:16" ht="15.75" customHeight="1" thickBot="1" x14ac:dyDescent="0.4">
      <c r="N35" s="203" t="s">
        <v>92</v>
      </c>
      <c r="O35" s="204"/>
      <c r="P35" s="160">
        <f>P33+P34</f>
        <v>6711.1833180000003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activeCell="E27" sqref="E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activeCell="G27" sqref="G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E8" sqref="E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120</v>
      </c>
      <c r="I22" s="116">
        <f t="shared" si="2"/>
        <v>4707.6000000000004</v>
      </c>
      <c r="J22" s="117"/>
      <c r="K22" s="1">
        <f>I22*3.5%</f>
        <v>164.76600000000002</v>
      </c>
      <c r="L22" s="120">
        <f>I22*5%</f>
        <v>235.38000000000002</v>
      </c>
      <c r="M22" s="118">
        <f t="shared" si="5"/>
        <v>4307.4540000000006</v>
      </c>
      <c r="N22" s="118">
        <f t="shared" si="0"/>
        <v>947.63988000000018</v>
      </c>
      <c r="O22" s="119">
        <f t="shared" si="6"/>
        <v>131.37734700000001</v>
      </c>
      <c r="P22" s="120">
        <f t="shared" si="1"/>
        <v>5386.471227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4707.6000000000004</v>
      </c>
      <c r="J25" s="138"/>
      <c r="K25" s="139">
        <f t="shared" si="9"/>
        <v>164.76600000000002</v>
      </c>
      <c r="L25" s="140">
        <f t="shared" si="9"/>
        <v>235.38000000000002</v>
      </c>
      <c r="M25" s="141">
        <f t="shared" si="9"/>
        <v>4307.4540000000006</v>
      </c>
      <c r="N25" s="142">
        <f>SUM(N16:N24)</f>
        <v>947.63988000000018</v>
      </c>
      <c r="O25" s="143">
        <f>SUM(O16:O24)</f>
        <v>131.37734700000001</v>
      </c>
      <c r="P25" s="144">
        <f>SUM(P16:P24)</f>
        <v>5386.471227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4707.6000000000004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235.38000000000002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164.76600000000002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4307.4540000000006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947.63988000000018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5255.0938800000004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131.37734700000001</v>
      </c>
    </row>
    <row r="35" spans="2:16" ht="15.75" customHeight="1" thickBot="1" x14ac:dyDescent="0.4">
      <c r="N35" s="203" t="s">
        <v>92</v>
      </c>
      <c r="O35" s="204"/>
      <c r="P35" s="160">
        <f>P33+P34</f>
        <v>5386.471227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2026-06-23T10:23:26Z</dcterms:modified>
</cp:coreProperties>
</file>