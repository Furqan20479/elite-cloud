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86C3D01-F9BA-479D-B443-517C81D4BFB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<sst xmlns="http://schemas.openxmlformats.org/spreadsheetml/2006/main" count="1581" uniqueCount="114">
  <si>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</si>
  <si>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</si>
  <si>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</si>
  <si>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</si>
  <si>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</si>
  <si>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</si>
  <si>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</si>
  <si>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</si>
  <si>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</si>
  <si>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</si>
  <si>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</si>
  <si>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</si>
  <si>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</si>
  <si>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</si>
  <si>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</si>
  <si>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</si>
  <si>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</si>
  <si>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</si>
  <si>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</si>
  <si>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</si>
  <si>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</si>
  <si>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</si>
  <si>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</si>
  <si>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</si>
  <si>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</si>
  <si>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</si>
  <si>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</si>
  <si>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</si>
  <si>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</si>
  <si>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</si>
  <si>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</si>
  <si>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</si>
  <si>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</si>
  <si>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</si>
  <si>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</si>
  <si>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</si>
  <si>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</si>
  <si>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</si>
  <si>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</si>
  <si>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</si>
  <si>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</si>
  <si>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</si>
  <si>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</si>
  <si>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</si>
  <si>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</si>
  <si>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</si>
  <si>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</si>
  <si>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</si>
  <si>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</si>
  <si>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</si>
  <si>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</si>
  <si>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</si>
  <si>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</si>
  <si>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</si>
  <si>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</si>
  <si>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</si>
  <si>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</si>
  <si>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</si>
  <si>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</si>
  <si>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</si>
  <si>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</si>
  <si>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</si>
  <si>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</si>
  <si>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</si>
  <si>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</si>
  <si>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</si>
  <si>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</si>
  <si>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</si>
  <si>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</si>
  <si>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</si>
  <si>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</si>
  <si>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</si>
  <si>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</si>
  <si>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</si>
  <si>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</si>
  <si>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</si>
  <si>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</si>
  <si>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</si>
  <si>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</si>
  <si>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</si>
  <si>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</si>
  <si>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</si>
  <si>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</si>
  <si>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</si>
  <si>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</si>
  <si>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</si>
  <si>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</si>
  <si>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</si>
  <si>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</si>
  <si>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</si>
  <si>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</si>
  <si>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</si>
  <si>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</si>
  <si>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</si>
  <si>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</si>
  <si>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</si>
  <si>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</si>
  <si>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</si>
  <si>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</si>
  <si>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</si>
  <si>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</si>
  <si>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</si>
  <si>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</si>
  <si>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</si>
  <si>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</si>
  <si>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</si>
  <si>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Shop Bill Summary (Furqan)</t>
  </si>
  <si>
    <t xml:space="preserve">Customer Name : Bismiallah General Store </t>
  </si>
  <si>
    <t>Address: Shadman Market</t>
  </si>
  <si>
    <t>Customer Name : Bilal Store</t>
  </si>
  <si>
    <t>Address: Shadman choti market</t>
  </si>
  <si>
    <t>Customer Name : New Data Sweets</t>
  </si>
  <si>
    <t>Address: Ahta mul channel ichra</t>
  </si>
  <si>
    <t>Customer Name : Data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</si>
</sst>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106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Bismiallah General Store </v>
      </c>
      <c r="U14" s="164">
        <f>+'1'!P35</f>
        <v>2510.7286392600004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1771.3380224000002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New Data Sweets</v>
      </c>
      <c r="U16" s="164">
        <f>+'3'!P35</f>
        <v>1490.9397644999999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Data Store</v>
      </c>
      <c r="U17" s="164">
        <f>+'4'!P35</f>
        <v>1041.9731226000001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19</v>
      </c>
      <c r="I19" s="1">
        <f t="shared" si="1"/>
        <v>1380.16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110.4128</v>
      </c>
      <c r="M19" s="118">
        <f t="shared" si="2"/>
        <v>1269.7472</v>
      </c>
      <c r="N19" s="101">
        <f>+'1'!N19+'2'!N19+'4'!N19+'3'!N19+'5'!N19+'6'!N19+'7'!N19+'8'!N19+'9'!N19+'10'!N19</f>
        <v>295.32518399999998</v>
      </c>
      <c r="O19" s="101">
        <f>+'1'!O19+'2'!O19+'4'!O19+'3'!O19+'5'!O19+'6'!O19+'7'!O19+'8'!O19+'9'!O19+'10'!O19</f>
        <v>19.23972096</v>
      </c>
      <c r="P19" s="120">
        <f t="shared" si="0"/>
        <v>1584.3121049599999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</v>
      </c>
      <c r="I20" s="1">
        <f t="shared" si="1"/>
        <v>508.48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40.678400000000003</v>
      </c>
      <c r="M20" s="118">
        <f t="shared" si="2"/>
        <v>467.80160000000001</v>
      </c>
      <c r="N20" s="101">
        <f>+'1'!N20+'2'!N20+'4'!N20+'3'!N20+'5'!N20+'6'!N20+'7'!N20+'8'!N20+'9'!N20+'10'!N20</f>
        <v>102.916352</v>
      </c>
      <c r="O20" s="101">
        <f>+'1'!O20+'2'!O20+'4'!O20+'3'!O20+'5'!O20+'6'!O20+'7'!O20+'8'!O20+'9'!O20+'10'!O20</f>
        <v>14.267948799999999</v>
      </c>
      <c r="P20" s="120">
        <f t="shared" si="0"/>
        <v>584.98590079999997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31</v>
      </c>
      <c r="I21" s="1">
        <f t="shared" si="1"/>
        <v>2251.84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180.1472</v>
      </c>
      <c r="M21" s="118">
        <f t="shared" si="2"/>
        <v>2071.6928000000003</v>
      </c>
      <c r="N21" s="101">
        <f>+'1'!N21+'2'!N21+'4'!N21+'3'!N21+'5'!N21+'6'!N21+'7'!N21+'8'!N21+'9'!N21+'10'!N21</f>
        <v>439.67539200000004</v>
      </c>
      <c r="O21" s="101">
        <f>+'1'!O21+'2'!O21+'4'!O21+'3'!O21+'5'!O21+'6'!O21+'7'!O21+'8'!O21+'9'!O21+'10'!O21</f>
        <v>43.216732160000007</v>
      </c>
      <c r="P21" s="120">
        <f t="shared" si="0"/>
        <v>2554.5849241600004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48</v>
      </c>
      <c r="I22" s="1">
        <f t="shared" si="1"/>
        <v>1883.0400000000002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65.906400000000019</v>
      </c>
      <c r="L22" s="175">
        <f>+'1'!L22+'2'!L22+'4'!L22+'3'!L22+'5'!L22+'6'!L22+'7'!L22+'8'!L22+'9'!L22+'10'!L22</f>
        <v>94.152000000000015</v>
      </c>
      <c r="M22" s="118">
        <f t="shared" si="2"/>
        <v>1722.9816000000001</v>
      </c>
      <c r="N22" s="101">
        <f>+'1'!N22+'2'!N22+'4'!N22+'3'!N22+'5'!N22+'6'!N22+'7'!N22+'8'!N22+'9'!N22+'10'!N22</f>
        <v>327.36650400000002</v>
      </c>
      <c r="O22" s="101">
        <f>+'1'!O22+'2'!O22+'4'!O22+'3'!O22+'5'!O22+'6'!O22+'7'!O22+'8'!O22+'9'!O22+'10'!O22</f>
        <v>40.748514840000006</v>
      </c>
      <c r="P22" s="120">
        <f t="shared" si="0"/>
        <v>2091.0966188400002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2.625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105</v>
      </c>
      <c r="I25" s="178">
        <f t="shared" si="3"/>
        <v>6023.52</v>
      </c>
      <c r="J25" s="177">
        <f t="shared" si="3"/>
        <v>2</v>
      </c>
      <c r="K25" s="178">
        <f t="shared" si="3"/>
        <v>65.906400000000019</v>
      </c>
      <c r="L25" s="179">
        <f t="shared" si="3"/>
        <v>425.3904</v>
      </c>
      <c r="M25" s="141">
        <f t="shared" si="3"/>
        <v>5532.2232000000004</v>
      </c>
      <c r="N25" s="142">
        <f>SUM(N16:N24)</f>
        <v>1165.2834320000002</v>
      </c>
      <c r="O25" s="143">
        <f>SUM(O16:O24)</f>
        <v>117.47291676</v>
      </c>
      <c r="P25" s="144">
        <f>SUM(P16:P24)</f>
        <v>6814.9795487600004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6814.9795487600013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6023.52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425.3904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65.906400000000019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5532.2232000000004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1165.2834320000002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6697.5066320000005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167.43766580000002</v>
      </c>
    </row>
    <row r="39" spans="2:16" ht="15.75" customHeight="1" thickBot="1" x14ac:dyDescent="0.4">
      <c r="N39" s="219" t="s">
        <v>92</v>
      </c>
      <c r="O39" s="220"/>
      <c r="P39" s="160">
        <f>P37+P38</f>
        <v>6864.9442978000006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>
        <v>0</v>
      </c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1620169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>
        <v>1</v>
      </c>
      <c r="K19" s="1">
        <f t="shared" si="4"/>
        <v>0</v>
      </c>
      <c r="L19" s="105">
        <f t="shared" si="5"/>
        <v>69.734400000000008</v>
      </c>
      <c r="M19" s="118">
        <f t="shared" si="6"/>
        <v>801.94560000000001</v>
      </c>
      <c r="N19" s="118">
        <f t="shared" si="0"/>
        <v>192.40883199999999</v>
      </c>
      <c r="O19" s="119">
        <f t="shared" si="1"/>
        <v>4.9717721599999996</v>
      </c>
      <c r="P19" s="120">
        <f t="shared" si="2"/>
        <v>999.32620415999997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36</v>
      </c>
      <c r="I25" s="137">
        <f t="shared" si="9"/>
        <v>2214.1200000000003</v>
      </c>
      <c r="J25" s="138"/>
      <c r="K25" s="139">
        <f t="shared" si="9"/>
        <v>16.476600000000005</v>
      </c>
      <c r="L25" s="140">
        <f t="shared" si="9"/>
        <v>163.00680000000003</v>
      </c>
      <c r="M25" s="141">
        <f t="shared" si="9"/>
        <v>2034.6366</v>
      </c>
      <c r="N25" s="142">
        <f>SUM(N16:N24)</f>
        <v>463.60085199999997</v>
      </c>
      <c r="O25" s="143">
        <f>SUM(O16:O24)</f>
        <v>12.49118726</v>
      </c>
      <c r="P25" s="144">
        <f>SUM(P16:P24)</f>
        <v>2510.7286392599999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2214.1200000000003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163.00680000000003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2034.6366000000003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463.60085199999997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2498.2374520000003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12.491187260000002</v>
      </c>
    </row>
    <row r="35" spans="2:16" ht="15.75" customHeight="1" thickBot="1" x14ac:dyDescent="0.4">
      <c r="N35" s="219" t="s">
        <v>92</v>
      </c>
      <c r="O35" s="220"/>
      <c r="P35" s="160">
        <f>P33+P34</f>
        <v>2510.7286392600004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5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2"/>
        <v>508.48</v>
      </c>
      <c r="J19" s="117"/>
      <c r="K19" s="1">
        <f t="shared" si="3"/>
        <v>0</v>
      </c>
      <c r="L19" s="105">
        <f t="shared" si="4"/>
        <v>40.678400000000003</v>
      </c>
      <c r="M19" s="118">
        <f t="shared" si="5"/>
        <v>467.80160000000001</v>
      </c>
      <c r="N19" s="118">
        <f t="shared" si="0"/>
        <v>102.916352</v>
      </c>
      <c r="O19" s="119">
        <f t="shared" si="6"/>
        <v>14.267948799999999</v>
      </c>
      <c r="P19" s="120">
        <f t="shared" si="1"/>
        <v>584.98590079999997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2"/>
        <v>508.48</v>
      </c>
      <c r="J20" s="117"/>
      <c r="K20" s="1">
        <f t="shared" si="3"/>
        <v>0</v>
      </c>
      <c r="L20" s="105">
        <f t="shared" si="4"/>
        <v>40.678400000000003</v>
      </c>
      <c r="M20" s="118">
        <f t="shared" si="5"/>
        <v>467.80160000000001</v>
      </c>
      <c r="N20" s="118">
        <f t="shared" si="0"/>
        <v>102.916352</v>
      </c>
      <c r="O20" s="119">
        <f t="shared" si="6"/>
        <v>14.267948799999999</v>
      </c>
      <c r="P20" s="120">
        <f t="shared" si="1"/>
        <v>584.98590079999997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2"/>
        <v>508.48</v>
      </c>
      <c r="J21" s="117">
        <v>1</v>
      </c>
      <c r="K21" s="1">
        <f t="shared" si="3"/>
        <v>0</v>
      </c>
      <c r="L21" s="105">
        <f t="shared" si="4"/>
        <v>40.678400000000003</v>
      </c>
      <c r="M21" s="118">
        <f t="shared" si="5"/>
        <v>467.80160000000001</v>
      </c>
      <c r="N21" s="118">
        <f t="shared" si="0"/>
        <v>118.89715200000001</v>
      </c>
      <c r="O21" s="119">
        <f t="shared" si="6"/>
        <v>14.667468800000002</v>
      </c>
      <c r="P21" s="120">
        <f t="shared" si="1"/>
        <v>601.36622080000006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21</v>
      </c>
      <c r="I25" s="137">
        <f t="shared" si="9"/>
        <v>1525.44</v>
      </c>
      <c r="J25" s="138"/>
      <c r="K25" s="139">
        <f t="shared" si="9"/>
        <v>0</v>
      </c>
      <c r="L25" s="140">
        <f t="shared" si="9"/>
        <v>122.0352</v>
      </c>
      <c r="M25" s="141">
        <f t="shared" si="9"/>
        <v>1403.4048</v>
      </c>
      <c r="N25" s="142">
        <f>SUM(N16:N24)</f>
        <v>324.72985600000004</v>
      </c>
      <c r="O25" s="143">
        <f>SUM(O16:O24)</f>
        <v>43.2033664</v>
      </c>
      <c r="P25" s="144">
        <f>SUM(P16:P24)</f>
        <v>1771.3380224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1525.44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122.0352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1403.4048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324.72985600000004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1728.1346560000002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43.203366400000007</v>
      </c>
    </row>
    <row r="35" spans="2:16" ht="15.75" customHeight="1" thickBot="1" x14ac:dyDescent="0.4">
      <c r="N35" s="219" t="s">
        <v>92</v>
      </c>
      <c r="O35" s="220"/>
      <c r="P35" s="160">
        <f>P33+P34</f>
        <v>1771.3380224000002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144.35020800000001</v>
      </c>
      <c r="O21" s="119">
        <f t="shared" si="6"/>
        <v>23.657395200000003</v>
      </c>
      <c r="P21" s="120">
        <f t="shared" si="1"/>
        <v>969.95320320000008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77.534171999999998</v>
      </c>
      <c r="O22" s="119">
        <f t="shared" si="6"/>
        <v>12.706989300000002</v>
      </c>
      <c r="P22" s="120">
        <f t="shared" si="1"/>
        <v>520.98656130000006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1342.44</v>
      </c>
      <c r="J25" s="138"/>
      <c r="K25" s="139">
        <f t="shared" si="9"/>
        <v>16.476600000000005</v>
      </c>
      <c r="L25" s="140">
        <f t="shared" si="9"/>
        <v>93.272400000000005</v>
      </c>
      <c r="M25" s="141">
        <f t="shared" si="9"/>
        <v>1232.691</v>
      </c>
      <c r="N25" s="142">
        <f>SUM(N16:N24)</f>
        <v>221.88438000000002</v>
      </c>
      <c r="O25" s="143">
        <f>SUM(O16:O24)</f>
        <v>36.364384500000007</v>
      </c>
      <c r="P25" s="144">
        <f>SUM(P16:P24)</f>
        <v>1490.9397645000001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1342.44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93.272400000000005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1232.691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221.88438000000002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1454.57538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36.3643845</v>
      </c>
    </row>
    <row r="35" spans="2:16" ht="15.75" customHeight="1" thickBot="1" x14ac:dyDescent="0.4">
      <c r="N35" s="219" t="s">
        <v>92</v>
      </c>
      <c r="O35" s="220"/>
      <c r="P35" s="160">
        <f>P33+P34</f>
        <v>1490.9397644999999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155.068344</v>
      </c>
      <c r="O22" s="119">
        <f t="shared" si="6"/>
        <v>25.413978600000004</v>
      </c>
      <c r="P22" s="120">
        <f t="shared" si="1"/>
        <v>1041.9731226000001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155.068344</v>
      </c>
      <c r="O25" s="143">
        <f>SUM(O16:O24)</f>
        <v>25.413978600000004</v>
      </c>
      <c r="P25" s="144">
        <f>SUM(P16:P24)</f>
        <v>1041.9731226000001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941.5200000000001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47.076000000000008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32.95320000000001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861.49080000000004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155.068344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1016.5591440000001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25.413978600000004</v>
      </c>
    </row>
    <row r="35" spans="2:16" ht="15.75" customHeight="1" thickBot="1" x14ac:dyDescent="0.4">
      <c r="N35" s="219" t="s">
        <v>92</v>
      </c>
      <c r="O35" s="220"/>
      <c r="P35" s="160">
        <f>P33+P34</f>
        <v>1041.9731226000001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2026-06-30T04:05:07Z</dcterms:modified>
</cp:coreProperties>
</file>