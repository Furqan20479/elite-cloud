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DE5D8613-1F2C-4FB5-828A-8638C87FE009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K20" i="19" s="1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20" l="1"/>
  <c r="M22" i="15"/>
  <c r="M18" i="15"/>
  <c r="P19" i="18"/>
  <c r="M25" i="18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O16" i="18" l="1"/>
  <c r="N25" i="18"/>
  <c r="P32" i="18" s="1"/>
  <c r="P33" i="18" s="1"/>
  <c r="N22" i="15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<sst xmlns="http://schemas.openxmlformats.org/spreadsheetml/2006/main" count="1582" uniqueCount="118">
  <si>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</si>
  <si>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</si>
  <si>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</si>
  <si>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</si>
  <si>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</si>
  <si>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</si>
  <si>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</si>
  <si>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</si>
  <si>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</si>
  <si>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</si>
  <si>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</si>
  <si>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</si>
  <si>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</si>
  <si>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</si>
  <si>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</si>
  <si>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</si>
  <si>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</si>
  <si>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</si>
  <si>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</si>
  <si>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</si>
  <si>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</si>
  <si>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</si>
  <si>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</si>
  <si>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</si>
  <si>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</si>
  <si>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</si>
  <si>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</si>
  <si>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</si>
  <si>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</si>
  <si>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</si>
  <si>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</si>
  <si>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</si>
  <si>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</si>
  <si>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</si>
  <si>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</si>
  <si>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</si>
  <si>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</si>
  <si>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</si>
  <si>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</si>
  <si>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</si>
  <si>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</si>
  <si>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</si>
  <si>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</si>
  <si>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</si>
  <si>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</si>
  <si>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</si>
  <si>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</si>
  <si>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</si>
  <si>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</si>
  <si>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</si>
  <si>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</si>
  <si>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</si>
  <si>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</si>
  <si>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</si>
  <si>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</si>
  <si>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</si>
  <si>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</si>
  <si>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</si>
  <si>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</si>
  <si>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</si>
  <si>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</si>
  <si>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</si>
  <si>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</si>
  <si>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</si>
  <si>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</si>
  <si>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</si>
  <si>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</si>
  <si>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</si>
  <si>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</si>
  <si>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</si>
  <si>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</si>
  <si>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</si>
  <si>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</si>
  <si>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</si>
  <si>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</si>
  <si>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</si>
  <si>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</si>
  <si>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</si>
  <si>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</si>
  <si>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</si>
  <si>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</si>
  <si>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</si>
  <si>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</si>
  <si>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</si>
  <si>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</si>
  <si>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</si>
  <si>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</si>
  <si>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</si>
  <si>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</si>
  <si>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</si>
  <si>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</si>
  <si>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</si>
  <si>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</si>
  <si>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</si>
  <si>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</si>
  <si>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</si>
  <si>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</si>
  <si>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</si>
  <si>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</si>
  <si>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</si>
  <si>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</si>
  <si>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</si>
  <si>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</si>
  <si>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</si>
  <si>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Mebeen</t>
  </si>
  <si>
    <t>Shop Bill Summary (Mebeen)</t>
  </si>
  <si>
    <t>Customer Name : Raja Store</t>
  </si>
  <si>
    <t xml:space="preserve">Address: Sadar Bazaar </t>
  </si>
  <si>
    <t>Customer Name : Shalimar Store</t>
  </si>
  <si>
    <t xml:space="preserve">Address: Saddar Bazzar </t>
  </si>
  <si>
    <t>Customer Name : Askari Welfair</t>
  </si>
  <si>
    <t>Address: Askari 1</t>
  </si>
  <si>
    <t>4119712-7</t>
  </si>
  <si>
    <t xml:space="preserve">Customer Name : Sitara Bakers </t>
  </si>
  <si>
    <t xml:space="preserve">Address: Sadder Main Road </t>
  </si>
  <si>
    <t>Customer Name : Chelet Store</t>
  </si>
  <si>
    <t>7411215-3</t>
  </si>
  <si>
    <t xml:space="preserve">12 Persont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</si>
</sst>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1" zoomScale="70" zoomScaleNormal="70" workbookViewId="0">
      <selection activeCell="K21" sqref="K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customWidth="1"/>
    <col min="6" max="6" width="6.54296875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customWidth="1"/>
    <col min="12" max="12" width="7.453125" customWidth="1"/>
    <col min="13" max="13" width="8" customWidth="1"/>
    <col min="14" max="14" width="10" style="69" customWidth="1"/>
    <col min="15" max="15" width="9.54296875" customWidth="1"/>
    <col min="16" max="16" width="9.7265625" customWidth="1"/>
    <col min="17" max="17" width="4.54296875" customWidth="1"/>
    <col min="18" max="18" width="7.26953125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Raja Store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Shalimar Store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20</v>
      </c>
      <c r="I16" s="1">
        <f>(G16*D16)*F16+H16*F16</f>
        <v>1049.25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83.94</v>
      </c>
      <c r="M16" s="106">
        <f>I16-K16-L16</f>
        <v>965.31</v>
      </c>
      <c r="N16" s="101">
        <f>+'1'!N16+'2'!N16+'4'!N16+'3'!N16+'5'!N16+'6'!N16+'7'!N16+'8'!N16+'9'!N16+'10'!N16</f>
        <v>223.90995000000001</v>
      </c>
      <c r="O16" s="101">
        <f>+'1'!O16+'2'!O16+'4'!O16+'3'!O16+'5'!O16+'6'!O16+'7'!O16+'8'!O16+'9'!O16+'10'!O16</f>
        <v>5.9460997500000001</v>
      </c>
      <c r="P16" s="105">
        <f t="shared" ref="P16:P24" si="0">M16+N16+O16</f>
        <v>1195.16604975</v>
      </c>
      <c r="Q16" s="108"/>
      <c r="T16" s="163" t="str">
        <f>+'4'!A5</f>
        <v xml:space="preserve">Customer Name : Sitara Bakers </v>
      </c>
      <c r="U16" s="164">
        <f>+'4'!P35</f>
        <v>13160.466799200003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167.88</v>
      </c>
      <c r="M17" s="118">
        <f t="shared" ref="M17:M23" si="2">I17-K17-L17</f>
        <v>1930.62</v>
      </c>
      <c r="N17" s="101">
        <f>+'1'!N17+'2'!N17+'4'!N17+'3'!N17+'5'!N17+'6'!N17+'7'!N17+'8'!N17+'9'!N17+'10'!N17</f>
        <v>447.81990000000002</v>
      </c>
      <c r="O17" s="101">
        <f>+'1'!O17+'2'!O17+'4'!O17+'3'!O17+'5'!O17+'6'!O17+'7'!O17+'8'!O17+'9'!O17+'10'!O17</f>
        <v>11.8921995</v>
      </c>
      <c r="P17" s="120">
        <f t="shared" si="0"/>
        <v>2390.3320994999999</v>
      </c>
      <c r="S17" s="64"/>
      <c r="T17" s="163" t="str">
        <f>+'3'!A5</f>
        <v>Customer Name : Askari Welfair</v>
      </c>
      <c r="U17" s="164">
        <f>+'3'!P35</f>
        <v>3196.3721087999998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60</v>
      </c>
      <c r="I18" s="1">
        <f t="shared" si="1"/>
        <v>3147.75</v>
      </c>
      <c r="J18" s="172">
        <f>+'1'!J18+'2'!J18+'4'!J18+'3'!J18+'5'!J18+'6'!J18+'7'!J18+'8'!J18+'9'!J18+'10'!J18+'11'!J18+'12'!J18+'13'!J18+'14'!J18+'15'!J18+'16'!J18+'17'!J18+'18'!J18</f>
        <v>3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251.82</v>
      </c>
      <c r="M18" s="118">
        <f t="shared" si="2"/>
        <v>2895.93</v>
      </c>
      <c r="N18" s="101">
        <f>+'1'!N18+'2'!N18+'4'!N18+'3'!N18+'5'!N18+'6'!N18+'7'!N18+'8'!N18+'9'!N18+'10'!N18</f>
        <v>671.72985000000006</v>
      </c>
      <c r="O18" s="101">
        <f>+'1'!O18+'2'!O18+'4'!O18+'3'!O18+'5'!O18+'6'!O18+'7'!O18+'8'!O18+'9'!O18+'10'!O18</f>
        <v>17.838299249999999</v>
      </c>
      <c r="P18" s="120">
        <f t="shared" si="0"/>
        <v>3585.4981492500001</v>
      </c>
      <c r="T18" s="163" t="str">
        <f>+'5'!A5</f>
        <v>Customer Name : Chelet Store</v>
      </c>
      <c r="U18" s="164">
        <f>+'5'!P35</f>
        <v>6228.1421096400009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60</v>
      </c>
      <c r="I19" s="1">
        <f t="shared" si="1"/>
        <v>4358.3999999999996</v>
      </c>
      <c r="J19" s="172">
        <f>+'1'!J19+'2'!J19+'4'!J19+'3'!J19+'5'!J19+'6'!J19+'7'!J19+'8'!J19+'9'!J19+'10'!J19+'11'!J19+'12'!J19+'13'!J19+'14'!J19+'15'!J19+'16'!J19+'17'!J19+'18'!J19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348.67200000000003</v>
      </c>
      <c r="M19" s="118">
        <f t="shared" si="2"/>
        <v>4009.7279999999996</v>
      </c>
      <c r="N19" s="101">
        <f>+'1'!N19+'2'!N19+'4'!N19+'3'!N19+'5'!N19+'6'!N19+'7'!N19+'8'!N19+'9'!N19+'10'!N19</f>
        <v>873.71391999999992</v>
      </c>
      <c r="O19" s="101">
        <f>+'1'!O19+'2'!O19+'4'!O19+'3'!O19+'5'!O19+'6'!O19+'7'!O19+'8'!O19+'9'!O19+'10'!O19</f>
        <v>24.4172096</v>
      </c>
      <c r="P19" s="120">
        <f t="shared" si="0"/>
        <v>4907.8591295999995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60</v>
      </c>
      <c r="I20" s="1">
        <f t="shared" si="1"/>
        <v>4358.3999999999996</v>
      </c>
      <c r="J20" s="172">
        <f>+'1'!J20+'2'!J20+'4'!J20+'3'!J20+'5'!J20+'6'!J20+'7'!J20+'8'!J20+'9'!J20+'10'!J20+'11'!J20+'12'!J20+'13'!J20+'14'!J20+'15'!J20+'16'!J20+'17'!J20+'18'!J20</f>
        <v>3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348.67200000000003</v>
      </c>
      <c r="M20" s="118">
        <f t="shared" si="2"/>
        <v>4009.7279999999996</v>
      </c>
      <c r="N20" s="101">
        <f>+'1'!N20+'2'!N20+'4'!N20+'3'!N20+'5'!N20+'6'!N20+'7'!N20+'8'!N20+'9'!N20+'10'!N20</f>
        <v>873.71391999999992</v>
      </c>
      <c r="O20" s="101">
        <f>+'1'!O20+'2'!O20+'4'!O20+'3'!O20+'5'!O20+'6'!O20+'7'!O20+'8'!O20+'9'!O20+'10'!O20</f>
        <v>24.4172096</v>
      </c>
      <c r="P20" s="120">
        <f t="shared" si="0"/>
        <v>4907.8591295999995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40</v>
      </c>
      <c r="I21" s="1">
        <f t="shared" si="1"/>
        <v>2905.6</v>
      </c>
      <c r="J21" s="172">
        <f>+'1'!J21+'2'!J21+'4'!J21+'3'!J21+'5'!J21+'6'!J21+'7'!J21+'8'!J21+'9'!J21+'10'!J21+'11'!J21+'12'!J21+'13'!J21+'14'!J21+'15'!J21+'16'!J21+'17'!J21+'18'!J21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232.44800000000001</v>
      </c>
      <c r="M21" s="118">
        <f t="shared" si="2"/>
        <v>2673.152</v>
      </c>
      <c r="N21" s="101">
        <f>+'1'!N21+'2'!N21+'4'!N21+'3'!N21+'5'!N21+'6'!N21+'7'!N21+'8'!N21+'9'!N21+'10'!N21</f>
        <v>620.05503999999996</v>
      </c>
      <c r="O21" s="101">
        <f>+'1'!O21+'2'!O21+'4'!O21+'3'!O21+'5'!O21+'6'!O21+'7'!O21+'8'!O21+'9'!O21+'10'!O21</f>
        <v>16.4660352</v>
      </c>
      <c r="P21" s="120">
        <f t="shared" si="0"/>
        <v>3309.6730752000003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52</v>
      </c>
      <c r="I22" s="1">
        <f t="shared" si="1"/>
        <v>2039.9600000000003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71.398600000000016</v>
      </c>
      <c r="L22" s="175">
        <f>+'1'!L22+'2'!L22+'4'!L22+'3'!L22+'5'!L22+'6'!L22+'7'!L22+'8'!L22+'9'!L22+'10'!L22</f>
        <v>101.99800000000002</v>
      </c>
      <c r="M22" s="118">
        <f t="shared" si="2"/>
        <v>1866.5634000000002</v>
      </c>
      <c r="N22" s="101">
        <f>+'1'!N22+'2'!N22+'4'!N22+'3'!N22+'5'!N22+'6'!N22+'7'!N22+'8'!N22+'9'!N22+'10'!N22</f>
        <v>410.64394800000002</v>
      </c>
      <c r="O22" s="101">
        <f>+'1'!O22+'2'!O22+'4'!O22+'3'!O22+'5'!O22+'6'!O22+'7'!O22+'8'!O22+'9'!O22+'10'!O22</f>
        <v>11.386036740000002</v>
      </c>
      <c r="P22" s="120">
        <f t="shared" si="0"/>
        <v>2288.5933847400001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8.3000000000000007</v>
      </c>
      <c r="D25" s="205"/>
      <c r="E25" s="205"/>
      <c r="F25" s="205"/>
      <c r="G25" s="176">
        <f t="shared" ref="G25:M25" si="3">SUM(G16:G24)</f>
        <v>0</v>
      </c>
      <c r="H25" s="177">
        <f t="shared" si="3"/>
        <v>332</v>
      </c>
      <c r="I25" s="178">
        <f t="shared" si="3"/>
        <v>19957.859999999997</v>
      </c>
      <c r="J25" s="177">
        <f t="shared" si="3"/>
        <v>14</v>
      </c>
      <c r="K25" s="178">
        <f t="shared" si="3"/>
        <v>71.398600000000016</v>
      </c>
      <c r="L25" s="179">
        <f t="shared" si="3"/>
        <v>1535.43</v>
      </c>
      <c r="M25" s="141">
        <f t="shared" si="3"/>
        <v>18351.0314</v>
      </c>
      <c r="N25" s="142">
        <f>SUM(N16:N24)</f>
        <v>4121.5865279999998</v>
      </c>
      <c r="O25" s="143">
        <f>SUM(O16:O24)</f>
        <v>112.36308964</v>
      </c>
      <c r="P25" s="144">
        <f>SUM(P16:P24)</f>
        <v>22584.981017639999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22584.981017640006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19957.859999999997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1535.43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71.398600000000016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18351.031399999996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4121.5865279999998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22472.617927999996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561.81544819999988</v>
      </c>
    </row>
    <row r="39" spans="2:16" ht="15.75" customHeight="1" thickBot="1" x14ac:dyDescent="0.4">
      <c r="N39" s="203" t="s">
        <v>92</v>
      </c>
      <c r="O39" s="204"/>
      <c r="P39" s="160">
        <f>P37+P38</f>
        <v>23034.433376199995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8" workbookViewId="0">
      <selection activeCell="I12" sqref="I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FD37"/>
  <sheetViews>
    <sheetView workbookViewId="0">
      <selection activeCell="H3" sqref="H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N1" s="69" t="s">
        <v>117</v>
      </c>
    </row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3420105674559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253.65887999999998</v>
      </c>
      <c r="O19" s="119">
        <f t="shared" si="6"/>
        <v>7.9511744000000002</v>
      </c>
      <c r="P19" s="120">
        <f t="shared" si="1"/>
        <v>1598.1860543999999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253.65887999999998</v>
      </c>
      <c r="O20" s="119">
        <f t="shared" si="6"/>
        <v>7.9511744000000002</v>
      </c>
      <c r="P20" s="120">
        <f t="shared" si="1"/>
        <v>1598.1860543999999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507.31775999999996</v>
      </c>
      <c r="O25" s="143">
        <f>SUM(O16:O24)</f>
        <v>15.9023488</v>
      </c>
      <c r="P25" s="144">
        <f>SUM(P16:P24)</f>
        <v>3196.3721087999998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507.31775999999996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3180.46976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15.9023488</v>
      </c>
    </row>
    <row r="35" spans="2:16" ht="15.75" customHeight="1" thickBot="1" x14ac:dyDescent="0.4">
      <c r="N35" s="203" t="s">
        <v>92</v>
      </c>
      <c r="O35" s="204"/>
      <c r="P35" s="160">
        <f>P33+P34</f>
        <v>3196.3721087999998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7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114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2161460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167.88</v>
      </c>
      <c r="M18" s="118">
        <f t="shared" si="5"/>
        <v>1930.62</v>
      </c>
      <c r="N18" s="118">
        <f t="shared" si="0"/>
        <v>447.81990000000002</v>
      </c>
      <c r="O18" s="119">
        <f t="shared" si="6"/>
        <v>11.8921995</v>
      </c>
      <c r="P18" s="120">
        <f t="shared" si="1"/>
        <v>2390.3320994999999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8.2330176000000002</v>
      </c>
      <c r="P20" s="120">
        <f t="shared" si="1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200</v>
      </c>
      <c r="I25" s="137">
        <f t="shared" si="9"/>
        <v>11577.400000000001</v>
      </c>
      <c r="J25" s="138"/>
      <c r="K25" s="139">
        <f t="shared" si="9"/>
        <v>54.922000000000011</v>
      </c>
      <c r="L25" s="140">
        <f t="shared" si="9"/>
        <v>879.11599999999999</v>
      </c>
      <c r="M25" s="141">
        <f t="shared" si="9"/>
        <v>10643.362000000001</v>
      </c>
      <c r="N25" s="142">
        <f>SUM(N16:N24)</f>
        <v>2451.6298400000005</v>
      </c>
      <c r="O25" s="143">
        <f>SUM(O16:O24)</f>
        <v>65.474959200000001</v>
      </c>
      <c r="P25" s="144">
        <f>SUM(P16:P24)</f>
        <v>13160.4667992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11577.400000000001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879.11599999999999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10643.362000000001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2451.6298400000005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13094.991840000002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65.474959200000015</v>
      </c>
    </row>
    <row r="35" spans="2:16" ht="15.75" customHeight="1" thickBot="1" x14ac:dyDescent="0.4">
      <c r="N35" s="203" t="s">
        <v>92</v>
      </c>
      <c r="O35" s="204"/>
      <c r="P35" s="160">
        <f>P33+P34</f>
        <v>13160.466799200003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223.90995000000001</v>
      </c>
      <c r="O18" s="119">
        <f t="shared" si="6"/>
        <v>5.9460997500000001</v>
      </c>
      <c r="P18" s="120">
        <f t="shared" si="1"/>
        <v>1195.16604975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8.2330176000000002</v>
      </c>
      <c r="P20" s="120">
        <f t="shared" si="1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2.6275469400000002</v>
      </c>
      <c r="P22" s="120">
        <f t="shared" si="1"/>
        <v>528.13693494000006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92</v>
      </c>
      <c r="I25" s="137">
        <f t="shared" si="9"/>
        <v>5474.8600000000006</v>
      </c>
      <c r="J25" s="138"/>
      <c r="K25" s="139">
        <f t="shared" si="9"/>
        <v>16.476600000000005</v>
      </c>
      <c r="L25" s="140">
        <f t="shared" si="9"/>
        <v>423.86599999999999</v>
      </c>
      <c r="M25" s="141">
        <f t="shared" si="9"/>
        <v>5034.5173999999997</v>
      </c>
      <c r="N25" s="142">
        <f>SUM(N16:N24)</f>
        <v>1162.6389280000001</v>
      </c>
      <c r="O25" s="143">
        <f>SUM(O16:O24)</f>
        <v>30.985781639999999</v>
      </c>
      <c r="P25" s="144">
        <f>SUM(P16:P24)</f>
        <v>6228.1421096399999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5474.8600000000006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423.86599999999999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5034.5174000000006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1162.6389280000001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6197.1563280000009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30.985781640000006</v>
      </c>
    </row>
    <row r="35" spans="2:16" ht="15.75" customHeight="1" thickBot="1" x14ac:dyDescent="0.4">
      <c r="N35" s="203" t="s">
        <v>92</v>
      </c>
      <c r="O35" s="204"/>
      <c r="P35" s="160">
        <f>P33+P34</f>
        <v>6228.1421096400009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2026-06-16T10:05:33Z</dcterms:modified>
</cp:coreProperties>
</file>