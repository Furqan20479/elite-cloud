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4F6C561-58E3-4C7E-BA5D-47DF96152DF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C11" i="35" s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L17" i="35"/>
  <c r="M17" i="35" s="1"/>
  <c r="K18" i="35"/>
  <c r="L18" i="35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1" i="35" l="1"/>
  <c r="N21" i="35" s="1"/>
  <c r="O21" i="35" s="1"/>
  <c r="M18" i="35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P19" i="18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<sst xmlns="http://schemas.openxmlformats.org/spreadsheetml/2006/main" count="1582" uniqueCount="115">
  <si>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</si>
  <si>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</si>
  <si>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</si>
  <si>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</si>
  <si>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</si>
  <si>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</si>
  <si>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</si>
  <si>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</si>
  <si>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</si>
  <si>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</si>
  <si>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</si>
  <si>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</si>
  <si>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</si>
  <si>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</si>
  <si>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</si>
  <si>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</si>
  <si>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</si>
  <si>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</si>
  <si>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</si>
  <si>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</si>
  <si>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</si>
  <si>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</si>
  <si>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</si>
  <si>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</si>
  <si>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</si>
  <si>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</si>
  <si>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</si>
  <si>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</si>
  <si>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</si>
  <si>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</si>
  <si>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</si>
  <si>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</si>
  <si>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</si>
  <si>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</si>
  <si>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</si>
  <si>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</si>
  <si>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</si>
  <si>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</si>
  <si>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</si>
  <si>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</si>
  <si>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</si>
  <si>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</si>
  <si>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</si>
  <si>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</si>
  <si>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</si>
  <si>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</si>
  <si>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</si>
  <si>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</si>
  <si>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</si>
  <si>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</si>
  <si>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</si>
  <si>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</si>
  <si>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</si>
  <si>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</si>
  <si>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</si>
  <si>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</si>
  <si>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</si>
  <si>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</si>
  <si>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</si>
  <si>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</si>
  <si>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</si>
  <si>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</si>
  <si>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</si>
  <si>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</si>
  <si>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</si>
  <si>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</si>
  <si>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</si>
  <si>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</si>
  <si>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</si>
  <si>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</si>
  <si>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</si>
  <si>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</si>
  <si>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</si>
  <si>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</si>
  <si>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</si>
  <si>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</si>
  <si>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</si>
  <si>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</si>
  <si>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</si>
  <si>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</si>
  <si>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</si>
  <si>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</si>
  <si>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</si>
  <si>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</si>
  <si>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</si>
  <si>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</si>
  <si>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</si>
  <si>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</si>
  <si>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</si>
  <si>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</si>
  <si>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</si>
  <si>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</si>
  <si>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</si>
  <si>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</si>
  <si>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</si>
  <si>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</si>
  <si>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</si>
  <si>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</si>
  <si>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</si>
  <si>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</si>
  <si>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</si>
  <si>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</si>
  <si>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</si>
  <si>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</si>
  <si>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Customer Name : Bread &amp; Butter</t>
  </si>
  <si>
    <t>8979221-2</t>
  </si>
  <si>
    <t>Address: Rifal Range Road</t>
  </si>
  <si>
    <t xml:space="preserve">Customer Name : Bread &amp; Butter </t>
  </si>
  <si>
    <t xml:space="preserve">Customer Name : Ahmad Pharmacy &amp; Mart </t>
  </si>
  <si>
    <t>2841352-7</t>
  </si>
  <si>
    <t xml:space="preserve">Customer Name : Imtiaz Mart </t>
  </si>
  <si>
    <t xml:space="preserve">Customer Name : Honey Bakers </t>
  </si>
  <si>
    <t>Shop Bill Summary (Salman)</t>
  </si>
  <si>
    <t xml:space="preserve">Salman </t>
  </si>
  <si>
    <t>7925707-1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</si>
</sst>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113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112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Bread &amp; Butter </v>
      </c>
      <c r="U14" s="164">
        <f>+'1'!P35</f>
        <v>5700.0051746999989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Ahmad Pharmacy &amp; Mart </v>
      </c>
      <c r="U15" s="164">
        <f>+'2'!P35</f>
        <v>1760.4564498000002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95</v>
      </c>
      <c r="I16" s="1">
        <f>(G16*D16)*F16+H16*F16</f>
        <v>4983.9375</v>
      </c>
      <c r="J16" s="172">
        <f>+'1'!J16+'2'!J16+'4'!J16+'3'!J16+'5'!J16+'6'!J16+'7'!J16+'8'!J16+'9'!J16+'10'!J16+'11'!J16+'12'!J16+'13'!J16+'14'!J16+'15'!J16+'16'!J16+'17'!J16+'18'!J16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482.65500000000003</v>
      </c>
      <c r="M16" s="106">
        <f>I16-K16-L16</f>
        <v>4501.2825000000003</v>
      </c>
      <c r="N16" s="101">
        <f>+'1'!N16+'2'!N16+'4'!N16+'3'!N16+'5'!N16+'6'!N16+'7'!N16+'8'!N16+'9'!N16+'10'!N16</f>
        <v>1047.9909000000002</v>
      </c>
      <c r="O16" s="101">
        <f>+'1'!O16+'2'!O16+'4'!O16+'3'!O16+'5'!O16+'6'!O16+'7'!O16+'8'!O16+'9'!O16+'10'!O16</f>
        <v>27.746366999999999</v>
      </c>
      <c r="P16" s="105">
        <f t="shared" ref="P16:P24" si="0">M16+N16+O16</f>
        <v>5577.0197669999998</v>
      </c>
      <c r="Q16" s="108"/>
      <c r="T16" s="163" t="str">
        <f>+'4'!A5</f>
        <v xml:space="preserve">Customer Name : Honey Bakers </v>
      </c>
      <c r="U16" s="164">
        <f>+'4'!P35</f>
        <v>44618.357075999993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671.5200000000001</v>
      </c>
      <c r="M17" s="118">
        <f t="shared" ref="M17:M23" si="2">I17-K17-L17</f>
        <v>6148.6049999999996</v>
      </c>
      <c r="N17" s="101">
        <f>+'1'!N17+'2'!N17+'4'!N17+'3'!N17+'5'!N17+'6'!N17+'7'!N17+'8'!N17+'9'!N17+'10'!N17</f>
        <v>1433.4853500000002</v>
      </c>
      <c r="O17" s="101">
        <f>+'1'!O17+'2'!O17+'4'!O17+'3'!O17+'5'!O17+'6'!O17+'7'!O17+'8'!O17+'9'!O17+'10'!O17</f>
        <v>37.91045175</v>
      </c>
      <c r="P17" s="120">
        <f t="shared" si="0"/>
        <v>7620.0008017499995</v>
      </c>
      <c r="S17" s="64"/>
      <c r="T17" s="163" t="str">
        <f>+'3'!A5</f>
        <v xml:space="preserve">Customer Name : Imtiaz Mart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135</v>
      </c>
      <c r="I18" s="1">
        <f t="shared" si="1"/>
        <v>7082.4375</v>
      </c>
      <c r="J18" s="172">
        <f>+'1'!J18+'2'!J18+'4'!J18+'3'!J18+'5'!J18+'6'!J18+'7'!J18+'8'!J18+'9'!J18+'10'!J18+'11'!J18+'12'!J18+'13'!J18+'14'!J18+'15'!J18+'16'!J18+'17'!J18+'18'!J18</f>
        <v>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692.50500000000011</v>
      </c>
      <c r="M18" s="118">
        <f t="shared" si="2"/>
        <v>6389.9324999999999</v>
      </c>
      <c r="N18" s="101">
        <f>+'1'!N18+'2'!N18+'4'!N18+'3'!N18+'5'!N18+'6'!N18+'7'!N18+'8'!N18+'9'!N18+'10'!N18</f>
        <v>1475.03565</v>
      </c>
      <c r="O18" s="101">
        <f>+'1'!O18+'2'!O18+'4'!O18+'3'!O18+'5'!O18+'6'!O18+'7'!O18+'8'!O18+'9'!O18+'10'!O18</f>
        <v>39.32484075</v>
      </c>
      <c r="P18" s="120">
        <f t="shared" si="0"/>
        <v>7904.2929907499993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150</v>
      </c>
      <c r="I19" s="1">
        <f t="shared" si="1"/>
        <v>10896</v>
      </c>
      <c r="J19" s="172">
        <f>+'1'!J19+'2'!J19+'4'!J19+'3'!J19+'5'!J19+'6'!J19+'7'!J19+'8'!J19+'9'!J19+'10'!J19+'11'!J19+'12'!J19+'13'!J19+'14'!J19+'15'!J19+'16'!J19+'17'!J19+'18'!J19</f>
        <v>8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1046.0159999999998</v>
      </c>
      <c r="M19" s="118">
        <f t="shared" si="2"/>
        <v>9849.9840000000004</v>
      </c>
      <c r="N19" s="101">
        <f>+'1'!N19+'2'!N19+'4'!N19+'3'!N19+'5'!N19+'6'!N19+'7'!N19+'8'!N19+'9'!N19+'10'!N19</f>
        <v>2294.8428799999997</v>
      </c>
      <c r="O19" s="101">
        <f>+'1'!O19+'2'!O19+'4'!O19+'3'!O19+'5'!O19+'6'!O19+'7'!O19+'8'!O19+'9'!O19+'10'!O19</f>
        <v>60.724134399999997</v>
      </c>
      <c r="P19" s="120">
        <f t="shared" si="0"/>
        <v>12205.5510144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145</v>
      </c>
      <c r="I20" s="1">
        <f t="shared" si="1"/>
        <v>10532.8</v>
      </c>
      <c r="J20" s="172">
        <f>+'1'!J20+'2'!J20+'4'!J20+'3'!J20+'5'!J20+'6'!J20+'7'!J20+'8'!J20+'9'!J20+'10'!J20+'11'!J20+'12'!J20+'13'!J20+'14'!J20+'15'!J20+'16'!J20+'17'!J20+'18'!J20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1016.9599999999999</v>
      </c>
      <c r="M20" s="118">
        <f t="shared" si="2"/>
        <v>9515.84</v>
      </c>
      <c r="N20" s="101">
        <f>+'1'!N20+'2'!N20+'4'!N20+'3'!N20+'5'!N20+'6'!N20+'7'!N20+'8'!N20+'9'!N20+'10'!N20</f>
        <v>2221.3311999999996</v>
      </c>
      <c r="O20" s="101">
        <f>+'1'!O20+'2'!O20+'4'!O20+'3'!O20+'5'!O20+'6'!O20+'7'!O20+'8'!O20+'9'!O20+'10'!O20</f>
        <v>58.685855999999994</v>
      </c>
      <c r="P20" s="120">
        <f t="shared" si="0"/>
        <v>11795.857056000001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105</v>
      </c>
      <c r="I21" s="1">
        <f t="shared" si="1"/>
        <v>7627.2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726.4</v>
      </c>
      <c r="M21" s="118">
        <f t="shared" si="2"/>
        <v>6900.8</v>
      </c>
      <c r="N21" s="101">
        <f>+'1'!N21+'2'!N21+'4'!N21+'3'!N21+'5'!N21+'6'!N21+'7'!N21+'8'!N21+'9'!N21+'10'!N21</f>
        <v>1582.0991999999999</v>
      </c>
      <c r="O21" s="101">
        <f>+'1'!O21+'2'!O21+'4'!O21+'3'!O21+'5'!O21+'6'!O21+'7'!O21+'8'!O21+'9'!O21+'10'!O21</f>
        <v>42.414496</v>
      </c>
      <c r="P21" s="120">
        <f t="shared" si="0"/>
        <v>8525.3136959999993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8.7584898000000013</v>
      </c>
      <c r="P22" s="120">
        <f t="shared" si="0"/>
        <v>1760.4564498000002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20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800</v>
      </c>
      <c r="I25" s="178">
        <f t="shared" si="3"/>
        <v>49511.7</v>
      </c>
      <c r="J25" s="177">
        <f t="shared" si="3"/>
        <v>38</v>
      </c>
      <c r="K25" s="178">
        <f t="shared" si="3"/>
        <v>54.922000000000011</v>
      </c>
      <c r="L25" s="179">
        <f t="shared" si="3"/>
        <v>4714.5159999999996</v>
      </c>
      <c r="M25" s="141">
        <f t="shared" si="3"/>
        <v>44742.262000000002</v>
      </c>
      <c r="N25" s="142">
        <f>SUM(N16:N24)</f>
        <v>10370.665139999999</v>
      </c>
      <c r="O25" s="143">
        <f>SUM(O16:O24)</f>
        <v>275.5646357</v>
      </c>
      <c r="P25" s="144">
        <f>SUM(P16:P24)</f>
        <v>55388.4917757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55388.491775699993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49511.7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4714.5159999999996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54.922000000000011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44742.261999999995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10370.665139999999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55112.927139999993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1377.8231784999998</v>
      </c>
    </row>
    <row r="39" spans="2:16" ht="15.75" customHeight="1" thickBot="1" x14ac:dyDescent="0.4">
      <c r="N39" s="204" t="s">
        <v>92</v>
      </c>
      <c r="O39" s="205"/>
      <c r="P39" s="160">
        <f>P37+P38</f>
        <v>56490.750318499995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6" workbookViewId="0">
      <selection activeCell="F12" sqref="F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 t="shared" ref="O16:O24" si="1">(N16+M16)*$O$15</f>
        <v>4.4740019999999996</v>
      </c>
      <c r="P16" s="105">
        <f t="shared" ref="P16:P24" si="2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1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117.72585000000001</v>
      </c>
      <c r="O17" s="119">
        <f t="shared" si="1"/>
        <v>3.0019042499999999</v>
      </c>
      <c r="P17" s="120">
        <f t="shared" si="2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3"/>
        <v>786.9375</v>
      </c>
      <c r="J18" s="117"/>
      <c r="K18" s="1">
        <f t="shared" si="4"/>
        <v>0</v>
      </c>
      <c r="L18" s="105">
        <f t="shared" si="5"/>
        <v>62.954999999999998</v>
      </c>
      <c r="M18" s="118">
        <f t="shared" si="6"/>
        <v>723.98249999999996</v>
      </c>
      <c r="N18" s="118">
        <f t="shared" si="0"/>
        <v>159.27615</v>
      </c>
      <c r="O18" s="119">
        <f t="shared" si="1"/>
        <v>4.4162932499999998</v>
      </c>
      <c r="P18" s="120">
        <f t="shared" si="2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236.51583999999997</v>
      </c>
      <c r="O19" s="119">
        <f t="shared" si="1"/>
        <v>6.194739199999999</v>
      </c>
      <c r="P19" s="120">
        <f t="shared" si="2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>
        <v>1</v>
      </c>
      <c r="K20" s="1">
        <f t="shared" si="4"/>
        <v>0</v>
      </c>
      <c r="L20" s="105">
        <f t="shared" si="5"/>
        <v>87.167999999999992</v>
      </c>
      <c r="M20" s="118">
        <f t="shared" si="6"/>
        <v>1002.4319999999999</v>
      </c>
      <c r="N20" s="118">
        <f t="shared" si="0"/>
        <v>236.51583999999997</v>
      </c>
      <c r="O20" s="119">
        <f t="shared" si="1"/>
        <v>6.194739199999999</v>
      </c>
      <c r="P20" s="120">
        <f t="shared" si="2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">
        <f t="shared" si="4"/>
        <v>0</v>
      </c>
      <c r="L21" s="105">
        <f t="shared" si="5"/>
        <v>58.112000000000002</v>
      </c>
      <c r="M21" s="118">
        <f t="shared" si="6"/>
        <v>668.28800000000001</v>
      </c>
      <c r="N21" s="118">
        <f t="shared" si="0"/>
        <v>147.02336</v>
      </c>
      <c r="O21" s="119">
        <f t="shared" si="1"/>
        <v>4.0765568000000005</v>
      </c>
      <c r="P21" s="120">
        <f t="shared" si="2"/>
        <v>819.38791680000008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5004.0999999999995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400.32800000000003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4603.771999999999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5671.6469399999987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28.358234699999993</v>
      </c>
    </row>
    <row r="35" spans="2:16" ht="15.75" customHeight="1" thickBot="1" x14ac:dyDescent="0.4">
      <c r="N35" s="204" t="s">
        <v>92</v>
      </c>
      <c r="O35" s="205"/>
      <c r="P35" s="160">
        <f>P33+P34</f>
        <v>5700.0051746999989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109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1569.2000000000003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78.460000000000022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54.922000000000011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1435.8180000000002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1751.6979600000002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4" t="s">
        <v>92</v>
      </c>
      <c r="O35" s="205"/>
      <c r="P35" s="160">
        <f>P33+P34</f>
        <v>1760.4564498000002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4" sqref="I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355010584820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2905.6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232.44799999999998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2673.152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3293.2070400000002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4" t="s">
        <v>92</v>
      </c>
      <c r="O35" s="205"/>
      <c r="P35" s="160">
        <f>P33+P34</f>
        <v>3309.6730752000003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I16*10%</f>
        <v>419.70000000000005</v>
      </c>
      <c r="M16" s="106">
        <f>I16-K16-L16</f>
        <v>3777.3</v>
      </c>
      <c r="N16" s="106">
        <f t="shared" ref="N16:N24" si="0">(M16*$N$15)+(J16*F16)*$N$15</f>
        <v>877.17300000000012</v>
      </c>
      <c r="O16" s="107">
        <f>(N16+M16)*$O$15</f>
        <v>23.272365000000001</v>
      </c>
      <c r="P16" s="105">
        <f t="shared" ref="P16:P24" si="1">M16+N16+O16</f>
        <v>4677.7453649999998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I17*10%</f>
        <v>629.55000000000007</v>
      </c>
      <c r="M17" s="118">
        <f t="shared" ref="M17:M23" si="5">I17-K17-L17</f>
        <v>5665.95</v>
      </c>
      <c r="N17" s="118">
        <f t="shared" si="0"/>
        <v>1315.7595000000001</v>
      </c>
      <c r="O17" s="119">
        <f t="shared" ref="O17:O24" si="6">(N17+M17)*$O$15</f>
        <v>34.908547499999997</v>
      </c>
      <c r="P17" s="120">
        <f t="shared" si="1"/>
        <v>7016.6180475000001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629.55000000000007</v>
      </c>
      <c r="M18" s="118">
        <f t="shared" si="5"/>
        <v>5665.95</v>
      </c>
      <c r="N18" s="118">
        <f t="shared" si="0"/>
        <v>1315.7595000000001</v>
      </c>
      <c r="O18" s="119">
        <f t="shared" si="6"/>
        <v>34.908547499999997</v>
      </c>
      <c r="P18" s="120">
        <f t="shared" si="1"/>
        <v>7016.6180475000001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871.68</v>
      </c>
      <c r="M19" s="118">
        <f t="shared" si="5"/>
        <v>7845.119999999999</v>
      </c>
      <c r="N19" s="118">
        <f t="shared" si="0"/>
        <v>1821.8111999999999</v>
      </c>
      <c r="O19" s="119">
        <f t="shared" si="6"/>
        <v>48.334655999999995</v>
      </c>
      <c r="P19" s="120">
        <f t="shared" si="1"/>
        <v>9715.2658559999982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871.68</v>
      </c>
      <c r="M20" s="118">
        <f t="shared" si="5"/>
        <v>7845.119999999999</v>
      </c>
      <c r="N20" s="118">
        <f t="shared" si="0"/>
        <v>1821.8111999999999</v>
      </c>
      <c r="O20" s="119">
        <f t="shared" si="6"/>
        <v>48.334655999999995</v>
      </c>
      <c r="P20" s="120">
        <f t="shared" si="1"/>
        <v>9715.2658559999982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581.12</v>
      </c>
      <c r="M21" s="118">
        <f t="shared" si="5"/>
        <v>5230.08</v>
      </c>
      <c r="N21" s="118">
        <f t="shared" si="0"/>
        <v>1214.5408</v>
      </c>
      <c r="O21" s="119">
        <f t="shared" si="6"/>
        <v>32.223103999999999</v>
      </c>
      <c r="P21" s="120">
        <f t="shared" si="1"/>
        <v>6476.8439039999994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640</v>
      </c>
      <c r="I25" s="137">
        <f t="shared" si="9"/>
        <v>40032.799999999996</v>
      </c>
      <c r="J25" s="138"/>
      <c r="K25" s="139">
        <f t="shared" si="9"/>
        <v>0</v>
      </c>
      <c r="L25" s="140">
        <f t="shared" si="9"/>
        <v>4003.2799999999997</v>
      </c>
      <c r="M25" s="141">
        <f t="shared" si="9"/>
        <v>36029.519999999997</v>
      </c>
      <c r="N25" s="142">
        <f>SUM(N16:N24)</f>
        <v>8366.8552</v>
      </c>
      <c r="O25" s="143">
        <f>SUM(O16:O24)</f>
        <v>221.981876</v>
      </c>
      <c r="P25" s="144">
        <f>SUM(P16:P24)</f>
        <v>44618.357075999993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40032.799999999996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4003.2799999999997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36029.519999999997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8366.8552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44396.375199999995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221.98187599999997</v>
      </c>
    </row>
    <row r="35" spans="2:16" ht="15.75" customHeight="1" thickBot="1" x14ac:dyDescent="0.4">
      <c r="N35" s="204" t="s">
        <v>92</v>
      </c>
      <c r="O35" s="205"/>
      <c r="P35" s="160">
        <f>P33+P34</f>
        <v>44618.357075999993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17" sqref="J17: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2026-06-20T04:51:51Z</dcterms:modified>
</cp:coreProperties>
</file>