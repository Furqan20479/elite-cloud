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CA3AECF-129B-4956-AF71-E8EDAB37E10A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23" l="1"/>
  <c r="L18" i="23"/>
  <c r="L19" i="23"/>
  <c r="L20" i="23"/>
  <c r="L21" i="23"/>
  <c r="L16" i="23"/>
  <c r="L16" i="19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K18" i="19"/>
  <c r="K24" i="19"/>
  <c r="L24" i="19"/>
  <c r="K22" i="19"/>
  <c r="L22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4" l="1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M16" i="24" s="1"/>
  <c r="N16" i="24" s="1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M16" i="22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24" l="1"/>
  <c r="P30" i="24" s="1"/>
  <c r="L21" i="15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5"/>
  <c r="M25" i="20"/>
  <c r="M18" i="15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N25" i="18" l="1"/>
  <c r="P32" i="18" s="1"/>
  <c r="P33" i="18" s="1"/>
  <c r="N18" i="15"/>
  <c r="P18" i="15" s="1"/>
  <c r="O16" i="18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<sst xmlns="http://schemas.openxmlformats.org/spreadsheetml/2006/main" count="1580" uniqueCount="126">
  <si>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</si>
  <si>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</si>
  <si>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</si>
  <si>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</si>
  <si>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</si>
  <si>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</si>
  <si>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</si>
  <si>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</si>
  <si>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</si>
  <si>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</si>
  <si>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</si>
  <si>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</si>
  <si>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</si>
  <si>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</si>
  <si>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</si>
  <si>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</si>
  <si>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</si>
  <si>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</si>
  <si>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</si>
  <si>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</si>
  <si>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</si>
  <si>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</si>
  <si>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</si>
  <si>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</si>
  <si>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</si>
  <si>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</si>
  <si>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</si>
  <si>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</si>
  <si>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</si>
  <si>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</si>
  <si>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</si>
  <si>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</si>
  <si>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</si>
  <si>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</si>
  <si>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</si>
  <si>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</si>
  <si>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</si>
  <si>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</si>
  <si>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</si>
  <si>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</si>
  <si>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</si>
  <si>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</si>
  <si>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</si>
  <si>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</si>
  <si>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</si>
  <si>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</si>
  <si>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</si>
  <si>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</si>
  <si>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</si>
  <si>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</si>
  <si>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</si>
  <si>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</si>
  <si>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</si>
  <si>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</si>
  <si>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</si>
  <si>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</si>
  <si>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</si>
  <si>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</si>
  <si>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</si>
  <si>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</si>
  <si>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</si>
  <si>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</si>
  <si>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</si>
  <si>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</si>
  <si>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</si>
  <si>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</si>
  <si>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</si>
  <si>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</si>
  <si>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</si>
  <si>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</si>
  <si>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</si>
  <si>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</si>
  <si>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</si>
  <si>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</si>
  <si>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</si>
  <si>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</si>
  <si>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</si>
  <si>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</si>
  <si>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</si>
  <si>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</si>
  <si>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</si>
  <si>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</si>
  <si>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</si>
  <si>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</si>
  <si>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</si>
  <si>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</si>
  <si>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</si>
  <si>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</si>
  <si>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</si>
  <si>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</si>
  <si>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</si>
  <si>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</si>
  <si>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</si>
  <si>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</si>
  <si>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</si>
  <si>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</si>
  <si>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</si>
  <si>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</si>
  <si>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</si>
  <si>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</si>
  <si>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</si>
  <si>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</si>
  <si>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</si>
  <si>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</si>
  <si>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(Mubeen)</t>
  </si>
  <si>
    <t>Mubeen</t>
  </si>
  <si>
    <t>Customer Name : Progresive Mart</t>
  </si>
  <si>
    <t>Address: Phase 6</t>
  </si>
  <si>
    <t>Customer Name : Premier Mart</t>
  </si>
  <si>
    <t>Address: phase 6</t>
  </si>
  <si>
    <t>D470937</t>
  </si>
  <si>
    <t>Customer Name : Imran Store</t>
  </si>
  <si>
    <t>Address: Dharampura</t>
  </si>
  <si>
    <t>Customer Name : Bravo Store</t>
  </si>
  <si>
    <t xml:space="preserve">Customer Name : Urban Mart </t>
  </si>
  <si>
    <t>D371198</t>
  </si>
  <si>
    <t>Customer Name : Al Ghani milk &amp; Store</t>
  </si>
  <si>
    <t xml:space="preserve">Customer Name : Al Zeeshan super Market </t>
  </si>
  <si>
    <t>Address: Phase 8 Eden</t>
  </si>
  <si>
    <t>F617325-6</t>
  </si>
  <si>
    <t>Customer Name : Al noor Store</t>
  </si>
  <si>
    <t>Address: Phase 8</t>
  </si>
  <si>
    <t>Customer Name : Binb Asghar Mart</t>
  </si>
  <si>
    <t>Address: Phasae 8</t>
  </si>
  <si>
    <t>Customer Name : Raheem Mart</t>
  </si>
  <si>
    <t>Address: Sajpal Pind Phase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</si>
</sst>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3" zoomScale="70" zoomScaleNormal="70" workbookViewId="0">
      <selection activeCell="T23" sqref="T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105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104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Progresive Mart</v>
      </c>
      <c r="U14" s="164">
        <f>+'1'!P35</f>
        <v>3196.3721087999998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2"/>
      <c r="J15" s="171" t="s">
        <v>78</v>
      </c>
      <c r="K15" s="171" t="s">
        <v>79</v>
      </c>
      <c r="L15" s="174" t="s">
        <v>80</v>
      </c>
      <c r="M15" s="21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Premier Mart</v>
      </c>
      <c r="U15" s="164">
        <f>+'2'!P35</f>
        <v>5700.0051747000007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46</v>
      </c>
      <c r="I16" s="1">
        <f>(G16*D16)*F16+H16*F16</f>
        <v>2413.2750000000001</v>
      </c>
      <c r="J16" s="172">
        <f>+'1'!J16+'2'!J16+'4'!J16+'3'!J16+'5'!J16+'6'!J16+'7'!J16+'8'!J16+'9'!J16+'10'!J16+'11'!J16+'12'!J16+'13'!J16+'14'!J16+'15'!J16+'16'!J16+'17'!J16+'18'!J16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193.06199999999998</v>
      </c>
      <c r="M16" s="106">
        <f>I16-K16-L16</f>
        <v>2220.2130000000002</v>
      </c>
      <c r="N16" s="101">
        <f>+'1'!N16+'2'!N16+'4'!N16+'3'!N16+'5'!N16+'6'!N16+'7'!N16+'8'!N16+'9'!N16+'10'!N16</f>
        <v>430.10856000000001</v>
      </c>
      <c r="O16" s="101">
        <f>+'1'!O16+'2'!O16+'4'!O16+'3'!O16+'5'!O16+'6'!O16+'7'!O16+'8'!O16+'9'!O16+'10'!O16</f>
        <v>13.251607799999999</v>
      </c>
      <c r="P16" s="105">
        <f t="shared" ref="P16:P24" si="0">M16+N16+O16</f>
        <v>2663.5731678000002</v>
      </c>
      <c r="Q16" s="108"/>
      <c r="T16" s="163" t="str">
        <f>+'4'!A5</f>
        <v>Customer Name : Bravo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86</v>
      </c>
      <c r="I17" s="1">
        <f t="shared" ref="I17:I23" si="1">(G17*D17)*F17+H17*F17</f>
        <v>4511.7749999999996</v>
      </c>
      <c r="J17" s="172">
        <f>+'1'!J17+'2'!J17+'4'!J17+'3'!J17+'5'!J17+'6'!J17+'7'!J17+'8'!J17+'9'!J17+'10'!J17+'11'!J17+'12'!J17+'13'!J17+'14'!J17+'15'!J17+'16'!J17+'17'!J17+'18'!J17</f>
        <v>4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360.94200000000001</v>
      </c>
      <c r="M17" s="118">
        <f t="shared" ref="M17:M23" si="2">I17-K17-L17</f>
        <v>4150.8329999999996</v>
      </c>
      <c r="N17" s="101">
        <f>+'1'!N17+'2'!N17+'4'!N17+'3'!N17+'5'!N17+'6'!N17+'7'!N17+'8'!N17+'9'!N17+'10'!N17</f>
        <v>877.92846000000009</v>
      </c>
      <c r="O17" s="101">
        <f>+'1'!O17+'2'!O17+'4'!O17+'3'!O17+'5'!O17+'6'!O17+'7'!O17+'8'!O17+'9'!O17+'10'!O17</f>
        <v>25.143807299999999</v>
      </c>
      <c r="P17" s="120">
        <f t="shared" si="0"/>
        <v>5053.9052672999997</v>
      </c>
      <c r="S17" s="64"/>
      <c r="T17" s="163" t="str">
        <f>+'3'!A5</f>
        <v>Customer Name : Imran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46</v>
      </c>
      <c r="I18" s="1">
        <f t="shared" si="1"/>
        <v>2413.2750000000001</v>
      </c>
      <c r="J18" s="172">
        <f>+'1'!J18+'2'!J18+'4'!J18+'3'!J18+'5'!J18+'6'!J18+'7'!J18+'8'!J18+'9'!J18+'10'!J18+'11'!J18+'12'!J18+'13'!J18+'14'!J18+'15'!J18+'16'!J18+'17'!J18+'18'!J18</f>
        <v>2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193.06199999999998</v>
      </c>
      <c r="M18" s="118">
        <f t="shared" si="2"/>
        <v>2220.2130000000002</v>
      </c>
      <c r="N18" s="101">
        <f>+'1'!N18+'2'!N18+'4'!N18+'3'!N18+'5'!N18+'6'!N18+'7'!N18+'8'!N18+'9'!N18+'10'!N18</f>
        <v>430.10856000000001</v>
      </c>
      <c r="O18" s="101">
        <f>+'1'!O18+'2'!O18+'4'!O18+'3'!O18+'5'!O18+'6'!O18+'7'!O18+'8'!O18+'9'!O18+'10'!O18</f>
        <v>13.251607799999999</v>
      </c>
      <c r="P18" s="120">
        <f t="shared" si="0"/>
        <v>2663.5731678000002</v>
      </c>
      <c r="T18" s="163" t="str">
        <f>+'5'!A5</f>
        <v xml:space="preserve">Customer Name : Urban Mart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116</v>
      </c>
      <c r="I19" s="1">
        <f t="shared" si="1"/>
        <v>8426.24</v>
      </c>
      <c r="J19" s="172">
        <f>+'1'!J19+'2'!J19+'4'!J19+'3'!J19+'5'!J19+'6'!J19+'7'!J19+'8'!J19+'9'!J19+'10'!J19+'11'!J19+'12'!J19+'13'!J19+'14'!J19+'15'!J19+'16'!J19+'17'!J19+'18'!J19</f>
        <v>5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717.68319999999994</v>
      </c>
      <c r="M19" s="118">
        <f t="shared" si="2"/>
        <v>7708.5568000000003</v>
      </c>
      <c r="N19" s="101">
        <f>+'1'!N19+'2'!N19+'4'!N19+'3'!N19+'5'!N19+'6'!N19+'7'!N19+'8'!N19+'9'!N19+'10'!N19</f>
        <v>1620.0463360000001</v>
      </c>
      <c r="O19" s="101">
        <f>+'1'!O19+'2'!O19+'4'!O19+'3'!O19+'5'!O19+'6'!O19+'7'!O19+'8'!O19+'9'!O19+'10'!O19</f>
        <v>70.038906879999999</v>
      </c>
      <c r="P19" s="120">
        <f t="shared" si="0"/>
        <v>9398.6420428799993</v>
      </c>
      <c r="T19" s="163" t="str">
        <f>+'6'!A5</f>
        <v>Customer Name : Al Ghani milk &amp; Store</v>
      </c>
      <c r="U19" s="164">
        <f>+'6'!P35</f>
        <v>3068.2451170800009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66</v>
      </c>
      <c r="I20" s="1">
        <f t="shared" si="1"/>
        <v>4794.24</v>
      </c>
      <c r="J20" s="172">
        <f>+'1'!J20+'2'!J20+'4'!J20+'3'!J20+'5'!J20+'6'!J20+'7'!J20+'8'!J20+'9'!J20+'10'!J20+'11'!J20+'12'!J20+'13'!J20+'14'!J20+'15'!J20+'16'!J20+'17'!J20+'18'!J20</f>
        <v>5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412.59520000000003</v>
      </c>
      <c r="M20" s="118">
        <f t="shared" si="2"/>
        <v>4381.6448</v>
      </c>
      <c r="N20" s="101">
        <f>+'1'!N20+'2'!N20+'4'!N20+'3'!N20+'5'!N20+'6'!N20+'7'!N20+'8'!N20+'9'!N20+'10'!N20</f>
        <v>901.49145599999986</v>
      </c>
      <c r="O20" s="101">
        <f>+'1'!O20+'2'!O20+'4'!O20+'3'!O20+'5'!O20+'6'!O20+'7'!O20+'8'!O20+'9'!O20+'10'!O20</f>
        <v>42.652174079999995</v>
      </c>
      <c r="P20" s="120">
        <f t="shared" si="0"/>
        <v>5325.7884300799997</v>
      </c>
      <c r="T20" s="163" t="str">
        <f>+'7'!A5</f>
        <v xml:space="preserve">Customer Name : Al Zeeshan super Market </v>
      </c>
      <c r="U20" s="164">
        <f>+'7'!P35</f>
        <v>16514.625897900001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76</v>
      </c>
      <c r="I21" s="1">
        <f t="shared" si="1"/>
        <v>5520.64</v>
      </c>
      <c r="J21" s="172">
        <f>+'1'!J21+'2'!J21+'4'!J21+'3'!J21+'5'!J21+'6'!J21+'7'!J21+'8'!J21+'9'!J21+'10'!J21+'11'!J21+'12'!J21+'13'!J21+'14'!J21+'15'!J21+'16'!J21+'17'!J21+'18'!J21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485.23519999999996</v>
      </c>
      <c r="M21" s="118">
        <f t="shared" si="2"/>
        <v>5035.4048000000003</v>
      </c>
      <c r="N21" s="101">
        <f>+'1'!N21+'2'!N21+'4'!N21+'3'!N21+'5'!N21+'6'!N21+'7'!N21+'8'!N21+'9'!N21+'10'!N21</f>
        <v>986.91609599999992</v>
      </c>
      <c r="O21" s="101">
        <f>+'1'!O21+'2'!O21+'4'!O21+'3'!O21+'5'!O21+'6'!O21+'7'!O21+'8'!O21+'9'!O21+'10'!O21</f>
        <v>53.507495680000005</v>
      </c>
      <c r="P21" s="120">
        <f t="shared" si="0"/>
        <v>6075.8283916800001</v>
      </c>
      <c r="T21" s="163" t="str">
        <f>+'8'!A5</f>
        <v>Customer Name : Al noor Store</v>
      </c>
      <c r="U21" s="164">
        <f>+'8'!P35</f>
        <v>3230.1991039999998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12</v>
      </c>
      <c r="I22" s="1">
        <f t="shared" si="1"/>
        <v>470.76000000000005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16.476600000000005</v>
      </c>
      <c r="L22" s="175">
        <f>+'1'!L22+'2'!L22+'4'!L22+'3'!L22+'5'!L22+'6'!L22+'7'!L22+'8'!L22+'9'!L22+'10'!L22</f>
        <v>23.538000000000004</v>
      </c>
      <c r="M22" s="118">
        <f t="shared" si="2"/>
        <v>430.74540000000002</v>
      </c>
      <c r="N22" s="101">
        <f>+'1'!N22+'2'!N22+'4'!N22+'3'!N22+'5'!N22+'6'!N22+'7'!N22+'8'!N22+'9'!N22+'10'!N22</f>
        <v>94.763987999999998</v>
      </c>
      <c r="O22" s="101">
        <f>+'1'!O22+'2'!O22+'4'!O22+'3'!O22+'5'!O22+'6'!O22+'7'!O22+'8'!O22+'9'!O22+'10'!O22</f>
        <v>2.6275469400000002</v>
      </c>
      <c r="P22" s="120">
        <f t="shared" si="0"/>
        <v>528.13693494000006</v>
      </c>
      <c r="T22" s="163" t="str">
        <f>+'9'!A5</f>
        <v>Customer Name : Binb Asghar Mart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Raheem Mart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11.2</v>
      </c>
      <c r="D25" s="222"/>
      <c r="E25" s="222"/>
      <c r="F25" s="222"/>
      <c r="G25" s="176">
        <f t="shared" ref="G25:M25" si="3">SUM(G16:G24)</f>
        <v>0</v>
      </c>
      <c r="H25" s="177">
        <f t="shared" si="3"/>
        <v>448</v>
      </c>
      <c r="I25" s="178">
        <f t="shared" si="3"/>
        <v>28550.204999999998</v>
      </c>
      <c r="J25" s="177">
        <f t="shared" si="3"/>
        <v>20</v>
      </c>
      <c r="K25" s="178">
        <f t="shared" si="3"/>
        <v>16.476600000000005</v>
      </c>
      <c r="L25" s="179">
        <f t="shared" si="3"/>
        <v>2386.1176</v>
      </c>
      <c r="M25" s="141">
        <f t="shared" si="3"/>
        <v>26147.610799999999</v>
      </c>
      <c r="N25" s="142">
        <f>SUM(N16:N24)</f>
        <v>5341.363456</v>
      </c>
      <c r="O25" s="143">
        <f>SUM(O16:O24)</f>
        <v>220.47314648</v>
      </c>
      <c r="P25" s="144">
        <f>SUM(P16:P24)</f>
        <v>31709.447402479997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31709.44740248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9" t="s">
        <v>85</v>
      </c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N32" s="238" t="s">
        <v>86</v>
      </c>
      <c r="O32" s="239"/>
      <c r="P32" s="152">
        <f>I25</f>
        <v>28550.204999999998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N33" s="240" t="s">
        <v>87</v>
      </c>
      <c r="O33" s="241"/>
      <c r="P33" s="153">
        <f>L25</f>
        <v>2386.1176</v>
      </c>
    </row>
    <row r="34" spans="2:16" ht="15" customHeight="1" x14ac:dyDescent="0.35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N34" s="240" t="s">
        <v>4</v>
      </c>
      <c r="O34" s="241"/>
      <c r="P34" s="154">
        <f>K25</f>
        <v>16.476600000000005</v>
      </c>
    </row>
    <row r="35" spans="2:16" ht="15" customHeight="1" x14ac:dyDescent="0.35">
      <c r="B35" s="232"/>
      <c r="C35" s="233"/>
      <c r="D35" s="233"/>
      <c r="E35" s="233"/>
      <c r="F35" s="233"/>
      <c r="G35" s="233"/>
      <c r="H35" s="233"/>
      <c r="I35" s="233"/>
      <c r="J35" s="233"/>
      <c r="K35" s="233"/>
      <c r="L35" s="234"/>
      <c r="M35" s="2"/>
      <c r="N35" s="240" t="s">
        <v>88</v>
      </c>
      <c r="O35" s="241"/>
      <c r="P35" s="153">
        <f>P32-P33-P34</f>
        <v>26147.610799999995</v>
      </c>
    </row>
    <row r="36" spans="2:16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M36" s="2"/>
      <c r="N36" s="155" t="s">
        <v>89</v>
      </c>
      <c r="O36" s="156">
        <f>IF(B12="Registered",18%,22%)</f>
        <v>0.22</v>
      </c>
      <c r="P36" s="153">
        <f>N25</f>
        <v>5341.363456</v>
      </c>
    </row>
    <row r="37" spans="2:16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M37" s="2"/>
      <c r="N37" s="242" t="s">
        <v>90</v>
      </c>
      <c r="O37" s="243"/>
      <c r="P37" s="153">
        <f>P35+P36</f>
        <v>31488.974255999994</v>
      </c>
    </row>
    <row r="38" spans="2:16" ht="15" customHeight="1" thickBot="1" x14ac:dyDescent="0.4">
      <c r="B38" s="235"/>
      <c r="C38" s="236"/>
      <c r="D38" s="236"/>
      <c r="E38" s="236"/>
      <c r="F38" s="236"/>
      <c r="G38" s="236"/>
      <c r="H38" s="236"/>
      <c r="I38" s="236"/>
      <c r="J38" s="236"/>
      <c r="K38" s="236"/>
      <c r="L38" s="237"/>
      <c r="M38" s="157"/>
      <c r="N38" s="158" t="s">
        <v>91</v>
      </c>
      <c r="O38" s="159">
        <f>IF(B11="Filer",0.5%,2.5%)</f>
        <v>2.5000000000000001E-2</v>
      </c>
      <c r="P38" s="153">
        <f>O38*P37</f>
        <v>787.22435639999992</v>
      </c>
    </row>
    <row r="39" spans="2:16" ht="15.75" customHeight="1" thickBot="1" x14ac:dyDescent="0.4">
      <c r="N39" s="220" t="s">
        <v>92</v>
      </c>
      <c r="O39" s="221"/>
      <c r="P39" s="160">
        <f>P37+P38</f>
        <v>32276.198612399992</v>
      </c>
    </row>
    <row r="40" spans="2:16" ht="15" thickBot="1" x14ac:dyDescent="0.4">
      <c r="B40" s="161" t="s">
        <v>93</v>
      </c>
      <c r="C40" s="222"/>
      <c r="D40" s="222"/>
      <c r="E40" s="222"/>
      <c r="F40" s="222"/>
      <c r="G40" s="222"/>
      <c r="H40" s="222"/>
      <c r="I40" s="223"/>
      <c r="J40" s="224"/>
      <c r="K40" s="225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J17" sqref="J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6284286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>
        <v>3277876176176740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>
        <v>1</v>
      </c>
      <c r="K19" s="1">
        <f t="shared" si="4"/>
        <v>0</v>
      </c>
      <c r="L19" s="105">
        <f t="shared" si="5"/>
        <v>87.167999999999992</v>
      </c>
      <c r="M19" s="118">
        <f t="shared" si="6"/>
        <v>1002.4319999999999</v>
      </c>
      <c r="N19" s="118">
        <f t="shared" si="0"/>
        <v>193.51295999999996</v>
      </c>
      <c r="O19" s="119">
        <f t="shared" si="1"/>
        <v>5.9797247999999996</v>
      </c>
      <c r="P19" s="120">
        <f t="shared" si="2"/>
        <v>1201.9246847999998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>
        <v>1</v>
      </c>
      <c r="K20" s="1">
        <f t="shared" si="4"/>
        <v>0</v>
      </c>
      <c r="L20" s="105">
        <f t="shared" si="5"/>
        <v>58.112000000000002</v>
      </c>
      <c r="M20" s="118">
        <f t="shared" si="6"/>
        <v>668.28800000000001</v>
      </c>
      <c r="N20" s="118">
        <f t="shared" si="0"/>
        <v>133.36704</v>
      </c>
      <c r="O20" s="119">
        <f t="shared" si="1"/>
        <v>4.0082751999999999</v>
      </c>
      <c r="P20" s="120">
        <f t="shared" si="2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/>
      <c r="K21" s="1">
        <f t="shared" si="4"/>
        <v>0</v>
      </c>
      <c r="L21" s="105">
        <f t="shared" si="5"/>
        <v>87.167999999999992</v>
      </c>
      <c r="M21" s="118">
        <f t="shared" si="6"/>
        <v>1002.4319999999999</v>
      </c>
      <c r="N21" s="118">
        <f t="shared" si="0"/>
        <v>180.43775999999997</v>
      </c>
      <c r="O21" s="119">
        <f t="shared" si="1"/>
        <v>5.9143487999999991</v>
      </c>
      <c r="P21" s="120">
        <f t="shared" si="2"/>
        <v>1188.7841087999998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507.31775999999996</v>
      </c>
      <c r="O25" s="143">
        <f>SUM(O16:O24)</f>
        <v>15.902348799999999</v>
      </c>
      <c r="P25" s="144">
        <f>SUM(P16:P24)</f>
        <v>3196.3721087999993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2905.6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232.44799999999998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2673.152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507.31775999999996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3180.46976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15.9023488</v>
      </c>
    </row>
    <row r="35" spans="2:16" ht="15.75" customHeight="1" thickBot="1" x14ac:dyDescent="0.4">
      <c r="N35" s="220" t="s">
        <v>92</v>
      </c>
      <c r="O35" s="221"/>
      <c r="P35" s="160">
        <f>P33+P34</f>
        <v>3196.3721087999998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workbookViewId="0">
      <selection activeCell="H12" sqref="H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108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109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110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11.8921995</v>
      </c>
      <c r="P17" s="120">
        <f t="shared" si="1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400.32799999999997</v>
      </c>
      <c r="M25" s="141">
        <f t="shared" si="9"/>
        <v>4603.7719999999999</v>
      </c>
      <c r="N25" s="142">
        <f>SUM(N16:N24)</f>
        <v>1067.8749399999999</v>
      </c>
      <c r="O25" s="143">
        <f>SUM(O16:O24)</f>
        <v>28.358234700000001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5004.1000000000004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400.32799999999997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4603.7720000000008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1067.8749399999999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5671.6469400000005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28.358234700000004</v>
      </c>
    </row>
    <row r="35" spans="2:16" ht="15.75" customHeight="1" thickBot="1" x14ac:dyDescent="0.4">
      <c r="N35" s="220" t="s">
        <v>92</v>
      </c>
      <c r="O35" s="221"/>
      <c r="P35" s="160">
        <f>P33+P34</f>
        <v>5700.0051747000007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C25" sqref="C25:F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111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112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I17*12%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113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 t="s">
        <v>115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7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80">
        <v>3410458891533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I16*$K$13</f>
        <v>0</v>
      </c>
      <c r="L16" s="105">
        <f>I16*8%</f>
        <v>25.181999999999999</v>
      </c>
      <c r="M16" s="106">
        <f>I16-K16-L16</f>
        <v>289.59299999999996</v>
      </c>
      <c r="N16" s="106">
        <f t="shared" ref="N16:N24" si="0">(M16*$N$15)+(J16*F16)*$N$15</f>
        <v>63.710459999999991</v>
      </c>
      <c r="O16" s="107">
        <f>(N16+M16)*$O$15</f>
        <v>1.7665172999999998</v>
      </c>
      <c r="P16" s="105">
        <f t="shared" ref="P16:P24" si="1">M16+N16+O16</f>
        <v>355.06997729999995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">
        <f t="shared" ref="K17:K21" si="3">I17*$K$13</f>
        <v>0</v>
      </c>
      <c r="L17" s="105">
        <f t="shared" ref="L17:L21" si="4">I17*8%</f>
        <v>25.181999999999999</v>
      </c>
      <c r="M17" s="118">
        <f t="shared" ref="M17:M23" si="5">I17-K17-L17</f>
        <v>289.59299999999996</v>
      </c>
      <c r="N17" s="118">
        <f t="shared" si="0"/>
        <v>63.710459999999991</v>
      </c>
      <c r="O17" s="119">
        <f t="shared" ref="O17:O24" si="6">(N17+M17)*$O$15</f>
        <v>1.7665172999999998</v>
      </c>
      <c r="P17" s="120">
        <f t="shared" si="1"/>
        <v>355.06997729999995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6</v>
      </c>
      <c r="I18" s="116">
        <f t="shared" si="2"/>
        <v>314.77499999999998</v>
      </c>
      <c r="J18" s="117"/>
      <c r="K18" s="1">
        <f t="shared" si="3"/>
        <v>0</v>
      </c>
      <c r="L18" s="105">
        <f t="shared" si="4"/>
        <v>25.181999999999999</v>
      </c>
      <c r="M18" s="118">
        <f t="shared" si="5"/>
        <v>289.59299999999996</v>
      </c>
      <c r="N18" s="118">
        <f t="shared" si="0"/>
        <v>63.710459999999991</v>
      </c>
      <c r="O18" s="119">
        <f t="shared" si="6"/>
        <v>1.7665172999999998</v>
      </c>
      <c r="P18" s="120">
        <f t="shared" si="1"/>
        <v>355.06997729999995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2.4459340800000002</v>
      </c>
      <c r="P19" s="120">
        <f t="shared" si="1"/>
        <v>491.63275007999999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2.4459340800000002</v>
      </c>
      <c r="P20" s="120">
        <f t="shared" si="1"/>
        <v>491.63275007999999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2.4459340800000002</v>
      </c>
      <c r="P21" s="120">
        <f t="shared" si="1"/>
        <v>491.63275007999999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48</v>
      </c>
      <c r="I25" s="137">
        <f t="shared" si="9"/>
        <v>2722.6050000000005</v>
      </c>
      <c r="J25" s="138"/>
      <c r="K25" s="139">
        <f t="shared" si="9"/>
        <v>16.476600000000005</v>
      </c>
      <c r="L25" s="140">
        <f t="shared" si="9"/>
        <v>203.68559999999999</v>
      </c>
      <c r="M25" s="141">
        <f t="shared" si="9"/>
        <v>2502.4427999999998</v>
      </c>
      <c r="N25" s="142">
        <f>SUM(N16:N24)</f>
        <v>550.53741600000001</v>
      </c>
      <c r="O25" s="143">
        <f>SUM(O16:O24)</f>
        <v>15.264901080000001</v>
      </c>
      <c r="P25" s="144">
        <f>SUM(P16:P24)</f>
        <v>3068.24511708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2722.6050000000005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203.68559999999999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16.476600000000005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2502.4428000000007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550.53741600000001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3052.9802160000008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15.264901080000005</v>
      </c>
    </row>
    <row r="35" spans="2:16" ht="15.75" customHeight="1" thickBot="1" x14ac:dyDescent="0.4">
      <c r="N35" s="220" t="s">
        <v>92</v>
      </c>
      <c r="O35" s="221"/>
      <c r="P35" s="160">
        <f>P33+P34</f>
        <v>3068.2451170800009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" workbookViewId="0">
      <selection activeCell="H12" sqref="H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117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118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 t="s">
        <v>119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3277876357053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366.3981</v>
      </c>
      <c r="O16" s="107">
        <f>(N16+M16)*$O$15</f>
        <v>11.485090499999998</v>
      </c>
      <c r="P16" s="105">
        <f t="shared" ref="P16:P24" si="1">M16+N16+O16</f>
        <v>2308.5031904999996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366.3981</v>
      </c>
      <c r="O17" s="119">
        <f t="shared" ref="O17:O24" si="6">(N17+M17)*$O$15</f>
        <v>11.485090499999998</v>
      </c>
      <c r="P17" s="120">
        <f t="shared" si="1"/>
        <v>2308.5031904999996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366.3981</v>
      </c>
      <c r="O18" s="119">
        <f t="shared" si="6"/>
        <v>11.485090499999998</v>
      </c>
      <c r="P18" s="120">
        <f t="shared" si="1"/>
        <v>2308.5031904999996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507.31775999999996</v>
      </c>
      <c r="O20" s="119">
        <f t="shared" si="6"/>
        <v>15.9023488</v>
      </c>
      <c r="P20" s="120">
        <f t="shared" si="1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1200.9839999999999</v>
      </c>
      <c r="M25" s="141">
        <f t="shared" si="9"/>
        <v>13811.315999999999</v>
      </c>
      <c r="N25" s="142">
        <f>SUM(N16:N24)</f>
        <v>2621.1475799999998</v>
      </c>
      <c r="O25" s="143">
        <f>SUM(O16:O24)</f>
        <v>82.162317899999991</v>
      </c>
      <c r="P25" s="144">
        <f>SUM(P16:P24)</f>
        <v>16514.625897899998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15012.300000000001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1200.9839999999999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13811.316000000001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2621.1475799999998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16432.46358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82.162317900000005</v>
      </c>
    </row>
    <row r="35" spans="2:16" ht="15.75" customHeight="1" thickBot="1" x14ac:dyDescent="0.4">
      <c r="N35" s="220" t="s">
        <v>92</v>
      </c>
      <c r="O35" s="221"/>
      <c r="P35" s="160">
        <f>P33+P34</f>
        <v>16514.625897900001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4" workbookViewId="0">
      <selection activeCell="L16" sqref="L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120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121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I17*12%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130.75199999999998</v>
      </c>
      <c r="M19" s="118">
        <f t="shared" si="5"/>
        <v>958.84799999999996</v>
      </c>
      <c r="N19" s="118">
        <f t="shared" si="0"/>
        <v>210.94656000000001</v>
      </c>
      <c r="O19" s="119">
        <f t="shared" si="6"/>
        <v>29.244864000000003</v>
      </c>
      <c r="P19" s="120">
        <f t="shared" si="1"/>
        <v>1199.0394240000001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87.167999999999992</v>
      </c>
      <c r="M20" s="118">
        <f t="shared" si="5"/>
        <v>639.23199999999997</v>
      </c>
      <c r="N20" s="118">
        <f t="shared" si="0"/>
        <v>172.59263999999999</v>
      </c>
      <c r="O20" s="119">
        <f t="shared" si="6"/>
        <v>20.295615999999999</v>
      </c>
      <c r="P20" s="120">
        <f t="shared" si="1"/>
        <v>832.12025599999993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130.75199999999998</v>
      </c>
      <c r="M21" s="118">
        <f t="shared" si="5"/>
        <v>958.84799999999996</v>
      </c>
      <c r="N21" s="118">
        <f t="shared" si="0"/>
        <v>210.94656000000001</v>
      </c>
      <c r="O21" s="119">
        <f t="shared" si="6"/>
        <v>29.244864000000003</v>
      </c>
      <c r="P21" s="120">
        <f t="shared" si="1"/>
        <v>1199.0394240000001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348.67199999999991</v>
      </c>
      <c r="M25" s="141">
        <f t="shared" si="9"/>
        <v>2556.9279999999999</v>
      </c>
      <c r="N25" s="142">
        <f>SUM(N16:N24)</f>
        <v>594.48576000000003</v>
      </c>
      <c r="O25" s="143">
        <f>SUM(O16:O24)</f>
        <v>78.785344000000009</v>
      </c>
      <c r="P25" s="144">
        <f>SUM(P16:P24)</f>
        <v>3230.1991040000003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2905.6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348.67199999999991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2556.9279999999999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594.48576000000003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3151.4137599999999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78.785344000000009</v>
      </c>
    </row>
    <row r="35" spans="2:16" ht="15.75" customHeight="1" thickBot="1" x14ac:dyDescent="0.4">
      <c r="N35" s="220" t="s">
        <v>92</v>
      </c>
      <c r="O35" s="221"/>
      <c r="P35" s="160">
        <f>P33+P34</f>
        <v>3230.1991039999998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7" workbookViewId="0">
      <selection activeCell="J17" sqref="J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122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123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7">
        <v>3840322905227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7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124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125</v>
      </c>
      <c r="B6" s="202"/>
      <c r="C6" s="202"/>
      <c r="F6" s="70"/>
      <c r="G6" s="74"/>
      <c r="K6" s="202" t="s">
        <v>52</v>
      </c>
      <c r="L6" s="202"/>
      <c r="M6" s="202"/>
      <c r="N6" s="204" t="s">
        <v>99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80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102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103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>
        <v>0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2026-06-22T06:59:30Z</dcterms:modified>
</cp:coreProperties>
</file>