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248ED6E4-F550-4D6F-A0C5-375E0B4C78E8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9" l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L25" i="16"/>
  <c r="P29" i="16" s="1"/>
  <c r="P31" i="17" l="1"/>
  <c r="M22" i="16"/>
  <c r="N22" i="16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<sst xmlns="http://schemas.openxmlformats.org/spreadsheetml/2006/main" count="1598" uniqueCount="127">
  <si>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</si>
  <si>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</si>
  <si>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</si>
  <si>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</si>
  <si>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</si>
  <si>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</si>
  <si>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</si>
  <si>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</si>
  <si>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</si>
  <si>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</si>
  <si>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</si>
  <si>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</si>
  <si>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</si>
  <si>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</si>
  <si>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</si>
  <si>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</si>
  <si>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</si>
  <si>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</si>
  <si>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</si>
  <si>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</si>
  <si>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</si>
  <si>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</si>
  <si>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</si>
  <si>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</si>
  <si>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</si>
  <si>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</si>
  <si>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</si>
  <si>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</si>
  <si>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</si>
  <si>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</si>
  <si>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</si>
  <si>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</si>
  <si>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</si>
  <si>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</si>
  <si>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</si>
  <si>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</si>
  <si>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</si>
  <si>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</si>
  <si>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</si>
  <si>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</si>
  <si>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</si>
  <si>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</si>
  <si>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</si>
  <si>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</si>
  <si>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</si>
  <si>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</si>
  <si>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</si>
  <si>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</si>
  <si>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</si>
  <si>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</si>
  <si>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</si>
  <si>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</si>
  <si>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</si>
  <si>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</si>
  <si>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</si>
  <si>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</si>
  <si>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</si>
  <si>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</si>
  <si>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</si>
  <si>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</si>
  <si>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</si>
  <si>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</si>
  <si>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</si>
  <si>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</si>
  <si>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</si>
  <si>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</si>
  <si>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</si>
  <si>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</si>
  <si>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</si>
  <si>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</si>
  <si>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</si>
  <si>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</si>
  <si>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</si>
  <si>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</si>
  <si>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</si>
  <si>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</si>
  <si>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</si>
  <si>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</si>
  <si>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</si>
  <si>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</si>
  <si>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</si>
  <si>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</si>
  <si>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</si>
  <si>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</si>
  <si>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</si>
  <si>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</si>
  <si>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</si>
  <si>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</si>
  <si>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</si>
  <si>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</si>
  <si>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</si>
  <si>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</si>
  <si>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</si>
  <si>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</si>
  <si>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</si>
  <si>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</si>
  <si>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</si>
  <si>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</si>
  <si>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</si>
  <si>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</si>
  <si>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</si>
  <si>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</si>
  <si>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</si>
  <si>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</si>
  <si>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</si>
  <si>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</si>
  <si>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</si>
  <si>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</si>
  <si>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</si>
  <si>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</si>
  <si>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</si>
  <si>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</si>
  <si>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</si>
  <si>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Customer Name : Itafaq Store</t>
  </si>
  <si>
    <t>Address: Post Office Mughalpura</t>
  </si>
  <si>
    <t>Customer Name : Khan GS</t>
  </si>
  <si>
    <t xml:space="preserve">Address:  Post office Mughalpura </t>
  </si>
  <si>
    <t>Customer Name : Malik Super Store</t>
  </si>
  <si>
    <t xml:space="preserve">Address:  Mughalpura shell Pertrol pump </t>
  </si>
  <si>
    <t>Customer Name : Haider Store</t>
  </si>
  <si>
    <t>Address: Dry port Road Mughalpura</t>
  </si>
  <si>
    <t>Customer Name : Sadiquia Store</t>
  </si>
  <si>
    <t>Address: Nazima Abad</t>
  </si>
  <si>
    <t>Customer Name : Irfan Store</t>
  </si>
  <si>
    <t>Address: NazamaAbad</t>
  </si>
  <si>
    <t>Mubeen</t>
  </si>
  <si>
    <t>7228215-0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</si>
</sst>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12" zoomScale="70" zoomScaleNormal="70"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125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103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Itafaq Store</v>
      </c>
      <c r="U14" s="164">
        <f>+'1'!P35</f>
        <v>2226.4157307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Khan GS</v>
      </c>
      <c r="U15" s="164">
        <f>+'2'!P35</f>
        <v>1448.5441859999999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20</v>
      </c>
      <c r="I16" s="1">
        <f>(G16*D16)*F16+H16*F16</f>
        <v>1049.25</v>
      </c>
      <c r="J16" s="172">
        <f>+'1'!J16+'2'!J16+'4'!J16+'3'!J16+'5'!J16+'6'!J16+'7'!J16+'8'!J16+'9'!J16+'10'!J16+'11'!J16+'12'!J16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183.19905</v>
      </c>
      <c r="O16" s="101">
        <f>+'1'!O16+'2'!O16+'4'!O16+'3'!O16+'5'!O16+'6'!O16+'7'!O16+'8'!O16+'9'!O16+'10'!O16</f>
        <v>5.7425452499999992</v>
      </c>
      <c r="P16" s="105">
        <f t="shared" ref="P16:P24" si="0">M16+N16+O16</f>
        <v>1154.2515952499998</v>
      </c>
      <c r="Q16" s="108"/>
      <c r="T16" s="163" t="str">
        <f>+'4'!A5</f>
        <v>Customer Name : Haider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83.94</v>
      </c>
      <c r="M17" s="118">
        <f t="shared" ref="M17:M23" si="2">I17-K17-L17</f>
        <v>965.31</v>
      </c>
      <c r="N17" s="101">
        <f>+'1'!N17+'2'!N17+'4'!N17+'3'!N17+'5'!N17+'6'!N17+'7'!N17+'8'!N17+'9'!N17+'10'!N17</f>
        <v>183.19905</v>
      </c>
      <c r="O17" s="101">
        <f>+'1'!O17+'2'!O17+'4'!O17+'3'!O17+'5'!O17+'6'!O17+'7'!O17+'8'!O17+'9'!O17+'10'!O17</f>
        <v>5.7425452499999992</v>
      </c>
      <c r="P17" s="120">
        <f t="shared" si="0"/>
        <v>1154.2515952499998</v>
      </c>
      <c r="S17" s="64"/>
      <c r="T17" s="163" t="str">
        <f>+'3'!A5</f>
        <v>Customer Name : Malik Super Store</v>
      </c>
      <c r="U17" s="164">
        <f>+'3'!P35</f>
        <v>9108.6812320499994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44</v>
      </c>
      <c r="I18" s="1">
        <f t="shared" si="1"/>
        <v>2308.35</v>
      </c>
      <c r="J18" s="172">
        <f>+'1'!J18+'2'!J18+'4'!J18+'3'!J18+'5'!J18+'6'!J18+'7'!J18+'8'!J18+'9'!J18+'10'!J18+'11'!J18+'12'!J18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184.66800000000001</v>
      </c>
      <c r="M18" s="118">
        <f t="shared" si="2"/>
        <v>2123.6819999999998</v>
      </c>
      <c r="N18" s="101">
        <f>+'1'!N18+'2'!N18+'4'!N18+'3'!N18+'5'!N18+'6'!N18+'7'!N18+'8'!N18+'9'!N18+'10'!N18</f>
        <v>438.04088999999999</v>
      </c>
      <c r="O18" s="101">
        <f>+'1'!O18+'2'!O18+'4'!O18+'3'!O18+'5'!O18+'6'!O18+'7'!O18+'8'!O18+'9'!O18+'10'!O18</f>
        <v>41.072891249999998</v>
      </c>
      <c r="P18" s="120">
        <f t="shared" si="0"/>
        <v>2602.7957812499999</v>
      </c>
      <c r="T18" s="163" t="str">
        <f>+'5'!A5</f>
        <v>Customer Name : Sadiquia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25</v>
      </c>
      <c r="I19" s="1">
        <f t="shared" si="1"/>
        <v>1816</v>
      </c>
      <c r="J19" s="172">
        <f>+'1'!J19+'2'!J19+'4'!J19+'3'!J19+'5'!J19+'6'!J19+'7'!J19+'8'!J19+'9'!J19+'10'!J19+'11'!J19+'12'!J19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145.28</v>
      </c>
      <c r="M19" s="118">
        <f t="shared" si="2"/>
        <v>1670.72</v>
      </c>
      <c r="N19" s="101">
        <f>+'1'!N19+'2'!N19+'4'!N19+'3'!N19+'5'!N19+'6'!N19+'7'!N19+'8'!N19+'9'!N19+'10'!N19</f>
        <v>327.17055999999997</v>
      </c>
      <c r="O19" s="101">
        <f>+'1'!O19+'2'!O19+'4'!O19+'3'!O19+'5'!O19+'6'!O19+'7'!O19+'8'!O19+'9'!O19+'10'!O19</f>
        <v>18.1425664</v>
      </c>
      <c r="P19" s="120">
        <f t="shared" si="0"/>
        <v>2016.0331264000001</v>
      </c>
      <c r="T19" s="163" t="str">
        <f>+'6'!A5</f>
        <v>Customer Name : Irfan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25</v>
      </c>
      <c r="I20" s="1">
        <f t="shared" si="1"/>
        <v>1816</v>
      </c>
      <c r="J20" s="172">
        <f>+'1'!J20+'2'!J20+'4'!J20+'3'!J20+'5'!J20+'6'!J20+'7'!J20+'8'!J20+'9'!J20+'10'!J20+'11'!J20+'12'!J20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145.28</v>
      </c>
      <c r="M20" s="118">
        <f t="shared" si="2"/>
        <v>1670.72</v>
      </c>
      <c r="N20" s="101">
        <f>+'1'!N20+'2'!N20+'4'!N20+'3'!N20+'5'!N20+'6'!N20+'7'!N20+'8'!N20+'9'!N20+'10'!N20</f>
        <v>343.15135999999995</v>
      </c>
      <c r="O20" s="101">
        <f>+'1'!O20+'2'!O20+'4'!O20+'3'!O20+'5'!O20+'6'!O20+'7'!O20+'8'!O20+'9'!O20+'10'!O20</f>
        <v>18.542086400000002</v>
      </c>
      <c r="P20" s="120">
        <f t="shared" si="0"/>
        <v>2032.4134464000001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30</v>
      </c>
      <c r="I21" s="1">
        <f t="shared" si="1"/>
        <v>2179.1999999999998</v>
      </c>
      <c r="J21" s="172">
        <f>+'1'!J21+'2'!J21+'4'!J21+'3'!J21+'5'!J21+'6'!J21+'7'!J21+'8'!J21+'9'!J21+'10'!J21+'11'!J21+'12'!J21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174.33600000000001</v>
      </c>
      <c r="M21" s="118">
        <f t="shared" si="2"/>
        <v>2004.8639999999998</v>
      </c>
      <c r="N21" s="101">
        <f>+'1'!N21+'2'!N21+'4'!N21+'3'!N21+'5'!N21+'6'!N21+'7'!N21+'8'!N21+'9'!N21+'10'!N21</f>
        <v>400.68223999999998</v>
      </c>
      <c r="O21" s="101">
        <f>+'1'!O21+'2'!O21+'4'!O21+'3'!O21+'5'!O21+'6'!O21+'7'!O21+'8'!O21+'9'!O21+'10'!O21</f>
        <v>28.3339584</v>
      </c>
      <c r="P21" s="120">
        <f t="shared" si="0"/>
        <v>2433.8801983999997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32</v>
      </c>
      <c r="I22" s="1">
        <f t="shared" si="1"/>
        <v>1255.3600000000001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43.93760000000001</v>
      </c>
      <c r="L22" s="175">
        <f>+'1'!L22+'2'!L22+'4'!L22+'3'!L22+'5'!L22+'6'!L22+'7'!L22+'8'!L22+'9'!L22+'10'!L22</f>
        <v>62.768000000000015</v>
      </c>
      <c r="M22" s="118">
        <f t="shared" si="2"/>
        <v>1148.6544000000001</v>
      </c>
      <c r="N22" s="101">
        <f>+'1'!N22+'2'!N22+'4'!N22+'3'!N22+'5'!N22+'6'!N22+'7'!N22+'8'!N22+'9'!N22+'10'!N22</f>
        <v>223.98760800000002</v>
      </c>
      <c r="O22" s="101">
        <f>+'1'!O22+'2'!O22+'4'!O22+'3'!O22+'5'!O22+'6'!O22+'7'!O22+'8'!O22+'9'!O22+'10'!O22</f>
        <v>17.373397800000003</v>
      </c>
      <c r="P22" s="120">
        <f t="shared" si="0"/>
        <v>1390.0154058000003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196</v>
      </c>
      <c r="I25" s="178">
        <f t="shared" si="3"/>
        <v>11473.41</v>
      </c>
      <c r="J25" s="177">
        <f t="shared" si="3"/>
        <v>7</v>
      </c>
      <c r="K25" s="178">
        <f t="shared" si="3"/>
        <v>43.93760000000001</v>
      </c>
      <c r="L25" s="179">
        <f t="shared" si="3"/>
        <v>880.21199999999999</v>
      </c>
      <c r="M25" s="141">
        <f t="shared" si="3"/>
        <v>10549.260399999999</v>
      </c>
      <c r="N25" s="142">
        <f>SUM(N16:N24)</f>
        <v>2099.430758</v>
      </c>
      <c r="O25" s="143">
        <f>SUM(O16:O24)</f>
        <v>134.94999075000001</v>
      </c>
      <c r="P25" s="144">
        <f>SUM(P16:P24)</f>
        <v>12783.641148750001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12783.641148749999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11473.41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880.21199999999999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43.93760000000001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10549.260400000001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2099.430758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12648.691158000001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316.21727895000004</v>
      </c>
    </row>
    <row r="35" spans="2:16" ht="15.75" customHeight="1" thickBot="1" x14ac:dyDescent="0.4">
      <c r="N35" s="223" t="s">
        <v>92</v>
      </c>
      <c r="O35" s="224"/>
      <c r="P35" s="160">
        <f>P33+P34</f>
        <v>12964.908436950001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113</v>
      </c>
      <c r="B5" s="250"/>
      <c r="C5" s="250"/>
      <c r="F5" s="70"/>
      <c r="G5" s="71"/>
      <c r="K5" s="205" t="s">
        <v>51</v>
      </c>
      <c r="L5" s="205"/>
      <c r="M5" s="205"/>
      <c r="N5" s="206">
        <f ca="1">N4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114</v>
      </c>
      <c r="B6" s="205"/>
      <c r="C6" s="205"/>
      <c r="F6" s="70"/>
      <c r="G6" s="74"/>
      <c r="K6" s="205" t="s">
        <v>52</v>
      </c>
      <c r="L6" s="205"/>
      <c r="M6" s="205"/>
      <c r="N6" s="207" t="s">
        <v>104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3"/>
        <v>363.2</v>
      </c>
      <c r="J19" s="117"/>
      <c r="K19" s="1">
        <f t="shared" si="4"/>
        <v>0</v>
      </c>
      <c r="L19" s="105">
        <f t="shared" si="5"/>
        <v>29.056000000000001</v>
      </c>
      <c r="M19" s="118">
        <f t="shared" si="6"/>
        <v>334.14400000000001</v>
      </c>
      <c r="N19" s="118">
        <f t="shared" si="0"/>
        <v>73.511679999999998</v>
      </c>
      <c r="O19" s="119">
        <f t="shared" si="1"/>
        <v>10.191392</v>
      </c>
      <c r="P19" s="120">
        <f t="shared" si="2"/>
        <v>417.84707200000003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3"/>
        <v>363.2</v>
      </c>
      <c r="J20" s="117">
        <v>1</v>
      </c>
      <c r="K20" s="1">
        <f t="shared" si="4"/>
        <v>0</v>
      </c>
      <c r="L20" s="105">
        <f t="shared" si="5"/>
        <v>29.056000000000001</v>
      </c>
      <c r="M20" s="118">
        <f t="shared" si="6"/>
        <v>334.14400000000001</v>
      </c>
      <c r="N20" s="118">
        <f t="shared" si="0"/>
        <v>89.49248</v>
      </c>
      <c r="O20" s="119">
        <f t="shared" si="1"/>
        <v>10.590912000000001</v>
      </c>
      <c r="P20" s="120">
        <f t="shared" si="2"/>
        <v>434.22739200000001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">
        <f t="shared" si="4"/>
        <v>0</v>
      </c>
      <c r="L21" s="105">
        <f t="shared" si="5"/>
        <v>58.112000000000002</v>
      </c>
      <c r="M21" s="118">
        <f t="shared" si="6"/>
        <v>668.28800000000001</v>
      </c>
      <c r="N21" s="118">
        <f t="shared" si="0"/>
        <v>147.02336</v>
      </c>
      <c r="O21" s="119">
        <f t="shared" si="1"/>
        <v>20.382784000000001</v>
      </c>
      <c r="P21" s="120">
        <f t="shared" si="2"/>
        <v>835.69414400000005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13.137734700000003</v>
      </c>
      <c r="P22" s="120">
        <f t="shared" si="2"/>
        <v>538.64712270000007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32</v>
      </c>
      <c r="I25" s="137">
        <f t="shared" si="9"/>
        <v>1923.56</v>
      </c>
      <c r="J25" s="138"/>
      <c r="K25" s="139">
        <f t="shared" si="9"/>
        <v>16.476600000000005</v>
      </c>
      <c r="L25" s="140">
        <f t="shared" si="9"/>
        <v>139.762</v>
      </c>
      <c r="M25" s="141">
        <f t="shared" si="9"/>
        <v>1767.3214</v>
      </c>
      <c r="N25" s="142">
        <f>SUM(N16:N24)</f>
        <v>404.79150799999996</v>
      </c>
      <c r="O25" s="143">
        <f>SUM(O16:O24)</f>
        <v>54.302822700000007</v>
      </c>
      <c r="P25" s="144">
        <f>SUM(P16:P24)</f>
        <v>2226.4157307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1923.56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139.762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16.476600000000005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1767.3214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404.79150799999996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2172.1129080000001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54.302822700000007</v>
      </c>
    </row>
    <row r="35" spans="2:16" ht="15.75" customHeight="1" thickBot="1" x14ac:dyDescent="0.4">
      <c r="N35" s="223" t="s">
        <v>92</v>
      </c>
      <c r="O35" s="224"/>
      <c r="P35" s="160">
        <f>P33+P34</f>
        <v>2226.4157307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104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24</v>
      </c>
      <c r="I18" s="116">
        <f t="shared" si="2"/>
        <v>1259.0999999999999</v>
      </c>
      <c r="J18" s="117"/>
      <c r="K18" s="1">
        <f t="shared" si="3"/>
        <v>0</v>
      </c>
      <c r="L18" s="105">
        <f t="shared" si="4"/>
        <v>100.72799999999999</v>
      </c>
      <c r="M18" s="118">
        <f t="shared" si="5"/>
        <v>1158.3719999999998</v>
      </c>
      <c r="N18" s="118">
        <f t="shared" si="0"/>
        <v>254.84183999999996</v>
      </c>
      <c r="O18" s="119">
        <f t="shared" si="6"/>
        <v>35.330345999999999</v>
      </c>
      <c r="P18" s="120">
        <f t="shared" si="1"/>
        <v>1448.5441859999999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24</v>
      </c>
      <c r="I25" s="137">
        <f t="shared" si="9"/>
        <v>1259.0999999999999</v>
      </c>
      <c r="J25" s="138"/>
      <c r="K25" s="139">
        <f t="shared" si="9"/>
        <v>0</v>
      </c>
      <c r="L25" s="140">
        <f t="shared" si="9"/>
        <v>100.72799999999999</v>
      </c>
      <c r="M25" s="141">
        <f t="shared" si="9"/>
        <v>1158.3719999999998</v>
      </c>
      <c r="N25" s="142">
        <f>SUM(N16:N24)</f>
        <v>254.84183999999996</v>
      </c>
      <c r="O25" s="143">
        <f>SUM(O16:O24)</f>
        <v>35.330345999999999</v>
      </c>
      <c r="P25" s="144">
        <f>SUM(P16:P24)</f>
        <v>1448.5441859999999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1259.0999999999999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100.72799999999999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1158.3719999999998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254.84183999999996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1413.2138399999999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35.330345999999999</v>
      </c>
    </row>
    <row r="35" spans="2:16" ht="15.75" customHeight="1" thickBot="1" x14ac:dyDescent="0.4">
      <c r="N35" s="223" t="s">
        <v>92</v>
      </c>
      <c r="O35" s="224"/>
      <c r="P35" s="160">
        <f>P33+P34</f>
        <v>1448.5441859999999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8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118</v>
      </c>
      <c r="B6" s="205"/>
      <c r="C6" s="205"/>
      <c r="F6" s="70"/>
      <c r="G6" s="74"/>
      <c r="K6" s="205" t="s">
        <v>52</v>
      </c>
      <c r="L6" s="205"/>
      <c r="M6" s="205"/>
      <c r="N6" s="207" t="s">
        <v>104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 t="s">
        <v>126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>
        <v>3277876239288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183.19905</v>
      </c>
      <c r="O18" s="119">
        <f t="shared" si="6"/>
        <v>5.7425452499999992</v>
      </c>
      <c r="P18" s="120">
        <f t="shared" si="1"/>
        <v>1154.2515952499998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253.65887999999998</v>
      </c>
      <c r="O21" s="119">
        <f t="shared" si="6"/>
        <v>7.9511744000000002</v>
      </c>
      <c r="P21" s="120">
        <f t="shared" si="1"/>
        <v>1598.1860543999999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129.22362000000001</v>
      </c>
      <c r="O22" s="119">
        <f t="shared" si="6"/>
        <v>4.2356631000000009</v>
      </c>
      <c r="P22" s="120">
        <f t="shared" si="1"/>
        <v>851.3682831000001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140</v>
      </c>
      <c r="I25" s="137">
        <f t="shared" si="9"/>
        <v>8290.75</v>
      </c>
      <c r="J25" s="138"/>
      <c r="K25" s="139">
        <f t="shared" si="9"/>
        <v>27.461000000000006</v>
      </c>
      <c r="L25" s="140">
        <f t="shared" si="9"/>
        <v>639.72199999999998</v>
      </c>
      <c r="M25" s="141">
        <f t="shared" si="9"/>
        <v>7623.5669999999991</v>
      </c>
      <c r="N25" s="142">
        <f>SUM(N16:N24)</f>
        <v>1439.7974099999999</v>
      </c>
      <c r="O25" s="143">
        <f>SUM(O16:O24)</f>
        <v>45.316822049999999</v>
      </c>
      <c r="P25" s="144">
        <f>SUM(P16:P24)</f>
        <v>9108.6812320499994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8290.75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639.72199999999998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27.461000000000006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7623.567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1439.7974099999999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9063.3644100000001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45.316822049999999</v>
      </c>
    </row>
    <row r="35" spans="2:16" ht="15.75" customHeight="1" thickBot="1" x14ac:dyDescent="0.4">
      <c r="N35" s="223" t="s">
        <v>92</v>
      </c>
      <c r="O35" s="224"/>
      <c r="P35" s="160">
        <f>P33+P34</f>
        <v>9108.6812320499994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120</v>
      </c>
      <c r="B6" s="205"/>
      <c r="C6" s="205"/>
      <c r="F6" s="70"/>
      <c r="G6" s="74"/>
      <c r="K6" s="205" t="s">
        <v>52</v>
      </c>
      <c r="L6" s="205"/>
      <c r="M6" s="205"/>
      <c r="N6" s="207" t="s">
        <v>104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B7" zoomScale="93" zoomScaleNormal="93" workbookViewId="0">
      <selection activeCell="H24" sqref="H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122</v>
      </c>
      <c r="B6" s="205"/>
      <c r="C6" s="205"/>
      <c r="F6" s="70"/>
      <c r="G6" s="74"/>
      <c r="K6" s="205" t="s">
        <v>52</v>
      </c>
      <c r="L6" s="205"/>
      <c r="M6" s="205"/>
      <c r="N6" s="207" t="s">
        <v>104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124</v>
      </c>
      <c r="B6" s="205"/>
      <c r="C6" s="205"/>
      <c r="F6" s="70"/>
      <c r="G6" s="74"/>
      <c r="K6" s="205" t="s">
        <v>52</v>
      </c>
      <c r="L6" s="205"/>
      <c r="M6" s="205"/>
      <c r="N6" s="207" t="s">
        <v>104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G24" sqref="G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108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>
        <v>3520242563059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108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108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2026-06-10T13:47:19Z</dcterms:modified>
</cp:coreProperties>
</file>