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E2478D0-0F2D-444F-8CE8-14E5502C3D41}" xr6:coauthVersionLast="47" xr6:coauthVersionMax="47" xr10:uidLastSave="{00000000-0000-0000-0000-000000000000}"/>
  <bookViews>
    <workbookView xWindow="-110" yWindow="-110" windowWidth="19420" windowHeight="10420" tabRatio="949" activeTab="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0" l="1"/>
  <c r="L18" i="20"/>
  <c r="L19" i="20"/>
  <c r="L20" i="20"/>
  <c r="L21" i="20"/>
  <c r="L22" i="20"/>
  <c r="L23" i="20"/>
  <c r="L24" i="20"/>
  <c r="L16" i="20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5" i="2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K17" i="19"/>
  <c r="L16" i="17"/>
  <c r="K20" i="18"/>
  <c r="M20" i="18" s="1"/>
  <c r="L17" i="17"/>
  <c r="K16" i="23"/>
  <c r="L24" i="24"/>
  <c r="L25" i="24" s="1"/>
  <c r="P29" i="24" s="1"/>
  <c r="L18" i="24"/>
  <c r="L22" i="21"/>
  <c r="M22" i="21" s="1"/>
  <c r="N22" i="21" s="1"/>
  <c r="O22" i="21" s="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K16" i="21"/>
  <c r="M16" i="21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M19" i="18" l="1"/>
  <c r="N19" i="18" s="1"/>
  <c r="O19" i="18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31" i="21" l="1"/>
  <c r="P33" i="21" s="1"/>
  <c r="P34" i="21" s="1"/>
  <c r="P35" i="21" s="1"/>
  <c r="U19" i="15" s="1"/>
  <c r="M17" i="15"/>
  <c r="P31" i="17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O18" i="16" l="1"/>
  <c r="O18" i="15" s="1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<sst xmlns="http://schemas.openxmlformats.org/spreadsheetml/2006/main" count="1600" uniqueCount="127">
  <si>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</si>
  <si>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</si>
  <si>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</si>
  <si>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</si>
  <si>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</si>
  <si>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</si>
  <si>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</si>
  <si>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</si>
  <si>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</si>
  <si>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</si>
  <si>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</si>
  <si>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</si>
  <si>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</si>
  <si>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</si>
  <si>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</si>
  <si>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</si>
  <si>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</si>
  <si>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</si>
  <si>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</si>
  <si>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</si>
  <si>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</si>
  <si>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</si>
  <si>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</si>
  <si>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</si>
  <si>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</si>
  <si>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</si>
  <si>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</si>
  <si>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</si>
  <si>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</si>
  <si>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</si>
  <si>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</si>
  <si>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</si>
  <si>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</si>
  <si>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</si>
  <si>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</si>
  <si>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</si>
  <si>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</si>
  <si>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</si>
  <si>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</si>
  <si>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</si>
  <si>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</si>
  <si>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</si>
  <si>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</si>
  <si>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</si>
  <si>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</si>
  <si>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</si>
  <si>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</si>
  <si>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</si>
  <si>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</si>
  <si>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</si>
  <si>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</si>
  <si>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</si>
  <si>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</si>
  <si>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</si>
  <si>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</si>
  <si>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</si>
  <si>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</si>
  <si>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</si>
  <si>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</si>
  <si>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</si>
  <si>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</si>
  <si>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</si>
  <si>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</si>
  <si>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</si>
  <si>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</si>
  <si>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</si>
  <si>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</si>
  <si>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</si>
  <si>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</si>
  <si>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</si>
  <si>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</si>
  <si>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</si>
  <si>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</si>
  <si>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</si>
  <si>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</si>
  <si>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</si>
  <si>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</si>
  <si>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</si>
  <si>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</si>
  <si>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</si>
  <si>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</si>
  <si>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</si>
  <si>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</si>
  <si>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</si>
  <si>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</si>
  <si>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</si>
  <si>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</si>
  <si>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</si>
  <si>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</si>
  <si>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</si>
  <si>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</si>
  <si>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</si>
  <si>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</si>
  <si>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</si>
  <si>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</si>
  <si>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</si>
  <si>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</si>
  <si>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</si>
  <si>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</si>
  <si>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</si>
  <si>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</si>
  <si>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</si>
  <si>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</si>
  <si>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</si>
  <si>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</si>
  <si>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</si>
  <si>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</si>
  <si>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</si>
  <si>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</si>
  <si>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</si>
  <si>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</si>
  <si>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</si>
  <si>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</si>
  <si>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Al-Falah Baker</t>
  </si>
  <si>
    <t xml:space="preserve">Address: 7 up Phatak </t>
  </si>
  <si>
    <t>Customer Name : Wali Super Store</t>
  </si>
  <si>
    <t>Address: Acandemy Road</t>
  </si>
  <si>
    <t>Customer Name : Shahid Sons GS</t>
  </si>
  <si>
    <t>Address: Academy Road</t>
  </si>
  <si>
    <t>Customer Name : Hashyana Store</t>
  </si>
  <si>
    <t>Address: Seven Street</t>
  </si>
  <si>
    <t>Customer Name : Euro Store</t>
  </si>
  <si>
    <t>5416167-3</t>
  </si>
  <si>
    <t>Customer Name : New Way</t>
  </si>
  <si>
    <t>Address: Walton Road</t>
  </si>
  <si>
    <t>E360834-6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</si>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</sst>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1" zoomScale="70" zoomScaleNormal="70" workbookViewId="0">
      <selection activeCell="T17" sqref="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126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103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Al-Falah Baker</v>
      </c>
      <c r="U14" s="164">
        <f>+'1'!P35</f>
        <v>5700.0051747000007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Wali Super Store</v>
      </c>
      <c r="U15" s="164">
        <f>+'2'!P35</f>
        <v>2437.9008974999997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70</v>
      </c>
      <c r="I16" s="1">
        <f>(G16*D16)*F16+H16*F16</f>
        <v>3672.375</v>
      </c>
      <c r="J16" s="172">
        <f>+'1'!J16+'2'!J16+'4'!J16+'3'!J16+'5'!J16+'6'!J16+'7'!J16+'8'!J16+'9'!J16+'10'!J16+'11'!J16+'12'!J16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377.73</v>
      </c>
      <c r="M16" s="106">
        <f>I16-K16-L16</f>
        <v>3294.645</v>
      </c>
      <c r="N16" s="101">
        <f>+'1'!N16+'2'!N16+'4'!N16+'3'!N16+'5'!N16+'6'!N16+'7'!N16+'8'!N16+'9'!N16+'10'!N16</f>
        <v>683.27160000000003</v>
      </c>
      <c r="O16" s="101">
        <f>+'1'!O16+'2'!O16+'4'!O16+'3'!O16+'5'!O16+'6'!O16+'7'!O16+'8'!O16+'9'!O16+'10'!O16</f>
        <v>31.897200000000002</v>
      </c>
      <c r="P16" s="105">
        <f t="shared" ref="P16:P24" si="0">M16+N16+O16</f>
        <v>4009.8137999999999</v>
      </c>
      <c r="Q16" s="108"/>
      <c r="T16" s="163" t="str">
        <f>+'4'!A5</f>
        <v>Customer Name : Hashyana Store</v>
      </c>
      <c r="U16" s="164">
        <f>+'4'!P35</f>
        <v>3178.1217912000002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70</v>
      </c>
      <c r="I17" s="1">
        <f t="shared" ref="I17:I23" si="1">(G17*D17)*F17+H17*F17</f>
        <v>3672.375</v>
      </c>
      <c r="J17" s="172">
        <f>+'1'!J17+'2'!J17+'4'!J17+'3'!J17+'5'!J17+'6'!J17+'7'!J17+'8'!J17+'9'!J17+'10'!J17+'11'!J17+'12'!J17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377.73</v>
      </c>
      <c r="M17" s="118">
        <f t="shared" ref="M17:M23" si="2">I17-K17-L17</f>
        <v>3294.645</v>
      </c>
      <c r="N17" s="101">
        <f>+'1'!N17+'2'!N17+'4'!N17+'3'!N17+'5'!N17+'6'!N17+'7'!N17+'8'!N17+'9'!N17+'10'!N17</f>
        <v>681.17309999999998</v>
      </c>
      <c r="O17" s="101">
        <f>+'1'!O17+'2'!O17+'4'!O17+'3'!O17+'5'!O17+'6'!O17+'7'!O17+'8'!O17+'9'!O17+'10'!O17</f>
        <v>31.655872499999997</v>
      </c>
      <c r="P17" s="120">
        <f t="shared" si="0"/>
        <v>4007.4739724999999</v>
      </c>
      <c r="S17" s="64"/>
      <c r="T17" s="163" t="str">
        <f>+'3'!A5</f>
        <v>Customer Name : Shahid Sons GS</v>
      </c>
      <c r="U17" s="164">
        <f>+'3'!P35</f>
        <v>1195.16604975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100</v>
      </c>
      <c r="I18" s="1">
        <f t="shared" si="1"/>
        <v>5246.25</v>
      </c>
      <c r="J18" s="172">
        <f>+'1'!J18+'2'!J18+'4'!J18+'3'!J18+'5'!J18+'6'!J18+'7'!J18+'8'!J18+'9'!J18+'10'!J18+'11'!J18+'12'!J18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503.64</v>
      </c>
      <c r="M18" s="118">
        <f t="shared" si="2"/>
        <v>4742.6099999999997</v>
      </c>
      <c r="N18" s="101">
        <f>+'1'!N18+'2'!N18+'4'!N18+'3'!N18+'5'!N18+'6'!N18+'7'!N18+'8'!N18+'9'!N18+'10'!N18</f>
        <v>992.1708000000001</v>
      </c>
      <c r="O18" s="101">
        <f>+'1'!O18+'2'!O18+'4'!O18+'3'!O18+'5'!O18+'6'!O18+'7'!O18+'8'!O18+'9'!O18+'10'!O18</f>
        <v>52.458303000000001</v>
      </c>
      <c r="P18" s="120">
        <f t="shared" si="0"/>
        <v>5787.2391029999999</v>
      </c>
      <c r="T18" s="163" t="str">
        <f>+'5'!A5</f>
        <v>Customer Name : Euro Store</v>
      </c>
      <c r="U18" s="164">
        <f>+'5'!P35</f>
        <v>15802.502435100001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215</v>
      </c>
      <c r="I19" s="1">
        <f t="shared" si="1"/>
        <v>15617.6</v>
      </c>
      <c r="J19" s="172">
        <f>+'1'!J19+'2'!J19+'4'!J19+'3'!J19+'5'!J19+'6'!J19+'7'!J19+'8'!J19+'9'!J19+'10'!J19+'11'!J19+'12'!J19</f>
        <v>11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1365.6320000000001</v>
      </c>
      <c r="M19" s="118">
        <f t="shared" si="2"/>
        <v>14251.968000000001</v>
      </c>
      <c r="N19" s="101">
        <f>+'1'!N19+'2'!N19+'4'!N19+'3'!N19+'5'!N19+'6'!N19+'7'!N19+'8'!N19+'9'!N19+'10'!N19</f>
        <v>2738.8185599999997</v>
      </c>
      <c r="O19" s="101">
        <f>+'1'!O19+'2'!O19+'4'!O19+'3'!O19+'5'!O19+'6'!O19+'7'!O19+'8'!O19+'9'!O19+'10'!O19</f>
        <v>84.95393279999999</v>
      </c>
      <c r="P19" s="120">
        <f t="shared" si="0"/>
        <v>17075.7404928</v>
      </c>
      <c r="T19" s="163" t="str">
        <f>+'6'!A5</f>
        <v>Customer Name : New Way</v>
      </c>
      <c r="U19" s="164">
        <f>+'6'!P35</f>
        <v>45167.411570399992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215</v>
      </c>
      <c r="I20" s="1">
        <f t="shared" si="1"/>
        <v>15617.6</v>
      </c>
      <c r="J20" s="172">
        <f>+'1'!J20+'2'!J20+'4'!J20+'3'!J20+'5'!J20+'6'!J20+'7'!J20+'8'!J20+'9'!J20+'10'!J20+'11'!J20+'12'!J20</f>
        <v>11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1365.6320000000001</v>
      </c>
      <c r="M20" s="118">
        <f t="shared" si="2"/>
        <v>14251.968000000001</v>
      </c>
      <c r="N20" s="101">
        <f>+'1'!N20+'2'!N20+'4'!N20+'3'!N20+'5'!N20+'6'!N20+'7'!N20+'8'!N20+'9'!N20+'10'!N20</f>
        <v>2735.9129599999997</v>
      </c>
      <c r="O20" s="101">
        <f>+'1'!O20+'2'!O20+'4'!O20+'3'!O20+'5'!O20+'6'!O20+'7'!O20+'8'!O20+'9'!O20+'10'!O20</f>
        <v>84.939404800000005</v>
      </c>
      <c r="P20" s="120">
        <f t="shared" si="0"/>
        <v>17072.820364800002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230</v>
      </c>
      <c r="I21" s="1">
        <f t="shared" si="1"/>
        <v>16707.2</v>
      </c>
      <c r="J21" s="172">
        <f>+'1'!J21+'2'!J21+'4'!J21+'3'!J21+'5'!J21+'6'!J21+'7'!J21+'8'!J21+'9'!J21+'10'!J21+'11'!J21+'12'!J21</f>
        <v>11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1452.8000000000002</v>
      </c>
      <c r="M21" s="118">
        <f t="shared" si="2"/>
        <v>15254.400000000001</v>
      </c>
      <c r="N21" s="101">
        <f>+'1'!N21+'2'!N21+'4'!N21+'3'!N21+'5'!N21+'6'!N21+'7'!N21+'8'!N21+'9'!N21+'10'!N21</f>
        <v>2945.9878399999998</v>
      </c>
      <c r="O21" s="101">
        <f>+'1'!O21+'2'!O21+'4'!O21+'3'!O21+'5'!O21+'6'!O21+'7'!O21+'8'!O21+'9'!O21+'10'!O21</f>
        <v>91.001939199999995</v>
      </c>
      <c r="P21" s="120">
        <f t="shared" si="0"/>
        <v>18291.389779200003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170</v>
      </c>
      <c r="I22" s="1">
        <f t="shared" si="1"/>
        <v>6669.1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233.41850000000005</v>
      </c>
      <c r="L22" s="175">
        <f>+'1'!L22+'2'!L22+'4'!L22+'3'!L22+'5'!L22+'6'!L22+'7'!L22+'8'!L22+'9'!L22+'10'!L22</f>
        <v>333.4550000000001</v>
      </c>
      <c r="M22" s="118">
        <f t="shared" si="2"/>
        <v>6102.2265000000007</v>
      </c>
      <c r="N22" s="101">
        <f>+'1'!N22+'2'!N22+'4'!N22+'3'!N22+'5'!N22+'6'!N22+'7'!N22+'8'!N22+'9'!N22+'10'!N22</f>
        <v>1098.4007700000002</v>
      </c>
      <c r="O22" s="101">
        <f>+'1'!O22+'2'!O22+'4'!O22+'3'!O22+'5'!O22+'6'!O22+'7'!O22+'8'!O22+'9'!O22+'10'!O22</f>
        <v>36.003136350000005</v>
      </c>
      <c r="P22" s="120">
        <f t="shared" si="0"/>
        <v>7236.6304063500011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2" t="s">
        <v>84</v>
      </c>
      <c r="B25" s="223"/>
      <c r="C25" s="224"/>
      <c r="D25" s="218"/>
      <c r="E25" s="218"/>
      <c r="F25" s="218"/>
      <c r="G25" s="176">
        <f t="shared" ref="G25:M25" si="3">SUM(G16:G24)</f>
        <v>0</v>
      </c>
      <c r="H25" s="177">
        <f t="shared" si="3"/>
        <v>1070</v>
      </c>
      <c r="I25" s="178">
        <f t="shared" si="3"/>
        <v>67202.5</v>
      </c>
      <c r="J25" s="177">
        <f t="shared" si="3"/>
        <v>45</v>
      </c>
      <c r="K25" s="178">
        <f t="shared" si="3"/>
        <v>233.41850000000005</v>
      </c>
      <c r="L25" s="179">
        <f t="shared" si="3"/>
        <v>5776.6190000000006</v>
      </c>
      <c r="M25" s="141">
        <f t="shared" si="3"/>
        <v>61192.462500000009</v>
      </c>
      <c r="N25" s="142">
        <f>SUM(N16:N24)</f>
        <v>11875.735629999999</v>
      </c>
      <c r="O25" s="143">
        <f>SUM(O16:O24)</f>
        <v>412.90978865</v>
      </c>
      <c r="P25" s="144">
        <f>SUM(P16:P24)</f>
        <v>73481.107918649999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73481.107918649999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67202.5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5776.6190000000006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233.41850000000005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61192.462500000001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11875.735629999999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73068.198130000004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1826.7049532500002</v>
      </c>
    </row>
    <row r="35" spans="2:16" ht="15.75" customHeight="1" thickBot="1" x14ac:dyDescent="0.4">
      <c r="N35" s="216" t="s">
        <v>92</v>
      </c>
      <c r="O35" s="217"/>
      <c r="P35" s="160">
        <f>P33+P34</f>
        <v>74894.903083249999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113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114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>
        <v>3520114769301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 t="shared" ref="O16:O24" si="1">(N16+M16)*$O$15</f>
        <v>3.0019042499999999</v>
      </c>
      <c r="P16" s="105">
        <f t="shared" ref="P16:P24" si="2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106.1841</v>
      </c>
      <c r="O17" s="119">
        <f t="shared" si="1"/>
        <v>2.9441954999999997</v>
      </c>
      <c r="P17" s="120">
        <f t="shared" si="2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>
        <v>1</v>
      </c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163.00415999999998</v>
      </c>
      <c r="O19" s="119">
        <f t="shared" si="1"/>
        <v>4.1564607999999996</v>
      </c>
      <c r="P19" s="120">
        <f t="shared" si="2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147.02336</v>
      </c>
      <c r="O20" s="119">
        <f t="shared" si="1"/>
        <v>4.0765568000000005</v>
      </c>
      <c r="P20" s="120">
        <f t="shared" si="2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5004.1000000000004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400.32799999999997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4603.7720000000008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5671.6469400000005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16" t="s">
        <v>92</v>
      </c>
      <c r="O35" s="217"/>
      <c r="P35" s="160">
        <f>P33+P34</f>
        <v>5700.0051747000007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2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116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2098.5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167.88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1930.62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2378.4398999999999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6" t="s">
        <v>92</v>
      </c>
      <c r="O35" s="217"/>
      <c r="P35" s="160">
        <f>P33+P34</f>
        <v>2437.9008974999997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118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>
        <v>3520135430825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I16*$K$13</f>
        <v>0</v>
      </c>
      <c r="L16" s="105">
        <f>I16*8%</f>
        <v>20.984999999999999</v>
      </c>
      <c r="M16" s="106">
        <f>I16-K16-L16</f>
        <v>241.32749999999999</v>
      </c>
      <c r="N16" s="106">
        <f t="shared" ref="N16:N24" si="0">(M16*$N$15)+(J16*F16)*$N$15</f>
        <v>53.09205</v>
      </c>
      <c r="O16" s="107">
        <f>(N16+M16)*$O$15</f>
        <v>1.4720977499999999</v>
      </c>
      <c r="P16" s="105">
        <f t="shared" ref="P16:P24" si="1">M16+N16+O16</f>
        <v>295.89164774999995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1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64.633800000000008</v>
      </c>
      <c r="O17" s="119">
        <f t="shared" ref="O17:O24" si="6">(N17+M17)*$O$15</f>
        <v>1.5298065000000001</v>
      </c>
      <c r="P17" s="120">
        <f t="shared" si="1"/>
        <v>307.4911065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5.9460997500000001</v>
      </c>
      <c r="P25" s="144">
        <f>SUM(P16:P24)</f>
        <v>1195.1660497499997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1049.25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83.94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965.31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1189.2199499999999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5.9460997500000001</v>
      </c>
    </row>
    <row r="35" spans="2:16" ht="15.75" customHeight="1" thickBot="1" x14ac:dyDescent="0.4">
      <c r="N35" s="216" t="s">
        <v>92</v>
      </c>
      <c r="O35" s="217"/>
      <c r="P35" s="160">
        <f>P33+P34</f>
        <v>1195.16604975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119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120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>
        <v>3520133034223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I16*$K$13</f>
        <v>0</v>
      </c>
      <c r="L16" s="105">
        <f>I16*8%</f>
        <v>20.984999999999999</v>
      </c>
      <c r="M16" s="106">
        <f>I16-K16-L16</f>
        <v>241.32749999999999</v>
      </c>
      <c r="N16" s="106">
        <f t="shared" ref="N16:N24" si="0">(M16*$N$15)+(J16*F16)*$N$15</f>
        <v>43.438949999999998</v>
      </c>
      <c r="O16" s="107">
        <f>(N16+M16)*$O$15</f>
        <v>1.4238322499999998</v>
      </c>
      <c r="P16" s="105">
        <f t="shared" ref="P16:P24" si="1">M16+N16+O16</f>
        <v>286.19028224999994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1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52.882199999999997</v>
      </c>
      <c r="O17" s="119">
        <f t="shared" ref="O17:O24" si="6">(N17+M17)*$O$15</f>
        <v>1.4710485</v>
      </c>
      <c r="P17" s="120">
        <f t="shared" si="1"/>
        <v>295.68074849999999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86.877899999999997</v>
      </c>
      <c r="O18" s="119">
        <f t="shared" si="6"/>
        <v>2.8476644999999996</v>
      </c>
      <c r="P18" s="120">
        <f t="shared" si="1"/>
        <v>572.38056449999988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60.145919999999997</v>
      </c>
      <c r="O19" s="119">
        <f t="shared" si="6"/>
        <v>1.9714495999999999</v>
      </c>
      <c r="P19" s="120">
        <f t="shared" si="1"/>
        <v>396.26136960000002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73.221119999999999</v>
      </c>
      <c r="O20" s="119">
        <f t="shared" si="6"/>
        <v>2.0368255999999998</v>
      </c>
      <c r="P20" s="120">
        <f t="shared" si="1"/>
        <v>409.40194559999998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120.29183999999999</v>
      </c>
      <c r="O21" s="119">
        <f t="shared" si="6"/>
        <v>3.9428991999999998</v>
      </c>
      <c r="P21" s="120">
        <f t="shared" si="1"/>
        <v>792.52273920000005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64.611810000000006</v>
      </c>
      <c r="O22" s="119">
        <f t="shared" si="6"/>
        <v>2.1178315500000005</v>
      </c>
      <c r="P22" s="120">
        <f t="shared" si="1"/>
        <v>425.68414155000005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50</v>
      </c>
      <c r="I25" s="137">
        <f t="shared" si="9"/>
        <v>2894.3500000000004</v>
      </c>
      <c r="J25" s="138"/>
      <c r="K25" s="139">
        <f t="shared" si="9"/>
        <v>13.730500000000003</v>
      </c>
      <c r="L25" s="140">
        <f t="shared" si="9"/>
        <v>219.779</v>
      </c>
      <c r="M25" s="141">
        <f t="shared" si="9"/>
        <v>2660.8405000000002</v>
      </c>
      <c r="N25" s="142">
        <f>SUM(N16:N24)</f>
        <v>501.46973999999994</v>
      </c>
      <c r="O25" s="143">
        <f>SUM(O16:O24)</f>
        <v>15.811551199999998</v>
      </c>
      <c r="P25" s="144">
        <f>SUM(P16:P24)</f>
        <v>3178.1217912000002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2894.3500000000004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219.779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13.730500000000003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2660.8405000000002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501.46973999999994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3162.3102400000002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15.811551200000002</v>
      </c>
    </row>
    <row r="35" spans="2:16" ht="15.75" customHeight="1" thickBot="1" x14ac:dyDescent="0.4">
      <c r="N35" s="216" t="s">
        <v>92</v>
      </c>
      <c r="O35" s="217"/>
      <c r="P35" s="160">
        <f>P33+P34</f>
        <v>3178.1217912000002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5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121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118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 t="s">
        <v>122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3277876171384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351.28890000000001</v>
      </c>
      <c r="O16" s="107">
        <f>(N16+M16)*$O$15</f>
        <v>10.9898445</v>
      </c>
      <c r="P16" s="105">
        <f t="shared" ref="P16:P24" si="1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I17*12%</f>
        <v>251.82</v>
      </c>
      <c r="M17" s="118">
        <f t="shared" ref="M17:M23" si="5">I17-K17-L17</f>
        <v>1846.68</v>
      </c>
      <c r="N17" s="118">
        <f t="shared" si="0"/>
        <v>351.28890000000001</v>
      </c>
      <c r="O17" s="119">
        <f t="shared" ref="O17:O24" si="6">(N17+M17)*$O$15</f>
        <v>10.9898445</v>
      </c>
      <c r="P17" s="120">
        <f t="shared" si="1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486.39743999999996</v>
      </c>
      <c r="O21" s="119">
        <f t="shared" si="6"/>
        <v>15.216627199999998</v>
      </c>
      <c r="P21" s="120">
        <f t="shared" si="1"/>
        <v>3058.5420671999996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8">SUM(G16:G24)</f>
        <v>0</v>
      </c>
      <c r="H25" s="136">
        <f t="shared" si="8"/>
        <v>240</v>
      </c>
      <c r="I25" s="137">
        <f t="shared" si="8"/>
        <v>15012.300000000001</v>
      </c>
      <c r="J25" s="138"/>
      <c r="K25" s="139">
        <f t="shared" si="8"/>
        <v>0</v>
      </c>
      <c r="L25" s="140">
        <f t="shared" si="8"/>
        <v>1801.4760000000001</v>
      </c>
      <c r="M25" s="141">
        <f t="shared" si="8"/>
        <v>13210.824000000001</v>
      </c>
      <c r="N25" s="142">
        <f>SUM(N16:N24)</f>
        <v>2513.0590199999997</v>
      </c>
      <c r="O25" s="143">
        <f>SUM(O16:O24)</f>
        <v>78.619415099999998</v>
      </c>
      <c r="P25" s="144">
        <f>SUM(P16:P24)</f>
        <v>15802.502435099999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15012.300000000001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1801.4760000000001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13210.824000000001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2513.0590199999997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15723.883020000001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78.619415100000012</v>
      </c>
    </row>
    <row r="35" spans="2:16" ht="15.75" customHeight="1" thickBot="1" x14ac:dyDescent="0.4">
      <c r="N35" s="216" t="s">
        <v>92</v>
      </c>
      <c r="O35" s="217"/>
      <c r="P35" s="160">
        <f>P33+P34</f>
        <v>15802.502435100001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v>46179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123</v>
      </c>
      <c r="B5" s="243"/>
      <c r="C5" s="243"/>
      <c r="F5" s="70"/>
      <c r="G5" s="71"/>
      <c r="K5" s="198" t="s">
        <v>51</v>
      </c>
      <c r="L5" s="198"/>
      <c r="M5" s="198"/>
      <c r="N5" s="199">
        <f>N4-1</f>
        <v>46178</v>
      </c>
      <c r="O5" s="197"/>
      <c r="P5" s="197"/>
      <c r="R5" s="70"/>
      <c r="S5" s="71"/>
    </row>
    <row r="6" spans="1:19 16383:16384" ht="15" customHeight="1" x14ac:dyDescent="0.35">
      <c r="A6" s="198" t="s">
        <v>124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125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75" t="s">
        <v>125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160</v>
      </c>
      <c r="I19" s="116">
        <f t="shared" si="2"/>
        <v>11622.4</v>
      </c>
      <c r="J19" s="117">
        <v>8</v>
      </c>
      <c r="K19" s="1">
        <f t="shared" si="3"/>
        <v>0</v>
      </c>
      <c r="L19" s="105">
        <f t="shared" si="4"/>
        <v>929.79200000000003</v>
      </c>
      <c r="M19" s="118">
        <f t="shared" si="5"/>
        <v>10692.608</v>
      </c>
      <c r="N19" s="118">
        <f t="shared" si="0"/>
        <v>2029.2710399999999</v>
      </c>
      <c r="O19" s="119">
        <f t="shared" si="6"/>
        <v>63.609395200000002</v>
      </c>
      <c r="P19" s="120">
        <f t="shared" si="1"/>
        <v>12785.488435199999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160</v>
      </c>
      <c r="I20" s="116">
        <f t="shared" si="2"/>
        <v>11622.4</v>
      </c>
      <c r="J20" s="117">
        <v>8</v>
      </c>
      <c r="K20" s="1">
        <f t="shared" si="3"/>
        <v>0</v>
      </c>
      <c r="L20" s="105">
        <f t="shared" si="4"/>
        <v>929.79200000000003</v>
      </c>
      <c r="M20" s="118">
        <f t="shared" si="5"/>
        <v>10692.608</v>
      </c>
      <c r="N20" s="118">
        <f t="shared" si="0"/>
        <v>2029.2710399999999</v>
      </c>
      <c r="O20" s="119">
        <f t="shared" si="6"/>
        <v>63.609395200000002</v>
      </c>
      <c r="P20" s="120">
        <f t="shared" si="1"/>
        <v>12785.488435199999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 t="shared" si="4"/>
        <v>929.79200000000003</v>
      </c>
      <c r="M21" s="118">
        <f t="shared" si="5"/>
        <v>10692.608</v>
      </c>
      <c r="N21" s="118">
        <f t="shared" si="0"/>
        <v>2029.2710399999999</v>
      </c>
      <c r="O21" s="119">
        <f t="shared" si="6"/>
        <v>63.609395200000002</v>
      </c>
      <c r="P21" s="120">
        <f t="shared" si="1"/>
        <v>12785.488435199999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160</v>
      </c>
      <c r="I22" s="116">
        <f t="shared" si="2"/>
        <v>6276.8000000000011</v>
      </c>
      <c r="J22" s="117"/>
      <c r="K22" s="1">
        <f>I22*3.5%</f>
        <v>219.68800000000005</v>
      </c>
      <c r="L22" s="120">
        <f>I22*5%</f>
        <v>313.84000000000009</v>
      </c>
      <c r="M22" s="118">
        <f t="shared" si="5"/>
        <v>5743.2720000000008</v>
      </c>
      <c r="N22" s="118">
        <f t="shared" si="0"/>
        <v>1033.7889600000001</v>
      </c>
      <c r="O22" s="119">
        <f t="shared" si="6"/>
        <v>33.885304800000007</v>
      </c>
      <c r="P22" s="120">
        <f t="shared" si="1"/>
        <v>6810.9462648000008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640</v>
      </c>
      <c r="I25" s="137">
        <f t="shared" si="9"/>
        <v>41144</v>
      </c>
      <c r="J25" s="138"/>
      <c r="K25" s="139">
        <f t="shared" si="9"/>
        <v>219.68800000000005</v>
      </c>
      <c r="L25" s="140">
        <f t="shared" si="9"/>
        <v>3103.2160000000003</v>
      </c>
      <c r="M25" s="141">
        <f t="shared" si="9"/>
        <v>37821.096000000005</v>
      </c>
      <c r="N25" s="142">
        <f>SUM(N16:N24)</f>
        <v>7121.6020799999997</v>
      </c>
      <c r="O25" s="143">
        <f>SUM(O16:O24)</f>
        <v>224.71349040000001</v>
      </c>
      <c r="P25" s="144">
        <f>SUM(P16:P24)</f>
        <v>45167.4115704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41144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3103.2160000000003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219.68800000000005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37821.095999999998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7121.6020799999997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44942.698079999995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224.71349039999998</v>
      </c>
    </row>
    <row r="35" spans="2:16" ht="15.75" customHeight="1" thickBot="1" x14ac:dyDescent="0.4">
      <c r="N35" s="216" t="s">
        <v>92</v>
      </c>
      <c r="O35" s="217"/>
      <c r="P35" s="160">
        <f>P33+P34</f>
        <v>45167.411570399992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>
        <v>3520242563059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109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110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111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7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>
        <v>3628249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46293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46292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2026-09-28T08:53:37Z</dcterms:modified>
</cp:coreProperties>
</file>