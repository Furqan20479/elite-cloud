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46A2202F-1ED7-4944-8C7C-4E3AFE5FDCF2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17" i="15" l="1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K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L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2" i="19" l="1"/>
  <c r="L18" i="17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P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8" i="15" l="1"/>
  <c r="M22" i="15"/>
  <c r="P22" i="20"/>
  <c r="M25" i="20"/>
  <c r="M25" i="18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O16" i="18" l="1"/>
  <c r="O25" i="18" s="1"/>
  <c r="N25" i="18"/>
  <c r="P32" i="18" s="1"/>
  <c r="P33" i="18" s="1"/>
  <c r="N22" i="15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5758D7B1-21F4-4755-A86A-71199294B8CC}">
      <text>
        <r>
          <rPr>
            <b/>
            <sz val="9"/>
            <color indexed="81"/>
            <rFont val="Tahoma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<sst xmlns="http://schemas.openxmlformats.org/spreadsheetml/2006/main" count="1585" uniqueCount="122">
  <si>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</si>
  <si>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</si>
  <si>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</si>
  <si>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</si>
  <si>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</si>
  <si>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</si>
  <si>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</si>
  <si>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</si>
  <si>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</si>
  <si>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</si>
  <si>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</si>
  <si>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</si>
  <si>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</si>
  <si>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</si>
  <si>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</si>
  <si>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</si>
  <si>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</si>
  <si>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</si>
  <si>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</si>
  <si>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</si>
  <si>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</si>
  <si>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</si>
  <si>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</si>
  <si>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</si>
  <si>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</si>
  <si>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</si>
  <si>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</si>
  <si>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</si>
  <si>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</si>
  <si>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</si>
  <si>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</si>
  <si>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</si>
  <si>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</si>
  <si>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</si>
  <si>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</si>
  <si>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</si>
  <si>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</si>
  <si>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</si>
  <si>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</si>
  <si>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</si>
  <si>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</si>
  <si>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</si>
  <si>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</si>
  <si>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</si>
  <si>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</si>
  <si>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</si>
  <si>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</si>
  <si>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</si>
  <si>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</si>
  <si>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</si>
  <si>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</si>
  <si>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</si>
  <si>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</si>
  <si>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</si>
  <si>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</si>
  <si>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</si>
  <si>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</si>
  <si>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</si>
  <si>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</si>
  <si>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</si>
  <si>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</si>
  <si>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</si>
  <si>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</si>
  <si>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</si>
  <si>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</si>
  <si>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</si>
  <si>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</si>
  <si>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</si>
  <si>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</si>
  <si>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</si>
  <si>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</si>
  <si>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</si>
  <si>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</si>
  <si>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</si>
  <si>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</si>
  <si>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</si>
  <si>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</si>
  <si>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</si>
  <si>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</si>
  <si>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</si>
  <si>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</si>
  <si>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</si>
  <si>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</si>
  <si>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</si>
  <si>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</si>
  <si>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</si>
  <si>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</si>
  <si>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</si>
  <si>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</si>
  <si>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</si>
  <si>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</si>
  <si>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</si>
  <si>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</si>
  <si>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</si>
  <si>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</si>
  <si>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</si>
  <si>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</si>
  <si>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</si>
  <si>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</si>
  <si>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</si>
  <si>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</si>
  <si>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</si>
  <si>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</si>
  <si>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</si>
  <si>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</si>
  <si>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</si>
  <si>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Zeshan</t>
  </si>
  <si>
    <t>Shop Bill Summary (Zeshan)</t>
  </si>
  <si>
    <t>Customer Name : Luqman Bakery</t>
  </si>
  <si>
    <t>Address: Bedian Road</t>
  </si>
  <si>
    <t>5493325-4</t>
  </si>
  <si>
    <t>Customer Name : Ravi Store</t>
  </si>
  <si>
    <t>Customer Name : China Store</t>
  </si>
  <si>
    <t>Address: Cant View</t>
  </si>
  <si>
    <t>5493326-6</t>
  </si>
  <si>
    <t xml:space="preserve">Customer Name : Esajee </t>
  </si>
  <si>
    <t>Address: Phase 5</t>
  </si>
  <si>
    <t>1302558-9</t>
  </si>
  <si>
    <t>Customer Name : Malik Store</t>
  </si>
  <si>
    <t>Customer Name : Khalil Store</t>
  </si>
  <si>
    <t xml:space="preserve">Customer Name : Fakhar Groccery </t>
  </si>
  <si>
    <t xml:space="preserve">Warehouse problem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</si>
</sst>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zoomScale="70" zoomScaleNormal="70" workbookViewId="0">
      <selection activeCell="S15" sqref="S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106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107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Luqman Bakery</v>
      </c>
      <c r="U14" s="164">
        <f>+'1'!P35</f>
        <v>5700.0051747000007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Ravi Store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>Customer Name : China Store</v>
      </c>
      <c r="U16" s="164">
        <f>+'3'!P35</f>
        <v>5070.1295250000003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+'1'!J17+'2'!J17+'4'!J17+'3'!J17+'5'!J17+'6'!J17+'7'!J17+'8'!J17+'9'!J17+'10'!J17+'11'!J17+'12'!J17+'13'!J17+'14'!J17+'15'!J17+'16'!J17+'17'!J17+'18'!J17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167.88</v>
      </c>
      <c r="M17" s="118">
        <f t="shared" ref="M17:M23" si="2">I17-K17-L17</f>
        <v>1930.62</v>
      </c>
      <c r="N17" s="101">
        <f>+'1'!N17+'2'!N17+'4'!N17+'3'!N17+'5'!N17+'6'!N17+'7'!N17+'8'!N17+'9'!N17+'10'!N17</f>
        <v>447.81990000000002</v>
      </c>
      <c r="O17" s="101">
        <f>+'1'!O17+'2'!O17+'4'!O17+'3'!O17+'5'!O17+'6'!O17+'7'!O17+'8'!O17+'9'!O17+'10'!O17</f>
        <v>11.8921995</v>
      </c>
      <c r="P17" s="120">
        <f t="shared" si="0"/>
        <v>2390.3320994999999</v>
      </c>
      <c r="S17" s="64"/>
      <c r="T17" s="163" t="str">
        <f>+'4'!A5</f>
        <v xml:space="preserve">Customer Name : Esajee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Malik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60</v>
      </c>
      <c r="I19" s="1">
        <f t="shared" si="1"/>
        <v>4358.3999999999996</v>
      </c>
      <c r="J19" s="172">
        <f>+'1'!J19+'2'!J19+'4'!J19+'3'!J19+'5'!J19+'6'!J19+'7'!J19+'8'!J19+'9'!J19+'10'!J19+'11'!J19+'12'!J19+'13'!J19+'14'!J19+'15'!J19+'16'!J19+'17'!J19+'18'!J19</f>
        <v>3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348.67200000000003</v>
      </c>
      <c r="M19" s="118">
        <f t="shared" si="2"/>
        <v>4009.7279999999996</v>
      </c>
      <c r="N19" s="101">
        <f>+'1'!N19+'2'!N19+'4'!N19+'3'!N19+'5'!N19+'6'!N19+'7'!N19+'8'!N19+'9'!N19+'10'!N19</f>
        <v>930.08255999999994</v>
      </c>
      <c r="O19" s="101">
        <f>+'1'!O19+'2'!O19+'4'!O19+'3'!O19+'5'!O19+'6'!O19+'7'!O19+'8'!O19+'9'!O19+'10'!O19</f>
        <v>24.6990528</v>
      </c>
      <c r="P19" s="120">
        <f t="shared" si="0"/>
        <v>4964.5096127999996</v>
      </c>
      <c r="T19" s="163" t="str">
        <f>+'6'!A5</f>
        <v>Customer Name : Khalil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10</v>
      </c>
      <c r="I20" s="1">
        <f t="shared" si="1"/>
        <v>726.4</v>
      </c>
      <c r="J20" s="172">
        <f>+'1'!J20+'2'!J20+'4'!J20+'3'!J20+'5'!J20+'6'!J20+'7'!J20+'8'!J20+'9'!J20+'10'!J20+'11'!J20+'12'!J20+'13'!J20+'14'!J20+'15'!J20+'16'!J20+'17'!J20+'18'!J20</f>
        <v>1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58.112000000000002</v>
      </c>
      <c r="M20" s="118">
        <f t="shared" si="2"/>
        <v>668.28800000000001</v>
      </c>
      <c r="N20" s="101">
        <f>+'1'!N20+'2'!N20+'4'!N20+'3'!N20+'5'!N20+'6'!N20+'7'!N20+'8'!N20+'9'!N20+'10'!N20</f>
        <v>163.00415999999998</v>
      </c>
      <c r="O20" s="101">
        <f>+'1'!O20+'2'!O20+'4'!O20+'3'!O20+'5'!O20+'6'!O20+'7'!O20+'8'!O20+'9'!O20+'10'!O20</f>
        <v>4.1564607999999996</v>
      </c>
      <c r="P20" s="120">
        <f t="shared" si="0"/>
        <v>835.44862079999996</v>
      </c>
      <c r="T20" s="163" t="str">
        <f>+'7'!A5</f>
        <v xml:space="preserve">Customer Name : Fakhar Groccery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10</v>
      </c>
      <c r="I21" s="1">
        <f t="shared" si="1"/>
        <v>726.4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58.112000000000002</v>
      </c>
      <c r="M21" s="118">
        <f t="shared" si="2"/>
        <v>668.28800000000001</v>
      </c>
      <c r="N21" s="101">
        <f>+'1'!N21+'2'!N21+'4'!N21+'3'!N21+'5'!N21+'6'!N21+'7'!N21+'8'!N21+'9'!N21+'10'!N21</f>
        <v>147.02336</v>
      </c>
      <c r="O21" s="101">
        <f>+'1'!O21+'2'!O21+'4'!O21+'3'!O21+'5'!O21+'6'!O21+'7'!O21+'8'!O21+'9'!O21+'10'!O21</f>
        <v>4.0765568000000005</v>
      </c>
      <c r="P21" s="120">
        <f t="shared" si="0"/>
        <v>819.38791680000008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40</v>
      </c>
      <c r="I22" s="1">
        <f t="shared" si="1"/>
        <v>1569.2000000000003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54.922000000000011</v>
      </c>
      <c r="L22" s="175">
        <f>+'1'!L22+'2'!L22+'4'!L22+'3'!L22+'5'!L22+'6'!L22+'7'!L22+'8'!L22+'9'!L22+'10'!L22</f>
        <v>78.460000000000022</v>
      </c>
      <c r="M22" s="118">
        <f t="shared" si="2"/>
        <v>1435.8180000000002</v>
      </c>
      <c r="N22" s="101">
        <f>+'1'!N22+'2'!N22+'4'!N22+'3'!N22+'5'!N22+'6'!N22+'7'!N22+'8'!N22+'9'!N22+'10'!N22</f>
        <v>315.87996000000004</v>
      </c>
      <c r="O22" s="101">
        <f>+'1'!O22+'2'!O22+'4'!O22+'3'!O22+'5'!O22+'6'!O22+'7'!O22+'8'!O22+'9'!O22+'10'!O22</f>
        <v>8.7584898000000013</v>
      </c>
      <c r="P22" s="120">
        <f t="shared" si="0"/>
        <v>1760.4564498000002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4</v>
      </c>
      <c r="D25" s="221"/>
      <c r="E25" s="221"/>
      <c r="F25" s="221"/>
      <c r="G25" s="176">
        <f t="shared" ref="G25:M25" si="3">SUM(G16:G24)</f>
        <v>0</v>
      </c>
      <c r="H25" s="177">
        <f t="shared" si="3"/>
        <v>160</v>
      </c>
      <c r="I25" s="178">
        <f t="shared" si="3"/>
        <v>9478.9</v>
      </c>
      <c r="J25" s="177">
        <f t="shared" si="3"/>
        <v>6</v>
      </c>
      <c r="K25" s="178">
        <f t="shared" si="3"/>
        <v>54.922000000000011</v>
      </c>
      <c r="L25" s="179">
        <f t="shared" si="3"/>
        <v>711.23599999999999</v>
      </c>
      <c r="M25" s="141">
        <f t="shared" si="3"/>
        <v>8712.742000000002</v>
      </c>
      <c r="N25" s="142">
        <f>SUM(N16:N24)</f>
        <v>2003.8099399999999</v>
      </c>
      <c r="O25" s="143">
        <f>SUM(O16:O24)</f>
        <v>53.582759699999997</v>
      </c>
      <c r="P25" s="144">
        <f>SUM(P16:P24)</f>
        <v>10770.1346997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10770.1346997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9478.9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711.23599999999999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54.922000000000011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8712.7419999999984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2003.8099399999999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10716.551939999998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267.91379849999993</v>
      </c>
    </row>
    <row r="39" spans="2:16" ht="15.75" customHeight="1" thickBot="1" x14ac:dyDescent="0.4">
      <c r="N39" s="219" t="s">
        <v>92</v>
      </c>
      <c r="O39" s="220"/>
      <c r="P39" s="160">
        <f>P37+P38</f>
        <v>10984.465738499997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5" workbookViewId="0">
      <selection activeCell="J19" sqref="J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>
        <v>2</v>
      </c>
      <c r="K17" s="1">
        <f t="shared" ref="K17:K21" si="4">I17*$K$13</f>
        <v>0</v>
      </c>
      <c r="L17" s="105">
        <f t="shared" ref="L17:L21" si="5">I17*8%</f>
        <v>167.88</v>
      </c>
      <c r="M17" s="118">
        <f t="shared" ref="M17:M23" si="6">I17-K17-L17</f>
        <v>1930.62</v>
      </c>
      <c r="N17" s="118">
        <f t="shared" si="0"/>
        <v>447.81990000000002</v>
      </c>
      <c r="O17" s="119">
        <f t="shared" si="1"/>
        <v>11.8921995</v>
      </c>
      <c r="P17" s="120">
        <f t="shared" si="2"/>
        <v>2390.3320994999999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>
        <v>2</v>
      </c>
      <c r="K19" s="1">
        <f t="shared" si="4"/>
        <v>0</v>
      </c>
      <c r="L19" s="105">
        <f t="shared" si="5"/>
        <v>232.44800000000001</v>
      </c>
      <c r="M19" s="118">
        <f t="shared" si="6"/>
        <v>2673.152</v>
      </c>
      <c r="N19" s="118">
        <f t="shared" si="0"/>
        <v>620.05503999999996</v>
      </c>
      <c r="O19" s="119">
        <f t="shared" si="1"/>
        <v>16.4660352</v>
      </c>
      <c r="P19" s="120">
        <f t="shared" si="2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80</v>
      </c>
      <c r="I25" s="137">
        <f t="shared" si="9"/>
        <v>5004.1000000000004</v>
      </c>
      <c r="J25" s="138"/>
      <c r="K25" s="139">
        <f t="shared" si="9"/>
        <v>0</v>
      </c>
      <c r="L25" s="140">
        <f t="shared" si="9"/>
        <v>400.32799999999997</v>
      </c>
      <c r="M25" s="141">
        <f t="shared" si="9"/>
        <v>4603.7719999999999</v>
      </c>
      <c r="N25" s="142">
        <f>SUM(N16:N24)</f>
        <v>1067.8749399999999</v>
      </c>
      <c r="O25" s="143">
        <f>SUM(O16:O24)</f>
        <v>28.358234700000001</v>
      </c>
      <c r="P25" s="144">
        <f>SUM(P16:P24)</f>
        <v>5700.0051746999998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5004.1000000000004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400.32799999999997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4603.7720000000008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1067.8749399999999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5671.6469400000005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28.358234700000004</v>
      </c>
    </row>
    <row r="35" spans="2:16" ht="15.75" customHeight="1" thickBot="1" x14ac:dyDescent="0.4">
      <c r="N35" s="219" t="s">
        <v>92</v>
      </c>
      <c r="O35" s="220"/>
      <c r="P35" s="160">
        <f>P33+P34</f>
        <v>5700.0051747000007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7" workbookViewId="0">
      <selection activeCell="J19" sqref="J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7" workbookViewId="0">
      <selection activeCell="H10" sqref="H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113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 t="s">
        <v>114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8.2330176000000002</v>
      </c>
      <c r="P19" s="120">
        <f t="shared" si="1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4.0765568000000005</v>
      </c>
      <c r="P21" s="120">
        <f t="shared" si="1"/>
        <v>819.38791680000008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8.7584898000000013</v>
      </c>
      <c r="P22" s="120">
        <f t="shared" si="1"/>
        <v>1760.4564498000002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54.922000000000011</v>
      </c>
      <c r="L25" s="140">
        <f t="shared" si="9"/>
        <v>310.90800000000002</v>
      </c>
      <c r="M25" s="141">
        <f t="shared" si="9"/>
        <v>4108.97</v>
      </c>
      <c r="N25" s="142">
        <f>SUM(N16:N24)</f>
        <v>935.93499999999995</v>
      </c>
      <c r="O25" s="143">
        <f>SUM(O16:O24)</f>
        <v>25.224525</v>
      </c>
      <c r="P25" s="144">
        <f>SUM(P16:P24)</f>
        <v>5070.1295250000003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4474.8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310.90800000000002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4108.97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935.93499999999995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5044.9050000000007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25.224525000000003</v>
      </c>
    </row>
    <row r="35" spans="2:16" ht="15.75" customHeight="1" thickBot="1" x14ac:dyDescent="0.4">
      <c r="N35" s="219" t="s">
        <v>92</v>
      </c>
      <c r="O35" s="220"/>
      <c r="P35" s="160">
        <f>P33+P34</f>
        <v>5070.1295250000003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FD37"/>
  <sheetViews>
    <sheetView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1" spans="1:19 16383:16384" x14ac:dyDescent="0.35">
      <c r="L1" t="s">
        <v>121</v>
      </c>
    </row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116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117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3740504480721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2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120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4" workbookViewId="0">
      <selection activeCell="I22" sqref="I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2026-06-29T12:42:13Z</dcterms:modified>
</cp:coreProperties>
</file>