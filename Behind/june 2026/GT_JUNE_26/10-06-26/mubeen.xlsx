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7FE978CA-4280-491B-8788-5A39F24E25FE}" xr6:coauthVersionLast="45" xr6:coauthVersionMax="45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I20" i="33" s="1"/>
  <c r="C20" i="33"/>
  <c r="B20" i="33"/>
  <c r="F19" i="33"/>
  <c r="E19" i="33"/>
  <c r="D19" i="33"/>
  <c r="I19" i="33" s="1"/>
  <c r="B19" i="33"/>
  <c r="C19" i="33" s="1"/>
  <c r="I18" i="33"/>
  <c r="K18" i="33" s="1"/>
  <c r="F18" i="33"/>
  <c r="E18" i="33"/>
  <c r="D18" i="33"/>
  <c r="C18" i="33"/>
  <c r="B18" i="33"/>
  <c r="F17" i="33"/>
  <c r="I17" i="33" s="1"/>
  <c r="E17" i="33"/>
  <c r="D17" i="33"/>
  <c r="B17" i="33"/>
  <c r="C17" i="33" s="1"/>
  <c r="F16" i="33"/>
  <c r="I16" i="33" s="1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C12" i="28"/>
  <c r="C11" i="28"/>
  <c r="N4" i="28"/>
  <c r="N5" i="28" s="1"/>
  <c r="L16" i="33" l="1"/>
  <c r="K17" i="33"/>
  <c r="M17" i="33" s="1"/>
  <c r="L17" i="33"/>
  <c r="I16" i="28"/>
  <c r="I17" i="28"/>
  <c r="I18" i="28"/>
  <c r="K18" i="28" s="1"/>
  <c r="I19" i="28"/>
  <c r="I20" i="28"/>
  <c r="I21" i="28"/>
  <c r="I22" i="28"/>
  <c r="K22" i="28" s="1"/>
  <c r="I23" i="28"/>
  <c r="I24" i="28"/>
  <c r="I16" i="30"/>
  <c r="I17" i="30"/>
  <c r="K17" i="30" s="1"/>
  <c r="M17" i="30" s="1"/>
  <c r="I18" i="30"/>
  <c r="I19" i="30"/>
  <c r="I20" i="30"/>
  <c r="I21" i="30"/>
  <c r="K21" i="30" s="1"/>
  <c r="I22" i="30"/>
  <c r="I23" i="30"/>
  <c r="I24" i="30"/>
  <c r="I16" i="32"/>
  <c r="I25" i="32" s="1"/>
  <c r="P28" i="32" s="1"/>
  <c r="I17" i="32"/>
  <c r="I18" i="32"/>
  <c r="I19" i="32"/>
  <c r="I20" i="32"/>
  <c r="K20" i="32" s="1"/>
  <c r="M20" i="32" s="1"/>
  <c r="I21" i="32"/>
  <c r="I21" i="33"/>
  <c r="I25" i="33" s="1"/>
  <c r="P28" i="33" s="1"/>
  <c r="L18" i="33"/>
  <c r="I22" i="32"/>
  <c r="L22" i="32" s="1"/>
  <c r="I22" i="33"/>
  <c r="I16" i="34"/>
  <c r="I17" i="34"/>
  <c r="I18" i="34"/>
  <c r="L18" i="34" s="1"/>
  <c r="I19" i="34"/>
  <c r="K19" i="34" s="1"/>
  <c r="M19" i="34" s="1"/>
  <c r="I20" i="34"/>
  <c r="I21" i="34"/>
  <c r="I22" i="34"/>
  <c r="K22" i="34" s="1"/>
  <c r="M22" i="34" s="1"/>
  <c r="I23" i="34"/>
  <c r="I24" i="34"/>
  <c r="I25" i="35"/>
  <c r="P28" i="35" s="1"/>
  <c r="K16" i="35"/>
  <c r="L16" i="35"/>
  <c r="K17" i="35"/>
  <c r="M17" i="35" s="1"/>
  <c r="L17" i="35"/>
  <c r="K18" i="35"/>
  <c r="L18" i="35"/>
  <c r="K19" i="35"/>
  <c r="L19" i="35"/>
  <c r="M19" i="35" s="1"/>
  <c r="K20" i="35"/>
  <c r="M20" i="35" s="1"/>
  <c r="L20" i="35"/>
  <c r="K21" i="35"/>
  <c r="M21" i="35" s="1"/>
  <c r="L21" i="35"/>
  <c r="K22" i="35"/>
  <c r="L22" i="35"/>
  <c r="M22" i="35" s="1"/>
  <c r="K23" i="35"/>
  <c r="L23" i="35"/>
  <c r="M23" i="35"/>
  <c r="K24" i="35"/>
  <c r="M24" i="35" s="1"/>
  <c r="L24" i="35"/>
  <c r="K16" i="34"/>
  <c r="M16" i="34" s="1"/>
  <c r="L16" i="34"/>
  <c r="K17" i="34"/>
  <c r="L17" i="34"/>
  <c r="L19" i="34"/>
  <c r="K20" i="34"/>
  <c r="L20" i="34"/>
  <c r="M20" i="34" s="1"/>
  <c r="K21" i="34"/>
  <c r="M21" i="34" s="1"/>
  <c r="L21" i="34"/>
  <c r="L22" i="34"/>
  <c r="K23" i="34"/>
  <c r="K24" i="34"/>
  <c r="L24" i="34"/>
  <c r="K21" i="33"/>
  <c r="L21" i="33"/>
  <c r="M21" i="33"/>
  <c r="K22" i="33"/>
  <c r="M22" i="33" s="1"/>
  <c r="L22" i="33"/>
  <c r="K19" i="33"/>
  <c r="M19" i="33" s="1"/>
  <c r="L19" i="33"/>
  <c r="K23" i="33"/>
  <c r="L23" i="33"/>
  <c r="K20" i="33"/>
  <c r="L20" i="33"/>
  <c r="K24" i="33"/>
  <c r="L24" i="33"/>
  <c r="M24" i="33"/>
  <c r="M18" i="33"/>
  <c r="K16" i="33"/>
  <c r="K24" i="32"/>
  <c r="M24" i="32" s="1"/>
  <c r="L24" i="32"/>
  <c r="L16" i="32"/>
  <c r="K17" i="32"/>
  <c r="M17" i="32" s="1"/>
  <c r="L17" i="32"/>
  <c r="K18" i="32"/>
  <c r="L18" i="32"/>
  <c r="M18" i="32" s="1"/>
  <c r="K19" i="32"/>
  <c r="M19" i="32" s="1"/>
  <c r="L19" i="32"/>
  <c r="L20" i="32"/>
  <c r="K21" i="32"/>
  <c r="M21" i="32" s="1"/>
  <c r="L21" i="32"/>
  <c r="K23" i="32"/>
  <c r="L23" i="32"/>
  <c r="M23" i="32" s="1"/>
  <c r="K17" i="31"/>
  <c r="M17" i="31" s="1"/>
  <c r="L17" i="31"/>
  <c r="K19" i="31"/>
  <c r="L19" i="31"/>
  <c r="M19" i="31" s="1"/>
  <c r="K21" i="31"/>
  <c r="L21" i="31"/>
  <c r="K22" i="31"/>
  <c r="M22" i="31" s="1"/>
  <c r="L22" i="31"/>
  <c r="K24" i="31"/>
  <c r="L24" i="31"/>
  <c r="M24" i="31" s="1"/>
  <c r="I25" i="31"/>
  <c r="P28" i="31" s="1"/>
  <c r="K16" i="31"/>
  <c r="L16" i="31"/>
  <c r="K18" i="31"/>
  <c r="L18" i="31"/>
  <c r="K20" i="31"/>
  <c r="L20" i="31"/>
  <c r="K23" i="31"/>
  <c r="M23" i="31" s="1"/>
  <c r="L23" i="31"/>
  <c r="K18" i="30"/>
  <c r="L18" i="30"/>
  <c r="K20" i="30"/>
  <c r="M20" i="30" s="1"/>
  <c r="L20" i="30"/>
  <c r="L21" i="30"/>
  <c r="K23" i="30"/>
  <c r="M23" i="30" s="1"/>
  <c r="L23" i="30"/>
  <c r="I25" i="30"/>
  <c r="P28" i="30" s="1"/>
  <c r="K16" i="30"/>
  <c r="M16" i="30" s="1"/>
  <c r="L16" i="30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K21" i="29"/>
  <c r="L21" i="29"/>
  <c r="K24" i="29"/>
  <c r="M24" i="29" s="1"/>
  <c r="L24" i="29"/>
  <c r="K17" i="29"/>
  <c r="L17" i="29"/>
  <c r="K20" i="29"/>
  <c r="L20" i="29"/>
  <c r="K22" i="29"/>
  <c r="L22" i="29"/>
  <c r="K18" i="29"/>
  <c r="M18" i="29" s="1"/>
  <c r="L18" i="29"/>
  <c r="K23" i="29"/>
  <c r="L23" i="29"/>
  <c r="K16" i="28"/>
  <c r="L16" i="28"/>
  <c r="K17" i="28"/>
  <c r="M17" i="28" s="1"/>
  <c r="L17" i="28"/>
  <c r="L18" i="28"/>
  <c r="K19" i="28"/>
  <c r="L19" i="28"/>
  <c r="M19" i="28" s="1"/>
  <c r="K20" i="28"/>
  <c r="M20" i="28" s="1"/>
  <c r="L20" i="28"/>
  <c r="K21" i="28"/>
  <c r="M21" i="28"/>
  <c r="L21" i="28"/>
  <c r="K23" i="28"/>
  <c r="M23" i="28" s="1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M18" i="28" l="1"/>
  <c r="I25" i="28"/>
  <c r="P28" i="28" s="1"/>
  <c r="M19" i="29"/>
  <c r="M18" i="31"/>
  <c r="K22" i="32"/>
  <c r="M20" i="33"/>
  <c r="N20" i="33" s="1"/>
  <c r="O20" i="33" s="1"/>
  <c r="L25" i="33"/>
  <c r="P29" i="33" s="1"/>
  <c r="M24" i="34"/>
  <c r="K18" i="34"/>
  <c r="M18" i="34" s="1"/>
  <c r="M21" i="30"/>
  <c r="L22" i="28"/>
  <c r="M22" i="28" s="1"/>
  <c r="M23" i="29"/>
  <c r="M22" i="29"/>
  <c r="M17" i="29"/>
  <c r="P17" i="29" s="1"/>
  <c r="M18" i="30"/>
  <c r="L25" i="31"/>
  <c r="P29" i="31" s="1"/>
  <c r="M22" i="32"/>
  <c r="K16" i="32"/>
  <c r="M16" i="32" s="1"/>
  <c r="M25" i="32" s="1"/>
  <c r="K25" i="33"/>
  <c r="P30" i="33" s="1"/>
  <c r="L23" i="34"/>
  <c r="M23" i="34" s="1"/>
  <c r="M17" i="34"/>
  <c r="I25" i="34"/>
  <c r="P28" i="34" s="1"/>
  <c r="M20" i="29"/>
  <c r="M21" i="29"/>
  <c r="L25" i="30"/>
  <c r="P29" i="30" s="1"/>
  <c r="M20" i="31"/>
  <c r="P20" i="31" s="1"/>
  <c r="M21" i="31"/>
  <c r="M23" i="33"/>
  <c r="M18" i="35"/>
  <c r="N20" i="35"/>
  <c r="O20" i="35" s="1"/>
  <c r="P20" i="35" s="1"/>
  <c r="N24" i="35"/>
  <c r="O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2" i="34"/>
  <c r="O22" i="34" s="1"/>
  <c r="N20" i="34"/>
  <c r="O20" i="34" s="1"/>
  <c r="P20" i="34"/>
  <c r="N17" i="34"/>
  <c r="O17" i="34" s="1"/>
  <c r="N24" i="34"/>
  <c r="O24" i="34" s="1"/>
  <c r="N18" i="34"/>
  <c r="O18" i="34" s="1"/>
  <c r="P18" i="34" s="1"/>
  <c r="N21" i="34"/>
  <c r="O21" i="34" s="1"/>
  <c r="L25" i="34"/>
  <c r="P29" i="34" s="1"/>
  <c r="K25" i="34"/>
  <c r="P30" i="34" s="1"/>
  <c r="N19" i="34"/>
  <c r="O19" i="34" s="1"/>
  <c r="N16" i="34"/>
  <c r="P31" i="34"/>
  <c r="N23" i="33"/>
  <c r="O23" i="33" s="1"/>
  <c r="N19" i="33"/>
  <c r="O19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1" i="32"/>
  <c r="O21" i="32" s="1"/>
  <c r="N19" i="32"/>
  <c r="O19" i="32" s="1"/>
  <c r="N17" i="32"/>
  <c r="O17" i="32" s="1"/>
  <c r="P17" i="32"/>
  <c r="N23" i="32"/>
  <c r="O23" i="32" s="1"/>
  <c r="N18" i="32"/>
  <c r="O18" i="32" s="1"/>
  <c r="N24" i="32"/>
  <c r="O24" i="32" s="1"/>
  <c r="P24" i="32"/>
  <c r="N20" i="32"/>
  <c r="O20" i="32" s="1"/>
  <c r="L25" i="32"/>
  <c r="P29" i="32" s="1"/>
  <c r="N22" i="32"/>
  <c r="O22" i="32" s="1"/>
  <c r="N21" i="31"/>
  <c r="O21" i="31" s="1"/>
  <c r="N18" i="31"/>
  <c r="O18" i="31" s="1"/>
  <c r="P18" i="31"/>
  <c r="N20" i="31"/>
  <c r="O20" i="31" s="1"/>
  <c r="N24" i="31"/>
  <c r="O24" i="31" s="1"/>
  <c r="P24" i="31"/>
  <c r="N23" i="31"/>
  <c r="O23" i="31" s="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N16" i="30"/>
  <c r="N20" i="30"/>
  <c r="O20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7" i="29"/>
  <c r="O17" i="29" s="1"/>
  <c r="N16" i="29"/>
  <c r="N20" i="29"/>
  <c r="O20" i="29" s="1"/>
  <c r="N18" i="29"/>
  <c r="O18" i="29" s="1"/>
  <c r="N19" i="29"/>
  <c r="O19" i="29" s="1"/>
  <c r="N24" i="29"/>
  <c r="O24" i="29" s="1"/>
  <c r="L25" i="29"/>
  <c r="P29" i="29" s="1"/>
  <c r="K25" i="29"/>
  <c r="P30" i="29" s="1"/>
  <c r="N24" i="28"/>
  <c r="O24" i="28" s="1"/>
  <c r="N20" i="28"/>
  <c r="O20" i="28" s="1"/>
  <c r="P20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N22" i="28" l="1"/>
  <c r="O22" i="28" s="1"/>
  <c r="M25" i="34"/>
  <c r="N23" i="34"/>
  <c r="O23" i="34" s="1"/>
  <c r="P23" i="34"/>
  <c r="K25" i="32"/>
  <c r="P30" i="32" s="1"/>
  <c r="N16" i="32"/>
  <c r="O16" i="32" s="1"/>
  <c r="O25" i="32" s="1"/>
  <c r="P17" i="33"/>
  <c r="P31" i="35"/>
  <c r="P31" i="32"/>
  <c r="P18" i="28"/>
  <c r="P31" i="29"/>
  <c r="P18" i="29"/>
  <c r="M25" i="29"/>
  <c r="P21" i="29"/>
  <c r="N21" i="30"/>
  <c r="O21" i="30" s="1"/>
  <c r="M25" i="30"/>
  <c r="P22" i="32"/>
  <c r="P24" i="34"/>
  <c r="P24" i="35"/>
  <c r="P24" i="28"/>
  <c r="P24" i="29"/>
  <c r="P23" i="31"/>
  <c r="P21" i="31"/>
  <c r="P23" i="32"/>
  <c r="P19" i="32"/>
  <c r="P22" i="35"/>
  <c r="P31" i="33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N20" i="26" s="1"/>
  <c r="O20" i="26" s="1"/>
  <c r="M20" i="27"/>
  <c r="N20" i="27" s="1"/>
  <c r="O20" i="27" s="1"/>
  <c r="M23" i="26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L25" i="27"/>
  <c r="P29" i="27" s="1"/>
  <c r="K25" i="27"/>
  <c r="P30" i="27" s="1"/>
  <c r="L25" i="26"/>
  <c r="P29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21" i="30" l="1"/>
  <c r="I16" i="22"/>
  <c r="I17" i="22"/>
  <c r="I18" i="22"/>
  <c r="I19" i="22"/>
  <c r="I20" i="22"/>
  <c r="I21" i="22"/>
  <c r="I22" i="22"/>
  <c r="P16" i="32"/>
  <c r="P25" i="32" s="1"/>
  <c r="P22" i="28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8" i="19" l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25" i="24" l="1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P22" i="20" l="1"/>
  <c r="M25" i="20"/>
  <c r="P31" i="17"/>
  <c r="L25" i="16"/>
  <c r="P29" i="16" s="1"/>
  <c r="M18" i="16"/>
  <c r="N18" i="16" s="1"/>
  <c r="O18" i="16" s="1"/>
  <c r="O18" i="15" s="1"/>
  <c r="M17" i="15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N18" i="15" l="1"/>
  <c r="P18" i="15" s="1"/>
  <c r="P24" i="16"/>
  <c r="N17" i="15"/>
  <c r="P17" i="15" s="1"/>
  <c r="P20" i="16"/>
  <c r="P17" i="16"/>
  <c r="N21" i="15"/>
  <c r="P21" i="15" s="1"/>
  <c r="P18" i="16"/>
  <c r="P21" i="16"/>
  <c r="P22" i="16"/>
  <c r="P24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<sst xmlns="http://schemas.openxmlformats.org/spreadsheetml/2006/main" count="1599" uniqueCount="129">
  <si>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</si>
  <si>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</si>
  <si>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</si>
  <si>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</si>
  <si>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</si>
  <si>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</si>
  <si>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</si>
  <si>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</si>
  <si>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</si>
  <si>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</si>
  <si>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</si>
  <si>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</si>
  <si>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</si>
  <si>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</si>
  <si>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</si>
  <si>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</si>
  <si>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</si>
  <si>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</si>
  <si>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</si>
  <si>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</si>
  <si>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</si>
  <si>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</si>
  <si>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</si>
  <si>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</si>
  <si>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</si>
  <si>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</si>
  <si>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</si>
  <si>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</si>
  <si>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</si>
  <si>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</si>
  <si>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</si>
  <si>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</si>
  <si>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</si>
  <si>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</si>
  <si>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</si>
  <si>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</si>
  <si>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</si>
  <si>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</si>
  <si>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</si>
  <si>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</si>
  <si>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</si>
  <si>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</si>
  <si>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</si>
  <si>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</si>
  <si>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</si>
  <si>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</si>
  <si>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</si>
  <si>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</si>
  <si>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</si>
  <si>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</si>
  <si>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</si>
  <si>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</si>
  <si>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</si>
  <si>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</si>
  <si>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</si>
  <si>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</si>
  <si>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</si>
  <si>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</si>
  <si>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</si>
  <si>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</si>
  <si>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</si>
  <si>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</si>
  <si>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</si>
  <si>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</si>
  <si>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</si>
  <si>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</si>
  <si>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</si>
  <si>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</si>
  <si>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</si>
  <si>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</si>
  <si>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</si>
  <si>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</si>
  <si>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</si>
  <si>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</si>
  <si>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</si>
  <si>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</si>
  <si>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</si>
  <si>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</si>
  <si>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</si>
  <si>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</si>
  <si>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</si>
  <si>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</si>
  <si>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</si>
  <si>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</si>
  <si>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</si>
  <si>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</si>
  <si>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</si>
  <si>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</si>
  <si>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</si>
  <si>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</si>
  <si>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</si>
  <si>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</si>
  <si>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</si>
  <si>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</si>
  <si>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</si>
  <si>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</si>
  <si>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</si>
  <si>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</si>
  <si>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</si>
  <si>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</si>
  <si>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</si>
  <si>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</si>
  <si>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</si>
  <si>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</si>
  <si>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</si>
  <si>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</si>
  <si>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</si>
  <si>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 xml:space="preserve"> </t>
  </si>
  <si>
    <t>Mubeen</t>
  </si>
  <si>
    <t>Customer Name : AA Super Store</t>
  </si>
  <si>
    <t xml:space="preserve">Address: Tajpura road GaziaAbad </t>
  </si>
  <si>
    <t>Customer Name : Ayan Store</t>
  </si>
  <si>
    <t>Address:  Tajpura Road Ghaziabad</t>
  </si>
  <si>
    <t>Customer Name : Adil sweets &amp; Bakers</t>
  </si>
  <si>
    <t>Address:  Tajpura Road Ghaziaabad</t>
  </si>
  <si>
    <t>Customer Name :Akram GS</t>
  </si>
  <si>
    <t>Address: Tajpura Road Ghaziabad</t>
  </si>
  <si>
    <t>Customer Name : Makkah Store</t>
  </si>
  <si>
    <t>Address: Tajpura Road Butt chowk</t>
  </si>
  <si>
    <t>Customer Name : Umer Store</t>
  </si>
  <si>
    <t xml:space="preserve">Address: Tajpura A Block </t>
  </si>
  <si>
    <t xml:space="preserve">Address: Tajpura E Block </t>
  </si>
  <si>
    <t>3460383112953-3</t>
  </si>
  <si>
    <t>Customer Name : Karam Store</t>
  </si>
  <si>
    <t>Address:Tajbagh market</t>
  </si>
  <si>
    <t>Customer Name : Abdul Rasheed Store</t>
  </si>
  <si>
    <t xml:space="preserve">Address: Gujapeer Road </t>
  </si>
  <si>
    <t xml:space="preserve">Customer Name : Madina Store </t>
  </si>
  <si>
    <t>Address: Razaq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</si>
</sst>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9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top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3" fontId="14" fillId="4" borderId="1" xfId="0" applyNumberFormat="1" applyFont="1" applyFill="1" applyBorder="1" applyAlignment="1">
      <alignment horizontal="center" vertical="top" shrinkToFi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E16" sqref="E1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8"/>
      <c r="B3" s="188"/>
      <c r="C3" s="188"/>
      <c r="D3" s="188"/>
      <c r="E3" s="188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</row>
    <row r="4" spans="1:29" x14ac:dyDescent="0.35">
      <c r="A4" s="190" t="s">
        <v>6</v>
      </c>
      <c r="B4" s="5" t="s">
        <v>7</v>
      </c>
      <c r="C4" s="5"/>
      <c r="D4" s="192" t="s">
        <v>8</v>
      </c>
      <c r="E4" s="194" t="s">
        <v>9</v>
      </c>
      <c r="F4" s="196" t="s">
        <v>3</v>
      </c>
      <c r="G4" s="196"/>
      <c r="H4" s="197" t="s">
        <v>10</v>
      </c>
      <c r="I4" s="197"/>
      <c r="J4" s="198" t="s">
        <v>11</v>
      </c>
      <c r="K4" s="199"/>
      <c r="L4" s="198" t="s">
        <v>12</v>
      </c>
      <c r="M4" s="199"/>
      <c r="N4" s="200" t="s">
        <v>13</v>
      </c>
      <c r="O4" s="200"/>
      <c r="P4" s="198" t="s">
        <v>4</v>
      </c>
      <c r="Q4" s="199"/>
      <c r="R4" s="198" t="s">
        <v>14</v>
      </c>
      <c r="S4" s="199"/>
      <c r="T4" s="201" t="s">
        <v>15</v>
      </c>
      <c r="U4" s="201"/>
      <c r="V4" s="202" t="s">
        <v>16</v>
      </c>
      <c r="W4" s="203"/>
      <c r="X4" s="202" t="s">
        <v>17</v>
      </c>
      <c r="Y4" s="203"/>
    </row>
    <row r="5" spans="1:29" ht="26.25" customHeight="1" thickBot="1" x14ac:dyDescent="0.4">
      <c r="A5" s="191"/>
      <c r="B5" s="7" t="s">
        <v>18</v>
      </c>
      <c r="C5" s="7" t="s">
        <v>8</v>
      </c>
      <c r="D5" s="193"/>
      <c r="E5" s="19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topLeftCell="A6" zoomScale="70" zoomScaleNormal="70" workbookViewId="0">
      <selection activeCell="H24" sqref="H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50" t="s">
        <v>45</v>
      </c>
      <c r="B2" s="250"/>
      <c r="C2" s="250"/>
    </row>
    <row r="3" spans="1:21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1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9" t="s">
        <v>108</v>
      </c>
      <c r="B5" s="249"/>
      <c r="C5" s="249"/>
      <c r="F5" s="7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70"/>
      <c r="S5" s="71"/>
    </row>
    <row r="6" spans="1:21 16383:16384" ht="15" customHeight="1" x14ac:dyDescent="0.35">
      <c r="A6" s="249"/>
      <c r="B6" s="249"/>
      <c r="C6" s="249"/>
      <c r="F6" s="70"/>
      <c r="G6" s="74"/>
      <c r="K6" s="234" t="s">
        <v>52</v>
      </c>
      <c r="L6" s="234"/>
      <c r="M6" s="234"/>
      <c r="N6" s="247" t="s">
        <v>42</v>
      </c>
      <c r="O6" s="247"/>
      <c r="P6" s="24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21 16383:16384" hidden="1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21 16383:16384" x14ac:dyDescent="0.35">
      <c r="A10" s="232"/>
      <c r="B10" s="75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21 16383:16384" ht="15" thickBot="1" x14ac:dyDescent="0.4">
      <c r="A11" s="232"/>
      <c r="B11" s="76"/>
      <c r="C11" s="77"/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21 16383:16384" ht="14.65" customHeight="1" x14ac:dyDescent="0.35">
      <c r="A12" s="232"/>
      <c r="B12" s="76"/>
      <c r="C12" s="77"/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T12" s="204" t="s">
        <v>103</v>
      </c>
      <c r="U12" s="205"/>
      <c r="XFD12" t="s">
        <v>62</v>
      </c>
    </row>
    <row r="13" spans="1:21 16383:16384" ht="15" thickBot="1" x14ac:dyDescent="0.4">
      <c r="A13" s="233"/>
      <c r="J13" s="78"/>
      <c r="K13" s="78"/>
      <c r="L13" s="79">
        <v>0.05</v>
      </c>
      <c r="T13" s="206"/>
      <c r="U13" s="207"/>
      <c r="XFD13" t="s">
        <v>63</v>
      </c>
    </row>
    <row r="14" spans="1:21 16383:16384" ht="29.25" customHeight="1" x14ac:dyDescent="0.6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42" t="s">
        <v>68</v>
      </c>
      <c r="H14" s="243"/>
      <c r="I14" s="243" t="s">
        <v>69</v>
      </c>
      <c r="J14" s="243" t="s">
        <v>70</v>
      </c>
      <c r="K14" s="243"/>
      <c r="L14" s="245"/>
      <c r="M14" s="237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AA Super Store</v>
      </c>
      <c r="U14" s="164">
        <f>+'1'!P35</f>
        <v>4875.8017949999994</v>
      </c>
      <c r="XFD14" t="s">
        <v>75</v>
      </c>
    </row>
    <row r="15" spans="1:21 16383:16384" ht="29.25" customHeight="1" thickBot="1" x14ac:dyDescent="0.65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4"/>
      <c r="J15" s="171" t="s">
        <v>78</v>
      </c>
      <c r="K15" s="171" t="s">
        <v>79</v>
      </c>
      <c r="L15" s="174" t="s">
        <v>80</v>
      </c>
      <c r="M15" s="23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Ayan Store</v>
      </c>
      <c r="U15" s="164">
        <f>+'2'!P35</f>
        <v>6352.0852362000005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258">
        <f>+'1'!H16+'2'!H16+'4'!H16+'3'!H16+'5'!H16+'6'!H16+'7'!H16+'8'!H16+'9'!H16+'10'!H16+'11'!H16+'12'!H16</f>
        <v>30</v>
      </c>
      <c r="I16" s="1">
        <f>(G16*D16)*F16+H16*F16</f>
        <v>1573.875</v>
      </c>
      <c r="J16" s="258">
        <f>+'1'!J16+'2'!J16+'4'!J16+'3'!J16+'5'!J16+'6'!J16+'7'!J16+'8'!J16+'9'!J16+'10'!J16+'11'!J16+'12'!J16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125.91</v>
      </c>
      <c r="M16" s="106">
        <f>I16-K16-L16</f>
        <v>1447.9649999999999</v>
      </c>
      <c r="N16" s="101">
        <f>+'1'!N16+'2'!N16+'4'!N16+'3'!N16+'5'!N16+'6'!N16+'7'!N16+'8'!N16+'9'!N16+'10'!N16</f>
        <v>330.09405000000004</v>
      </c>
      <c r="O16" s="101">
        <f>+'1'!O16+'2'!O16+'4'!O16+'3'!O16+'5'!O16+'6'!O16+'7'!O16+'8'!O16+'9'!O16+'10'!O16</f>
        <v>44.451476249999999</v>
      </c>
      <c r="P16" s="105">
        <f t="shared" ref="P16:P24" si="0">M16+N16+O16</f>
        <v>1822.5105262499999</v>
      </c>
      <c r="Q16" s="108"/>
      <c r="T16" s="163" t="str">
        <f>+'4'!A5</f>
        <v>Customer Name :Akram GS</v>
      </c>
      <c r="U16" s="164">
        <f>+'4'!P35</f>
        <v>897.74520450000011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258">
        <f>+'1'!H17+'2'!H17+'4'!H17+'3'!H17+'5'!H17+'6'!H17+'7'!H17+'8'!H17+'9'!H17+'10'!H17+'11'!H17+'12'!H17</f>
        <v>50</v>
      </c>
      <c r="I17" s="1">
        <f t="shared" ref="I17:I23" si="1">(G17*D17)*F17+H17*F17</f>
        <v>2623.125</v>
      </c>
      <c r="J17" s="258">
        <f>+'1'!J17+'2'!J17+'4'!J17+'3'!J17+'5'!J17+'6'!J17+'7'!J17+'8'!J17+'9'!J17+'10'!J17+'11'!J17+'12'!J17</f>
        <v>4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209.85</v>
      </c>
      <c r="M17" s="118">
        <f t="shared" ref="M17:M23" si="2">I17-K17-L17</f>
        <v>2413.2750000000001</v>
      </c>
      <c r="N17" s="101">
        <f>+'1'!N17+'2'!N17+'4'!N17+'3'!N17+'5'!N17+'6'!N17+'7'!N17+'8'!N17+'9'!N17+'10'!N17</f>
        <v>577.08750000000009</v>
      </c>
      <c r="O17" s="101">
        <f>+'1'!O17+'2'!O17+'4'!O17+'3'!O17+'5'!O17+'6'!O17+'7'!O17+'8'!O17+'9'!O17+'10'!O17</f>
        <v>74.759062499999999</v>
      </c>
      <c r="P17" s="120">
        <f t="shared" si="0"/>
        <v>3065.1215625</v>
      </c>
      <c r="S17" s="64"/>
      <c r="T17" s="163" t="str">
        <f>+'3'!A5</f>
        <v>Customer Name : Adil sweets &amp; Bakers</v>
      </c>
      <c r="U17" s="164">
        <f>+'3'!P35</f>
        <v>1218.9504487499999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258">
        <f>+'1'!H18+'2'!H18+'4'!H18+'3'!H18+'5'!H18+'6'!H18+'7'!H18+'8'!H18+'9'!H18+'10'!H18+'11'!H18+'12'!H18</f>
        <v>60</v>
      </c>
      <c r="I18" s="1">
        <f t="shared" si="1"/>
        <v>3147.75</v>
      </c>
      <c r="J18" s="258">
        <f>+'1'!J18+'2'!J18+'4'!J18+'3'!J18+'5'!J18+'6'!J18+'7'!J18+'8'!J18+'9'!J18+'10'!J18+'11'!J18+'12'!J18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251.82</v>
      </c>
      <c r="M18" s="118">
        <f t="shared" si="2"/>
        <v>2895.93</v>
      </c>
      <c r="N18" s="101">
        <f>+'1'!N18+'2'!N18+'4'!N18+'3'!N18+'5'!N18+'6'!N18+'7'!N18+'8'!N18+'9'!N18+'10'!N18</f>
        <v>660.18809999999996</v>
      </c>
      <c r="O18" s="101">
        <f>+'1'!O18+'2'!O18+'4'!O18+'3'!O18+'5'!O18+'6'!O18+'7'!O18+'8'!O18+'9'!O18+'10'!O18</f>
        <v>88.902952499999998</v>
      </c>
      <c r="P18" s="120">
        <f t="shared" si="0"/>
        <v>3645.0210524999998</v>
      </c>
      <c r="T18" s="163" t="str">
        <f>+'5'!A5</f>
        <v>Customer Name : Makkah Store</v>
      </c>
      <c r="U18" s="164">
        <f>+'5'!P35</f>
        <v>538.64712270000007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258">
        <f>+'1'!H19+'2'!H19+'4'!H19+'3'!H19+'5'!H19+'6'!H19+'7'!H19+'8'!H19+'9'!H19+'10'!H19+'11'!H19+'12'!H19</f>
        <v>30</v>
      </c>
      <c r="I19" s="1">
        <f t="shared" si="1"/>
        <v>2179.1999999999998</v>
      </c>
      <c r="J19" s="258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174.33600000000001</v>
      </c>
      <c r="M19" s="118">
        <f t="shared" si="2"/>
        <v>2004.8639999999998</v>
      </c>
      <c r="N19" s="101">
        <f>+'1'!N19+'2'!N19+'4'!N19+'3'!N19+'5'!N19+'6'!N19+'7'!N19+'8'!N19+'9'!N19+'10'!N19</f>
        <v>441.07007999999996</v>
      </c>
      <c r="O19" s="101">
        <f>+'1'!O19+'2'!O19+'4'!O19+'3'!O19+'5'!O19+'6'!O19+'7'!O19+'8'!O19+'9'!O19+'10'!O19</f>
        <v>28.535897600000002</v>
      </c>
      <c r="P19" s="120">
        <f t="shared" si="0"/>
        <v>2474.4699776000002</v>
      </c>
      <c r="T19" s="163" t="str">
        <f>+'6'!A5</f>
        <v>Customer Name : Umer Store</v>
      </c>
      <c r="U19" s="164">
        <f>+'6'!P35</f>
        <v>264.06846747000003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258">
        <f>+'1'!H20+'2'!H20+'4'!H20+'3'!H20+'5'!H20+'6'!H20+'7'!H20+'8'!H20+'9'!H20+'10'!H20+'11'!H20+'12'!H20</f>
        <v>20</v>
      </c>
      <c r="I20" s="1">
        <f t="shared" si="1"/>
        <v>1452.8</v>
      </c>
      <c r="J20" s="258">
        <f>+'1'!J20+'2'!J20+'4'!J20+'3'!J20+'5'!J20+'6'!J20+'7'!J20+'8'!J20+'9'!J20+'10'!J20+'11'!J20+'12'!J20</f>
        <v>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116.224</v>
      </c>
      <c r="M20" s="118">
        <f t="shared" si="2"/>
        <v>1336.576</v>
      </c>
      <c r="N20" s="101">
        <f>+'1'!N20+'2'!N20+'4'!N20+'3'!N20+'5'!N20+'6'!N20+'7'!N20+'8'!N20+'9'!N20+'10'!N20</f>
        <v>357.96992</v>
      </c>
      <c r="O20" s="101">
        <f>+'1'!O20+'2'!O20+'4'!O20+'3'!O20+'5'!O20+'6'!O20+'7'!O20+'8'!O20+'9'!O20+'10'!O20</f>
        <v>25.418188800000003</v>
      </c>
      <c r="P20" s="120">
        <f t="shared" si="0"/>
        <v>1719.9641088000001</v>
      </c>
      <c r="T20" s="163" t="str">
        <f>+'7'!A5</f>
        <v>Customer Name : Makkah Store</v>
      </c>
      <c r="U20" s="164">
        <f>+'7'!P35</f>
        <v>3473.5506585600001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258">
        <f>+'1'!H21+'2'!H21+'4'!H21+'3'!H21+'5'!H21+'6'!H21+'7'!H21+'8'!H21+'9'!H21+'10'!H21+'11'!H21+'12'!H21</f>
        <v>32</v>
      </c>
      <c r="I21" s="1">
        <f t="shared" si="1"/>
        <v>2324.48</v>
      </c>
      <c r="J21" s="258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185.95840000000001</v>
      </c>
      <c r="M21" s="118">
        <f t="shared" si="2"/>
        <v>2138.5216</v>
      </c>
      <c r="N21" s="101">
        <f>+'1'!N21+'2'!N21+'4'!N21+'3'!N21+'5'!N21+'6'!N21+'7'!N21+'8'!N21+'9'!N21+'10'!N21</f>
        <v>470.47475199999997</v>
      </c>
      <c r="O21" s="101">
        <f>+'1'!O21+'2'!O21+'4'!O21+'3'!O21+'5'!O21+'6'!O21+'7'!O21+'8'!O21+'9'!O21+'10'!O21</f>
        <v>45.657436160000003</v>
      </c>
      <c r="P21" s="120">
        <f t="shared" si="0"/>
        <v>2654.6537881600002</v>
      </c>
      <c r="T21" s="163" t="str">
        <f>+'8'!A5</f>
        <v>Customer Name : Karam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258">
        <f>+'1'!H22+'2'!H22+'4'!H22+'3'!H22+'5'!H22+'6'!H22+'7'!H22+'8'!H22+'9'!H22+'10'!H22+'11'!H22+'12'!H22</f>
        <v>50</v>
      </c>
      <c r="I22" s="1">
        <f t="shared" si="1"/>
        <v>1961.5000000000002</v>
      </c>
      <c r="J22" s="258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68.652500000000018</v>
      </c>
      <c r="L22" s="175">
        <f>+'1'!L22+'2'!L22+'4'!L22+'3'!L22+'5'!L22+'6'!L22+'7'!L22+'8'!L22+'9'!L22+'10'!L22</f>
        <v>98.075000000000017</v>
      </c>
      <c r="M22" s="118">
        <f t="shared" si="2"/>
        <v>1794.7725000000003</v>
      </c>
      <c r="N22" s="101">
        <f>+'1'!N22+'2'!N22+'4'!N22+'3'!N22+'5'!N22+'6'!N22+'7'!N22+'8'!N22+'9'!N22+'10'!N22</f>
        <v>394.84995000000004</v>
      </c>
      <c r="O22" s="101">
        <f>+'1'!O22+'2'!O22+'4'!O22+'3'!O22+'5'!O22+'6'!O22+'7'!O22+'8'!O22+'9'!O22+'10'!O22</f>
        <v>49.485467370000009</v>
      </c>
      <c r="P22" s="120">
        <f t="shared" si="0"/>
        <v>2239.1079173700005</v>
      </c>
      <c r="T22" s="163" t="str">
        <f>+'9'!A5</f>
        <v>Customer Name : Abdul Rasheed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Madina Store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4" t="s">
        <v>84</v>
      </c>
      <c r="B25" s="215"/>
      <c r="C25" s="216">
        <f>H25/40</f>
        <v>6.8</v>
      </c>
      <c r="D25" s="210"/>
      <c r="E25" s="210"/>
      <c r="F25" s="210"/>
      <c r="G25" s="176">
        <f t="shared" ref="G25:M25" si="3">SUM(G16:G24)</f>
        <v>0</v>
      </c>
      <c r="H25" s="177">
        <f t="shared" si="3"/>
        <v>272</v>
      </c>
      <c r="I25" s="178">
        <f t="shared" si="3"/>
        <v>15262.73</v>
      </c>
      <c r="J25" s="177">
        <f t="shared" si="3"/>
        <v>11</v>
      </c>
      <c r="K25" s="178">
        <f t="shared" si="3"/>
        <v>68.652500000000018</v>
      </c>
      <c r="L25" s="179">
        <f t="shared" si="3"/>
        <v>1162.1734000000001</v>
      </c>
      <c r="M25" s="141">
        <f t="shared" si="3"/>
        <v>14031.904100000002</v>
      </c>
      <c r="N25" s="142">
        <f>SUM(N16:N24)</f>
        <v>3231.7343520000004</v>
      </c>
      <c r="O25" s="143">
        <f>SUM(O16:O24)</f>
        <v>357.21048117999999</v>
      </c>
      <c r="P25" s="144">
        <f>SUM(P16:P24)</f>
        <v>17620.848933180001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17620.848933180001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15262.73</v>
      </c>
    </row>
    <row r="29" spans="1:21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1162.1734000000001</v>
      </c>
    </row>
    <row r="30" spans="1:21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68.652500000000018</v>
      </c>
    </row>
    <row r="31" spans="1:21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14031.9041</v>
      </c>
    </row>
    <row r="32" spans="1:21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3231.7343520000004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17263.638451999999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431.5909613</v>
      </c>
    </row>
    <row r="35" spans="2:16" ht="15.75" customHeight="1" thickBot="1" x14ac:dyDescent="0.4">
      <c r="N35" s="208" t="s">
        <v>92</v>
      </c>
      <c r="O35" s="209"/>
      <c r="P35" s="160">
        <f>P33+P34</f>
        <v>17695.2294133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1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109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70"/>
      <c r="S5" s="71"/>
    </row>
    <row r="6" spans="1:19 16383:16384" ht="15" customHeight="1" x14ac:dyDescent="0.35">
      <c r="A6" s="234" t="s">
        <v>110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E7" s="73" t="s">
        <v>107</v>
      </c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75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50</v>
      </c>
      <c r="C11" s="77" t="str">
        <f>IF($O34&gt;2.49%,"No","Yes")</f>
        <v>No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 t="shared" ref="O16:O24" si="1">(N16+M16)*$O$15</f>
        <v>29.730498749999999</v>
      </c>
      <c r="P16" s="105">
        <f t="shared" ref="P16:P24" si="2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2</v>
      </c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447.81990000000002</v>
      </c>
      <c r="O17" s="119">
        <f t="shared" si="1"/>
        <v>59.460997499999998</v>
      </c>
      <c r="P17" s="120">
        <f t="shared" si="2"/>
        <v>2437.9008974999997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3"/>
        <v>1049.25</v>
      </c>
      <c r="J18" s="117">
        <v>1</v>
      </c>
      <c r="K18" s="1">
        <f t="shared" si="4"/>
        <v>0</v>
      </c>
      <c r="L18" s="105">
        <f t="shared" si="5"/>
        <v>83.94</v>
      </c>
      <c r="M18" s="118">
        <f t="shared" si="6"/>
        <v>965.31</v>
      </c>
      <c r="N18" s="118">
        <f t="shared" si="0"/>
        <v>223.90995000000001</v>
      </c>
      <c r="O18" s="119">
        <f t="shared" si="1"/>
        <v>29.730498749999999</v>
      </c>
      <c r="P18" s="120">
        <f t="shared" si="2"/>
        <v>1218.9504487499999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80</v>
      </c>
      <c r="I25" s="137">
        <f t="shared" si="9"/>
        <v>4197</v>
      </c>
      <c r="J25" s="138"/>
      <c r="K25" s="139">
        <f t="shared" si="9"/>
        <v>0</v>
      </c>
      <c r="L25" s="140">
        <f t="shared" si="9"/>
        <v>335.76</v>
      </c>
      <c r="M25" s="141">
        <f t="shared" si="9"/>
        <v>3861.24</v>
      </c>
      <c r="N25" s="142">
        <f>SUM(N16:N24)</f>
        <v>895.63980000000004</v>
      </c>
      <c r="O25" s="143">
        <f>SUM(O16:O24)</f>
        <v>118.921995</v>
      </c>
      <c r="P25" s="144">
        <f>SUM(P16:P24)</f>
        <v>4875.8017949999994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4197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335.76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3861.24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895.63980000000004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4756.8797999999997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118.921995</v>
      </c>
    </row>
    <row r="35" spans="2:16" ht="15.75" customHeight="1" thickBot="1" x14ac:dyDescent="0.4">
      <c r="N35" s="208" t="s">
        <v>92</v>
      </c>
      <c r="O35" s="209"/>
      <c r="P35" s="160">
        <f>P33+P34</f>
        <v>4875.8017949999994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2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111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70"/>
      <c r="S5" s="71"/>
    </row>
    <row r="6" spans="1:19 16383:16384" ht="15" customHeight="1" x14ac:dyDescent="0.35">
      <c r="A6" s="234" t="s">
        <v>112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75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50</v>
      </c>
      <c r="C11" s="77" t="str">
        <f>IF($O34&gt;2.49%,"No","Yes")</f>
        <v>No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14.720977499999998</v>
      </c>
      <c r="P16" s="105">
        <f t="shared" ref="P16:P24" si="1">M16+N16+O16</f>
        <v>603.56007749999992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129.26760000000002</v>
      </c>
      <c r="O17" s="119">
        <f t="shared" ref="O17:O24" si="6">(N17+M17)*$O$15</f>
        <v>15.298065000000001</v>
      </c>
      <c r="P17" s="120">
        <f t="shared" si="1"/>
        <v>627.22066499999994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/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212.3682</v>
      </c>
      <c r="O18" s="119">
        <f t="shared" si="6"/>
        <v>29.441954999999997</v>
      </c>
      <c r="P18" s="120">
        <f t="shared" si="1"/>
        <v>1207.1201549999998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20.382784000000001</v>
      </c>
      <c r="P19" s="120">
        <f t="shared" si="1"/>
        <v>835.69414400000005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21.181824000000002</v>
      </c>
      <c r="P20" s="120">
        <f t="shared" si="1"/>
        <v>868.45478400000002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294.04671999999999</v>
      </c>
      <c r="O21" s="119">
        <f t="shared" si="6"/>
        <v>40.765568000000002</v>
      </c>
      <c r="P21" s="120">
        <f t="shared" si="1"/>
        <v>1671.3882880000001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92</v>
      </c>
      <c r="I25" s="137">
        <f t="shared" si="9"/>
        <v>5474.8600000000006</v>
      </c>
      <c r="J25" s="138"/>
      <c r="K25" s="139">
        <f t="shared" si="9"/>
        <v>16.476600000000005</v>
      </c>
      <c r="L25" s="140">
        <f t="shared" si="9"/>
        <v>423.86599999999999</v>
      </c>
      <c r="M25" s="141">
        <f t="shared" si="9"/>
        <v>5034.5173999999997</v>
      </c>
      <c r="N25" s="142">
        <f>SUM(N16:N24)</f>
        <v>1162.6389279999999</v>
      </c>
      <c r="O25" s="143">
        <f>SUM(O16:O24)</f>
        <v>154.92890820000002</v>
      </c>
      <c r="P25" s="144">
        <f>SUM(P16:P24)</f>
        <v>6352.0852362000005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5474.8600000000006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423.86599999999999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16.476600000000005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5034.5174000000006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1162.6389279999999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6197.1563280000009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154.92890820000002</v>
      </c>
    </row>
    <row r="35" spans="2:16" ht="15.75" customHeight="1" thickBot="1" x14ac:dyDescent="0.4">
      <c r="N35" s="208" t="s">
        <v>92</v>
      </c>
      <c r="O35" s="209"/>
      <c r="P35" s="160">
        <f>P33+P34</f>
        <v>6352.0852362000005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4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113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70"/>
      <c r="S5" s="71"/>
    </row>
    <row r="6" spans="1:19 16383:16384" ht="15" customHeight="1" x14ac:dyDescent="0.35">
      <c r="A6" s="234" t="s">
        <v>114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169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50</v>
      </c>
      <c r="C11" s="77" t="str">
        <f>IF($O34&gt;2.49%,"No","Yes")</f>
        <v>No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29.730498749999999</v>
      </c>
      <c r="P18" s="120">
        <f t="shared" si="1"/>
        <v>1218.9504487499999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20</v>
      </c>
      <c r="I25" s="137">
        <f t="shared" si="9"/>
        <v>1049.25</v>
      </c>
      <c r="J25" s="138"/>
      <c r="K25" s="139">
        <f t="shared" si="9"/>
        <v>0</v>
      </c>
      <c r="L25" s="140">
        <f t="shared" si="9"/>
        <v>83.94</v>
      </c>
      <c r="M25" s="141">
        <f t="shared" si="9"/>
        <v>965.31</v>
      </c>
      <c r="N25" s="142">
        <f>SUM(N16:N24)</f>
        <v>223.90995000000001</v>
      </c>
      <c r="O25" s="143">
        <f>SUM(O16:O24)</f>
        <v>29.730498749999999</v>
      </c>
      <c r="P25" s="144">
        <f>SUM(P16:P24)</f>
        <v>1218.9504487499999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1049.25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83.94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965.31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223.90995000000001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1189.2199499999999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29.730498749999999</v>
      </c>
    </row>
    <row r="35" spans="2:16" ht="15.75" customHeight="1" thickBot="1" x14ac:dyDescent="0.4">
      <c r="N35" s="208" t="s">
        <v>92</v>
      </c>
      <c r="O35" s="209"/>
      <c r="P35" s="160">
        <f>P33+P34</f>
        <v>1218.9504487499999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3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115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70"/>
      <c r="S5" s="71"/>
    </row>
    <row r="6" spans="1:19 16383:16384" ht="15" customHeight="1" x14ac:dyDescent="0.35">
      <c r="A6" s="234" t="s">
        <v>116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75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50</v>
      </c>
      <c r="C11" s="77" t="str">
        <f>IF($O34&gt;2.49%,"No","Yes")</f>
        <v>No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39.230000000000011</v>
      </c>
      <c r="M25" s="141">
        <f t="shared" si="9"/>
        <v>717.90900000000011</v>
      </c>
      <c r="N25" s="142">
        <f>SUM(N16:N24)</f>
        <v>157.93998000000002</v>
      </c>
      <c r="O25" s="143">
        <f>SUM(O16:O24)</f>
        <v>21.896224500000002</v>
      </c>
      <c r="P25" s="144">
        <f>SUM(P16:P24)</f>
        <v>897.74520450000011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784.60000000000014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39.230000000000011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27.461000000000006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717.90900000000011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157.93998000000002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875.8489800000001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21.896224500000002</v>
      </c>
    </row>
    <row r="35" spans="2:16" ht="15.75" customHeight="1" thickBot="1" x14ac:dyDescent="0.4">
      <c r="N35" s="208" t="s">
        <v>92</v>
      </c>
      <c r="O35" s="209"/>
      <c r="P35" s="160">
        <f>P33+P34</f>
        <v>897.74520450000011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5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117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70"/>
      <c r="S5" s="71"/>
    </row>
    <row r="6" spans="1:19 16383:16384" ht="15" customHeight="1" x14ac:dyDescent="0.35">
      <c r="A6" s="234" t="s">
        <v>118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169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50</v>
      </c>
      <c r="C11" s="77" t="str">
        <f>IF($O34&gt;2.49%,"No","Yes")</f>
        <v>No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470.76000000000005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23.538000000000004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16.476600000000005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430.74540000000002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525.50938800000006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08" t="s">
        <v>92</v>
      </c>
      <c r="O35" s="209"/>
      <c r="P35" s="160">
        <f>P33+P34</f>
        <v>538.64712270000007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6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119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70"/>
      <c r="S5" s="71"/>
    </row>
    <row r="6" spans="1:19 16383:16384" ht="15" customHeight="1" x14ac:dyDescent="0.35">
      <c r="A6" s="234" t="s">
        <v>120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187">
        <v>3520179992061</v>
      </c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48</v>
      </c>
      <c r="C11" s="77" t="str">
        <f>IF($O34&gt;2.49%,"No","Yes")</f>
        <v>Yes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1.3137734700000001</v>
      </c>
      <c r="P22" s="120">
        <f t="shared" si="1"/>
        <v>264.06846747000003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8.2383000000000024</v>
      </c>
      <c r="L25" s="140">
        <f t="shared" si="9"/>
        <v>11.769000000000002</v>
      </c>
      <c r="M25" s="141">
        <f t="shared" si="9"/>
        <v>215.37270000000001</v>
      </c>
      <c r="N25" s="142">
        <f>SUM(N16:N24)</f>
        <v>47.381993999999999</v>
      </c>
      <c r="O25" s="143">
        <f>SUM(O16:O24)</f>
        <v>1.3137734700000001</v>
      </c>
      <c r="P25" s="144">
        <f>SUM(P16:P24)</f>
        <v>264.06846747000003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235.38000000000002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11.769000000000002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8.2383000000000024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215.37270000000001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47.381993999999999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262.75469400000003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5.0000000000000001E-3</v>
      </c>
      <c r="P34" s="153">
        <f>O34*P33</f>
        <v>1.3137734700000001</v>
      </c>
    </row>
    <row r="35" spans="2:16" ht="15.75" customHeight="1" thickBot="1" x14ac:dyDescent="0.4">
      <c r="N35" s="208" t="s">
        <v>92</v>
      </c>
      <c r="O35" s="209"/>
      <c r="P35" s="160">
        <f>P33+P34</f>
        <v>264.06846747000003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7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117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70"/>
      <c r="S5" s="71"/>
    </row>
    <row r="6" spans="1:19 16383:16384" ht="15" customHeight="1" x14ac:dyDescent="0.35">
      <c r="A6" s="234" t="s">
        <v>121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169" t="s">
        <v>122</v>
      </c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48</v>
      </c>
      <c r="C11" s="77" t="str">
        <f>IF($O34&gt;2.49%,"No","Yes")</f>
        <v>Yes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294.04671999999999</v>
      </c>
      <c r="O19" s="119">
        <f t="shared" si="6"/>
        <v>8.1531136000000011</v>
      </c>
      <c r="P19" s="120">
        <f t="shared" si="1"/>
        <v>1638.7758336000002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176.428032</v>
      </c>
      <c r="O21" s="119">
        <f t="shared" si="6"/>
        <v>4.8918681600000005</v>
      </c>
      <c r="P21" s="120">
        <f t="shared" si="1"/>
        <v>983.26550015999999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42</v>
      </c>
      <c r="I25" s="137">
        <f t="shared" si="9"/>
        <v>3050.88</v>
      </c>
      <c r="J25" s="138"/>
      <c r="K25" s="139">
        <f t="shared" si="9"/>
        <v>0</v>
      </c>
      <c r="L25" s="140">
        <f t="shared" si="9"/>
        <v>244.07040000000001</v>
      </c>
      <c r="M25" s="141">
        <f t="shared" si="9"/>
        <v>2806.8096</v>
      </c>
      <c r="N25" s="142">
        <f>SUM(N16:N24)</f>
        <v>649.45971199999997</v>
      </c>
      <c r="O25" s="143">
        <f>SUM(O16:O24)</f>
        <v>17.281346560000003</v>
      </c>
      <c r="P25" s="144">
        <f>SUM(P16:P24)</f>
        <v>3473.5506585600001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3050.88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244.07040000000001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2806.8096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649.45971199999997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3456.2693119999999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5.0000000000000001E-3</v>
      </c>
      <c r="P34" s="153">
        <f>O34*P33</f>
        <v>17.281346559999999</v>
      </c>
    </row>
    <row r="35" spans="2:16" ht="15.75" customHeight="1" thickBot="1" x14ac:dyDescent="0.4">
      <c r="N35" s="208" t="s">
        <v>92</v>
      </c>
      <c r="O35" s="209"/>
      <c r="P35" s="160">
        <f>P33+P34</f>
        <v>3473.5506585600001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8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123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70"/>
      <c r="S5" s="71"/>
    </row>
    <row r="6" spans="1:19 16383:16384" ht="15" customHeight="1" x14ac:dyDescent="0.35">
      <c r="A6" s="234" t="s">
        <v>124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75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50</v>
      </c>
      <c r="C11" s="77" t="str">
        <f>IF($O34&gt;2.49%,"No","Yes")</f>
        <v>No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9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125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70"/>
      <c r="S5" s="71"/>
    </row>
    <row r="6" spans="1:19 16383:16384" ht="15" customHeight="1" x14ac:dyDescent="0.35">
      <c r="A6" s="234" t="s">
        <v>126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167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50</v>
      </c>
      <c r="C11" s="77" t="str">
        <f>IF($O34&gt;2.49%,"No","Yes")</f>
        <v>No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10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127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70"/>
      <c r="S5" s="71"/>
    </row>
    <row r="6" spans="1:19 16383:16384" ht="15" customHeight="1" x14ac:dyDescent="0.35">
      <c r="A6" s="234" t="s">
        <v>128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75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50</v>
      </c>
      <c r="C11" s="77" t="str">
        <f>IF($O34&gt;2.49%,"No","Yes")</f>
        <v>No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I2" sqref="I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10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70"/>
      <c r="S5" s="71"/>
    </row>
    <row r="6" spans="1:19 16383:16384" ht="15" customHeight="1" x14ac:dyDescent="0.35">
      <c r="A6" s="234" t="s">
        <v>97</v>
      </c>
      <c r="B6" s="234"/>
      <c r="C6" s="234"/>
      <c r="F6" s="70"/>
      <c r="G6" s="74"/>
      <c r="K6" s="234" t="s">
        <v>52</v>
      </c>
      <c r="L6" s="234"/>
      <c r="M6" s="234"/>
      <c r="N6" s="247" t="s">
        <v>101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75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50</v>
      </c>
      <c r="C11" s="77" t="str">
        <f>IF($O34&gt;2.49%,"No","Yes")</f>
        <v>No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10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70"/>
      <c r="S5" s="71"/>
    </row>
    <row r="6" spans="1:19 16383:16384" ht="15" customHeight="1" x14ac:dyDescent="0.35">
      <c r="A6" s="234" t="s">
        <v>99</v>
      </c>
      <c r="B6" s="234"/>
      <c r="C6" s="234"/>
      <c r="F6" s="70"/>
      <c r="G6" s="74"/>
      <c r="K6" s="234" t="s">
        <v>52</v>
      </c>
      <c r="L6" s="234"/>
      <c r="M6" s="234"/>
      <c r="N6" s="247" t="s">
        <v>101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48</v>
      </c>
      <c r="C11" s="77" t="str">
        <f>IF($O34&gt;2.49%,"No","Yes")</f>
        <v>Yes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46184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46183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2026-06-11T05:17:23Z</dcterms:modified>
</cp:coreProperties>
</file>