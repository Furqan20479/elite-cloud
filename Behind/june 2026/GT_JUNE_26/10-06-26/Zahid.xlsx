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6D8B0B67-5D23-4B7C-949C-17A805B09C37}" xr6:coauthVersionLast="45" xr6:coauthVersionMax="45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K21" i="20" s="1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M17" i="20" s="1"/>
  <c r="N17" i="20" s="1"/>
  <c r="O17" i="20" s="1"/>
  <c r="K17" i="19"/>
  <c r="L16" i="17"/>
  <c r="M16" i="17" s="1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I23" i="15"/>
  <c r="L17" i="15" l="1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0" i="16"/>
  <c r="N20" i="16" s="1"/>
  <c r="L25" i="16"/>
  <c r="P29" i="16" s="1"/>
  <c r="M17" i="15" l="1"/>
  <c r="P31" i="17"/>
  <c r="M22" i="16"/>
  <c r="N22" i="16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33" i="20" l="1"/>
  <c r="P34" i="20" s="1"/>
  <c r="P35" i="20" s="1"/>
  <c r="U18" i="15" s="1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<sst xmlns="http://schemas.openxmlformats.org/spreadsheetml/2006/main" count="1597" uniqueCount="126">
  <si>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</si>
  <si>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</si>
  <si>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</si>
  <si>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</si>
  <si>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</si>
  <si>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</si>
  <si>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</si>
  <si>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</si>
  <si>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</si>
  <si>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</si>
  <si>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</si>
  <si>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</si>
  <si>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</si>
  <si>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</si>
  <si>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</si>
  <si>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</si>
  <si>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</si>
  <si>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</si>
  <si>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</si>
  <si>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</si>
  <si>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</si>
  <si>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</si>
  <si>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</si>
  <si>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</si>
  <si>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</si>
  <si>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</si>
  <si>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</si>
  <si>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</si>
  <si>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</si>
  <si>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</si>
  <si>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</si>
  <si>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</si>
  <si>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</si>
  <si>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</si>
  <si>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</si>
  <si>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</si>
  <si>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</si>
  <si>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</si>
  <si>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</si>
  <si>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</si>
  <si>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</si>
  <si>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</si>
  <si>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</si>
  <si>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</si>
  <si>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</si>
  <si>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</si>
  <si>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</si>
  <si>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</si>
  <si>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</si>
  <si>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</si>
  <si>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</si>
  <si>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</si>
  <si>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</si>
  <si>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</si>
  <si>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</si>
  <si>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</si>
  <si>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</si>
  <si>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</si>
  <si>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</si>
  <si>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</si>
  <si>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</si>
  <si>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</si>
  <si>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</si>
  <si>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</si>
  <si>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</si>
  <si>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</si>
  <si>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</si>
  <si>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</si>
  <si>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</si>
  <si>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</si>
  <si>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</si>
  <si>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</si>
  <si>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</si>
  <si>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</si>
  <si>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</si>
  <si>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</si>
  <si>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</si>
  <si>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</si>
  <si>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</si>
  <si>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</si>
  <si>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</si>
  <si>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</si>
  <si>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</si>
  <si>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</si>
  <si>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</si>
  <si>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</si>
  <si>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</si>
  <si>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</si>
  <si>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</si>
  <si>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</si>
  <si>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</si>
  <si>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</si>
  <si>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</si>
  <si>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</si>
  <si>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</si>
  <si>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</si>
  <si>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</si>
  <si>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</si>
  <si>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</si>
  <si>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</si>
  <si>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</si>
  <si>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</si>
  <si>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</si>
  <si>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Mobeen Ahmad</t>
  </si>
  <si>
    <t>Rana Bilal Tso</t>
  </si>
  <si>
    <t>Shakoor</t>
  </si>
  <si>
    <t>Customer Name : Sadat Store</t>
  </si>
  <si>
    <t>Address: Police Line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</si>
  <si>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</si>
  <si>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</si>
  <si>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</si>
  <si>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</si>
  <si>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</si>
  <si>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</si>
  <si>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 xml:space="preserve">Customer Name : 4 Brothers Mart Bakers </t>
  </si>
  <si>
    <t>Address: Dharam pura bazar</t>
  </si>
  <si>
    <t>Customer Name : Kashi Store</t>
  </si>
  <si>
    <t>Address: Dharam pura Bazar</t>
  </si>
  <si>
    <t>Customer Name :Adnan Store</t>
  </si>
  <si>
    <t>Address:  Bader colony</t>
  </si>
  <si>
    <t>Customer Name : Jabbar Store</t>
  </si>
  <si>
    <t>Address: Bader Colony</t>
  </si>
  <si>
    <t>Customer Name : Food Rite Super Store</t>
  </si>
  <si>
    <t>Address: Dharampura Bazar</t>
  </si>
  <si>
    <t>Zahid</t>
  </si>
  <si>
    <t>Shop Bill Summary (Zahid)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</si>
</sst>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8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3" fontId="14" fillId="4" borderId="1" xfId="0" applyNumberFormat="1" applyFont="1" applyFill="1" applyBorder="1" applyAlignment="1">
      <alignment horizontal="center" vertical="top" shrinkToFi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103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104</v>
      </c>
    </row>
    <row r="13" spans="1:2" x14ac:dyDescent="0.35">
      <c r="A13">
        <v>8</v>
      </c>
      <c r="B13" t="s">
        <v>105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7"/>
      <c r="B3" s="187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9" x14ac:dyDescent="0.35">
      <c r="A4" s="189" t="s">
        <v>6</v>
      </c>
      <c r="B4" s="5" t="s">
        <v>7</v>
      </c>
      <c r="C4" s="5"/>
      <c r="D4" s="191" t="s">
        <v>8</v>
      </c>
      <c r="E4" s="193" t="s">
        <v>9</v>
      </c>
      <c r="F4" s="195" t="s">
        <v>3</v>
      </c>
      <c r="G4" s="195"/>
      <c r="H4" s="196" t="s">
        <v>10</v>
      </c>
      <c r="I4" s="196"/>
      <c r="J4" s="197" t="s">
        <v>11</v>
      </c>
      <c r="K4" s="198"/>
      <c r="L4" s="197" t="s">
        <v>12</v>
      </c>
      <c r="M4" s="198"/>
      <c r="N4" s="199" t="s">
        <v>13</v>
      </c>
      <c r="O4" s="199"/>
      <c r="P4" s="197" t="s">
        <v>4</v>
      </c>
      <c r="Q4" s="198"/>
      <c r="R4" s="197" t="s">
        <v>14</v>
      </c>
      <c r="S4" s="198"/>
      <c r="T4" s="200" t="s">
        <v>15</v>
      </c>
      <c r="U4" s="200"/>
      <c r="V4" s="201" t="s">
        <v>16</v>
      </c>
      <c r="W4" s="202"/>
      <c r="X4" s="201" t="s">
        <v>17</v>
      </c>
      <c r="Y4" s="202"/>
    </row>
    <row r="5" spans="1:29" ht="26.25" customHeight="1" thickBot="1" x14ac:dyDescent="0.4">
      <c r="A5" s="190"/>
      <c r="B5" s="7" t="s">
        <v>18</v>
      </c>
      <c r="C5" s="7" t="s">
        <v>8</v>
      </c>
      <c r="D5" s="192"/>
      <c r="E5" s="19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abSelected="1" topLeftCell="A6" zoomScale="70" zoomScaleNormal="70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customWidth="1"/>
    <col min="6" max="6" width="6.54296875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customWidth="1"/>
    <col min="12" max="12" width="7.453125" customWidth="1"/>
    <col min="13" max="13" width="8" customWidth="1"/>
    <col min="14" max="14" width="10" style="69" customWidth="1"/>
    <col min="15" max="15" width="9.54296875" customWidth="1"/>
    <col min="16" max="16" width="9.7265625" customWidth="1"/>
    <col min="17" max="17" width="4.54296875" customWidth="1"/>
    <col min="18" max="18" width="7.26953125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9" t="s">
        <v>45</v>
      </c>
      <c r="B2" s="249"/>
      <c r="C2" s="249"/>
    </row>
    <row r="3" spans="1:21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8" t="s">
        <v>124</v>
      </c>
      <c r="B5" s="248"/>
      <c r="C5" s="248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21 16383:16384" ht="15" customHeight="1" x14ac:dyDescent="0.35">
      <c r="A6" s="248"/>
      <c r="B6" s="248"/>
      <c r="C6" s="248"/>
      <c r="F6" s="70"/>
      <c r="G6" s="74"/>
      <c r="K6" s="233" t="s">
        <v>52</v>
      </c>
      <c r="L6" s="233"/>
      <c r="M6" s="233"/>
      <c r="N6" s="246" t="s">
        <v>42</v>
      </c>
      <c r="O6" s="246"/>
      <c r="P6" s="246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21 16383:16384" hidden="1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21 16383:16384" x14ac:dyDescent="0.35">
      <c r="A10" s="231"/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21 16383:16384" ht="15" thickBot="1" x14ac:dyDescent="0.4">
      <c r="A11" s="231"/>
      <c r="B11" s="76"/>
      <c r="C11" s="77"/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21 16383:16384" ht="14.65" customHeight="1" x14ac:dyDescent="0.35">
      <c r="A12" s="231"/>
      <c r="B12" s="76"/>
      <c r="C12" s="77"/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T12" s="203" t="s">
        <v>125</v>
      </c>
      <c r="U12" s="204"/>
      <c r="XFD12" t="s">
        <v>62</v>
      </c>
    </row>
    <row r="13" spans="1:21 16383:16384" ht="15" thickBot="1" x14ac:dyDescent="0.4">
      <c r="A13" s="232"/>
      <c r="J13" s="78"/>
      <c r="K13" s="78"/>
      <c r="L13" s="79">
        <v>0.05</v>
      </c>
      <c r="T13" s="205"/>
      <c r="U13" s="206"/>
      <c r="XFD13" t="s">
        <v>63</v>
      </c>
    </row>
    <row r="14" spans="1:21 16383:16384" ht="29.25" customHeight="1" x14ac:dyDescent="0.6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41" t="s">
        <v>68</v>
      </c>
      <c r="H14" s="242"/>
      <c r="I14" s="242" t="s">
        <v>69</v>
      </c>
      <c r="J14" s="242" t="s">
        <v>70</v>
      </c>
      <c r="K14" s="242"/>
      <c r="L14" s="244"/>
      <c r="M14" s="236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4 Brothers Mart Bakers </v>
      </c>
      <c r="U14" s="164">
        <f>+'1'!P35</f>
        <v>1687.7686080000003</v>
      </c>
      <c r="XFD14" t="s">
        <v>75</v>
      </c>
    </row>
    <row r="15" spans="1:21 16383:16384" ht="29.25" customHeight="1" thickBot="1" x14ac:dyDescent="0.65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3"/>
      <c r="J15" s="171" t="s">
        <v>78</v>
      </c>
      <c r="K15" s="171" t="s">
        <v>79</v>
      </c>
      <c r="L15" s="174" t="s">
        <v>80</v>
      </c>
      <c r="M15" s="23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Kashi Store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257">
        <f>+'1'!H16+'2'!H16+'4'!H16+'3'!H16+'5'!H16+'6'!H16+'7'!H16+'8'!H16+'9'!H16+'10'!H16+'11'!H16+'12'!H16</f>
        <v>0</v>
      </c>
      <c r="I16" s="1">
        <f>(G16*D16)*F16+H16*F16</f>
        <v>0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>Customer Name : Jabbar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257">
        <f>+'1'!H17+'2'!H17+'4'!H17+'3'!H17+'5'!H17+'6'!H17+'7'!H17+'8'!H17+'9'!H17+'10'!H17+'11'!H17+'12'!H17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+'3'!A5</f>
        <v>Customer Name :Adnan Store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257">
        <f>+'1'!H18+'2'!H18+'4'!H18+'3'!H18+'5'!H18+'6'!H18+'7'!H18+'8'!H18+'9'!H18+'10'!H18+'11'!H18+'12'!H18</f>
        <v>0</v>
      </c>
      <c r="I18" s="1">
        <f t="shared" si="1"/>
        <v>0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Food Rite Super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257">
        <f>+'1'!H19+'2'!H19+'4'!H19+'3'!H19+'5'!H19+'6'!H19+'7'!H19+'8'!H19+'9'!H19+'10'!H19+'11'!H19+'12'!H19</f>
        <v>6</v>
      </c>
      <c r="I19" s="1">
        <f t="shared" si="1"/>
        <v>435.84000000000003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34.867200000000004</v>
      </c>
      <c r="M19" s="118">
        <f t="shared" si="2"/>
        <v>400.97280000000001</v>
      </c>
      <c r="N19" s="101">
        <f>+'1'!N19+'2'!N19+'4'!N19+'3'!N19+'5'!N19+'6'!N19+'7'!N19+'8'!N19+'9'!N19+'10'!N19</f>
        <v>88.214016000000001</v>
      </c>
      <c r="O19" s="101">
        <f>+'1'!O19+'2'!O19+'4'!O19+'3'!O19+'5'!O19+'6'!O19+'7'!O19+'8'!O19+'9'!O19+'10'!O19</f>
        <v>12.229670400000002</v>
      </c>
      <c r="P19" s="120">
        <f t="shared" si="0"/>
        <v>501.4164864</v>
      </c>
      <c r="T19" s="163" t="str">
        <f>+'6'!A5</f>
        <v>Customer Name : Sadat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257">
        <f>+'1'!H20+'2'!H20+'4'!H20+'3'!H20+'5'!H20+'6'!H20+'7'!H20+'8'!H20+'9'!H20+'10'!H20+'11'!H20+'12'!H20</f>
        <v>7</v>
      </c>
      <c r="I20" s="1">
        <f t="shared" si="1"/>
        <v>508.48</v>
      </c>
      <c r="J20" s="172">
        <f>+'1'!J20+'2'!J20+'4'!J20+'3'!J20+'5'!J20+'6'!J20+'7'!J20+'8'!J20+'9'!J20+'10'!J20+'11'!J20+'12'!J20</f>
        <v>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40.678400000000003</v>
      </c>
      <c r="M20" s="118">
        <f t="shared" si="2"/>
        <v>467.80160000000001</v>
      </c>
      <c r="N20" s="101">
        <f>+'1'!N20+'2'!N20+'4'!N20+'3'!N20+'5'!N20+'6'!N20+'7'!N20+'8'!N20+'9'!N20+'10'!N20</f>
        <v>118.89715200000001</v>
      </c>
      <c r="O20" s="101">
        <f>+'1'!O20+'2'!O20+'4'!O20+'3'!O20+'5'!O20+'6'!O20+'7'!O20+'8'!O20+'9'!O20+'10'!O20</f>
        <v>14.667468800000002</v>
      </c>
      <c r="P20" s="120">
        <f t="shared" si="0"/>
        <v>601.36622080000006</v>
      </c>
      <c r="T20" s="163" t="str">
        <f>+'7'!A5</f>
        <v>Customer Name : Araf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257">
        <f>+'1'!H21+'2'!H21+'4'!H21+'3'!H21+'5'!H21+'6'!H21+'7'!H21+'8'!H21+'9'!H21+'10'!H21+'11'!H21+'12'!H21</f>
        <v>7</v>
      </c>
      <c r="I21" s="1">
        <f t="shared" si="1"/>
        <v>508.48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40.678400000000003</v>
      </c>
      <c r="M21" s="118">
        <f t="shared" si="2"/>
        <v>467.80160000000001</v>
      </c>
      <c r="N21" s="101">
        <f>+'1'!N21+'2'!N21+'4'!N21+'3'!N21+'5'!N21+'6'!N21+'7'!N21+'8'!N21+'9'!N21+'10'!N21</f>
        <v>102.916352</v>
      </c>
      <c r="O21" s="101">
        <f>+'1'!O21+'2'!O21+'4'!O21+'3'!O21+'5'!O21+'6'!O21+'7'!O21+'8'!O21+'9'!O21+'10'!O21</f>
        <v>14.267948799999999</v>
      </c>
      <c r="P21" s="120">
        <f t="shared" si="0"/>
        <v>584.98590079999997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3" t="s">
        <v>84</v>
      </c>
      <c r="B25" s="214"/>
      <c r="C25" s="215">
        <f>H25/40</f>
        <v>0.5</v>
      </c>
      <c r="D25" s="209"/>
      <c r="E25" s="209"/>
      <c r="F25" s="209"/>
      <c r="G25" s="176">
        <f t="shared" ref="G25:M25" si="3">SUM(G16:G24)</f>
        <v>0</v>
      </c>
      <c r="H25" s="177">
        <f t="shared" si="3"/>
        <v>20</v>
      </c>
      <c r="I25" s="178">
        <f t="shared" si="3"/>
        <v>1452.8000000000002</v>
      </c>
      <c r="J25" s="177">
        <f t="shared" si="3"/>
        <v>1</v>
      </c>
      <c r="K25" s="178">
        <f t="shared" si="3"/>
        <v>0</v>
      </c>
      <c r="L25" s="179">
        <f t="shared" si="3"/>
        <v>116.22400000000002</v>
      </c>
      <c r="M25" s="141">
        <f t="shared" si="3"/>
        <v>1336.576</v>
      </c>
      <c r="N25" s="142">
        <f>SUM(N16:N24)</f>
        <v>310.02752000000004</v>
      </c>
      <c r="O25" s="143">
        <f>SUM(O16:O24)</f>
        <v>41.165088000000004</v>
      </c>
      <c r="P25" s="144">
        <f>SUM(P16:P24)</f>
        <v>1687.7686079999999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1687.7686080000003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1452.8000000000002</v>
      </c>
    </row>
    <row r="29" spans="1:21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116.22400000000002</v>
      </c>
    </row>
    <row r="30" spans="1:21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21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1336.5760000000002</v>
      </c>
    </row>
    <row r="32" spans="1:21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310.02752000000004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1646.6035200000003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41.165088000000011</v>
      </c>
    </row>
    <row r="35" spans="2:16" ht="15.75" customHeight="1" thickBot="1" x14ac:dyDescent="0.4">
      <c r="N35" s="207" t="s">
        <v>92</v>
      </c>
      <c r="O35" s="208"/>
      <c r="P35" s="160">
        <f>P33+P34</f>
        <v>1687.7686080000003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activeCell="H9" sqref="H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114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115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3"/>
        <v>435.84000000000003</v>
      </c>
      <c r="J19" s="117"/>
      <c r="K19" s="1">
        <f t="shared" si="4"/>
        <v>0</v>
      </c>
      <c r="L19" s="105">
        <f t="shared" si="5"/>
        <v>34.867200000000004</v>
      </c>
      <c r="M19" s="118">
        <f t="shared" si="6"/>
        <v>400.97280000000001</v>
      </c>
      <c r="N19" s="118">
        <f t="shared" si="0"/>
        <v>88.214016000000001</v>
      </c>
      <c r="O19" s="119">
        <f t="shared" si="1"/>
        <v>12.229670400000002</v>
      </c>
      <c r="P19" s="120">
        <f t="shared" si="2"/>
        <v>501.4164864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7</v>
      </c>
      <c r="I20" s="116">
        <f t="shared" si="3"/>
        <v>508.48</v>
      </c>
      <c r="J20" s="117">
        <v>1</v>
      </c>
      <c r="K20" s="1">
        <f t="shared" si="4"/>
        <v>0</v>
      </c>
      <c r="L20" s="105">
        <f t="shared" si="5"/>
        <v>40.678400000000003</v>
      </c>
      <c r="M20" s="118">
        <f t="shared" si="6"/>
        <v>467.80160000000001</v>
      </c>
      <c r="N20" s="118">
        <f t="shared" si="0"/>
        <v>118.89715200000001</v>
      </c>
      <c r="O20" s="119">
        <f t="shared" si="1"/>
        <v>14.667468800000002</v>
      </c>
      <c r="P20" s="120">
        <f t="shared" si="2"/>
        <v>601.36622080000006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7</v>
      </c>
      <c r="I21" s="116">
        <f t="shared" si="3"/>
        <v>508.48</v>
      </c>
      <c r="J21" s="117"/>
      <c r="K21" s="1">
        <f t="shared" si="4"/>
        <v>0</v>
      </c>
      <c r="L21" s="105">
        <f t="shared" si="5"/>
        <v>40.678400000000003</v>
      </c>
      <c r="M21" s="118">
        <f t="shared" si="6"/>
        <v>467.80160000000001</v>
      </c>
      <c r="N21" s="118">
        <f t="shared" si="0"/>
        <v>102.916352</v>
      </c>
      <c r="O21" s="119">
        <f t="shared" si="1"/>
        <v>14.267948799999999</v>
      </c>
      <c r="P21" s="120">
        <f t="shared" si="2"/>
        <v>584.98590079999997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20</v>
      </c>
      <c r="I25" s="137">
        <f t="shared" si="9"/>
        <v>1452.8000000000002</v>
      </c>
      <c r="J25" s="138"/>
      <c r="K25" s="139">
        <f t="shared" si="9"/>
        <v>0</v>
      </c>
      <c r="L25" s="140">
        <f t="shared" si="9"/>
        <v>116.22400000000002</v>
      </c>
      <c r="M25" s="141">
        <f t="shared" si="9"/>
        <v>1336.576</v>
      </c>
      <c r="N25" s="142">
        <f>SUM(N16:N24)</f>
        <v>310.02752000000004</v>
      </c>
      <c r="O25" s="143">
        <f>SUM(O16:O24)</f>
        <v>41.165088000000004</v>
      </c>
      <c r="P25" s="144">
        <f>SUM(P16:P24)</f>
        <v>1687.7686079999999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1452.8000000000002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116.22400000000002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1336.5760000000002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310.02752000000004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1646.6035200000003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41.165088000000011</v>
      </c>
    </row>
    <row r="35" spans="2:16" ht="15.75" customHeight="1" thickBot="1" x14ac:dyDescent="0.4">
      <c r="N35" s="207" t="s">
        <v>92</v>
      </c>
      <c r="O35" s="208"/>
      <c r="P35" s="160">
        <f>P33+P34</f>
        <v>1687.7686080000003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activeCell="J17" sqref="J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2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116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117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4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118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119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169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3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121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activeCell="J17" sqref="J17: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5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123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169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6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106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107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7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108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109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169">
        <v>3520242563059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8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110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111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9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109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167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113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109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>
        <v>3628249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97</v>
      </c>
      <c r="B6" s="233"/>
      <c r="C6" s="233"/>
      <c r="F6" s="70"/>
      <c r="G6" s="74"/>
      <c r="K6" s="233" t="s">
        <v>52</v>
      </c>
      <c r="L6" s="233"/>
      <c r="M6" s="233"/>
      <c r="N6" s="246" t="s">
        <v>101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99</v>
      </c>
      <c r="B6" s="233"/>
      <c r="C6" s="233"/>
      <c r="F6" s="70"/>
      <c r="G6" s="74"/>
      <c r="K6" s="233" t="s">
        <v>52</v>
      </c>
      <c r="L6" s="233"/>
      <c r="M6" s="233"/>
      <c r="N6" s="246" t="s">
        <v>101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95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99</v>
      </c>
      <c r="B6" s="233"/>
      <c r="C6" s="233"/>
      <c r="F6" s="180"/>
      <c r="G6" s="74"/>
      <c r="K6" s="233" t="s">
        <v>52</v>
      </c>
      <c r="L6" s="233"/>
      <c r="M6" s="233"/>
      <c r="N6" s="246" t="s">
        <v>101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96</v>
      </c>
      <c r="B10" s="75" t="s">
        <v>100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48</v>
      </c>
      <c r="C11" s="181" t="str">
        <f>IF($O34&gt;2.49%,"No","Yes")</f>
        <v>Yes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2026-06-11T05:21:43Z</dcterms:modified>
</cp:coreProperties>
</file>