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41E14FC3-940E-4B40-BDF9-D8927AF45D9F}" xr6:coauthVersionLast="45" xr6:coauthVersionMax="45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1" i="16" l="1"/>
  <c r="H20" i="16"/>
  <c r="H19" i="16"/>
  <c r="H18" i="16"/>
  <c r="H17" i="16"/>
  <c r="H16" i="16"/>
  <c r="L22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R19" i="16" s="1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K18" i="16"/>
  <c r="K18" i="15" s="1"/>
  <c r="L18" i="16"/>
  <c r="K16" i="16"/>
  <c r="L16" i="16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21" i="15" l="1"/>
  <c r="M16" i="15"/>
  <c r="M18" i="16"/>
  <c r="N18" i="16" s="1"/>
  <c r="O18" i="16" s="1"/>
  <c r="O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N18" i="15" l="1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<sst xmlns="http://schemas.openxmlformats.org/spreadsheetml/2006/main" count="1598" uniqueCount="126">
  <si>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</si>
  <si>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</si>
  <si>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</si>
  <si>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</si>
  <si>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</si>
  <si>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</si>
  <si>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</si>
  <si>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</si>
  <si>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</si>
  <si>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</si>
  <si>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</si>
  <si>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</si>
  <si>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</si>
  <si>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</si>
  <si>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</si>
  <si>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</si>
  <si>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</si>
  <si>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</si>
  <si>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</si>
  <si>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</si>
  <si>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</si>
  <si>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</si>
  <si>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</si>
  <si>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</si>
  <si>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</si>
  <si>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</si>
  <si>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</si>
  <si>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</si>
  <si>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</si>
  <si>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</si>
  <si>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</si>
  <si>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</si>
  <si>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</si>
  <si>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</si>
  <si>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</si>
  <si>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</si>
  <si>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</si>
  <si>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</si>
  <si>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</si>
  <si>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</si>
  <si>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</si>
  <si>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</si>
  <si>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</si>
  <si>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</si>
  <si>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</si>
  <si>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</si>
  <si>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</si>
  <si>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</si>
  <si>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</si>
  <si>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</si>
  <si>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</si>
  <si>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</si>
  <si>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</si>
  <si>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</si>
  <si>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</si>
  <si>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</si>
  <si>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</si>
  <si>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</si>
  <si>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</si>
  <si>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</si>
  <si>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</si>
  <si>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</si>
  <si>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</si>
  <si>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</si>
  <si>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</si>
  <si>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</si>
  <si>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</si>
  <si>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</si>
  <si>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</si>
  <si>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</si>
  <si>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</si>
  <si>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</si>
  <si>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</si>
  <si>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</si>
  <si>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</si>
  <si>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</si>
  <si>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</si>
  <si>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</si>
  <si>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</si>
  <si>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</si>
  <si>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</si>
  <si>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</si>
  <si>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</si>
  <si>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</si>
  <si>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</si>
  <si>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</si>
  <si>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</si>
  <si>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</si>
  <si>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</si>
  <si>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</si>
  <si>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</si>
  <si>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</si>
  <si>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</si>
  <si>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</si>
  <si>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</si>
  <si>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</si>
  <si>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</si>
  <si>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</si>
  <si>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</si>
  <si>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</si>
  <si>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</si>
  <si>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</si>
  <si>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</si>
  <si>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</si>
  <si>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</si>
  <si>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</si>
  <si>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</si>
  <si>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</si>
  <si>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</si>
  <si>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</si>
  <si>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</si>
  <si>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</si>
  <si>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</si>
  <si>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</si>
  <si>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</si>
  <si>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</si>
  <si>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</si>
  <si>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</si>
  <si>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</si>
  <si>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</si>
  <si>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</si>
  <si>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shakoor</t>
  </si>
  <si>
    <t>Shop Bill Summary (Shakoor SB)</t>
  </si>
  <si>
    <t xml:space="preserve">Customer Name : Zabaida Associates </t>
  </si>
  <si>
    <t>Address: LHR, punjab 5400 PAK</t>
  </si>
  <si>
    <t>4269497-3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</si>
</sst>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T14" sqref="T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121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122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Zabaida Associates </v>
      </c>
      <c r="U14" s="164">
        <f>+'1'!P35</f>
        <v>638096.79793500004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1200</v>
      </c>
      <c r="I16" s="1">
        <f>(G16*D16)*F16+H16*F16</f>
        <v>62955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11331.9</v>
      </c>
      <c r="M16" s="106">
        <f>I16-K16-L16</f>
        <v>51623.1</v>
      </c>
      <c r="N16" s="101">
        <f>+'1'!N16+'2'!N16+'4'!N16+'3'!N16+'5'!N16+'6'!N16+'7'!N16+'8'!N16+'9'!N16+'10'!N16</f>
        <v>9292.1579999999994</v>
      </c>
      <c r="O16" s="101">
        <f>+'1'!O16+'2'!O16+'4'!O16+'3'!O16+'5'!O16+'6'!O16+'7'!O16+'8'!O16+'9'!O16+'10'!O16</f>
        <v>304.57629000000003</v>
      </c>
      <c r="P16" s="105">
        <f t="shared" ref="P16:P24" si="0">M16+N16+O16</f>
        <v>61219.834289999999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1200</v>
      </c>
      <c r="I17" s="1">
        <f t="shared" ref="I17:I23" si="1">(G17*D17)*F17+H17*F17</f>
        <v>62955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11331.9</v>
      </c>
      <c r="M17" s="118">
        <f t="shared" ref="M17:M23" si="2">I17-K17-L17</f>
        <v>51623.1</v>
      </c>
      <c r="N17" s="101">
        <f>+'1'!N17+'2'!N17+'4'!N17+'3'!N17+'5'!N17+'6'!N17+'7'!N17+'8'!N17+'9'!N17+'10'!N17</f>
        <v>9292.1579999999994</v>
      </c>
      <c r="O17" s="101">
        <f>+'1'!O17+'2'!O17+'4'!O17+'3'!O17+'5'!O17+'6'!O17+'7'!O17+'8'!O17+'9'!O17+'10'!O17</f>
        <v>304.57629000000003</v>
      </c>
      <c r="P17" s="120">
        <f t="shared" si="0"/>
        <v>61219.834289999999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1800</v>
      </c>
      <c r="I18" s="1">
        <f t="shared" si="1"/>
        <v>94432.5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16997.849999999999</v>
      </c>
      <c r="M18" s="118">
        <f t="shared" si="2"/>
        <v>77434.649999999994</v>
      </c>
      <c r="N18" s="101">
        <f>+'1'!N18+'2'!N18+'4'!N18+'3'!N18+'5'!N18+'6'!N18+'7'!N18+'8'!N18+'9'!N18+'10'!N18</f>
        <v>13938.236999999999</v>
      </c>
      <c r="O18" s="101">
        <f>+'1'!O18+'2'!O18+'4'!O18+'3'!O18+'5'!O18+'6'!O18+'7'!O18+'8'!O18+'9'!O18+'10'!O18</f>
        <v>456.86443499999996</v>
      </c>
      <c r="P18" s="120">
        <f t="shared" si="0"/>
        <v>91829.751434999984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2400</v>
      </c>
      <c r="I19" s="1">
        <f t="shared" si="1"/>
        <v>174336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31380.48</v>
      </c>
      <c r="M19" s="118">
        <f t="shared" si="2"/>
        <v>142955.51999999999</v>
      </c>
      <c r="N19" s="101">
        <f>+'1'!N19+'2'!N19+'4'!N19+'3'!N19+'5'!N19+'6'!N19+'7'!N19+'8'!N19+'9'!N19+'10'!N19</f>
        <v>25731.993599999998</v>
      </c>
      <c r="O19" s="101">
        <f>+'1'!O19+'2'!O19+'4'!O19+'3'!O19+'5'!O19+'6'!O19+'7'!O19+'8'!O19+'9'!O19+'10'!O19</f>
        <v>843.43756799999994</v>
      </c>
      <c r="P19" s="120">
        <f t="shared" si="0"/>
        <v>169530.95116799997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1800</v>
      </c>
      <c r="I20" s="1">
        <f t="shared" si="1"/>
        <v>130752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23535.360000000001</v>
      </c>
      <c r="M20" s="118">
        <f t="shared" si="2"/>
        <v>107216.64</v>
      </c>
      <c r="N20" s="101">
        <f>+'1'!N20+'2'!N20+'4'!N20+'3'!N20+'5'!N20+'6'!N20+'7'!N20+'8'!N20+'9'!N20+'10'!N20</f>
        <v>19298.995199999998</v>
      </c>
      <c r="O20" s="101">
        <f>+'1'!O20+'2'!O20+'4'!O20+'3'!O20+'5'!O20+'6'!O20+'7'!O20+'8'!O20+'9'!O20+'10'!O20</f>
        <v>632.57817599999998</v>
      </c>
      <c r="P20" s="120">
        <f t="shared" si="0"/>
        <v>127148.21337599999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1800</v>
      </c>
      <c r="I21" s="1">
        <f t="shared" si="1"/>
        <v>130752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23535.360000000001</v>
      </c>
      <c r="M21" s="118">
        <f t="shared" si="2"/>
        <v>107216.64</v>
      </c>
      <c r="N21" s="101">
        <f>+'1'!N21+'2'!N21+'4'!N21+'3'!N21+'5'!N21+'6'!N21+'7'!N21+'8'!N21+'9'!N21+'10'!N21</f>
        <v>19298.995199999998</v>
      </c>
      <c r="O21" s="101">
        <f>+'1'!O21+'2'!O21+'4'!O21+'3'!O21+'5'!O21+'6'!O21+'7'!O21+'8'!O21+'9'!O21+'10'!O21</f>
        <v>632.57817599999998</v>
      </c>
      <c r="P21" s="120">
        <f t="shared" si="0"/>
        <v>127148.21337599999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10200</v>
      </c>
      <c r="I25" s="178">
        <f t="shared" si="3"/>
        <v>656182.5</v>
      </c>
      <c r="J25" s="177">
        <f t="shared" si="3"/>
        <v>0</v>
      </c>
      <c r="K25" s="178">
        <f t="shared" si="3"/>
        <v>0</v>
      </c>
      <c r="L25" s="179">
        <f t="shared" si="3"/>
        <v>118112.84999999999</v>
      </c>
      <c r="M25" s="141">
        <f t="shared" si="3"/>
        <v>538069.65</v>
      </c>
      <c r="N25" s="142">
        <f>SUM(N16:N24)</f>
        <v>96852.537000000011</v>
      </c>
      <c r="O25" s="143">
        <f>SUM(O16:O24)</f>
        <v>3174.6109349999997</v>
      </c>
      <c r="P25" s="144">
        <f>SUM(P16:P24)</f>
        <v>638096.79793499992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638096.79793500004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656182.5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118112.84999999999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538069.65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96852.537000000011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634922.18700000003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15873.054675000001</v>
      </c>
    </row>
    <row r="35" spans="2:16" ht="15.75" customHeight="1" thickBot="1" x14ac:dyDescent="0.4">
      <c r="N35" s="223" t="s">
        <v>92</v>
      </c>
      <c r="O35" s="224"/>
      <c r="P35" s="160">
        <f>P33+P34</f>
        <v>650795.24167500006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1001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124</v>
      </c>
      <c r="B6" s="205"/>
      <c r="C6" s="205"/>
      <c r="F6" s="70"/>
      <c r="G6" s="74"/>
      <c r="K6" s="205" t="s">
        <v>52</v>
      </c>
      <c r="L6" s="205"/>
      <c r="M6" s="205"/>
      <c r="N6" s="207" t="s">
        <v>105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125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600+600</f>
        <v>1200</v>
      </c>
      <c r="I16" s="102">
        <f>(G16*D16)*F16+H16*F16</f>
        <v>62955</v>
      </c>
      <c r="J16" s="103"/>
      <c r="K16" s="104">
        <f>I16*$K$13</f>
        <v>0</v>
      </c>
      <c r="L16" s="105">
        <f>I16*18%</f>
        <v>11331.9</v>
      </c>
      <c r="M16" s="106">
        <f>I16-K16-L16</f>
        <v>51623.1</v>
      </c>
      <c r="N16" s="106">
        <f t="shared" ref="N16:N24" si="0">(M16*$N$15)+(J16*F16)*$N$15</f>
        <v>9292.1579999999994</v>
      </c>
      <c r="O16" s="107">
        <f t="shared" ref="O16:O24" si="1">(N16+M16)*$O$15</f>
        <v>304.57629000000003</v>
      </c>
      <c r="P16" s="105">
        <f t="shared" ref="P16:P24" si="2">M16+N16+O16</f>
        <v>61219.834289999999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600+600</f>
        <v>1200</v>
      </c>
      <c r="I17" s="116">
        <f t="shared" ref="I17:I23" si="3">(G17*D17)*F17+H17*F17</f>
        <v>62955</v>
      </c>
      <c r="J17" s="117"/>
      <c r="K17" s="1">
        <f t="shared" ref="K17:K21" si="4">I17*$K$13</f>
        <v>0</v>
      </c>
      <c r="L17" s="105">
        <f t="shared" ref="L17:L22" si="5">I17*18%</f>
        <v>11331.9</v>
      </c>
      <c r="M17" s="118">
        <f t="shared" ref="M17:M23" si="6">I17-K17-L17</f>
        <v>51623.1</v>
      </c>
      <c r="N17" s="118">
        <f t="shared" si="0"/>
        <v>9292.1579999999994</v>
      </c>
      <c r="O17" s="119">
        <f t="shared" si="1"/>
        <v>304.57629000000003</v>
      </c>
      <c r="P17" s="120">
        <f t="shared" si="2"/>
        <v>61219.834289999999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f>1200+600</f>
        <v>1800</v>
      </c>
      <c r="I18" s="116">
        <f t="shared" si="3"/>
        <v>94432.5</v>
      </c>
      <c r="J18" s="117"/>
      <c r="K18" s="1">
        <f t="shared" si="4"/>
        <v>0</v>
      </c>
      <c r="L18" s="105">
        <f t="shared" si="5"/>
        <v>16997.849999999999</v>
      </c>
      <c r="M18" s="118">
        <f t="shared" si="6"/>
        <v>77434.649999999994</v>
      </c>
      <c r="N18" s="118">
        <f t="shared" si="0"/>
        <v>13938.236999999999</v>
      </c>
      <c r="O18" s="119">
        <f t="shared" si="1"/>
        <v>456.86443499999996</v>
      </c>
      <c r="P18" s="120">
        <f t="shared" si="2"/>
        <v>91829.751434999984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1800+600</f>
        <v>2400</v>
      </c>
      <c r="I19" s="116">
        <f t="shared" si="3"/>
        <v>174336</v>
      </c>
      <c r="J19" s="117"/>
      <c r="K19" s="1">
        <f t="shared" si="4"/>
        <v>0</v>
      </c>
      <c r="L19" s="105">
        <f t="shared" si="5"/>
        <v>31380.48</v>
      </c>
      <c r="M19" s="118">
        <f t="shared" si="6"/>
        <v>142955.51999999999</v>
      </c>
      <c r="N19" s="118">
        <f t="shared" si="0"/>
        <v>25731.993599999998</v>
      </c>
      <c r="O19" s="119">
        <f t="shared" si="1"/>
        <v>843.43756799999994</v>
      </c>
      <c r="P19" s="120">
        <f t="shared" si="2"/>
        <v>169530.95116799997</v>
      </c>
      <c r="R19">
        <f>H25/40</f>
        <v>255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1200+600</f>
        <v>1800</v>
      </c>
      <c r="I20" s="116">
        <f t="shared" si="3"/>
        <v>130752</v>
      </c>
      <c r="J20" s="117"/>
      <c r="K20" s="1">
        <f t="shared" si="4"/>
        <v>0</v>
      </c>
      <c r="L20" s="105">
        <f t="shared" si="5"/>
        <v>23535.360000000001</v>
      </c>
      <c r="M20" s="118">
        <f t="shared" si="6"/>
        <v>107216.64</v>
      </c>
      <c r="N20" s="118">
        <f t="shared" si="0"/>
        <v>19298.995199999998</v>
      </c>
      <c r="O20" s="119">
        <f t="shared" si="1"/>
        <v>632.57817599999998</v>
      </c>
      <c r="P20" s="120">
        <f t="shared" si="2"/>
        <v>127148.21337599999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f>1200+600</f>
        <v>1800</v>
      </c>
      <c r="I21" s="116">
        <f t="shared" si="3"/>
        <v>130752</v>
      </c>
      <c r="J21" s="117"/>
      <c r="K21" s="1">
        <f t="shared" si="4"/>
        <v>0</v>
      </c>
      <c r="L21" s="105">
        <f t="shared" si="5"/>
        <v>23535.360000000001</v>
      </c>
      <c r="M21" s="118">
        <f t="shared" si="6"/>
        <v>107216.64</v>
      </c>
      <c r="N21" s="118">
        <f t="shared" si="0"/>
        <v>19298.995199999998</v>
      </c>
      <c r="O21" s="119">
        <f t="shared" si="1"/>
        <v>632.57817599999998</v>
      </c>
      <c r="P21" s="120">
        <f t="shared" si="2"/>
        <v>127148.21337599999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10200</v>
      </c>
      <c r="I25" s="137">
        <f t="shared" si="9"/>
        <v>656182.5</v>
      </c>
      <c r="J25" s="138"/>
      <c r="K25" s="139">
        <f t="shared" si="9"/>
        <v>0</v>
      </c>
      <c r="L25" s="140">
        <f t="shared" si="9"/>
        <v>118112.84999999999</v>
      </c>
      <c r="M25" s="141">
        <f t="shared" si="9"/>
        <v>538069.65</v>
      </c>
      <c r="N25" s="142">
        <f>SUM(N16:N24)</f>
        <v>96852.537000000011</v>
      </c>
      <c r="O25" s="143">
        <f>SUM(O16:O24)</f>
        <v>3174.6109349999997</v>
      </c>
      <c r="P25" s="144">
        <f>SUM(P16:P24)</f>
        <v>638096.79793499992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656182.5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118112.84999999999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538069.65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96852.537000000011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634922.18700000003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3174.6109350000002</v>
      </c>
    </row>
    <row r="35" spans="2:16" ht="15.75" customHeight="1" thickBot="1" x14ac:dyDescent="0.4">
      <c r="N35" s="223" t="s">
        <v>92</v>
      </c>
      <c r="O35" s="224"/>
      <c r="P35" s="160">
        <f>P33+P34</f>
        <v>638096.79793500004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106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114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2026-06-11T06:48:02Z</dcterms:modified>
</cp:coreProperties>
</file>