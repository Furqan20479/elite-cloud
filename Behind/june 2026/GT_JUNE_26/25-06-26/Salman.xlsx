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61BBDA0-156F-4423-A363-3608876DD873}" xr6:coauthVersionLast="47" xr6:coauthVersionMax="47" xr10:uidLastSave="{00000000-0000-0000-0000-000000000000}"/>
  <bookViews>
    <workbookView xWindow="-110" yWindow="-110" windowWidth="19420" windowHeight="10420" tabRatio="949" activeTab="1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<sst xmlns="http://schemas.openxmlformats.org/spreadsheetml/2006/main" count="1583" uniqueCount="121">
  <si>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</si>
  <si>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</si>
  <si>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</si>
  <si>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</si>
  <si>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</si>
  <si>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</si>
  <si>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</si>
  <si>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</si>
  <si>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</si>
  <si>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</si>
  <si>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</si>
  <si>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</si>
  <si>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</si>
  <si>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</si>
  <si>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</si>
  <si>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</si>
  <si>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</si>
  <si>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</si>
  <si>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</si>
  <si>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</si>
  <si>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</si>
  <si>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</si>
  <si>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</si>
  <si>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</si>
  <si>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</si>
  <si>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</si>
  <si>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</si>
  <si>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</si>
  <si>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</si>
  <si>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</si>
  <si>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</si>
  <si>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</si>
  <si>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</si>
  <si>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</si>
  <si>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</si>
  <si>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</si>
  <si>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</si>
  <si>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</si>
  <si>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</si>
  <si>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</si>
  <si>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</si>
  <si>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</si>
  <si>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</si>
  <si>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</si>
  <si>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</si>
  <si>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</si>
  <si>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</si>
  <si>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</si>
  <si>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</si>
  <si>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</si>
  <si>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</si>
  <si>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</si>
  <si>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</si>
  <si>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</si>
  <si>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</si>
  <si>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</si>
  <si>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</si>
  <si>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</si>
  <si>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</si>
  <si>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</si>
  <si>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</si>
  <si>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</si>
  <si>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</si>
  <si>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</si>
  <si>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</si>
  <si>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</si>
  <si>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</si>
  <si>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</si>
  <si>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</si>
  <si>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</si>
  <si>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</si>
  <si>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</si>
  <si>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</si>
  <si>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</si>
  <si>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</si>
  <si>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</si>
  <si>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</si>
  <si>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</si>
  <si>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</si>
  <si>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</si>
  <si>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</si>
  <si>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</si>
  <si>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</si>
  <si>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</si>
  <si>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</si>
  <si>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</si>
  <si>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</si>
  <si>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</si>
  <si>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</si>
  <si>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</si>
  <si>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</si>
  <si>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</si>
  <si>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</si>
  <si>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</si>
  <si>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</si>
  <si>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</si>
  <si>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</si>
  <si>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</si>
  <si>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</si>
  <si>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</si>
  <si>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</si>
  <si>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</si>
  <si>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</si>
  <si>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</si>
  <si>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</si>
  <si>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</si>
  <si>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Salman</t>
  </si>
  <si>
    <t>Shop Bill Summary (Salman)</t>
  </si>
  <si>
    <t>Customer Name : Alfalah Bakers</t>
  </si>
  <si>
    <t>Address: Gulberg 3</t>
  </si>
  <si>
    <t>2222730-0</t>
  </si>
  <si>
    <t>Customer Name : SM Store</t>
  </si>
  <si>
    <t>Customer Name : Al Madina Photo Copy</t>
  </si>
  <si>
    <t>Customer Name : Chishtiyan Sabria Store</t>
  </si>
  <si>
    <t xml:space="preserve">Address: 7 Street </t>
  </si>
  <si>
    <t>Customer Name : Ashiyana Store</t>
  </si>
  <si>
    <t>Customer Name : Mughal Store</t>
  </si>
  <si>
    <t>Address: 7 Street</t>
  </si>
  <si>
    <t>Customer Name : Hamza Mart</t>
  </si>
  <si>
    <t>Address: Walton Road</t>
  </si>
  <si>
    <t>Shop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</si>
</sst>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5" zoomScale="70" zoomScaleNormal="7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Alfalah Bakers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 Store</v>
      </c>
      <c r="U15" s="164">
        <f>+'2'!P35</f>
        <v>2939.3173839000001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436.27815000000004</v>
      </c>
      <c r="O16" s="101">
        <f>+'1'!O16+'2'!O16+'4'!O16+'3'!O16+'5'!O16+'6'!O16+'7'!O16+'8'!O16+'9'!O16+'10'!O16</f>
        <v>35.618889750000001</v>
      </c>
      <c r="P16" s="105">
        <f t="shared" ref="P16:P24" si="0">M16+N16+O16</f>
        <v>2402.5170397500001</v>
      </c>
      <c r="Q16" s="108"/>
      <c r="T16" s="163" t="str">
        <f>+'3'!A5</f>
        <v>Customer Name : Al Madina Photo Copy</v>
      </c>
      <c r="U16" s="164">
        <f>+'3'!P35</f>
        <v>2955.6224995500002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459.36165000000005</v>
      </c>
      <c r="O17" s="101">
        <f>+'1'!O17+'2'!O17+'4'!O17+'3'!O17+'5'!O17+'6'!O17+'7'!O17+'8'!O17+'9'!O17+'10'!O17</f>
        <v>35.734307250000001</v>
      </c>
      <c r="P17" s="120">
        <f t="shared" si="0"/>
        <v>2425.7159572499995</v>
      </c>
      <c r="S17" s="64"/>
      <c r="T17" s="163" t="str">
        <f>+'4'!A5</f>
        <v>Customer Name : Chishtiyan Sabria Store</v>
      </c>
      <c r="U17" s="164">
        <f>+'4'!P35</f>
        <v>1654.8365376000002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Ashiyana Store</v>
      </c>
      <c r="U18" s="164">
        <f>+'5'!P35</f>
        <v>4944.9532374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34</v>
      </c>
      <c r="I19" s="1">
        <f t="shared" si="1"/>
        <v>2469.7600000000002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197.58080000000001</v>
      </c>
      <c r="M19" s="118">
        <f t="shared" si="2"/>
        <v>2272.1792</v>
      </c>
      <c r="N19" s="101">
        <f>+'1'!N19+'2'!N19+'4'!N19+'3'!N19+'5'!N19+'6'!N19+'7'!N19+'8'!N19+'9'!N19+'10'!N19</f>
        <v>531.84102399999995</v>
      </c>
      <c r="O19" s="101">
        <f>+'1'!O19+'2'!O19+'4'!O19+'3'!O19+'5'!O19+'6'!O19+'7'!O19+'8'!O19+'9'!O19+'10'!O19</f>
        <v>14.02010112</v>
      </c>
      <c r="P19" s="120">
        <f t="shared" si="0"/>
        <v>2818.04032512</v>
      </c>
      <c r="T19" s="163" t="str">
        <f>+'6'!A5</f>
        <v>Customer Name : Mughal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13</v>
      </c>
      <c r="I20" s="1">
        <f t="shared" si="1"/>
        <v>944.32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75.545600000000007</v>
      </c>
      <c r="M20" s="118">
        <f t="shared" si="2"/>
        <v>868.77440000000001</v>
      </c>
      <c r="N20" s="101">
        <f>+'1'!N20+'2'!N20+'4'!N20+'3'!N20+'5'!N20+'6'!N20+'7'!N20+'8'!N20+'9'!N20+'10'!N20</f>
        <v>207.11116799999999</v>
      </c>
      <c r="O20" s="101">
        <f>+'1'!O20+'2'!O20+'4'!O20+'3'!O20+'5'!O20+'6'!O20+'7'!O20+'8'!O20+'9'!O20+'10'!O20</f>
        <v>5.37942784</v>
      </c>
      <c r="P20" s="120">
        <f t="shared" si="0"/>
        <v>1081.26499584</v>
      </c>
      <c r="T20" s="163" t="str">
        <f>+'7'!A5</f>
        <v>Customer Name : Hamza Mart</v>
      </c>
      <c r="U20" s="164">
        <f>+'7'!P35</f>
        <v>3617.9317162800007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43</v>
      </c>
      <c r="I21" s="1">
        <f t="shared" si="1"/>
        <v>3123.52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249.88160000000002</v>
      </c>
      <c r="M21" s="118">
        <f t="shared" si="2"/>
        <v>2873.6383999999998</v>
      </c>
      <c r="N21" s="101">
        <f>+'1'!N21+'2'!N21+'4'!N21+'3'!N21+'5'!N21+'6'!N21+'7'!N21+'8'!N21+'9'!N21+'10'!N21</f>
        <v>581.12</v>
      </c>
      <c r="O21" s="101">
        <f>+'1'!O21+'2'!O21+'4'!O21+'3'!O21+'5'!O21+'6'!O21+'7'!O21+'8'!O21+'9'!O21+'10'!O21</f>
        <v>27.057528320000003</v>
      </c>
      <c r="P21" s="120">
        <f t="shared" si="0"/>
        <v>3481.8159283199998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90</v>
      </c>
      <c r="I22" s="1">
        <f t="shared" si="1"/>
        <v>3530.7000000000003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123.57450000000003</v>
      </c>
      <c r="L22" s="175">
        <f>+'1'!L22+'2'!L22+'4'!L22+'3'!L22+'5'!L22+'6'!L22+'7'!L22+'8'!L22+'9'!L22+'10'!L22</f>
        <v>176.53500000000005</v>
      </c>
      <c r="M22" s="118">
        <f t="shared" si="2"/>
        <v>3230.5905000000002</v>
      </c>
      <c r="N22" s="101">
        <f>+'1'!N22+'2'!N22+'4'!N22+'3'!N22+'5'!N22+'6'!N22+'7'!N22+'8'!N22+'9'!N22+'10'!N22</f>
        <v>653.29719</v>
      </c>
      <c r="O22" s="101">
        <f>+'1'!O22+'2'!O22+'4'!O22+'3'!O22+'5'!O22+'6'!O22+'7'!O22+'8'!O22+'9'!O22+'10'!O22</f>
        <v>19.419438450000001</v>
      </c>
      <c r="P22" s="120">
        <f t="shared" si="0"/>
        <v>3903.3071284500006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6.5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260</v>
      </c>
      <c r="I25" s="178">
        <f t="shared" si="3"/>
        <v>14265.300000000001</v>
      </c>
      <c r="J25" s="177">
        <f t="shared" si="3"/>
        <v>8</v>
      </c>
      <c r="K25" s="178">
        <f t="shared" si="3"/>
        <v>123.57450000000003</v>
      </c>
      <c r="L25" s="179">
        <f t="shared" si="3"/>
        <v>1035.3030000000001</v>
      </c>
      <c r="M25" s="141">
        <f t="shared" si="3"/>
        <v>13106.422500000001</v>
      </c>
      <c r="N25" s="142">
        <f>SUM(N16:N24)</f>
        <v>2869.0091819999998</v>
      </c>
      <c r="O25" s="143">
        <f>SUM(O16:O24)</f>
        <v>137.22969273000001</v>
      </c>
      <c r="P25" s="144">
        <f>SUM(P16:P24)</f>
        <v>16112.66137473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16112.66137473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14265.300000000001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1035.3030000000001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123.57450000000003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13106.422500000001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2869.0091819999998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15975.431682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399.38579205000002</v>
      </c>
    </row>
    <row r="39" spans="2:16" ht="15.75" customHeight="1" thickBot="1" x14ac:dyDescent="0.4">
      <c r="N39" s="219" t="s">
        <v>92</v>
      </c>
      <c r="O39" s="220"/>
      <c r="P39" s="160">
        <f>P37+P38</f>
        <v>16374.81747405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workbookViewId="0">
      <selection activeCell="J8" sqref="J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L1" t="s">
        <v>120</v>
      </c>
    </row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46</v>
      </c>
      <c r="I25" s="137">
        <f t="shared" si="9"/>
        <v>2534.34</v>
      </c>
      <c r="J25" s="138"/>
      <c r="K25" s="139">
        <f t="shared" si="9"/>
        <v>0</v>
      </c>
      <c r="L25" s="140">
        <f t="shared" si="9"/>
        <v>202.74719999999999</v>
      </c>
      <c r="M25" s="141">
        <f t="shared" si="9"/>
        <v>2331.5927999999999</v>
      </c>
      <c r="N25" s="142">
        <f>SUM(N16:N24)</f>
        <v>536.03391599999998</v>
      </c>
      <c r="O25" s="143">
        <f>SUM(O16:O24)</f>
        <v>71.690667899999994</v>
      </c>
      <c r="P25" s="144">
        <f>SUM(P16:P24)</f>
        <v>2939.3173838999996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2534.34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202.74719999999999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2331.5928000000004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536.03391599999998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2867.6267160000002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71.690667900000008</v>
      </c>
    </row>
    <row r="35" spans="2:16" ht="15.75" customHeight="1" thickBot="1" x14ac:dyDescent="0.4">
      <c r="N35" s="219" t="s">
        <v>92</v>
      </c>
      <c r="O35" s="220"/>
      <c r="P35" s="160">
        <f>P33+P34</f>
        <v>2939.3173839000001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G22" sqref="G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12187135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60</v>
      </c>
      <c r="I25" s="137">
        <f t="shared" si="9"/>
        <v>2618.4500000000003</v>
      </c>
      <c r="J25" s="138"/>
      <c r="K25" s="139">
        <f t="shared" si="9"/>
        <v>54.922000000000011</v>
      </c>
      <c r="L25" s="140">
        <f t="shared" si="9"/>
        <v>162.40000000000003</v>
      </c>
      <c r="M25" s="141">
        <f t="shared" si="9"/>
        <v>2401.1280000000002</v>
      </c>
      <c r="N25" s="142">
        <f>SUM(N16:N24)</f>
        <v>539.78991000000008</v>
      </c>
      <c r="O25" s="143">
        <f>SUM(O16:O24)</f>
        <v>14.704589550000001</v>
      </c>
      <c r="P25" s="144">
        <f>SUM(P16:P24)</f>
        <v>2955.6224995500002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2618.4500000000003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162.40000000000003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2401.1280000000002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539.78991000000008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2940.9179100000001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14.704589550000001</v>
      </c>
    </row>
    <row r="35" spans="2:16" ht="15.75" customHeight="1" thickBot="1" x14ac:dyDescent="0.4">
      <c r="N35" s="219" t="s">
        <v>92</v>
      </c>
      <c r="O35" s="220"/>
      <c r="P35" s="160">
        <f>P33+P34</f>
        <v>2955.6224995500002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G25" sqref="G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3660173975043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3520133034223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2"/>
        <v>1016.96</v>
      </c>
      <c r="J19" s="117">
        <v>1</v>
      </c>
      <c r="K19" s="1">
        <f t="shared" si="3"/>
        <v>0</v>
      </c>
      <c r="L19" s="105">
        <f t="shared" si="4"/>
        <v>81.356800000000007</v>
      </c>
      <c r="M19" s="118">
        <f t="shared" si="5"/>
        <v>935.60320000000002</v>
      </c>
      <c r="N19" s="118">
        <f t="shared" si="0"/>
        <v>221.81350399999999</v>
      </c>
      <c r="O19" s="119">
        <f t="shared" si="6"/>
        <v>5.7870835200000004</v>
      </c>
      <c r="P19" s="120">
        <f t="shared" si="1"/>
        <v>1163.2037875199999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1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207.11116799999999</v>
      </c>
      <c r="O20" s="119">
        <f t="shared" si="6"/>
        <v>5.37942784</v>
      </c>
      <c r="P20" s="120">
        <f t="shared" si="1"/>
        <v>1081.26499584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191.130368</v>
      </c>
      <c r="O21" s="119">
        <f t="shared" si="6"/>
        <v>5.2995238400000009</v>
      </c>
      <c r="P21" s="120">
        <f t="shared" si="1"/>
        <v>1065.20429184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70</v>
      </c>
      <c r="I25" s="137">
        <f t="shared" si="9"/>
        <v>4347.1500000000005</v>
      </c>
      <c r="J25" s="138"/>
      <c r="K25" s="139">
        <f t="shared" si="9"/>
        <v>13.730500000000003</v>
      </c>
      <c r="L25" s="140">
        <f t="shared" si="9"/>
        <v>336.00300000000004</v>
      </c>
      <c r="M25" s="141">
        <f t="shared" si="9"/>
        <v>3997.4165000000003</v>
      </c>
      <c r="N25" s="142">
        <f>SUM(N16:N24)</f>
        <v>922.93498</v>
      </c>
      <c r="O25" s="143">
        <f>SUM(O16:O24)</f>
        <v>24.601757400000004</v>
      </c>
      <c r="P25" s="144">
        <f>SUM(P16:P24)</f>
        <v>4944.9532374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4347.1500000000005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336.00300000000004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3997.4165000000003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922.93498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4920.3514800000003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24.6017574</v>
      </c>
    </row>
    <row r="35" spans="2:16" ht="15.75" customHeight="1" thickBot="1" x14ac:dyDescent="0.4">
      <c r="N35" s="219" t="s">
        <v>92</v>
      </c>
      <c r="O35" s="220"/>
      <c r="P35" s="160">
        <f>P33+P34</f>
        <v>4944.9532374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K1" sqref="K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>
        <v>1</v>
      </c>
      <c r="K21" s="1">
        <f t="shared" si="3"/>
        <v>0</v>
      </c>
      <c r="L21" s="105">
        <f t="shared" si="4"/>
        <v>139.46880000000002</v>
      </c>
      <c r="M21" s="118">
        <f t="shared" si="5"/>
        <v>1603.8912</v>
      </c>
      <c r="N21" s="118">
        <f t="shared" si="0"/>
        <v>301.77561600000001</v>
      </c>
      <c r="O21" s="119">
        <f t="shared" si="6"/>
        <v>9.5283340800000005</v>
      </c>
      <c r="P21" s="120">
        <f t="shared" si="1"/>
        <v>1915.1951500799998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64</v>
      </c>
      <c r="I25" s="137">
        <f t="shared" si="9"/>
        <v>3312.5600000000004</v>
      </c>
      <c r="J25" s="138"/>
      <c r="K25" s="139">
        <f t="shared" si="9"/>
        <v>54.922000000000011</v>
      </c>
      <c r="L25" s="140">
        <f t="shared" si="9"/>
        <v>217.92880000000002</v>
      </c>
      <c r="M25" s="141">
        <f t="shared" si="9"/>
        <v>3039.7092000000002</v>
      </c>
      <c r="N25" s="142">
        <f>SUM(N16:N24)</f>
        <v>560.22285600000009</v>
      </c>
      <c r="O25" s="143">
        <f>SUM(O16:O24)</f>
        <v>17.999660280000001</v>
      </c>
      <c r="P25" s="144">
        <f>SUM(P16:P24)</f>
        <v>3617.9317162799998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3312.5600000000004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217.92880000000002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3039.7092000000002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560.22285600000009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3599.9320560000006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17.999660280000004</v>
      </c>
    </row>
    <row r="35" spans="2:16" ht="15.75" customHeight="1" thickBot="1" x14ac:dyDescent="0.4">
      <c r="N35" s="219" t="s">
        <v>92</v>
      </c>
      <c r="O35" s="220"/>
      <c r="P35" s="160">
        <f>P33+P34</f>
        <v>3617.9317162800007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2026-06-29T06:15:11Z</dcterms:modified>
</cp:coreProperties>
</file>