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9B81D9D6-8E3D-458E-ACB4-4EA99C943623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UploadBeat-Pak" sheetId="1" state="hidden" r:id="rId1"/>
    <sheet name="Chart1" sheetId="38" state="hidden" r:id="rId2"/>
    <sheet name="Elite LMT Sales Update" sheetId="2" r:id="rId3"/>
    <sheet name="Marchandiser Route" sheetId="3" state="hidden" r:id="rId4"/>
    <sheet name="Ahmad" sheetId="4" state="hidden" r:id="rId5"/>
    <sheet name="Shabir" sheetId="5" state="hidden" r:id="rId6"/>
    <sheet name="July Opning" sheetId="30" state="hidden" r:id="rId7"/>
    <sheet name="Hassan" sheetId="6" state="hidden" r:id="rId8"/>
    <sheet name="Aqib" sheetId="28" state="hidden" r:id="rId9"/>
    <sheet name="Awais" sheetId="29" state="hidden" r:id="rId10"/>
    <sheet name="Sheet28" sheetId="31" state="hidden" r:id="rId11"/>
    <sheet name="Sheet29" sheetId="32" state="hidden" r:id="rId12"/>
    <sheet name="Sheet30" sheetId="33" state="hidden" r:id="rId13"/>
    <sheet name="Sheet31" sheetId="34" state="hidden" r:id="rId14"/>
    <sheet name="Sheet32" sheetId="35" state="hidden" r:id="rId15"/>
    <sheet name="Sheet33" sheetId="36" state="hidden" r:id="rId16"/>
    <sheet name="Sheet34" sheetId="37" state="hidden" r:id="rId17"/>
    <sheet name="Sheet6" sheetId="9" state="hidden" r:id="rId18"/>
    <sheet name="Sheet7" sheetId="10" state="hidden" r:id="rId19"/>
    <sheet name="Sheet8" sheetId="11" state="hidden" r:id="rId20"/>
    <sheet name="Sheet9" sheetId="12" state="hidden" r:id="rId21"/>
    <sheet name="Sheet10" sheetId="13" state="hidden" r:id="rId22"/>
    <sheet name="Sheet11" sheetId="14" state="hidden" r:id="rId23"/>
    <sheet name="Sheet12" sheetId="15" state="hidden" r:id="rId24"/>
    <sheet name="Sheet13" sheetId="16" state="hidden" r:id="rId25"/>
    <sheet name="Sheet14" sheetId="17" state="hidden" r:id="rId26"/>
    <sheet name="Sheet15" sheetId="18" state="hidden" r:id="rId27"/>
    <sheet name="Sheet16" sheetId="19" state="hidden" r:id="rId28"/>
    <sheet name="Sheet17" sheetId="20" state="hidden" r:id="rId29"/>
    <sheet name="Sheet18" sheetId="21" state="hidden" r:id="rId30"/>
    <sheet name="Sheet19" sheetId="22" state="hidden" r:id="rId31"/>
    <sheet name="Sheet20" sheetId="23" state="hidden" r:id="rId32"/>
    <sheet name="Sheet21" sheetId="24" state="hidden" r:id="rId33"/>
    <sheet name="Sheet22" sheetId="25" state="hidden" r:id="rId34"/>
    <sheet name="Sheet23" sheetId="26" state="hidden" r:id="rId35"/>
    <sheet name="Sheet24" sheetId="27" state="hidden" r:id="rId36"/>
    <sheet name="Sheet4" sheetId="7" state="hidden" r:id="rId37"/>
    <sheet name="Sheet5" sheetId="8" state="hidden" r:id="rId38"/>
  </sheets>
  <definedNames>
    <definedName name="_xlnm._FilterDatabase" localSheetId="4" hidden="1">Ahmad!$A$2:$K$35</definedName>
    <definedName name="_xlnm._FilterDatabase" localSheetId="8" hidden="1">Aqib!$A$2:$K$38</definedName>
    <definedName name="_xlnm._FilterDatabase" localSheetId="9" hidden="1">Awais!$A$2:$L$30</definedName>
    <definedName name="_xlnm._FilterDatabase" localSheetId="2" hidden="1">'Elite LMT Sales Update'!$A$2:$E$157</definedName>
    <definedName name="_xlnm._FilterDatabase" localSheetId="7" hidden="1">Hassan!$A$2:$K$36</definedName>
    <definedName name="_xlnm._FilterDatabase" localSheetId="3" hidden="1">'Marchandiser Route'!$A$2:$K$161</definedName>
    <definedName name="_xlnm._FilterDatabase" localSheetId="5" hidden="1">Shabir!$A$2:$K$33</definedName>
    <definedName name="_xlnm._FilterDatabase" localSheetId="0" hidden="1">'UploadBeat-Pak'!$B$1:$J$602</definedName>
    <definedName name="_xlnm.Print_Area" localSheetId="2">'Elite LMT Sales Update'!$A$1:$H$128</definedName>
  </definedNames>
  <calcPr calcId="191029"/>
</workbook>
</file>

<file path=xl/calcChain.xml><?xml version="1.0" encoding="utf-8"?>
<calcChain xmlns="http://schemas.openxmlformats.org/spreadsheetml/2006/main">
  <c r="A92" i="2" l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H127" i="2"/>
  <c r="N127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3" i="2"/>
  <c r="F22" i="30"/>
  <c r="E22" i="30"/>
  <c r="D22" i="30"/>
  <c r="F24" i="30"/>
  <c r="F25" i="30"/>
  <c r="F27" i="30" s="1"/>
  <c r="F29" i="30" s="1"/>
  <c r="E25" i="30"/>
  <c r="E26" i="30" s="1"/>
  <c r="D25" i="30"/>
  <c r="D26" i="30" s="1"/>
  <c r="E23" i="30"/>
  <c r="D23" i="30"/>
  <c r="H128" i="2" l="1"/>
  <c r="N128" i="2" s="1"/>
  <c r="D27" i="30"/>
  <c r="D29" i="30" s="1"/>
  <c r="F26" i="30"/>
  <c r="E27" i="30"/>
  <c r="E29" i="30" s="1"/>
  <c r="D24" i="30"/>
  <c r="E24" i="30"/>
  <c r="G29" i="30" l="1"/>
  <c r="F10" i="30" l="1"/>
  <c r="F12" i="30" s="1"/>
  <c r="F14" i="30" s="1"/>
  <c r="E10" i="30"/>
  <c r="D10" i="30"/>
  <c r="E8" i="30"/>
  <c r="D8" i="30"/>
  <c r="D12" i="30" l="1"/>
  <c r="D14" i="30" s="1"/>
  <c r="E12" i="30"/>
  <c r="E14" i="30" s="1"/>
  <c r="G14" i="30" l="1"/>
  <c r="G17" i="30" s="1"/>
</calcChain>
</file>

<file path=xl/sharedStrings.xml><?xml version="1.0" encoding="utf-8"?>
<sst xmlns="http://schemas.openxmlformats.org/spreadsheetml/2006/main" count="4580" uniqueCount="1543">
  <si>
    <t>Customer Name</t>
  </si>
  <si>
    <t>Monday</t>
  </si>
  <si>
    <t>Tuesday</t>
  </si>
  <si>
    <t>Wednesday</t>
  </si>
  <si>
    <t>Thursday</t>
  </si>
  <si>
    <t>Friday</t>
  </si>
  <si>
    <t>Saturday</t>
  </si>
  <si>
    <t>Ajmair Foods PvtLTD (DHA M)</t>
  </si>
  <si>
    <t>Y</t>
  </si>
  <si>
    <t>Ajmair Foods PvtLTD (H Block)</t>
  </si>
  <si>
    <t>Ajmair Foods PvtLTD Nadrabad</t>
  </si>
  <si>
    <t>M/S BILAL SUPER STORE</t>
  </si>
  <si>
    <t>Bismillah Store</t>
  </si>
  <si>
    <t>FDPP CONSUMER</t>
  </si>
  <si>
    <t>HKB</t>
  </si>
  <si>
    <t>Jalal Sons (H Block) 01</t>
  </si>
  <si>
    <t>MALMO BAKERY (Ali View garden)</t>
  </si>
  <si>
    <t>MALMO BAKERY(DHA Q- BLOCK)</t>
  </si>
  <si>
    <t>SHEZAN BAKERS AND CONFECTIONERS PVT LTD</t>
  </si>
  <si>
    <t>Usman Store</t>
  </si>
  <si>
    <t>EURO  ( Nishat Colony )</t>
  </si>
  <si>
    <t>Euro Store Bedian</t>
  </si>
  <si>
    <t>Ali Super Store</t>
  </si>
  <si>
    <t>Al Fatah (H Block DHA)</t>
  </si>
  <si>
    <t>Tariq Mart</t>
  </si>
  <si>
    <t>Bundu Khan 160 Sector H DHA Phase I</t>
  </si>
  <si>
    <t>Jalal Sons ( DHA Y Block) 02</t>
  </si>
  <si>
    <t>Bilal Super Store</t>
  </si>
  <si>
    <t>Gourmet H Block</t>
  </si>
  <si>
    <t>Gourmet - K Block</t>
  </si>
  <si>
    <t>Gourmet - Z Block</t>
  </si>
  <si>
    <t>Gourmet Nadrabad</t>
  </si>
  <si>
    <t>Gourmet Nishat</t>
  </si>
  <si>
    <t>CLINIX CENTRAL WAREHOUSE (Z Block Phase 3)</t>
  </si>
  <si>
    <t>M/S BUTT SWEETS &amp; BAKERS (DHA Phase-1)</t>
  </si>
  <si>
    <t>Ajmair Foods Pvt.LTD (Barket Market)</t>
  </si>
  <si>
    <t>Ajmair Foods PvtLTD (Cavalry Ground)</t>
  </si>
  <si>
    <t>Ajmair Foods PvtLTD (Raja Market)</t>
  </si>
  <si>
    <t>Ajmair Foods PvtLTD (Taj Company)</t>
  </si>
  <si>
    <t>CSD Cavalary</t>
  </si>
  <si>
    <t>Euro store  (Academy Road)</t>
  </si>
  <si>
    <t>Jalal sons (Main Market) 01</t>
  </si>
  <si>
    <t>Ajmair Food (Main Market)</t>
  </si>
  <si>
    <t>Bundu Khan (HC)</t>
  </si>
  <si>
    <t>Bundu Khan Naserabad</t>
  </si>
  <si>
    <t>FC College Canteen 3</t>
  </si>
  <si>
    <t>Quick Check Departmental Store</t>
  </si>
  <si>
    <t>PEERS CASH N CARRY</t>
  </si>
  <si>
    <t>M/S My Store</t>
  </si>
  <si>
    <t>Jalal Sons (Hussain Chowk Gulberg III) 02</t>
  </si>
  <si>
    <t>Gourmet Firdous</t>
  </si>
  <si>
    <t>Gourmet Ghalib Market</t>
  </si>
  <si>
    <t>Gourmet Barkat Market</t>
  </si>
  <si>
    <t>Gourmet Cavalary Gro</t>
  </si>
  <si>
    <t>Gourmet Naseerabad</t>
  </si>
  <si>
    <t>Gourmet Zahoor Elahi</t>
  </si>
  <si>
    <t>O'Range convenience (SMC-PRIVATE) LIMITED</t>
  </si>
  <si>
    <t>Best Buy</t>
  </si>
  <si>
    <t>Ajmair Foods PvtLTD  XX DHA</t>
  </si>
  <si>
    <t>Fine Medical &amp; General Store</t>
  </si>
  <si>
    <t>MALMO BAKERY (Punjab Soc)</t>
  </si>
  <si>
    <t>MALMO BAKERY (NISHTAR SHOP)</t>
  </si>
  <si>
    <t>Servaid Walton</t>
  </si>
  <si>
    <t>M/S RAFAQAT SONS</t>
  </si>
  <si>
    <t>NEWWAY STORE (SMC-PRIVATE) LIMITED</t>
  </si>
  <si>
    <t>Al fazal cash&amp;carry</t>
  </si>
  <si>
    <t>SPENCER  Walton MART</t>
  </si>
  <si>
    <t>M/S PREMIER MART</t>
  </si>
  <si>
    <t>LARAIB FOODS  (Youhanabad)</t>
  </si>
  <si>
    <t>Bundu Khan MAIN BLVD DHA</t>
  </si>
  <si>
    <t>Bundu Khan (Ps)</t>
  </si>
  <si>
    <t>Bundu Khan Youhanabad</t>
  </si>
  <si>
    <t>HAJVERY FOODS (O G Bakers  Walton Road)</t>
  </si>
  <si>
    <t>Jalal Sons (XX) 02</t>
  </si>
  <si>
    <t>Gourmet Ghazi Rd</t>
  </si>
  <si>
    <t>Gourmet Ismail Nagar</t>
  </si>
  <si>
    <t>Gourmet (Pak Arab)</t>
  </si>
  <si>
    <t>Gourmet Awan Market</t>
  </si>
  <si>
    <t>Gourmet Punjab Ghazi</t>
  </si>
  <si>
    <t>Gourmet Walton</t>
  </si>
  <si>
    <t>Gourmet XX Block</t>
  </si>
  <si>
    <t>Gourmet Yohannabad</t>
  </si>
  <si>
    <t>M/S SH.BASHIR SONS PHARMACY (Gajju Mata)</t>
  </si>
  <si>
    <t>M/S BUTT SWEETS &amp; BAKERS (Gazi Road)</t>
  </si>
  <si>
    <t>M/S BUTT SWEETS &amp; BAKERS (Youhanabad)</t>
  </si>
  <si>
    <t>Butt sweet  ( Walton)</t>
  </si>
  <si>
    <t>Ajmair Foods (Maulana Shaukat Ali Road LHR)</t>
  </si>
  <si>
    <t>Ajmair Foods Pvt LTD (M-T C Block)</t>
  </si>
  <si>
    <t>Ajmair Foods PvtLTD (Peco Road)</t>
  </si>
  <si>
    <t>Al Fatah (Model Town Lahore)</t>
  </si>
  <si>
    <t>Fresh Inn Bakers (Link Road)</t>
  </si>
  <si>
    <t>Rainbow Faisal Town</t>
  </si>
  <si>
    <t>Servaid (Model Town)</t>
  </si>
  <si>
    <t>Victoria (Link Road)</t>
  </si>
  <si>
    <t>Al Karim Departmental Store</t>
  </si>
  <si>
    <t>Euro Store (Mariya Stop)</t>
  </si>
  <si>
    <t>M/S NIZAM SONS ENTERPRISES</t>
  </si>
  <si>
    <t>Daily Fills</t>
  </si>
  <si>
    <t>Bundu Khan (AC)</t>
  </si>
  <si>
    <t>Bundu Khan 512 A Block Faisal Town</t>
  </si>
  <si>
    <t>Bundu Khan Link Road</t>
  </si>
  <si>
    <t>LARAIB FOODS ( Peco Road)</t>
  </si>
  <si>
    <t>OTG</t>
  </si>
  <si>
    <t>Jalal Sons (Faisal Town) 02</t>
  </si>
  <si>
    <t>Jalal Sons (C Block Model town) 02</t>
  </si>
  <si>
    <t>Jalal Sons  (Model Town Link Road ) 02</t>
  </si>
  <si>
    <t>Gourmet Faisal Town</t>
  </si>
  <si>
    <t>Gourmet Jinnah Rd</t>
  </si>
  <si>
    <t>Gourmet A  Block</t>
  </si>
  <si>
    <t>Gourmet C block</t>
  </si>
  <si>
    <t>Gourmet Link Rd</t>
  </si>
  <si>
    <t>Gourmet Peco Rd</t>
  </si>
  <si>
    <t>Ajmair Foods Pvt LTD (M Block MT)</t>
  </si>
  <si>
    <t>Ajmair Foods PvtLTD (Doctors Hospital)</t>
  </si>
  <si>
    <t>Ajmair Foods PvtLTD (G-4 Johar Town)</t>
  </si>
  <si>
    <t>Ajmair Foods PvtLTD (Shaday wal Chowk)</t>
  </si>
  <si>
    <t>Ajmair Foods PvtLTD H-3 Block Joher Town</t>
  </si>
  <si>
    <t>Decent Stroe (Johar Town)</t>
  </si>
  <si>
    <t>Jalal Sons (J.T Shadewal) 01</t>
  </si>
  <si>
    <t>R I Cash &amp; Carry (Khokhar Chowk)</t>
  </si>
  <si>
    <t>R I CASH &amp; CARRY  (Johar Town)</t>
  </si>
  <si>
    <t>RAJA Shaib</t>
  </si>
  <si>
    <t>Umer Super Market</t>
  </si>
  <si>
    <t>Panda Store</t>
  </si>
  <si>
    <t>Euro Store 2 G-1</t>
  </si>
  <si>
    <t>Star Mega Mart</t>
  </si>
  <si>
    <t>Bundu Khan G-1 Market</t>
  </si>
  <si>
    <t>Jalal Sons (Joher Town) 02</t>
  </si>
  <si>
    <t>Jalal Sons (Shaukat Khanum) 02</t>
  </si>
  <si>
    <t>Gourmet 12-G</t>
  </si>
  <si>
    <t>CLINIX CENTRAL WAREHOUSE (JOHAR TOWN)</t>
  </si>
  <si>
    <t>M/S N MART</t>
  </si>
  <si>
    <t>M/S BUTT SWEETS &amp; BAKERS (G-1 Market)</t>
  </si>
  <si>
    <t>Ajmair Foods Amir Chowk</t>
  </si>
  <si>
    <t>Ajmair Foods PvtLTD  W T E-2</t>
  </si>
  <si>
    <t>Ajmair Foods PvtLTD (Valencia)</t>
  </si>
  <si>
    <t>Ajmair Foods PvtLTD Rehmat Chowk</t>
  </si>
  <si>
    <t>EURO STORE HYPER MARKET (D-2 Wapda Town)</t>
  </si>
  <si>
    <t>EURO STORE (Rahamt chowk)</t>
  </si>
  <si>
    <t>Family Store (Valencia Town)</t>
  </si>
  <si>
    <t>MALMO BAKERY  (Usmania Tower)</t>
  </si>
  <si>
    <t>Rainbow cash n carry - WT</t>
  </si>
  <si>
    <t>EURO STORE (N F C )</t>
  </si>
  <si>
    <t>ON COST DEPARTMENTAL STORE (PRIVATE) LIMITED</t>
  </si>
  <si>
    <t>MS RUBAIKA CASH AND CARRY</t>
  </si>
  <si>
    <t>Ahmad Cash &amp; Carry</t>
  </si>
  <si>
    <t>Valencia Cash And Carry</t>
  </si>
  <si>
    <t>Hashmat Super Market</t>
  </si>
  <si>
    <t>Bin Khalid store</t>
  </si>
  <si>
    <t>Bundu Khan Wapda Town</t>
  </si>
  <si>
    <t>Jalal Sons ( Wapda town) 02</t>
  </si>
  <si>
    <t>Jalal Sons (Valencia Town) 02</t>
  </si>
  <si>
    <t>Gourmet Milltary Account</t>
  </si>
  <si>
    <t>Gourmet Valencia</t>
  </si>
  <si>
    <t>M/S SH.BASHIR SONS PHARMACY (AMEER CHOWK)</t>
  </si>
  <si>
    <t>CLINIX CENTRAL WAREHOUSE (Milltry account)</t>
  </si>
  <si>
    <t>M/S SH.BASHIR SONS PHARMACY (Wapda town)</t>
  </si>
  <si>
    <t>FDPP CONSUMER (Franchise Engineer Town)</t>
  </si>
  <si>
    <t>M/S Al KHAN FOODS ( Wapda Town)</t>
  </si>
  <si>
    <t>M/S BUTT SWEETS &amp; BAKERS (Valencia)</t>
  </si>
  <si>
    <t>ARSHAD SON’S CASH &amp; CARRY (Engineer Town)</t>
  </si>
  <si>
    <t>M/S AL KHAN FOODS (VALENCIA)</t>
  </si>
  <si>
    <t>Aslam Mart</t>
  </si>
  <si>
    <t>Galaxy Super Market</t>
  </si>
  <si>
    <t>Jalal Sons (Lake City) 01</t>
  </si>
  <si>
    <t>ASLAM SUPER STORE ( LDA AVENUE 1 CHOWK)</t>
  </si>
  <si>
    <t>Rainbow ( DHA Rahbar )</t>
  </si>
  <si>
    <t>AJMAIR FOODS PvtLTD (Airline)</t>
  </si>
  <si>
    <t>JALAL SONS (Bahira Orchard) 01</t>
  </si>
  <si>
    <t>Ajmair Foods (ADA Plot)</t>
  </si>
  <si>
    <t>4 season</t>
  </si>
  <si>
    <t>Lake City Management Pvt Ltd</t>
  </si>
  <si>
    <t>Mart Zone</t>
  </si>
  <si>
    <t>Euro Hyper Market (Raiwind Road)</t>
  </si>
  <si>
    <t>Star MEGA MART</t>
  </si>
  <si>
    <t>Bundu Khan (Lake City)</t>
  </si>
  <si>
    <t>Bundu Khan ( Pine Avenue)</t>
  </si>
  <si>
    <t>M/S AL KHAN FOODS (Fazaia housing Society)</t>
  </si>
  <si>
    <t>Gourmet Airline</t>
  </si>
  <si>
    <t>Gourmet Rehber</t>
  </si>
  <si>
    <t>Gourmet ( Fazaia Society)</t>
  </si>
  <si>
    <t>CLINIX CENTRAL WAREHOUSE (LAKE CITY)</t>
  </si>
  <si>
    <t>M/S SH.BASHIR SONS PHARMACY (LAKE CITY)</t>
  </si>
  <si>
    <t>DAILY BASKET</t>
  </si>
  <si>
    <t>MALMO BAKERY (AL KABIR TOWN)</t>
  </si>
  <si>
    <t>CLINIX CENTRAL WAREHOUSE (DHA REHBAR)</t>
  </si>
  <si>
    <t>Victoria Express (Nasheman Iqbal)</t>
  </si>
  <si>
    <t>CLINIX CENTRAL WAREHOUSE (Iqbal Avenue ph 1)</t>
  </si>
  <si>
    <t>M/S Al KHAN FOODS ( Bhobtian chowk)</t>
  </si>
  <si>
    <t>MALMO BAKERY (Behria orchard)</t>
  </si>
  <si>
    <t>Ajmair Foods PvtLTD (Bahria Town)</t>
  </si>
  <si>
    <t>Ajmair Foods PvtLTD (Tulip Block)</t>
  </si>
  <si>
    <t>Ajmair Foods PvtLTD Izmeer Town</t>
  </si>
  <si>
    <t>Jalal Sons (Bahria Town)  01</t>
  </si>
  <si>
    <t>MALMO BAKERY (Chung )</t>
  </si>
  <si>
    <t>Rainbow Bahria Town</t>
  </si>
  <si>
    <t>SHEHWAR MEGA STORE</t>
  </si>
  <si>
    <t>Jalal sons  (Izmair Town) 01</t>
  </si>
  <si>
    <t>Green Vally</t>
  </si>
  <si>
    <t>EASY MART</t>
  </si>
  <si>
    <t>Zohra Mart</t>
  </si>
  <si>
    <t>Prime Store</t>
  </si>
  <si>
    <t>Euro Store Crown Bahria town</t>
  </si>
  <si>
    <t>Bundu Khan Behria Town</t>
  </si>
  <si>
    <t xml:space="preserve">Sana Cash And Carry Iqbal Avenue </t>
  </si>
  <si>
    <t>Jalal Sons  (Talwar Chowk) 02</t>
  </si>
  <si>
    <t>Gourmet Bahria Town</t>
  </si>
  <si>
    <t>Gourmet Chung</t>
  </si>
  <si>
    <t>CLINIX CENTRAL WAREHOUSE (SHAHKAM CHOWK)</t>
  </si>
  <si>
    <t>M/S AL KHAN FOODS (Bahria Town)</t>
  </si>
  <si>
    <t>M/S AL KHAN FOODS (Nespak)</t>
  </si>
  <si>
    <t>Ajmair Foods PvtLTD (College Road )</t>
  </si>
  <si>
    <t>Ajmair Foods PvtLTD (PIA Road)</t>
  </si>
  <si>
    <t>M/S BIN ZAFFAR EXPRESS</t>
  </si>
  <si>
    <t>Fresh Inn Bakers (Johar Town)</t>
  </si>
  <si>
    <t>Fresh Inn (PIA Road)</t>
  </si>
  <si>
    <t>MALMO BAKERY (College Road)</t>
  </si>
  <si>
    <t>M/S RAHIM STORE (Punjab Socitey)</t>
  </si>
  <si>
    <t>Swera Departmental Store (Punjab Society</t>
  </si>
  <si>
    <t>UMER Cash And Carry</t>
  </si>
  <si>
    <t>Askari  Depsrtmental Store</t>
  </si>
  <si>
    <t>Euro Store clg road</t>
  </si>
  <si>
    <t>Askari Departmental Store</t>
  </si>
  <si>
    <t>Grain Mart</t>
  </si>
  <si>
    <t>Bundu Khan PIA Road</t>
  </si>
  <si>
    <t xml:space="preserve">FDPP consumer </t>
  </si>
  <si>
    <t xml:space="preserve">M/S J.K.S Cash carry </t>
  </si>
  <si>
    <t>Jalal Sons ( College Road) 02</t>
  </si>
  <si>
    <t>Gourmet Johar Town</t>
  </si>
  <si>
    <t>Gourmet College Rd</t>
  </si>
  <si>
    <t>Gourmet PIA Road</t>
  </si>
  <si>
    <t>Gourmet Punjab Society</t>
  </si>
  <si>
    <t>Gourmet Umer Chowk</t>
  </si>
  <si>
    <t>CLINIX CENTRAL WAREHOUSE (Allah-Hoo Chowk)</t>
  </si>
  <si>
    <t>ASLAM CASH &amp; CARRY (College Road)</t>
  </si>
  <si>
    <t>Butt Sweets&amp;Bakers</t>
  </si>
  <si>
    <t>Al Fatah</t>
  </si>
  <si>
    <t>Jade E-Services Pakistan Private Limited</t>
  </si>
  <si>
    <t>Vending Machines Co. Pvt. Ltd.</t>
  </si>
  <si>
    <t>PCI Head Office</t>
  </si>
  <si>
    <t>KRRAVE TECHNOLOGIES (PRIVATE) LIMITED</t>
  </si>
  <si>
    <t>Al Fatah (Lake City)</t>
  </si>
  <si>
    <t>Al Fatah ( Johar Town)</t>
  </si>
  <si>
    <t>Al Fatah (Behria Town)</t>
  </si>
  <si>
    <t>Al Fatah (Gold Crust )</t>
  </si>
  <si>
    <t>Al Fatah (Hussian chowk)</t>
  </si>
  <si>
    <t>GROCERAPP (PRIVATE) LIMITED</t>
  </si>
  <si>
    <t>Al Fatah Pine Avenue</t>
  </si>
  <si>
    <t>Al Fatah Dolmen Mall</t>
  </si>
  <si>
    <t xml:space="preserve">Al Fatah Wapda Town </t>
  </si>
  <si>
    <t>M/S CHANNEL LINK</t>
  </si>
  <si>
    <t>Jalal Sons (Mall Road) 02</t>
  </si>
  <si>
    <t>Ajmair Foods(Warehouse)</t>
  </si>
  <si>
    <t xml:space="preserve">NBL Sampling account </t>
  </si>
  <si>
    <t>Ajmair Foods PvtLTD (DHA FF )</t>
  </si>
  <si>
    <t>Al Fatah Ph V</t>
  </si>
  <si>
    <t>HKB (Phase V)</t>
  </si>
  <si>
    <t>MB Traders</t>
  </si>
  <si>
    <t>Servaid  (T Block) DHA</t>
  </si>
  <si>
    <t>REHMAN KHALIS (PVT.) LIMITED</t>
  </si>
  <si>
    <t>Omega Mart</t>
  </si>
  <si>
    <t>Grocers Express</t>
  </si>
  <si>
    <t>MM Cash &amp; Carry</t>
  </si>
  <si>
    <t>TGS STORE</t>
  </si>
  <si>
    <t>Market Secure</t>
  </si>
  <si>
    <t>Freshly Mart</t>
  </si>
  <si>
    <t>Hikmah super store</t>
  </si>
  <si>
    <t>AL-MAAZ CASH &amp; CARRY (PRIVATE) LIMITED</t>
  </si>
  <si>
    <t>Bundu Khan FF DHA</t>
  </si>
  <si>
    <t>Bundu Khan T Block DHA</t>
  </si>
  <si>
    <t>Bundu khan Askri 11 badiya road</t>
  </si>
  <si>
    <t>TGS  (Dha phase 9 CCA13)</t>
  </si>
  <si>
    <t>Jalal Sons ( DHA Ph V) 02</t>
  </si>
  <si>
    <t>Jalal Sons  (DHA Phase IV) 02</t>
  </si>
  <si>
    <t>Jalal Sons (State Life) 02</t>
  </si>
  <si>
    <t>Jalal sons ( Askri 11 B Block ) 02</t>
  </si>
  <si>
    <t>Gourmet Lidher Pind</t>
  </si>
  <si>
    <t>Gourmet FF Block</t>
  </si>
  <si>
    <t>GOURMET BAKERS (Bankers Housing Society)</t>
  </si>
  <si>
    <t>M/S SH.BASHIR SONS PHARMACY (ASKARI XI)</t>
  </si>
  <si>
    <t>M/S SH.BASHIR SONS PHARMACY (DHA DD PH IV)</t>
  </si>
  <si>
    <t>cart and carry</t>
  </si>
  <si>
    <t>M/S SH.BASHIR SONS PHARMACY</t>
  </si>
  <si>
    <t>CLINIX CENTRAL WAREHOUSE (Askari 11)</t>
  </si>
  <si>
    <t>CHINAR MART</t>
  </si>
  <si>
    <t>Punjab Cash &amp; Carry (Askari 11)</t>
  </si>
  <si>
    <t>CENTRO CASH N CARRY</t>
  </si>
  <si>
    <t>Ajmair Foods PvtLTD (Raiwind Road)</t>
  </si>
  <si>
    <t>Al Rahmat Store EME</t>
  </si>
  <si>
    <t>Aslam Super Market</t>
  </si>
  <si>
    <t>Rainbow cash n carry - EME</t>
  </si>
  <si>
    <t>sammi mart</t>
  </si>
  <si>
    <t>M/S TN Traders (Raiwind Road )</t>
  </si>
  <si>
    <t>Ajmair Foods(Canal City)</t>
  </si>
  <si>
    <t>Ajmair Foods (Pasco Society)</t>
  </si>
  <si>
    <t>ASTER SUPERMARKET</t>
  </si>
  <si>
    <t>LARAIB FOODS  (Ali Town, Raiwind Road)</t>
  </si>
  <si>
    <t>Bundu Khan Raiwind Road</t>
  </si>
  <si>
    <t>Bundu Khan (EME)</t>
  </si>
  <si>
    <t>M/S AL KHAN FOODS ( Ali Town)</t>
  </si>
  <si>
    <t>Jalal Sons  (EME) 02</t>
  </si>
  <si>
    <t>Gourmet EME</t>
  </si>
  <si>
    <t>Gourmet -Motor Way</t>
  </si>
  <si>
    <t>Gourmet raiwind Rd</t>
  </si>
  <si>
    <t>M/S RAHIM STORE (Thokar Naiz Baig)</t>
  </si>
  <si>
    <t>M/S SH.BASHIR SONS PHARMACY (EME)</t>
  </si>
  <si>
    <t>CLINIX CENTRAL WAREHOUSE (Thokar Niaz Baig)</t>
  </si>
  <si>
    <t>Bashir sons</t>
  </si>
  <si>
    <t>Al Sheikh Bakers</t>
  </si>
  <si>
    <t>Best Buy-2 (Nisaar)</t>
  </si>
  <si>
    <t>Butterfly Traders</t>
  </si>
  <si>
    <t>Ajmair Foods (Joray Pull)</t>
  </si>
  <si>
    <t>Cash n Carry</t>
  </si>
  <si>
    <t>CSD Baidiyan Road</t>
  </si>
  <si>
    <t>CSD Mall</t>
  </si>
  <si>
    <t>Green Valley</t>
  </si>
  <si>
    <t>Lutf Mart</t>
  </si>
  <si>
    <t>Euro Ranjers Mart</t>
  </si>
  <si>
    <t>Euro Mart Airport Road</t>
  </si>
  <si>
    <t>CANTT DEPARTMENTL STORE ( Joray Pull)</t>
  </si>
  <si>
    <t>Jalal Sons (PAF Market) 01</t>
  </si>
  <si>
    <t>Bundu Khan (Airport)</t>
  </si>
  <si>
    <t>City Mart</t>
  </si>
  <si>
    <t>Gourmet Girja Chowk</t>
  </si>
  <si>
    <t>Gourmet - Zara Shaheed Rd.</t>
  </si>
  <si>
    <t>Gourmet Bhatta Chowk</t>
  </si>
  <si>
    <t>Gourmet -Jura Pull</t>
  </si>
  <si>
    <t>R I CASH &amp; CARRY (Jurey Pull)</t>
  </si>
  <si>
    <t>Ajmair Foods (Singhpura)</t>
  </si>
  <si>
    <t>Ajmair Foods (Shalimar Link Road)</t>
  </si>
  <si>
    <t>Euro Store G.T Road</t>
  </si>
  <si>
    <t>MALMO BAKERY (G.T Road)</t>
  </si>
  <si>
    <t>MALMO BAKERY (Shalimar Link Road)</t>
  </si>
  <si>
    <t>Swera Store G.T Road</t>
  </si>
  <si>
    <t>M/S CB TRADERS</t>
  </si>
  <si>
    <t>MARHABA MART</t>
  </si>
  <si>
    <t>AL-Saad Super Mart</t>
  </si>
  <si>
    <t>Punjab Cash &amp; Carry ( Manawan)</t>
  </si>
  <si>
    <t>MaccaTower</t>
  </si>
  <si>
    <t>M/S THE VITAL MART</t>
  </si>
  <si>
    <t>AL-Saad Mart</t>
  </si>
  <si>
    <t>LARAIB FOODS (Shalimar Link Road)</t>
  </si>
  <si>
    <t>LARAIB FOODS (Bhagban Pura)</t>
  </si>
  <si>
    <t>LARAIB FOODS  (Mint Stop G.T Road)</t>
  </si>
  <si>
    <t>M/S Crown Super Market</t>
  </si>
  <si>
    <t>Bundu Khan Dharoghawala</t>
  </si>
  <si>
    <t>Bundu Khan-GT Road</t>
  </si>
  <si>
    <t>STAR MART (Mint Gate)</t>
  </si>
  <si>
    <t>Gourmet - Gt Rd.</t>
  </si>
  <si>
    <t>Gourmet Batapur</t>
  </si>
  <si>
    <t>Gourmet Daroghawala</t>
  </si>
  <si>
    <t>Gourmet Salamat Pura</t>
  </si>
  <si>
    <t>Gourmet Shadi Pura</t>
  </si>
  <si>
    <t>CLINIX CENTRAL WAREHOUSE (MANAWAN )</t>
  </si>
  <si>
    <t>GOURMET BAKERS (Manawan)</t>
  </si>
  <si>
    <t xml:space="preserve">Razzaq Sons </t>
  </si>
  <si>
    <t>M/S BUTT SWEETS &amp; BAKERS (Bata Pur)</t>
  </si>
  <si>
    <t>M/S BUTT SWEETS &amp; BAKERS (G T Road)</t>
  </si>
  <si>
    <t xml:space="preserve"> Al Haseeb cash n carry</t>
  </si>
  <si>
    <t>Ajmair Foods (Lahore Hotel)</t>
  </si>
  <si>
    <t>Ajmair Foods (Swami Nagar)</t>
  </si>
  <si>
    <t>Ajmair Foods (Wasan pura)</t>
  </si>
  <si>
    <t>M/S SB Traders</t>
  </si>
  <si>
    <t>Ajmair Foods (Garhi shahu)</t>
  </si>
  <si>
    <t>Ajmair Foods (shad bag)</t>
  </si>
  <si>
    <t>Euro Store Garhi Shahu</t>
  </si>
  <si>
    <t>Shafique Departmental Store</t>
  </si>
  <si>
    <t>M/S New Rahat Bakers &amp; Sweets</t>
  </si>
  <si>
    <t>FAMILY SUPER STORE ( SHADBAGH)</t>
  </si>
  <si>
    <t>Bahader Departmental Store</t>
  </si>
  <si>
    <t>LARAIB FOODS (Garhi Shahu )</t>
  </si>
  <si>
    <t>Bundu Khan Shadbagh Toky Wala Chowk</t>
  </si>
  <si>
    <t>Bundu khan  (Garhi shahu)</t>
  </si>
  <si>
    <t>Bundu Khan  ( Lakshmi Chowk )</t>
  </si>
  <si>
    <t>HAJVERY FOODS (O G Bakers  Shadbagh)</t>
  </si>
  <si>
    <t>Gourmet -Kot Khaja Saeed</t>
  </si>
  <si>
    <t>Gourmet- Davis Rd</t>
  </si>
  <si>
    <t>Gourmet- Nisbat Rd.</t>
  </si>
  <si>
    <t>Gourmet Railway plaza</t>
  </si>
  <si>
    <t>Gourmet- Shadbhag</t>
  </si>
  <si>
    <t>Gourmet Sultan Pura</t>
  </si>
  <si>
    <t>Gourmet-Abot Rd.</t>
  </si>
  <si>
    <t>Gourmet-Neelam Cinema</t>
  </si>
  <si>
    <t>CLINIX CENTRAL WAREHOUSE (CHOWK NAKHUDA)</t>
  </si>
  <si>
    <t>CLINIX CENTRAL WAREHOUSE (SAWMI NAGAR)</t>
  </si>
  <si>
    <t>M/S SH.BASHIR SONS PHARMACY (NAKHUDA CHOWK)</t>
  </si>
  <si>
    <t>M/S SH.BASHIR SONS PHARMACY (Garhi Shahu)</t>
  </si>
  <si>
    <t>M/S BUTT SWEETS &amp; BAKERS (Laxmi Chowk)</t>
  </si>
  <si>
    <t>Clinix Garhi Shaho</t>
  </si>
  <si>
    <t>Akbari Store (Jain Mandir)</t>
  </si>
  <si>
    <t>Ajmair Foods  (Chuburji)</t>
  </si>
  <si>
    <t>Ajmair Foods (Ichhra)</t>
  </si>
  <si>
    <t>Ajmair Foods (Litton Road)</t>
  </si>
  <si>
    <t>Ajmair Foods (Queens Road)</t>
  </si>
  <si>
    <t>MALMO BAKERY (Shama)</t>
  </si>
  <si>
    <t>MALMO BAKERY (Chuburji)</t>
  </si>
  <si>
    <t>Numan Store</t>
  </si>
  <si>
    <t>Swera Store</t>
  </si>
  <si>
    <t>Premier Mart</t>
  </si>
  <si>
    <t>Ajmair Foods (shadman)</t>
  </si>
  <si>
    <t>Bundu khan Chuburji</t>
  </si>
  <si>
    <t>Bundu Khan Mazang</t>
  </si>
  <si>
    <t>Bundu Khan Shamma Cenima</t>
  </si>
  <si>
    <t>Organics</t>
  </si>
  <si>
    <t>Jalal Sons  ( Shadman ) 02</t>
  </si>
  <si>
    <t>Jalal Sons Revaz Garden 02</t>
  </si>
  <si>
    <t>Gourmet - Islampure</t>
  </si>
  <si>
    <t>Gourmet - Rewaz Garden</t>
  </si>
  <si>
    <t>Gourmet - Tample Road</t>
  </si>
  <si>
    <t>Gourmet -Shadman</t>
  </si>
  <si>
    <t>Gourmet Shama Cenima</t>
  </si>
  <si>
    <t>LARAIB FOODS (MAIN SANDA ROAD)</t>
  </si>
  <si>
    <t>CLINIX CENTRAL WAREHOUSE (Sanda Road)</t>
  </si>
  <si>
    <t>Pearl Continental Lahore</t>
  </si>
  <si>
    <t>LARAIB FOODS (Litton Road )</t>
  </si>
  <si>
    <t>MALMO BAKERY (Ravi Road)</t>
  </si>
  <si>
    <t>Rainbow (Shadra)</t>
  </si>
  <si>
    <t>Pak Madina Super Store (Baigam kot)</t>
  </si>
  <si>
    <t>CITY GENERAL STORE</t>
  </si>
  <si>
    <t>Ajmair Foods (PVT) LTD (Phool Mandi)</t>
  </si>
  <si>
    <t>M &amp; M Traders</t>
  </si>
  <si>
    <t>LARAIB FOODS (Shadra Mor)</t>
  </si>
  <si>
    <t>LARAIB FOODS (Rehman Garden)</t>
  </si>
  <si>
    <t>Bundu khan Kareem Park</t>
  </si>
  <si>
    <t>Bundu khan (Shahdara Main G.T Road)</t>
  </si>
  <si>
    <t>Bundu khan ( Rehman Garden )</t>
  </si>
  <si>
    <t>LARAIB FOODS  ( Begum Kot)</t>
  </si>
  <si>
    <t>M/S AL KHAN FOODS (Shadra Chowk)</t>
  </si>
  <si>
    <t>M/S AL KHAN FOODS (Rehman garden)</t>
  </si>
  <si>
    <t>M/S PRIME PICK CASH AND CARRY</t>
  </si>
  <si>
    <t>Gourmet -Kareem Park</t>
  </si>
  <si>
    <t>Gourmet -Qila laxman singh</t>
  </si>
  <si>
    <t>Gourmet Ravi Road</t>
  </si>
  <si>
    <t>Gourmet-Badami Bhag</t>
  </si>
  <si>
    <t>GOURMET BAKERS (AL REHMAN GARDEN)</t>
  </si>
  <si>
    <t>GOURMET BAKERS (SHAHDARA TOWN)</t>
  </si>
  <si>
    <t>GOURMET BAKERS (MACHIS FACTORY)</t>
  </si>
  <si>
    <t>GOURMET BAKERS (25 NO STOP)</t>
  </si>
  <si>
    <t>GOURMET BAKERS (KOT ABDUL AMLIK)</t>
  </si>
  <si>
    <t>CLINIX CENTRAL WAREHOUSE (Shadra More)</t>
  </si>
  <si>
    <t>HAJVERY FOODS ( O G Bakers Badamibagh)</t>
  </si>
  <si>
    <t>CLINIX CENTRAL WAREHOUSE (Rehman Gardens)</t>
  </si>
  <si>
    <t>HAJVERY FOODS OG Bakers (Greenwood)</t>
  </si>
  <si>
    <t>M/S BUTT SWEETS &amp; BAKERS (Main GT Raod)</t>
  </si>
  <si>
    <t>BUTT BAKERS 3</t>
  </si>
  <si>
    <t>M/S BUTT SWEETS &amp; BAKERS (Taxali Gate)</t>
  </si>
  <si>
    <t>Ajmair Foods (Kashmir Block)</t>
  </si>
  <si>
    <t>Al Rahmat Store</t>
  </si>
  <si>
    <t>Ajmair Foods (Iqbal Town)</t>
  </si>
  <si>
    <t>Ajmair Foods (Karim Block)</t>
  </si>
  <si>
    <t>Ajmair Foods (Neelam Block)</t>
  </si>
  <si>
    <t>Decent Dept Store (Wahdat)</t>
  </si>
  <si>
    <t>Euro Store (scheme mor)</t>
  </si>
  <si>
    <t>Euro Store Iqbal Town</t>
  </si>
  <si>
    <t>MALMO BAKERY (Neelam Block)</t>
  </si>
  <si>
    <t>RAHIM STORE (Iqbal Town)</t>
  </si>
  <si>
    <t>M/S AL - JANNAT ENTERPRISES</t>
  </si>
  <si>
    <t>Imperia Departmental Store</t>
  </si>
  <si>
    <t>Good Luck Bakers</t>
  </si>
  <si>
    <t>Bundu Khan- Allama Iqbal town</t>
  </si>
  <si>
    <t>DIVINE BAKERS AND SWEETS wahdat road</t>
  </si>
  <si>
    <t>Jalal Sons (Iqbal Town) 02</t>
  </si>
  <si>
    <t>Jalal Sons ( Ayubia ) 02</t>
  </si>
  <si>
    <t>Gourmet -18 Gulshan</t>
  </si>
  <si>
    <t>Gourmet -Kareem Block</t>
  </si>
  <si>
    <t>Gourmet Muslim Town</t>
  </si>
  <si>
    <t>Gourmet Muslim Town Mor</t>
  </si>
  <si>
    <t>GOURMET Rehman Pura</t>
  </si>
  <si>
    <t>M/S SH.BASHIR SONS PHARMACY (RACHNA BLOCK)</t>
  </si>
  <si>
    <t>Ajmair Foods (Liaqat Chowk)</t>
  </si>
  <si>
    <t>Ajmair Foods (Mansoora)</t>
  </si>
  <si>
    <t>Ajmair Foods (Mergzar)</t>
  </si>
  <si>
    <t>LARAIB FOODS (Multan Road)</t>
  </si>
  <si>
    <t>MALMO BAKERY (Wahdat Road)</t>
  </si>
  <si>
    <t>MALMO BAKERY (Liaqat chowk)</t>
  </si>
  <si>
    <t>Naqshbandi Store</t>
  </si>
  <si>
    <t>SS DEPARTMENTAL STORE</t>
  </si>
  <si>
    <t>Moon Cash &amp; Carry</t>
  </si>
  <si>
    <t>HAFI GENERAL STORE</t>
  </si>
  <si>
    <t>Ace Mart</t>
  </si>
  <si>
    <t>Al Kosar</t>
  </si>
  <si>
    <t>LARAIB FOODS (Liaqat Chowk )</t>
  </si>
  <si>
    <t>LARAIB FOODS (80 Feet, Maraghzar Colony )</t>
  </si>
  <si>
    <t>LARAIB FOODS (Maraghzar Road )</t>
  </si>
  <si>
    <t>Bundu Khan Liaqat Chowk</t>
  </si>
  <si>
    <t>Bundu Khan (Park View)</t>
  </si>
  <si>
    <t>HAJVERY FOODS (O G Bakers  Margzar Road)</t>
  </si>
  <si>
    <t>M/S AL KHAN FOODS (Wahdat Road)</t>
  </si>
  <si>
    <t>Quick Mart</t>
  </si>
  <si>
    <t>Gourmet -Liaqat Chowk</t>
  </si>
  <si>
    <t>Gourmet -Multan Rd</t>
  </si>
  <si>
    <t>Gourmet -Wadat Rd</t>
  </si>
  <si>
    <t>Gourmet-Awan town</t>
  </si>
  <si>
    <t>Gourmet-Canal View</t>
  </si>
  <si>
    <t>M/S SH.BASHIR SONS PHARMACY (PECO ROAD)</t>
  </si>
  <si>
    <t>CLINIX CENTRAL WAREHOUSE (Liaqat chowk)</t>
  </si>
  <si>
    <t>M/S SAFIA MANZOOR SUPER STORE</t>
  </si>
  <si>
    <t xml:space="preserve">Perfect Cash &amp; Carry </t>
  </si>
  <si>
    <t>M/S BUTT SWEETS &amp; BAKERS (Liaqat Chowk)</t>
  </si>
  <si>
    <t xml:space="preserve">Bashir Sons Wahadat Road </t>
  </si>
  <si>
    <t>Ajmair Foods (Abdali Chowk)</t>
  </si>
  <si>
    <t>Ajmair Foods (Gulshan Ravi)</t>
  </si>
  <si>
    <t>Ajmair Foods (Islampura)</t>
  </si>
  <si>
    <t>Ajmair Foods (Outfall Road)</t>
  </si>
  <si>
    <t>Ajmair Foods (Samanabad)</t>
  </si>
  <si>
    <t>Ajmair Foods (Sham Nagar)</t>
  </si>
  <si>
    <t>MALMO BAKERY (Gulshan Ravi)</t>
  </si>
  <si>
    <t>MALMO BAKERY  (Samnabad)</t>
  </si>
  <si>
    <t>Al Buraq Departmental Store</t>
  </si>
  <si>
    <t>Zoo Canteen (ATIF AND CO)</t>
  </si>
  <si>
    <t xml:space="preserve">Bahadur Cash &amp; Cary </t>
  </si>
  <si>
    <t xml:space="preserve">AL Buraq Departmental store </t>
  </si>
  <si>
    <t>LARAIB FOODS (ISLAM PURA)</t>
  </si>
  <si>
    <t>LARAIB FOODS  (Gulshan Ravi)</t>
  </si>
  <si>
    <t>LARAIB FOODS  (Yateen khana)</t>
  </si>
  <si>
    <t>Bundu Khan Islampura</t>
  </si>
  <si>
    <t>Bundu khan Outfall</t>
  </si>
  <si>
    <t>Bundu Khan (Yateem Khana)</t>
  </si>
  <si>
    <t>Bundu Khan Gulshan Ravi</t>
  </si>
  <si>
    <t>Bundu khan samnabad</t>
  </si>
  <si>
    <t>HAJVERY FOODS (O G Bakers  Krishan Nager)</t>
  </si>
  <si>
    <t>Gourmet -Gulshan Ravi</t>
  </si>
  <si>
    <t>Gourmet -Karishn nagar</t>
  </si>
  <si>
    <t>Gourmet Bilal Ganj</t>
  </si>
  <si>
    <t>Gourmet -Nadeem Sheed Rd</t>
  </si>
  <si>
    <t>Gourmet -Pounch Rd.</t>
  </si>
  <si>
    <t>Gourmet -Rustam Park</t>
  </si>
  <si>
    <t>Gourmet -Samanabad</t>
  </si>
  <si>
    <t>Gourmet -Yateem Khana</t>
  </si>
  <si>
    <t>CLINIX CENTRAL WAREHOUSE (SAMNABAD)</t>
  </si>
  <si>
    <t>CLINIX CENTRAL WAREHOUSE (SHAM NAGAR)</t>
  </si>
  <si>
    <t>CLINIX CENTRAL WAREHOUSE (OUT FALL ROAD)</t>
  </si>
  <si>
    <t>M/S SH.BASHIR SONS PHARMACY (Gulshan-e-Ravi)</t>
  </si>
  <si>
    <t>CLINIX CENTRAL WAREHOUSE (H O)</t>
  </si>
  <si>
    <t>Ajmair Foods (Fategarh)</t>
  </si>
  <si>
    <t>Ajmair Foods (Taj bagh)</t>
  </si>
  <si>
    <t>CANTT DEPARTMENTL STORE (Saddar Bazar)</t>
  </si>
  <si>
    <t>CSD Deput</t>
  </si>
  <si>
    <t>Lahore Cash &amp; Carry</t>
  </si>
  <si>
    <t>MALMO BAKERY (Dharampura)</t>
  </si>
  <si>
    <t>NEAMAT KHANA STORES (PRIVATE) LIMITED</t>
  </si>
  <si>
    <t>HA MEGA MART</t>
  </si>
  <si>
    <t>VIP General Store</t>
  </si>
  <si>
    <t>Al Hamad cash&amp;carry mart</t>
  </si>
  <si>
    <t>Euro store</t>
  </si>
  <si>
    <t>GALAXY MEGAMART (SMCPRIVATE)LIMITED</t>
  </si>
  <si>
    <t>Bundu khan Sadar Cantt</t>
  </si>
  <si>
    <t>Bundu Khan Taj Bagh</t>
  </si>
  <si>
    <t>Bundu Khan Taj Pura</t>
  </si>
  <si>
    <t>Gourmet - Taj Bhag</t>
  </si>
  <si>
    <t>Gourmet -Daram Pure</t>
  </si>
  <si>
    <t>Gourmet Lal pull</t>
  </si>
  <si>
    <t>Gourmet -Saddar</t>
  </si>
  <si>
    <t>Gourmet Shalimar Link Road</t>
  </si>
  <si>
    <t>Gourmet -Taj Pure</t>
  </si>
  <si>
    <t>Bundu Khan (JALLO More)</t>
  </si>
  <si>
    <t>HAJVERY FOODS (O G Bakers  Harbanspura )</t>
  </si>
  <si>
    <t>M/S BUTT SWEETS &amp; BAKERS (Kutchehri Bazar)</t>
  </si>
  <si>
    <t>Ajmair Foods Ph VI</t>
  </si>
  <si>
    <t>Al Fatah (Paragon City)</t>
  </si>
  <si>
    <t>CSD Askari X</t>
  </si>
  <si>
    <t>HIKMAH SUPER STORE</t>
  </si>
  <si>
    <t>LUTF MART (Barki Road)</t>
  </si>
  <si>
    <t>M/S HIMALAYA SUPER MARKET</t>
  </si>
  <si>
    <t>Jalal sons (Askari 10 F sector ) 01</t>
  </si>
  <si>
    <t>Euro Phase VIII Departmental Store</t>
  </si>
  <si>
    <t>Ideal  Grocers</t>
  </si>
  <si>
    <t>Premier super Mart DHA phase 6 plaza 152CCA</t>
  </si>
  <si>
    <t>Jalal sons ( Askri 10 ) 01</t>
  </si>
  <si>
    <t>Umaima Super Market</t>
  </si>
  <si>
    <t>24/7 Mart</t>
  </si>
  <si>
    <t>Hikma Mart</t>
  </si>
  <si>
    <t>Hikma Mart 1</t>
  </si>
  <si>
    <t xml:space="preserve">BlinkMart stores private limited </t>
  </si>
  <si>
    <t>AL-Zeeshan Super Market</t>
  </si>
  <si>
    <t>Urban Mart</t>
  </si>
  <si>
    <t>Bundu Khan paragon City</t>
  </si>
  <si>
    <t>Bundu khan (DHA Ph.6)</t>
  </si>
  <si>
    <t>Jalal Sons ( Ph VI ) 02</t>
  </si>
  <si>
    <t>Jalal Sons (Paragon City) 02</t>
  </si>
  <si>
    <t>Jalal sons (phase 8 Ex Park view) 02</t>
  </si>
  <si>
    <t>Jalal Sons (DHA C Block , Phase 6) 02</t>
  </si>
  <si>
    <t>CLINIX CENTRAL WAREHOUSE (DHA RAYA)</t>
  </si>
  <si>
    <t>Rainbow (Barki Road)</t>
  </si>
  <si>
    <t>Al Barkat Mart</t>
  </si>
  <si>
    <t>Ramzan Canteen (Railways Lahore)</t>
  </si>
  <si>
    <t>Raza Shah (Railways Lahore)</t>
  </si>
  <si>
    <t>RAJA &amp; COMPANY M/S (Aitchison College)</t>
  </si>
  <si>
    <t>Address</t>
  </si>
  <si>
    <t>S. No: 15 M Block DHA Phase 1</t>
  </si>
  <si>
    <t>Canal City</t>
  </si>
  <si>
    <t>Royal Palace Nadrabad</t>
  </si>
  <si>
    <t>M Block DHA</t>
  </si>
  <si>
    <t>H Block DHA</t>
  </si>
  <si>
    <t>783 Block M Mualana M Ali Road Johar Town Lhr</t>
  </si>
  <si>
    <t>Y BLOCK DHA</t>
  </si>
  <si>
    <t>chohan state H Block Lahore</t>
  </si>
  <si>
    <t>OPP.ALI VIEW GARDAN BADIAN ROAD NADIRA ABAD LAHORE</t>
  </si>
  <si>
    <t>JAWWAD CENTRE Q- BLOCK DHA LAHORE</t>
  </si>
  <si>
    <t>PLOT#71-72 Block E Nishat Colony</t>
  </si>
  <si>
    <t>Main Behdian Road Near Punjab Bank</t>
  </si>
  <si>
    <t>Bhata Chowk Near Carrefore</t>
  </si>
  <si>
    <t>H Block DHA Phase 1</t>
  </si>
  <si>
    <t>DHA M Block phase 1</t>
  </si>
  <si>
    <t>160 Sector H DHA Phase I Lahore</t>
  </si>
  <si>
    <t>Commercial area Z Block DHA Lhr</t>
  </si>
  <si>
    <t>174/6 H Block Market DHA Phase 1</t>
  </si>
  <si>
    <t>K BLOCK DHA</t>
  </si>
  <si>
    <t>Z BLOCK DHA</t>
  </si>
  <si>
    <t>Bedian Rd Nadrabad</t>
  </si>
  <si>
    <t>Nishat Colony DHA h Block Lhr</t>
  </si>
  <si>
    <t>Z block phase 3</t>
  </si>
  <si>
    <t>11-G Commercial Phase-1 DHA Lahore</t>
  </si>
  <si>
    <t>5-14 Civic Center Barkat Market</t>
  </si>
  <si>
    <t>Commercial Market Cavalary Ground</t>
  </si>
  <si>
    <t>104-Abu Baker Block New Garden Town</t>
  </si>
  <si>
    <t>55-N Gurumangat Road</t>
  </si>
  <si>
    <t>Cavalary Ground Masud Anwari Road</t>
  </si>
  <si>
    <t>Academy Road Toky wala Chowk Lahore</t>
  </si>
  <si>
    <t>12E Main Market Gulberg 2</t>
  </si>
  <si>
    <t>Cavalary Ground Lahore</t>
  </si>
  <si>
    <t>Liberty Market Lahore</t>
  </si>
  <si>
    <t>Main market Gulberg</t>
  </si>
  <si>
    <t>15.A Gulbarg Main Market</t>
  </si>
  <si>
    <t>Hussain Chowk Gulberg lll</t>
  </si>
  <si>
    <t>Naseabad Ferozpur Road</t>
  </si>
  <si>
    <t>MainCanalRoadAdjacent</t>
  </si>
  <si>
    <t>Bakert Market (Mix)</t>
  </si>
  <si>
    <t>LDA</t>
  </si>
  <si>
    <t>Atari Bazar</t>
  </si>
  <si>
    <t>Near Hussain Chowk Gulberg II Lahore</t>
  </si>
  <si>
    <t>Firdous Market Gulberg 3</t>
  </si>
  <si>
    <t>Latif</t>
  </si>
  <si>
    <t>Barkat Market Lahore</t>
  </si>
  <si>
    <t>Cavlary Ground Lahore</t>
  </si>
  <si>
    <t>Naseerabad Stop Lahore.</t>
  </si>
  <si>
    <t>Zahoor Elahi Rd Gulberg 2</t>
  </si>
  <si>
    <t>Zahoor Illahi Road Gulberg Lahore</t>
  </si>
  <si>
    <t xml:space="preserve">Clavery groud near </t>
  </si>
  <si>
    <t>XX Block DHA</t>
  </si>
  <si>
    <t>WALTON RD</t>
  </si>
  <si>
    <t>Main Punjab Co OPerative Housing Society - F Block</t>
  </si>
  <si>
    <t>MAIN NISHTAR STOP FEROZ PUR ROAD LAHORE</t>
  </si>
  <si>
    <t>Walton Road Lahore</t>
  </si>
  <si>
    <t>PAKCHINADOSTISQUAREPRODUCTDISPLAYCENTER</t>
  </si>
  <si>
    <t>Walton Road</t>
  </si>
  <si>
    <t>Nishtar Main Road</t>
  </si>
  <si>
    <t>Main Walton Road</t>
  </si>
  <si>
    <t>17KM FP Road Opp Awan Market</t>
  </si>
  <si>
    <t>Yohanabad ferozpur road</t>
  </si>
  <si>
    <t>MAIN BLVD DHA Lhr</t>
  </si>
  <si>
    <t>Punjab Society Ghazi Road Lahore</t>
  </si>
  <si>
    <t>Main ferozpur Rd Yhanabad</t>
  </si>
  <si>
    <t>walton road</t>
  </si>
  <si>
    <t>Jalal Sons-DHA Phase 3 XX1A Khayaban-e-Iqbal Se</t>
  </si>
  <si>
    <t>Ghazi Rd Lahore</t>
  </si>
  <si>
    <t>Ismail Nagar Ferozpur Rd Lahore</t>
  </si>
  <si>
    <t>Pak Arab Soc Near Awen Market Ferozpur Road Lahore</t>
  </si>
  <si>
    <t>Awan market lahore</t>
  </si>
  <si>
    <t>Punjab Society Ghazi Road</t>
  </si>
  <si>
    <t>Walton Rd Lahore</t>
  </si>
  <si>
    <t>XX block DHA lahore</t>
  </si>
  <si>
    <t>Yohannabad Lahore</t>
  </si>
  <si>
    <t>Gajjumata matro station</t>
  </si>
  <si>
    <t xml:space="preserve">Gazi Road </t>
  </si>
  <si>
    <t>youhanabad</t>
  </si>
  <si>
    <t>Main road</t>
  </si>
  <si>
    <t>Maulana Shaukat Ali Road LHR</t>
  </si>
  <si>
    <t>Bank Square Market C Block Model Town</t>
  </si>
  <si>
    <t>Block A-1 Township</t>
  </si>
  <si>
    <t>Block K Model Town Lahore Punjab</t>
  </si>
  <si>
    <t>Link Road Model Twn</t>
  </si>
  <si>
    <t>MBLVD Faisal Town Near Totla Pump</t>
  </si>
  <si>
    <t>Shop # 6-A Bank  Sqare Market</t>
  </si>
  <si>
    <t>Bank Square Market Model Twn.</t>
  </si>
  <si>
    <t>PLOT O. 01/17 M Block  Model Town EXT Lahore</t>
  </si>
  <si>
    <t>Kotha Pind (Mix)</t>
  </si>
  <si>
    <t xml:space="preserve">62 main peco road lahore </t>
  </si>
  <si>
    <t>Faisal town</t>
  </si>
  <si>
    <t>Akbar Chowk Township</t>
  </si>
  <si>
    <t>512 A Block Faisal Town Near Jinnah Hospital Lah</t>
  </si>
  <si>
    <t>Link Road Model Town</t>
  </si>
  <si>
    <t>kot lakhpat station peco road</t>
  </si>
  <si>
    <t>111 D-5 Ker kalan</t>
  </si>
  <si>
    <t>Faisal Town</t>
  </si>
  <si>
    <t>Bank Square Model Town Circular Rd Model Town L</t>
  </si>
  <si>
    <t>lahore</t>
  </si>
  <si>
    <t>12-D Faisal Town Lahore</t>
  </si>
  <si>
    <t>Jinnah Rd Lahore</t>
  </si>
  <si>
    <t>Store market A Block Model Twn</t>
  </si>
  <si>
    <t>Peco Road Lahore</t>
  </si>
  <si>
    <t>Modle Town</t>
  </si>
  <si>
    <t>23 G-1 Joher Town</t>
  </si>
  <si>
    <t>G-4 Joher Town</t>
  </si>
  <si>
    <t>51 Block-ARevenue Society</t>
  </si>
  <si>
    <t>H-3 Block Joher Twon</t>
  </si>
  <si>
    <t>Khokhar Chowk Johar Town</t>
  </si>
  <si>
    <t>P and Block Q Phase 2 Johar Town Lahore</t>
  </si>
  <si>
    <t>Khokhar Chowk Joher Town</t>
  </si>
  <si>
    <t>Block M Phase 2 Johar Town Lahore Punjab</t>
  </si>
  <si>
    <t>62-Iqbal avenue near shaukat khanam Lahore</t>
  </si>
  <si>
    <t>Plot 460/461 G4 Johar Twon</t>
  </si>
  <si>
    <t>Commercial Market PCSIRll Lahore</t>
  </si>
  <si>
    <t>G1 Market</t>
  </si>
  <si>
    <t>J1 Aman Plaza Johar Town</t>
  </si>
  <si>
    <t>Plot # G-5 G-1 Market Joher Town</t>
  </si>
  <si>
    <t>G-1 Market Joher Town</t>
  </si>
  <si>
    <t>6  Block R3 Block R 3 Phase 2</t>
  </si>
  <si>
    <t>12-G Johar Town</t>
  </si>
  <si>
    <t>Johar town</t>
  </si>
  <si>
    <t xml:space="preserve">Revenu socity </t>
  </si>
  <si>
    <t>G-1 Market Johar Town Lahore</t>
  </si>
  <si>
    <t>Amir Chowk Johar Town</t>
  </si>
  <si>
    <t>Wapda Town E Block</t>
  </si>
  <si>
    <t>P-1 Block valencia Town</t>
  </si>
  <si>
    <t>Rehmat Chowk Wapda Town</t>
  </si>
  <si>
    <t>1 Block K2 Block K 2 Wapda Town Phase 1 WAPDA To</t>
  </si>
  <si>
    <t>Valencia Town</t>
  </si>
  <si>
    <t>USMANIA TOWER WAPDA TOWN LAHORE</t>
  </si>
  <si>
    <t>wapda town Lahore</t>
  </si>
  <si>
    <t>N F C Colony Wapda Town</t>
  </si>
  <si>
    <t>Block D2 WAPDA Town  Lahore  Punjab</t>
  </si>
  <si>
    <t>9-10 D Block Commercial    Lahore  Punjab</t>
  </si>
  <si>
    <t xml:space="preserve">al hammad chowk </t>
  </si>
  <si>
    <t>26 A Block Valencia Town Lahore</t>
  </si>
  <si>
    <t>13 F2 Wapda Town Lahore</t>
  </si>
  <si>
    <t>Shop #44-A Audit Account Society Lahore</t>
  </si>
  <si>
    <t>Valencia town H block market</t>
  </si>
  <si>
    <t>Wapda town</t>
  </si>
  <si>
    <t>E-1 Wapda Town Lahore</t>
  </si>
  <si>
    <t>D Block Valencia Town</t>
  </si>
  <si>
    <t>College Road Milltary Account Lahore</t>
  </si>
  <si>
    <t>Valencia Town Lahore</t>
  </si>
  <si>
    <t>Ameer chowk</t>
  </si>
  <si>
    <t xml:space="preserve">college road </t>
  </si>
  <si>
    <t>wapda town</t>
  </si>
  <si>
    <t>Engineer Town</t>
  </si>
  <si>
    <t>Wapda</t>
  </si>
  <si>
    <t xml:space="preserve">engineer town </t>
  </si>
  <si>
    <t xml:space="preserve">valenica </t>
  </si>
  <si>
    <t>Bahria Orchard  Lahore</t>
  </si>
  <si>
    <t>C-31-5 &amp; 31-50 MAIN BOULEVARD LAKE CITY LAHORE</t>
  </si>
  <si>
    <t>Block M 7 Lake City Lahore Punjab</t>
  </si>
  <si>
    <t>( LDA AVENUE 1 CHOWK)</t>
  </si>
  <si>
    <t>DHA Rahbar</t>
  </si>
  <si>
    <t>air line</t>
  </si>
  <si>
    <t xml:space="preserve">Plaza num 60 commercial market </t>
  </si>
  <si>
    <t>Ada plot round about</t>
  </si>
  <si>
    <t>Raiwind Road Lahore</t>
  </si>
  <si>
    <t>Lake City Housing Society Raiwind Road Lahore</t>
  </si>
  <si>
    <t>Plot # 262 C Opf Housing Society Lahore</t>
  </si>
  <si>
    <t>Ali Raza bad near total pump</t>
  </si>
  <si>
    <t xml:space="preserve">opf hosing society </t>
  </si>
  <si>
    <t>Air line</t>
  </si>
  <si>
    <t>1153 Street No. 44   Block M 3 A</t>
  </si>
  <si>
    <t>pine square</t>
  </si>
  <si>
    <t>Fazaia housing Society</t>
  </si>
  <si>
    <t>Airline Society Lahore</t>
  </si>
  <si>
    <t>Rehber Socity DHA  Raiwind Road</t>
  </si>
  <si>
    <t>Fazaia housing  society</t>
  </si>
  <si>
    <t xml:space="preserve">lake city </t>
  </si>
  <si>
    <t xml:space="preserve">Lake city Hosing society </t>
  </si>
  <si>
    <t xml:space="preserve">icon valley society </t>
  </si>
  <si>
    <t xml:space="preserve">1 usman block </t>
  </si>
  <si>
    <t>Defence road</t>
  </si>
  <si>
    <t>326-327 Nasheman Iqbal Housing Society</t>
  </si>
  <si>
    <t xml:space="preserve">Plot#313 Block B Iqbal Avenue Phase 1 </t>
  </si>
  <si>
    <t xml:space="preserve">8km raiwind road </t>
  </si>
  <si>
    <t>Behria orchard</t>
  </si>
  <si>
    <t>Main Canal A Block Bahria Town</t>
  </si>
  <si>
    <t>Tulip Block Bahria Town</t>
  </si>
  <si>
    <t>Near Zhora Mart Izmeer Town Lahore</t>
  </si>
  <si>
    <t>Behria Town Lahore</t>
  </si>
  <si>
    <t>Choung Main Multan Road Lahore</t>
  </si>
  <si>
    <t>Behind McDonalds 27 CC-Block Behria Town Lahore</t>
  </si>
  <si>
    <t>5-6 civic center jubilee Town lahore</t>
  </si>
  <si>
    <t xml:space="preserve"> Izmair Town A 28 commercial  market</t>
  </si>
  <si>
    <t>Safari  Block Bahria Town Lahore</t>
  </si>
  <si>
    <t>Talwar Chowk 1/A Bahria Town Lahore</t>
  </si>
  <si>
    <t>Main Market Azmir TownLahore</t>
  </si>
  <si>
    <t xml:space="preserve">Bahria Town </t>
  </si>
  <si>
    <t>House # 55-A COM sector C Behria Town.</t>
  </si>
  <si>
    <t>A-73 Iqbal Avenue phase 3 Canal Road Lahore</t>
  </si>
  <si>
    <t>Sector C Talwar Chowk Bahria Town? Overseas Enc</t>
  </si>
  <si>
    <t>Talwar Chowk Bahria Town</t>
  </si>
  <si>
    <t>Chung Stop Multan RoadLahore</t>
  </si>
  <si>
    <t xml:space="preserve">6- A Block D Mohlanwan Scheme Shahkam Chowk </t>
  </si>
  <si>
    <t xml:space="preserve">55-A Sector C Main Boulevard Bahria Town </t>
  </si>
  <si>
    <t xml:space="preserve">plot# 05-06-07 Block A Nespak phase 2 Canal Road </t>
  </si>
  <si>
    <t>Ghosia Chowk College Road</t>
  </si>
  <si>
    <t>PIA Main Boulevard PIA Housing Society</t>
  </si>
  <si>
    <t>PiA Road Wapda Town</t>
  </si>
  <si>
    <t>3 B Johar Town</t>
  </si>
  <si>
    <t>82 E-1 Wapda Town</t>
  </si>
  <si>
    <t>38-2 c-1 LAJNA CHOUK COLLEGE ROAD LAHORE OPP MEZAN</t>
  </si>
  <si>
    <t>Punjab Society Wapda Town</t>
  </si>
  <si>
    <t>Mochi Pura Township Lahore</t>
  </si>
  <si>
    <t>Punjab Society lahore</t>
  </si>
  <si>
    <t>Punjab  Chowk</t>
  </si>
  <si>
    <t>Punjab Society Near Wapda Town Lahore</t>
  </si>
  <si>
    <t>M Ali chowk college road township lahore</t>
  </si>
  <si>
    <t>149-1-B/2  Mian Collage Road  Township  Lahore</t>
  </si>
  <si>
    <t>Shop # 8 B3 wapda town</t>
  </si>
  <si>
    <t>Near Zakir Tikka PIA  Road Lahore</t>
  </si>
  <si>
    <t xml:space="preserve">15 awaisia housing socity town ship Lhr </t>
  </si>
  <si>
    <t>32-1-C1</t>
  </si>
  <si>
    <t>College Road Lahore</t>
  </si>
  <si>
    <t>B Block Allah hoo chowk Johar Town</t>
  </si>
  <si>
    <t>College Rd Township Lahore</t>
  </si>
  <si>
    <t>Umer Chowk Green Town Lahore</t>
  </si>
  <si>
    <t>block b</t>
  </si>
  <si>
    <t>Plot #37 block 2 sector C1</t>
  </si>
  <si>
    <t>C7 pia main bouleverd</t>
  </si>
  <si>
    <t>114 M Shan Rd Quaid-e-Azam Industrial Estate Qua</t>
  </si>
  <si>
    <t>59 B Tipu block New garden Town lahore</t>
  </si>
  <si>
    <t>37 C-1 Gulberg III Lahore Pakistan</t>
  </si>
  <si>
    <t>26 Km Multan Road   Lahore  Punjab Pakistan.</t>
  </si>
  <si>
    <t>lake city</t>
  </si>
  <si>
    <t>89 Block  J 1 Phase 2 Johar Town</t>
  </si>
  <si>
    <t xml:space="preserve">Behria Town </t>
  </si>
  <si>
    <t>defence dd market lahore</t>
  </si>
  <si>
    <t>liberty market lahore</t>
  </si>
  <si>
    <t>OFFICE NO 42-43 GROUND FLOOR LEEDS CENTRE Lah</t>
  </si>
  <si>
    <t>Pine Avenue</t>
  </si>
  <si>
    <t>badian road phase 6 dolman mall</t>
  </si>
  <si>
    <t>wapda town E-2</t>
  </si>
  <si>
    <t xml:space="preserve">Q Block Liaqat Abad Model Town Lahore </t>
  </si>
  <si>
    <t>Mall Road</t>
  </si>
  <si>
    <t>18-Km Multan Road</t>
  </si>
  <si>
    <t>township</t>
  </si>
  <si>
    <t>154 CC Block DHA Phase-4</t>
  </si>
  <si>
    <t>Plaza No. 1/2 Block CCA Phase 5 DHA Cantoment</t>
  </si>
  <si>
    <t>Sector H Phase 5 D.H.A Lahore Punjab</t>
  </si>
  <si>
    <t>Badiyan road near Axkari Xi</t>
  </si>
  <si>
    <t>Shope # iiT-90Phase-ii</t>
  </si>
  <si>
    <t>COMMERCIAL MARKET SECTOR-B ASKARI-11 BEDIAN ROA</t>
  </si>
  <si>
    <t>main Bazar Youhanabad</t>
  </si>
  <si>
    <t>2 D Commercial Phase 5 Dha</t>
  </si>
  <si>
    <t>Shop 12 13 14  B Sector C Commercial</t>
  </si>
  <si>
    <t>Shop 1 2  3 B Sector C Commercial</t>
  </si>
  <si>
    <t>1 D Commercial Hbfc</t>
  </si>
  <si>
    <t>Sector B Heights Commercial Askari 11</t>
  </si>
  <si>
    <t>shop</t>
  </si>
  <si>
    <t>Bankers Cooperative Housing Society</t>
  </si>
  <si>
    <t xml:space="preserve">Dha phase 4 FF block </t>
  </si>
  <si>
    <t>FF Block Dha Phase IV Lhr</t>
  </si>
  <si>
    <t>T Block DHA Lalak chowk</t>
  </si>
  <si>
    <t>Askri 11 badiya  road</t>
  </si>
  <si>
    <t>Dha phase 9 CCA13</t>
  </si>
  <si>
    <t>Phase 5 DHA</t>
  </si>
  <si>
    <t>Dha Phase IV DHA Block DD</t>
  </si>
  <si>
    <t>state life housing society F Black Market</t>
  </si>
  <si>
    <t>jalal sons Askri 11</t>
  </si>
  <si>
    <t>Bedian Rd Lidher Pind</t>
  </si>
  <si>
    <t>FF Block DHA</t>
  </si>
  <si>
    <t>Gourmet Sui Gas Socity</t>
  </si>
  <si>
    <t>Workshop Stop Main Bedian Road</t>
  </si>
  <si>
    <t>dha phase 4 dd block</t>
  </si>
  <si>
    <t>Cart and carry banker coprative sociaty</t>
  </si>
  <si>
    <t>Badian road workshop stop</t>
  </si>
  <si>
    <t>clinic askkri11</t>
  </si>
  <si>
    <t>15/2 D cca2 phase5</t>
  </si>
  <si>
    <t xml:space="preserve">First floor pu jab cash had carry </t>
  </si>
  <si>
    <t xml:space="preserve">Badian road askri 11 lahore </t>
  </si>
  <si>
    <t>Main Thoker Niaz Baig</t>
  </si>
  <si>
    <t>EME canal Road Para Chenaar</t>
  </si>
  <si>
    <t>E-M-E SocietyLahore</t>
  </si>
  <si>
    <t>EME Society Lahore</t>
  </si>
  <si>
    <t>Daewoo Terminal Kalma Chowk</t>
  </si>
  <si>
    <t>Kibria Town Near orange line Station no 1</t>
  </si>
  <si>
    <t xml:space="preserve">Shop#27-28 Block 2C Canal City </t>
  </si>
  <si>
    <t xml:space="preserve">plot #11 block Pasco Society </t>
  </si>
  <si>
    <t>Eme</t>
  </si>
  <si>
    <t>Raiwnd road</t>
  </si>
  <si>
    <t>Mian Raiwind Road  TNB</t>
  </si>
  <si>
    <t>EME Cancel Road</t>
  </si>
  <si>
    <t xml:space="preserve">Thokar niaz baig flyover </t>
  </si>
  <si>
    <t>Jalal Sons EME Branch near Pasco Society</t>
  </si>
  <si>
    <t>Near Motorway Thokar Niaz Baig</t>
  </si>
  <si>
    <t>Opp University Lahore raiwind rd</t>
  </si>
  <si>
    <t>thokar naiz baig</t>
  </si>
  <si>
    <t>Bashir sons pharmacy emergency canal road</t>
  </si>
  <si>
    <t>Thokar niaz baig</t>
  </si>
  <si>
    <t>Main Nawab town</t>
  </si>
  <si>
    <t>Zarar Shaheed Rd</t>
  </si>
  <si>
    <t>Nisar Colony Cantt</t>
  </si>
  <si>
    <t>ALLAMA IQBAL INTERNATIONAL AIRPORT LAHORE</t>
  </si>
  <si>
    <t>Zarar Shaheed Road Joray Pull Lahore</t>
  </si>
  <si>
    <t>PAF Market</t>
  </si>
  <si>
    <t>Baidian Road Near RA Bazar</t>
  </si>
  <si>
    <t>Mall Rod</t>
  </si>
  <si>
    <t>Cantt</t>
  </si>
  <si>
    <t>Sher Pao Bridge</t>
  </si>
  <si>
    <t>GIRJA CHOWK CANTT</t>
  </si>
  <si>
    <t>Ranjers Head Quarter</t>
  </si>
  <si>
    <t>Main Air Port Road</t>
  </si>
  <si>
    <t>Jorey Pull</t>
  </si>
  <si>
    <t xml:space="preserve">PAF Market </t>
  </si>
  <si>
    <t>Allama Iqbal Internationl Airport Lahore</t>
  </si>
  <si>
    <t>Jury Pull</t>
  </si>
  <si>
    <t>GIRJA CHOWK cantt</t>
  </si>
  <si>
    <t>Bhatta Chowk</t>
  </si>
  <si>
    <t>Joray Pull</t>
  </si>
  <si>
    <t>Jurey Pull</t>
  </si>
  <si>
    <t>G. T. Road Singhpura Lahore Punjab 54000</t>
  </si>
  <si>
    <t>Shalimar Link Road</t>
  </si>
  <si>
    <t>Akhri Mint Stop</t>
  </si>
  <si>
    <t>Main G.T Road</t>
  </si>
  <si>
    <t>Shalimar Link Road In Front Shalimar Hospital</t>
  </si>
  <si>
    <t>G.T Road Baghbanpura</t>
  </si>
  <si>
    <t>Manawan Lahore</t>
  </si>
  <si>
    <t>325.S.A.rehman gt r0d dorgywala lahor</t>
  </si>
  <si>
    <t>AL Hafeez Garden Bagh Wali Puli GT Road Manawan</t>
  </si>
  <si>
    <t xml:space="preserve">manawana Lahore </t>
  </si>
  <si>
    <t>MianG.TRoadjellomor</t>
  </si>
  <si>
    <t>Quaid Azam intar change</t>
  </si>
  <si>
    <t>Daroghawala near PSO petrolpump</t>
  </si>
  <si>
    <t>laraib</t>
  </si>
  <si>
    <t>lariab</t>
  </si>
  <si>
    <t>Akhri Mint Stop G T Road Lahore</t>
  </si>
  <si>
    <t>bagbanpura g.t.rod lahore</t>
  </si>
  <si>
    <t>Dharoghawala</t>
  </si>
  <si>
    <t>GT Road Lahore</t>
  </si>
  <si>
    <t>Pakistan mint get lahor</t>
  </si>
  <si>
    <t>Batapur</t>
  </si>
  <si>
    <t>Darogawala</t>
  </si>
  <si>
    <t>Salamatpura</t>
  </si>
  <si>
    <t>Shadi Pura</t>
  </si>
  <si>
    <t>baga wali puli manwa</t>
  </si>
  <si>
    <t>manawan</t>
  </si>
  <si>
    <t xml:space="preserve">jello mor </t>
  </si>
  <si>
    <t>batta pur</t>
  </si>
  <si>
    <t>GT Road lahore</t>
  </si>
  <si>
    <t xml:space="preserve">yadgar stop </t>
  </si>
  <si>
    <t>Lahore Hotel</t>
  </si>
  <si>
    <t>Swami Nagar</t>
  </si>
  <si>
    <t>Wasan Pura</t>
  </si>
  <si>
    <t>Shadbagh</t>
  </si>
  <si>
    <t>Lahore Alama Iqbal Road</t>
  </si>
  <si>
    <t xml:space="preserve">gari show </t>
  </si>
  <si>
    <t xml:space="preserve">shad bag </t>
  </si>
  <si>
    <t xml:space="preserve">Allama Iqbal Road </t>
  </si>
  <si>
    <t>Tokey Wala Chowk</t>
  </si>
  <si>
    <t>Allama Iqbal Main Road Near Total Pump</t>
  </si>
  <si>
    <t>Wasan pura</t>
  </si>
  <si>
    <t>Laraib Food</t>
  </si>
  <si>
    <t>allama iqbal road</t>
  </si>
  <si>
    <t>Bundu Khan</t>
  </si>
  <si>
    <t>Amir Road Shadbagh</t>
  </si>
  <si>
    <t>Kot khwaja Saeed</t>
  </si>
  <si>
    <t>Davis Road</t>
  </si>
  <si>
    <t>Nisbat Road</t>
  </si>
  <si>
    <t>Ghari Shaho</t>
  </si>
  <si>
    <t>Shadbagh Lahore</t>
  </si>
  <si>
    <t>Sultan Pura</t>
  </si>
  <si>
    <t>Abbot Road</t>
  </si>
  <si>
    <t>Neelam Cenima</t>
  </si>
  <si>
    <t>Na khuda Chowk</t>
  </si>
  <si>
    <t>Main Sawminagar Road</t>
  </si>
  <si>
    <t>Main Aziz Road</t>
  </si>
  <si>
    <t>Lahore NISBAT Rd Lahore</t>
  </si>
  <si>
    <t>Garhi Shahu</t>
  </si>
  <si>
    <t>Jain Mandir</t>
  </si>
  <si>
    <t>Chuburji</t>
  </si>
  <si>
    <t>Main Ferozpur Road Ichhra</t>
  </si>
  <si>
    <t>Litton Road Mazang</t>
  </si>
  <si>
    <t>Near Gangaram Hospital Queens Road</t>
  </si>
  <si>
    <t>main feroz pur raod near shama stop</t>
  </si>
  <si>
    <t>Shadman</t>
  </si>
  <si>
    <t>Abid Market</t>
  </si>
  <si>
    <t>E Block Main Gulshan Ravi Lahore</t>
  </si>
  <si>
    <t>shadman near Fatima memorial hospital 466</t>
  </si>
  <si>
    <t xml:space="preserve">Lower mall </t>
  </si>
  <si>
    <t>Chuburji Near Orange Line</t>
  </si>
  <si>
    <t>Mazang Safa wala chowk</t>
  </si>
  <si>
    <t>Shamma cenima</t>
  </si>
  <si>
    <t xml:space="preserve">Pak heights building </t>
  </si>
  <si>
    <t>Lower Mall Rewaz Garden</t>
  </si>
  <si>
    <t>Islampura</t>
  </si>
  <si>
    <t>Riwaz Garden</t>
  </si>
  <si>
    <t>Temple Road</t>
  </si>
  <si>
    <t>Shadman Lahore</t>
  </si>
  <si>
    <t>Shama Cenima</t>
  </si>
  <si>
    <t xml:space="preserve">Islam pura Lahore </t>
  </si>
  <si>
    <t xml:space="preserve">sanda road </t>
  </si>
  <si>
    <t>pearl continental hotel mall Rd</t>
  </si>
  <si>
    <t xml:space="preserve">Liton road </t>
  </si>
  <si>
    <t>Main Ravi Road Near Metro Cash&amp; Carry</t>
  </si>
  <si>
    <t>shadbag</t>
  </si>
  <si>
    <t>Baigam kot</t>
  </si>
  <si>
    <t>Mian Bazzar Begum Kot Near Janaz Ghaa</t>
  </si>
  <si>
    <t>Main Nain Sukh Chowk Phool Mandi Stop Saghiyan</t>
  </si>
  <si>
    <t>Al Rehman Garden PHASE 2 Gate No 3 Main Shariqpur</t>
  </si>
  <si>
    <t>shadra mor</t>
  </si>
  <si>
    <t>sharaq pur</t>
  </si>
  <si>
    <t>Kareem Park</t>
  </si>
  <si>
    <t>Shahdara Main G.T Road Near Bus Stop</t>
  </si>
  <si>
    <t>Rehman Garden</t>
  </si>
  <si>
    <t>begum kot chowk</t>
  </si>
  <si>
    <t>Baigham kot chowk shadra lahor</t>
  </si>
  <si>
    <t>Al khan Rehman garden lahore</t>
  </si>
  <si>
    <t>Gate No  4 Rehman Garden Lahore</t>
  </si>
  <si>
    <t>kareem Park</t>
  </si>
  <si>
    <t>Qila Lakshman Singh</t>
  </si>
  <si>
    <t>Ravi Road</t>
  </si>
  <si>
    <t>Badami Bagh lahore</t>
  </si>
  <si>
    <t>MAIN SHARAQPUR ROAD NEAR CRYSTAL SWIMMING POOL</t>
  </si>
  <si>
    <t>SHAHDARA TOWN</t>
  </si>
  <si>
    <t>MATCHIS FACTORY</t>
  </si>
  <si>
    <t>25-NO</t>
  </si>
  <si>
    <t>KOT ABDUL MALIK</t>
  </si>
  <si>
    <t>Shadra More Lahore</t>
  </si>
  <si>
    <t xml:space="preserve">Lohey Wali Pulli Badami bagh Lahore </t>
  </si>
  <si>
    <t>Rahman Gurdan Gate 2 shadrah Lahore</t>
  </si>
  <si>
    <t xml:space="preserve">Greenwood society Rahman Gurdan Lahore </t>
  </si>
  <si>
    <t>shahdra chowk main shakhopora rode</t>
  </si>
  <si>
    <t>Taxali Gate</t>
  </si>
  <si>
    <t>Allama Iqbal Rd Kashmir Block Allama Iqbal Town</t>
  </si>
  <si>
    <t>Multan Road</t>
  </si>
  <si>
    <t>Main Boulevard Iqbal Town</t>
  </si>
  <si>
    <t>Karim Block</t>
  </si>
  <si>
    <t>Neelam Block Iqbal Town</t>
  </si>
  <si>
    <t>wahdat Rd</t>
  </si>
  <si>
    <t>scheme mor Lahore</t>
  </si>
  <si>
    <t>Iqbal Town</t>
  </si>
  <si>
    <t>neelam block iqbal town</t>
  </si>
  <si>
    <t>allama Iqbal Town</t>
  </si>
  <si>
    <t>(IQBAL TOWN)</t>
  </si>
  <si>
    <t>21 Gulshan Block Allama Iqbal Town Lahore Punj</t>
  </si>
  <si>
    <t>Main Rehman Pura</t>
  </si>
  <si>
    <t>Muslim Town Wahdat RoadLahore</t>
  </si>
  <si>
    <t>Allama Iqbal Town</t>
  </si>
  <si>
    <t>wahdat road lahore</t>
  </si>
  <si>
    <t>Moon Market Iqbal Town</t>
  </si>
  <si>
    <t>Ayubia Market</t>
  </si>
  <si>
    <t>Gulshan Block Allama Iqbal Town</t>
  </si>
  <si>
    <t>Kareem Block Iqbal Town</t>
  </si>
  <si>
    <t>Muslim Town</t>
  </si>
  <si>
    <t>Muslim Town Mor</t>
  </si>
  <si>
    <t>rehman pura Lahore</t>
  </si>
  <si>
    <t>main street  iqbal town</t>
  </si>
  <si>
    <t>Sabzazar Liaqat chowk</t>
  </si>
  <si>
    <t>Mandi Stop Mansoora</t>
  </si>
  <si>
    <t>Mergzar Colony</t>
  </si>
  <si>
    <t>WARIS COLONY WHADAT ROAD MULTAN CHUNGI LAHORE</t>
  </si>
  <si>
    <t>Liaqat chowk</t>
  </si>
  <si>
    <t>PLOT NOS. 16-17 BLOCK-H NEAR PSO PUMP SABZAZAR</t>
  </si>
  <si>
    <t>Plot No 60 Golden Dream Hall Civic Centre (Risen)</t>
  </si>
  <si>
    <t>Thoker Niaz Baiglahore</t>
  </si>
  <si>
    <t>230 Rose block</t>
  </si>
  <si>
    <t>P Block SabzazarLahore</t>
  </si>
  <si>
    <t>Shah Fareed Road B BlockSabzazar</t>
  </si>
  <si>
    <t xml:space="preserve">Liaqat Chowk Sabzazar lahore </t>
  </si>
  <si>
    <t xml:space="preserve">Lariab bakeries Magzar Lahore </t>
  </si>
  <si>
    <t xml:space="preserve">Magzar Road lahore </t>
  </si>
  <si>
    <t>Phase 1 Sabzazar Liaqat Chowk</t>
  </si>
  <si>
    <t>Sabzazar</t>
  </si>
  <si>
    <t xml:space="preserve"> Maghzar Road Lahore</t>
  </si>
  <si>
    <t xml:space="preserve">Al Khan Bakers and Sweets Wahdad Road Lahore </t>
  </si>
  <si>
    <t xml:space="preserve">Quick Mart Park View Multan Road Lahore </t>
  </si>
  <si>
    <t>Liaqat Chowk</t>
  </si>
  <si>
    <t>wahdat Rd Near Mustafa Town</t>
  </si>
  <si>
    <t>Awan Town Lahore</t>
  </si>
  <si>
    <t>Canal View</t>
  </si>
  <si>
    <t>hajvery town</t>
  </si>
  <si>
    <t xml:space="preserve">A block Liaqat chowk Sabzazar </t>
  </si>
  <si>
    <t xml:space="preserve">Liaqat chowk Sabzazar Opposite Malmo BakersLahore </t>
  </si>
  <si>
    <t xml:space="preserve">Wahdad Road Multan Chungy Lahore </t>
  </si>
  <si>
    <t>Liaqat ChowkSabzazar Lahore</t>
  </si>
  <si>
    <t xml:space="preserve">Wahdad Road Lahore </t>
  </si>
  <si>
    <t>Adali Chowk Krishan Nagar</t>
  </si>
  <si>
    <t>Moon Market Gulshan Ravi</t>
  </si>
  <si>
    <t>Corporation Chowk Outfall Road</t>
  </si>
  <si>
    <t>Samanabad</t>
  </si>
  <si>
    <t>Sham Nagar</t>
  </si>
  <si>
    <t>MOON MARKET GULSHAN E RAVI LAHORE.</t>
  </si>
  <si>
    <t>punch road samnabad</t>
  </si>
  <si>
    <t>main blue ward samnabad</t>
  </si>
  <si>
    <t>Larance Road</t>
  </si>
  <si>
    <t xml:space="preserve">Noori building Islam Pura Lahore </t>
  </si>
  <si>
    <t xml:space="preserve"> Islam Pura Sanda Road school stop Lahore </t>
  </si>
  <si>
    <t xml:space="preserve">abdali chounk Islam Pura opp Farhan hospital </t>
  </si>
  <si>
    <t>Main Bulverde Gulshan Ravi opp Moon Market</t>
  </si>
  <si>
    <t>Bund Road Yateem Khana Lahore</t>
  </si>
  <si>
    <t>IslamPura</t>
  </si>
  <si>
    <t>Outfall Road</t>
  </si>
  <si>
    <t>yateem khana chowk</t>
  </si>
  <si>
    <t>Gulshan Ravi Lahore</t>
  </si>
  <si>
    <t>Samnabad</t>
  </si>
  <si>
    <t>Krishan Nagar Lahore Pakistan</t>
  </si>
  <si>
    <t>Karishan Nager</t>
  </si>
  <si>
    <t>Bilal Ganj</t>
  </si>
  <si>
    <t>Nadeem Shaheed Road</t>
  </si>
  <si>
    <t>Ponch Road Lahore</t>
  </si>
  <si>
    <t>Rustam park Lahore</t>
  </si>
  <si>
    <t>Yateem Khana</t>
  </si>
  <si>
    <t>samanabad</t>
  </si>
  <si>
    <t>Sham Nagar Road</t>
  </si>
  <si>
    <t xml:space="preserve">3 out fall road </t>
  </si>
  <si>
    <t xml:space="preserve">Bashir Sons Pharmacy </t>
  </si>
  <si>
    <t>153-E  Multan Road Iqbal Town Lahore</t>
  </si>
  <si>
    <t>Taj pura Canal Bank Road</t>
  </si>
  <si>
    <t>Taj Bagh</t>
  </si>
  <si>
    <t>Saddar Bazar</t>
  </si>
  <si>
    <t>Saddar Mughalpura</t>
  </si>
  <si>
    <t>2 Canal Rd Lahore Medical Housing Society Lahor</t>
  </si>
  <si>
    <t>Harbanse Pura (Risen)</t>
  </si>
  <si>
    <t>Allam Iqbal Road Main Bazar Dharampura Lahore</t>
  </si>
  <si>
    <t>Shalimar Link Rd</t>
  </si>
  <si>
    <t>Main canal road near birds market lahore</t>
  </si>
  <si>
    <t>Zarar Shaheed Road Cantt</t>
  </si>
  <si>
    <t>Harbancepura</t>
  </si>
  <si>
    <t xml:space="preserve">Euro store </t>
  </si>
  <si>
    <t>1/1 Com &amp; Hall  Main gate rizwan garden canal</t>
  </si>
  <si>
    <t>Near Sadar Round About</t>
  </si>
  <si>
    <t>Taj pura</t>
  </si>
  <si>
    <t>Dharampura Bazar</t>
  </si>
  <si>
    <t>Lal Pull</t>
  </si>
  <si>
    <t>Shlimar Link Road</t>
  </si>
  <si>
    <t>Taj Pura</t>
  </si>
  <si>
    <t xml:space="preserve">Bundu </t>
  </si>
  <si>
    <t>Hajvery food</t>
  </si>
  <si>
    <t>Butt sweets &amp; Bakers</t>
  </si>
  <si>
    <t>Shabbir Sharif Rd Sector J DHA Phase 6 Lahore</t>
  </si>
  <si>
    <t>Street IH-5 Imperial Garden Homes Paragon City</t>
  </si>
  <si>
    <t>Askari 10</t>
  </si>
  <si>
    <t>Paragon City barki Road Lahore</t>
  </si>
  <si>
    <t>Sector E Block E Askari X Lahore Punjab</t>
  </si>
  <si>
    <t>Askri 10 f secter</t>
  </si>
  <si>
    <t>Park View Phase 8 Dha</t>
  </si>
  <si>
    <t>6 Ground Floor Sector M EX Air Avanue PH 8DHA LHR</t>
  </si>
  <si>
    <t xml:space="preserve">Premier Dha phase 6 </t>
  </si>
  <si>
    <t>Jalal sons Akari 10</t>
  </si>
  <si>
    <t>63-S  Imperial Garden</t>
  </si>
  <si>
    <t>Askari X Sector F</t>
  </si>
  <si>
    <t>Plaza No 60 Paragon</t>
  </si>
  <si>
    <t>81  Brade Way Paragon</t>
  </si>
  <si>
    <t xml:space="preserve">ground floor </t>
  </si>
  <si>
    <t>bhatti</t>
  </si>
  <si>
    <t>urban mart</t>
  </si>
  <si>
    <t>Barki Road  Imperial Garden Homes Commercial area</t>
  </si>
  <si>
    <t>104 MB</t>
  </si>
  <si>
    <t>Phase Vi DHA Lahore</t>
  </si>
  <si>
    <t>63 S imperial block  Homes Paragon City  Lahore</t>
  </si>
  <si>
    <t>DHA phase8 Ex park view plaza (58)</t>
  </si>
  <si>
    <t>Dha</t>
  </si>
  <si>
    <t>main barki road</t>
  </si>
  <si>
    <t xml:space="preserve">Plaza No </t>
  </si>
  <si>
    <t>Railway Station  Lahore</t>
  </si>
  <si>
    <t>Railway Station Lahore</t>
  </si>
  <si>
    <t>mall road</t>
  </si>
  <si>
    <t>Team</t>
  </si>
  <si>
    <t>Team 01</t>
  </si>
  <si>
    <t>Team 02</t>
  </si>
  <si>
    <t>al hammad chowk College Road</t>
  </si>
  <si>
    <t>The Vital Mart</t>
  </si>
  <si>
    <t>Hafiz Sweet Wearhouse</t>
  </si>
  <si>
    <t>Route #</t>
  </si>
  <si>
    <t>Total Shop</t>
  </si>
  <si>
    <t>Swera Store Shadman</t>
  </si>
  <si>
    <t>Ghouse Baker Mazang</t>
  </si>
  <si>
    <t>Crown Super Market</t>
  </si>
  <si>
    <t>MB Traders ( Askari 11 )</t>
  </si>
  <si>
    <t>Itfaq Mart</t>
  </si>
  <si>
    <t>1+2</t>
  </si>
  <si>
    <t>Risen M/S TN Traders (Raiwind Road )</t>
  </si>
  <si>
    <t>Risen M/S SB Traders ( Manawa )</t>
  </si>
  <si>
    <t>Risen M &amp; M Traders Shadra</t>
  </si>
  <si>
    <t>Risen M/S RAFAQAT SONS</t>
  </si>
  <si>
    <t>Risen M/S RAFAQAT SONS Fateghar</t>
  </si>
  <si>
    <t>PF Market Cantt</t>
  </si>
  <si>
    <t>Askari 10 F, sector</t>
  </si>
  <si>
    <t xml:space="preserve">Askari 10 </t>
  </si>
  <si>
    <t>Risen M/S CB TRADERS (  )</t>
  </si>
  <si>
    <t>All LMT Shops Discounts &amp; Free Pcs</t>
  </si>
  <si>
    <t>100 Store Imamia Colony</t>
  </si>
  <si>
    <t>Islam Pura</t>
  </si>
  <si>
    <t>Altaf Store</t>
  </si>
  <si>
    <t>Total</t>
  </si>
  <si>
    <t>Marchandiser Name</t>
  </si>
  <si>
    <t>Bhatta Chowk Eaden Vilas Air Port Road</t>
  </si>
  <si>
    <t>DHA phase 6 plaza 152CCA</t>
  </si>
  <si>
    <t xml:space="preserve">DHA phase 6 </t>
  </si>
  <si>
    <t xml:space="preserve">DHA C, block phase 6 </t>
  </si>
  <si>
    <t>Shadman Market</t>
  </si>
  <si>
    <t>Main Wahdat Road Naqsha Stope</t>
  </si>
  <si>
    <t>Iqbal Town Scheem Mor</t>
  </si>
  <si>
    <t>Iqbal Town Rachna Blocl</t>
  </si>
  <si>
    <t>Iqbal Town Moon Market</t>
  </si>
  <si>
    <t xml:space="preserve">Iqbal Town </t>
  </si>
  <si>
    <t>AL - JANNAT ENTERPRISES</t>
  </si>
  <si>
    <t>Rahman Pura Bukhari Market</t>
  </si>
  <si>
    <t>Wahdat road Ayubia market</t>
  </si>
  <si>
    <t>Jory Pull</t>
  </si>
  <si>
    <t>Ranjar Head Quarter</t>
  </si>
  <si>
    <t>Ranjar Head Quarter Guldashat Town</t>
  </si>
  <si>
    <t>Daroghewala GT road</t>
  </si>
  <si>
    <t>Baghban Pura GT road</t>
  </si>
  <si>
    <t>Shabir</t>
  </si>
  <si>
    <t>Aqib</t>
  </si>
  <si>
    <t>Hassan</t>
  </si>
  <si>
    <t>Ahmad</t>
  </si>
  <si>
    <t>Awais</t>
  </si>
  <si>
    <t>Sequence</t>
  </si>
  <si>
    <t>7</t>
  </si>
  <si>
    <t>9</t>
  </si>
  <si>
    <t>1</t>
  </si>
  <si>
    <t>2</t>
  </si>
  <si>
    <t>4</t>
  </si>
  <si>
    <t>Sana Cash And Carry Punjab Society</t>
  </si>
  <si>
    <t>Punjab Society opo Wapda town</t>
  </si>
  <si>
    <t>9-10 D Block Commercial  Valancia Town  Lahore  Punjab</t>
  </si>
  <si>
    <t>8</t>
  </si>
  <si>
    <t>GT Road manawa</t>
  </si>
  <si>
    <t>GT Road Al Rizwan Garden</t>
  </si>
  <si>
    <t>GT Road Singpura</t>
  </si>
  <si>
    <t>GT Road Manawa</t>
  </si>
  <si>
    <t>Shadbagh Amir Road</t>
  </si>
  <si>
    <t>Canal Road Jalo Mor</t>
  </si>
  <si>
    <t>Fateghar Canal Road</t>
  </si>
  <si>
    <t>Mughal pura</t>
  </si>
  <si>
    <t>Route # 1 = 2</t>
  </si>
  <si>
    <t>Route # 3 = 4</t>
  </si>
  <si>
    <t>Route # 5 = 6</t>
  </si>
  <si>
    <t>Route # 7 = 8</t>
  </si>
  <si>
    <t>Route # 9 = 10</t>
  </si>
  <si>
    <t>Mazang Abid Market</t>
  </si>
  <si>
    <t>Shadra Imamia Colony</t>
  </si>
  <si>
    <t xml:space="preserve">Shadra  </t>
  </si>
  <si>
    <t>Rahman Garden Sharakpur Road</t>
  </si>
  <si>
    <t>Sadar Zarar Shaheed Road</t>
  </si>
  <si>
    <t>Paragon City</t>
  </si>
  <si>
    <t>Askari - 10</t>
  </si>
  <si>
    <t>DHA Ph-8</t>
  </si>
  <si>
    <t>DHA Ph-8, Eaden</t>
  </si>
  <si>
    <t>DHA phase 8 Ex Park view) 02</t>
  </si>
  <si>
    <t>Barki Road</t>
  </si>
  <si>
    <t>Total Shop - 158</t>
  </si>
  <si>
    <t>60gm</t>
  </si>
  <si>
    <t>Chicken</t>
  </si>
  <si>
    <t>70gm</t>
  </si>
  <si>
    <t>Meet</t>
  </si>
  <si>
    <t>Lemon</t>
  </si>
  <si>
    <t>GM</t>
  </si>
  <si>
    <t>120gm</t>
  </si>
  <si>
    <t>Waseem Trader</t>
  </si>
  <si>
    <t>Pinhill Office</t>
  </si>
  <si>
    <t>Total CTN</t>
  </si>
  <si>
    <t>July Opning Ctn</t>
  </si>
  <si>
    <t>Total Pcs</t>
  </si>
  <si>
    <t>Diff</t>
  </si>
  <si>
    <t>429/483</t>
  </si>
  <si>
    <t>June</t>
  </si>
  <si>
    <t>August</t>
  </si>
  <si>
    <t>September</t>
  </si>
  <si>
    <t>October</t>
  </si>
  <si>
    <t>November</t>
  </si>
  <si>
    <t>December</t>
  </si>
  <si>
    <t>May</t>
  </si>
  <si>
    <t>Sr #</t>
  </si>
  <si>
    <t>Code</t>
  </si>
  <si>
    <t>PPL0001</t>
  </si>
  <si>
    <t>PPL0002</t>
  </si>
  <si>
    <t>PPL0003</t>
  </si>
  <si>
    <t>PPL0004</t>
  </si>
  <si>
    <t>PPL0005</t>
  </si>
  <si>
    <t>PPL0006</t>
  </si>
  <si>
    <t>PPL0007</t>
  </si>
  <si>
    <t>PPL0008</t>
  </si>
  <si>
    <t>PPL0009</t>
  </si>
  <si>
    <t>PPL0010</t>
  </si>
  <si>
    <t>PPL0011</t>
  </si>
  <si>
    <t>PPL0012</t>
  </si>
  <si>
    <t>PPL0013</t>
  </si>
  <si>
    <t>PPL0014</t>
  </si>
  <si>
    <t>PPL0015</t>
  </si>
  <si>
    <t>PPL0016</t>
  </si>
  <si>
    <t>PPL0017</t>
  </si>
  <si>
    <t>PPL0018</t>
  </si>
  <si>
    <t>PPL0019</t>
  </si>
  <si>
    <t>PPL0020</t>
  </si>
  <si>
    <t>PPL0021</t>
  </si>
  <si>
    <t>PPL0022</t>
  </si>
  <si>
    <t>PPL0023</t>
  </si>
  <si>
    <t>PPL0024</t>
  </si>
  <si>
    <t>PPL0025</t>
  </si>
  <si>
    <t>PPL0026</t>
  </si>
  <si>
    <t>PPL0027</t>
  </si>
  <si>
    <t>PPL0028</t>
  </si>
  <si>
    <t>PPL0029</t>
  </si>
  <si>
    <t>PPL0030</t>
  </si>
  <si>
    <t>PPL0031</t>
  </si>
  <si>
    <t>PPL0032</t>
  </si>
  <si>
    <t>PPL0033</t>
  </si>
  <si>
    <t>PPL0034</t>
  </si>
  <si>
    <t>PPL0035</t>
  </si>
  <si>
    <t>PPL0036</t>
  </si>
  <si>
    <t>PPL0037</t>
  </si>
  <si>
    <t>PPL0038</t>
  </si>
  <si>
    <t>PPL0039</t>
  </si>
  <si>
    <t>PPL0040</t>
  </si>
  <si>
    <t>PPL0041</t>
  </si>
  <si>
    <t>PPL0042</t>
  </si>
  <si>
    <t>PPL0043</t>
  </si>
  <si>
    <t>PPL0044</t>
  </si>
  <si>
    <t>PPL0045</t>
  </si>
  <si>
    <t>PPL0046</t>
  </si>
  <si>
    <t>PPL0047</t>
  </si>
  <si>
    <t>PPL0048</t>
  </si>
  <si>
    <t>PPL0049</t>
  </si>
  <si>
    <t>PPL0050</t>
  </si>
  <si>
    <t>PPL0051</t>
  </si>
  <si>
    <t>PPL0052</t>
  </si>
  <si>
    <t>PPL0053</t>
  </si>
  <si>
    <t>PPL0054</t>
  </si>
  <si>
    <t>PPL0055</t>
  </si>
  <si>
    <t>PPL0056</t>
  </si>
  <si>
    <t>PPL0057</t>
  </si>
  <si>
    <t>PPL0058</t>
  </si>
  <si>
    <t>PPL0059</t>
  </si>
  <si>
    <t>PPL0060</t>
  </si>
  <si>
    <t>PPL0061</t>
  </si>
  <si>
    <t>PPL0062</t>
  </si>
  <si>
    <t>PPL0063</t>
  </si>
  <si>
    <t>PPL0064</t>
  </si>
  <si>
    <t>PPL0065</t>
  </si>
  <si>
    <t>PPL0066</t>
  </si>
  <si>
    <t>PPL0067</t>
  </si>
  <si>
    <t>PPL0068</t>
  </si>
  <si>
    <t>PPL0069</t>
  </si>
  <si>
    <t>PPL0070</t>
  </si>
  <si>
    <t>PPL0071</t>
  </si>
  <si>
    <t>PPL0072</t>
  </si>
  <si>
    <t>PPL0073</t>
  </si>
  <si>
    <t>PPL0074</t>
  </si>
  <si>
    <t>PPL0075</t>
  </si>
  <si>
    <t>PPL0076</t>
  </si>
  <si>
    <t>PPL0077</t>
  </si>
  <si>
    <t>PPL0078</t>
  </si>
  <si>
    <t>PPL0079</t>
  </si>
  <si>
    <t>PPL0080</t>
  </si>
  <si>
    <t>PPL0081</t>
  </si>
  <si>
    <t>PPL0082</t>
  </si>
  <si>
    <t>PPL0083</t>
  </si>
  <si>
    <t>PPL0084</t>
  </si>
  <si>
    <t>PPL0085</t>
  </si>
  <si>
    <t>PPL0086</t>
  </si>
  <si>
    <t>PPL0087</t>
  </si>
  <si>
    <t>PPL0088</t>
  </si>
  <si>
    <t>PPL0089</t>
  </si>
  <si>
    <t>PPL0090</t>
  </si>
  <si>
    <t>PPL0091</t>
  </si>
  <si>
    <t>PPL0092</t>
  </si>
  <si>
    <t>PPL0093</t>
  </si>
  <si>
    <t>PPL0094</t>
  </si>
  <si>
    <t>PPL0095</t>
  </si>
  <si>
    <t>PPL0096</t>
  </si>
  <si>
    <t>PPL0097</t>
  </si>
  <si>
    <t>PPL0098</t>
  </si>
  <si>
    <t>PPL0106</t>
  </si>
  <si>
    <t>PPL0107</t>
  </si>
  <si>
    <t>PPL0108</t>
  </si>
  <si>
    <t>PPL0109</t>
  </si>
  <si>
    <t>PPL0110</t>
  </si>
  <si>
    <t>PPL0111</t>
  </si>
  <si>
    <t>PPL0112</t>
  </si>
  <si>
    <t>PPL0113</t>
  </si>
  <si>
    <t>PPL0114</t>
  </si>
  <si>
    <t>PPL0115</t>
  </si>
  <si>
    <t>PPL0116</t>
  </si>
  <si>
    <t>PPL0117</t>
  </si>
  <si>
    <t>PPL0118</t>
  </si>
  <si>
    <t>PPL0119</t>
  </si>
  <si>
    <t>PPL0120</t>
  </si>
  <si>
    <t>PPL0121</t>
  </si>
  <si>
    <t>PPL0122</t>
  </si>
  <si>
    <t>PPL0123</t>
  </si>
  <si>
    <t>PPL0124</t>
  </si>
  <si>
    <t>PPL0128</t>
  </si>
  <si>
    <t>PPL0129</t>
  </si>
  <si>
    <t>PPL0130</t>
  </si>
  <si>
    <t>PPL0131</t>
  </si>
  <si>
    <t>PPL0132</t>
  </si>
  <si>
    <t>PPL0133</t>
  </si>
  <si>
    <t>PPL0134</t>
  </si>
  <si>
    <t>PPL0135</t>
  </si>
  <si>
    <t>PPL0136</t>
  </si>
  <si>
    <t>PPL0137</t>
  </si>
  <si>
    <t>PPL0138</t>
  </si>
  <si>
    <t>PPL0139</t>
  </si>
  <si>
    <t>PPL0140</t>
  </si>
  <si>
    <t>PPL0141</t>
  </si>
  <si>
    <t>PPL0142</t>
  </si>
  <si>
    <t>PPL0143</t>
  </si>
  <si>
    <t>PPL0144</t>
  </si>
  <si>
    <t>PPL0145</t>
  </si>
  <si>
    <t>PPL0146</t>
  </si>
  <si>
    <t>PPL0147</t>
  </si>
  <si>
    <t>PPL0148</t>
  </si>
  <si>
    <t>PPL0149</t>
  </si>
  <si>
    <t>PPL0150</t>
  </si>
  <si>
    <t>PPL0151</t>
  </si>
  <si>
    <t>PPL0152</t>
  </si>
  <si>
    <t>PPL0153</t>
  </si>
  <si>
    <t>PPL0154</t>
  </si>
  <si>
    <t>PPL0155</t>
  </si>
  <si>
    <t>Gourmet Food</t>
  </si>
  <si>
    <t>Clinix</t>
  </si>
  <si>
    <t xml:space="preserve">Jalal Sons </t>
  </si>
  <si>
    <t xml:space="preserve">Gourmet Food </t>
  </si>
  <si>
    <t>EME</t>
  </si>
  <si>
    <t>Mughalpura</t>
  </si>
  <si>
    <t>Askari 11</t>
  </si>
  <si>
    <t>Sabzazaar</t>
  </si>
  <si>
    <t xml:space="preserve">Jublee Town </t>
  </si>
  <si>
    <t>Sana Cash &amp; Carry</t>
  </si>
  <si>
    <t xml:space="preserve">Crown </t>
  </si>
  <si>
    <t xml:space="preserve">Jalal Sons Lake City </t>
  </si>
  <si>
    <t>Model Town</t>
  </si>
  <si>
    <t>Shadra</t>
  </si>
  <si>
    <t>Velencia Town</t>
  </si>
  <si>
    <t>Fateh Gher</t>
  </si>
  <si>
    <t xml:space="preserve">Punjab Society </t>
  </si>
  <si>
    <t xml:space="preserve">Rehman Garden </t>
  </si>
  <si>
    <t xml:space="preserve">Total </t>
  </si>
  <si>
    <t>PC</t>
  </si>
  <si>
    <t>CTN</t>
  </si>
  <si>
    <t>Jalal Sons phase 5</t>
  </si>
  <si>
    <t>Jalal sons main market</t>
  </si>
  <si>
    <t>Asgher Store</t>
  </si>
  <si>
    <t xml:space="preserve">Al-Fatah </t>
  </si>
  <si>
    <t>Jalal sons Askari 10</t>
  </si>
  <si>
    <t>Ms Traders (Risen)</t>
  </si>
  <si>
    <t xml:space="preserve">Rafaqat &amp; Sons </t>
  </si>
  <si>
    <t>Rehman Garden (Risen)</t>
  </si>
  <si>
    <t>Pak Madina (Jharawala)</t>
  </si>
  <si>
    <t xml:space="preserve">24/7 Mart </t>
  </si>
  <si>
    <t>Gourmet Foods</t>
  </si>
  <si>
    <t>Gourmet Food johar towm</t>
  </si>
  <si>
    <t>Gourmet Food 12 G</t>
  </si>
  <si>
    <t>Gourmet Food Fizaya</t>
  </si>
  <si>
    <t>Gourmet Food Calvery</t>
  </si>
  <si>
    <t xml:space="preserve">Lake City Mart </t>
  </si>
  <si>
    <t>Risan Askari 11</t>
  </si>
  <si>
    <t>Rainbow Cash &amp; Carry</t>
  </si>
  <si>
    <t>Al Raheem Iqbal Town</t>
  </si>
  <si>
    <t>Al Raheem Wapda Town</t>
  </si>
  <si>
    <t>Aslam Super Mart</t>
  </si>
  <si>
    <t>4 Reason</t>
  </si>
  <si>
    <t>Euro Store</t>
  </si>
  <si>
    <t>Gourmet Food DHA Rahber</t>
  </si>
  <si>
    <t>Gourmet Food Bahria Town</t>
  </si>
  <si>
    <t>Jalal Sons Bahria Orchard</t>
  </si>
  <si>
    <t>Shehwar Mega Mart</t>
  </si>
  <si>
    <t>Rainbow BT</t>
  </si>
  <si>
    <t xml:space="preserve">Jalal Sons Behria Orchard </t>
  </si>
  <si>
    <t>Phase 5</t>
  </si>
  <si>
    <t>Pinehill</t>
  </si>
  <si>
    <t>Attari Darbar</t>
  </si>
  <si>
    <t xml:space="preserve">Jharanwala </t>
  </si>
  <si>
    <t>Zubaida welfair</t>
  </si>
  <si>
    <t>Gorme</t>
  </si>
  <si>
    <t>Zahoore</t>
  </si>
  <si>
    <t xml:space="preserve">Link Road </t>
  </si>
  <si>
    <t xml:space="preserve">C Block </t>
  </si>
  <si>
    <t xml:space="preserve">A Block </t>
  </si>
  <si>
    <t>Naseera Abad</t>
  </si>
  <si>
    <t xml:space="preserve">Firdos </t>
  </si>
  <si>
    <t>Joher Town</t>
  </si>
  <si>
    <t>12 G Joher Town</t>
  </si>
  <si>
    <t xml:space="preserve">Fizaya </t>
  </si>
  <si>
    <t>Calevery Ground</t>
  </si>
  <si>
    <t>lake caity</t>
  </si>
  <si>
    <t>GT Road</t>
  </si>
  <si>
    <t>Singh Pura</t>
  </si>
  <si>
    <t>Shalamar Link</t>
  </si>
  <si>
    <t>Bata Pur</t>
  </si>
  <si>
    <t>Salamat Pura</t>
  </si>
  <si>
    <t>Daroghawala</t>
  </si>
  <si>
    <t>Railway Palaza</t>
  </si>
  <si>
    <t>Baghban Pura</t>
  </si>
  <si>
    <t>Manawa GT Road</t>
  </si>
  <si>
    <t>DHA</t>
  </si>
  <si>
    <t>Wapda Town</t>
  </si>
  <si>
    <t>Shama Cenema</t>
  </si>
  <si>
    <t>Sultanpura</t>
  </si>
  <si>
    <t xml:space="preserve"> Nilam Cinema</t>
  </si>
  <si>
    <t xml:space="preserve"> Lal pull</t>
  </si>
  <si>
    <t xml:space="preserve"> Jhora Pull</t>
  </si>
  <si>
    <t xml:space="preserve"> Zarar Shaheed Road</t>
  </si>
  <si>
    <t xml:space="preserve"> Sadar Kachari</t>
  </si>
  <si>
    <t xml:space="preserve"> Dharampura</t>
  </si>
  <si>
    <t xml:space="preserve"> Shadbagh</t>
  </si>
  <si>
    <t xml:space="preserve"> About Road</t>
  </si>
  <si>
    <t xml:space="preserve"> Ghalib Market</t>
  </si>
  <si>
    <t xml:space="preserve">Air Line Society </t>
  </si>
  <si>
    <t>Barkat Market</t>
  </si>
  <si>
    <t>College Road</t>
  </si>
  <si>
    <t xml:space="preserve">EME Society </t>
  </si>
  <si>
    <t>Miletry Accounts</t>
  </si>
  <si>
    <t xml:space="preserve">Moter Way </t>
  </si>
  <si>
    <t>Peco Road</t>
  </si>
  <si>
    <t>Punjab Housing Socity</t>
  </si>
  <si>
    <t>Riwand Road</t>
  </si>
  <si>
    <t>Umer Chowk</t>
  </si>
  <si>
    <t>Chung</t>
  </si>
  <si>
    <t>State Life</t>
  </si>
  <si>
    <t>LDA Avenue</t>
  </si>
  <si>
    <t>Riwand Road Adda Block</t>
  </si>
  <si>
    <t>Ghari Shahu</t>
  </si>
  <si>
    <t>Badami Bagh</t>
  </si>
  <si>
    <t>Begum Kot</t>
  </si>
  <si>
    <t>Imamia Colony</t>
  </si>
  <si>
    <t xml:space="preserve">Bilal Ganj </t>
  </si>
  <si>
    <t>Kot Abdul malik</t>
  </si>
  <si>
    <t>Krishan Nager</t>
  </si>
  <si>
    <t>Lakshman</t>
  </si>
  <si>
    <t>DHA Rehber</t>
  </si>
  <si>
    <t xml:space="preserve">Baria Town </t>
  </si>
  <si>
    <t>Bahria Orchard</t>
  </si>
  <si>
    <t>Bahria Town</t>
  </si>
  <si>
    <t>Lider Pind LHR</t>
  </si>
  <si>
    <t>Bankers Co operative</t>
  </si>
  <si>
    <t>BHATTHA CHOWK LHR</t>
  </si>
  <si>
    <t>DHA FF BLOCK LHR</t>
  </si>
  <si>
    <t>DHA H BLOCK LHR</t>
  </si>
  <si>
    <t>DHA K BLOCK LHR</t>
  </si>
  <si>
    <t>DHA XX-3 BLOCK LHR</t>
  </si>
  <si>
    <t>DHA Z BLOCK LHR</t>
  </si>
  <si>
    <t>NADRA ABAD LHR</t>
  </si>
  <si>
    <t>NISHAT COLONY LHR</t>
  </si>
  <si>
    <t>PUNJAB SOCIETY GHAZI ROAD LHR</t>
  </si>
  <si>
    <t>Lake City</t>
  </si>
  <si>
    <t xml:space="preserve">Central Park </t>
  </si>
  <si>
    <t>Ghazi Road</t>
  </si>
  <si>
    <t xml:space="preserve">Ferozpur Road </t>
  </si>
  <si>
    <t>Ismail Nager Lahore</t>
  </si>
  <si>
    <t xml:space="preserve">Kahna </t>
  </si>
  <si>
    <t xml:space="preserve">Muslim Town </t>
  </si>
  <si>
    <t xml:space="preserve">Muslim Town Ayubia </t>
  </si>
  <si>
    <t xml:space="preserve">Pak Arab Society </t>
  </si>
  <si>
    <t xml:space="preserve">Walton Road </t>
  </si>
  <si>
    <t>Youhaba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</si>
</sst>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Tahoma"/>
      <family val="2"/>
    </font>
    <font>
      <sz val="9"/>
      <color rgb="FF000000"/>
      <name val="Tahoma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FFFFFF"/>
      <name val="Tahoma"/>
      <family val="2"/>
    </font>
    <font>
      <sz val="9"/>
      <color rgb="FF000000"/>
      <name val="Tahom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name val="Tahoma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9197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center" wrapText="1" shrinkToFit="1" readingOrder="1"/>
    </xf>
    <xf numFmtId="0" fontId="0" fillId="0" borderId="0" xfId="0" applyAlignment="1">
      <alignment horizontal="center"/>
    </xf>
    <xf numFmtId="49" fontId="1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2" xfId="0" applyBorder="1" applyAlignment="1">
      <alignment horizontal="center"/>
    </xf>
    <xf numFmtId="49" fontId="2" fillId="4" borderId="2" xfId="0" applyNumberFormat="1" applyFont="1" applyFill="1" applyBorder="1" applyAlignment="1">
      <alignment horizontal="left" vertical="center" wrapText="1" shrinkToFit="1" readingOrder="1"/>
    </xf>
    <xf numFmtId="49" fontId="6" fillId="2" borderId="2" xfId="0" applyNumberFormat="1" applyFont="1" applyFill="1" applyBorder="1" applyAlignment="1">
      <alignment horizontal="center" vertical="center" wrapText="1" shrinkToFit="1" readingOrder="1"/>
    </xf>
    <xf numFmtId="49" fontId="1" fillId="2" borderId="2" xfId="0" applyNumberFormat="1" applyFont="1" applyFill="1" applyBorder="1" applyAlignment="1">
      <alignment vertical="center" wrapText="1" shrinkToFit="1" readingOrder="1"/>
    </xf>
    <xf numFmtId="0" fontId="0" fillId="4" borderId="2" xfId="0" applyFill="1" applyBorder="1" applyAlignment="1">
      <alignment horizontal="center"/>
    </xf>
    <xf numFmtId="49" fontId="2" fillId="4" borderId="2" xfId="0" applyNumberFormat="1" applyFont="1" applyFill="1" applyBorder="1" applyAlignment="1">
      <alignment vertical="center" wrapText="1" shrinkToFit="1" readingOrder="1"/>
    </xf>
    <xf numFmtId="0" fontId="2" fillId="4" borderId="2" xfId="0" applyFont="1" applyFill="1" applyBorder="1" applyAlignment="1">
      <alignment vertical="center" wrapText="1" shrinkToFit="1" readingOrder="1"/>
    </xf>
    <xf numFmtId="0" fontId="2" fillId="4" borderId="2" xfId="0" applyFont="1" applyFill="1" applyBorder="1" applyAlignment="1">
      <alignment horizontal="center" vertical="center" wrapText="1" shrinkToFit="1" readingOrder="1"/>
    </xf>
    <xf numFmtId="49" fontId="7" fillId="4" borderId="2" xfId="0" applyNumberFormat="1" applyFont="1" applyFill="1" applyBorder="1" applyAlignment="1">
      <alignment vertical="center" wrapText="1" shrinkToFit="1" readingOrder="1"/>
    </xf>
    <xf numFmtId="49" fontId="7" fillId="4" borderId="2" xfId="0" applyNumberFormat="1" applyFont="1" applyFill="1" applyBorder="1" applyAlignment="1">
      <alignment horizontal="center" vertical="center" wrapText="1" shrinkToFit="1" readingOrder="1"/>
    </xf>
    <xf numFmtId="49" fontId="1" fillId="2" borderId="2" xfId="0" applyNumberFormat="1" applyFont="1" applyFill="1" applyBorder="1" applyAlignment="1">
      <alignment horizontal="left" vertical="center" wrapText="1" shrinkToFit="1" readingOrder="1"/>
    </xf>
    <xf numFmtId="0" fontId="2" fillId="4" borderId="2" xfId="0" applyFont="1" applyFill="1" applyBorder="1" applyAlignment="1">
      <alignment horizontal="left" vertical="center" wrapText="1" shrinkToFit="1" readingOrder="1"/>
    </xf>
    <xf numFmtId="49" fontId="7" fillId="4" borderId="2" xfId="0" applyNumberFormat="1" applyFont="1" applyFill="1" applyBorder="1" applyAlignment="1">
      <alignment horizontal="left" vertical="center" wrapText="1" shrinkToFit="1" readingOrder="1"/>
    </xf>
    <xf numFmtId="0" fontId="5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left" vertical="center" wrapText="1" shrinkToFit="1" readingOrder="1"/>
    </xf>
    <xf numFmtId="0" fontId="0" fillId="0" borderId="0" xfId="0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8" borderId="2" xfId="0" applyFill="1" applyBorder="1"/>
    <xf numFmtId="0" fontId="7" fillId="4" borderId="2" xfId="0" applyFont="1" applyFill="1" applyBorder="1" applyAlignment="1">
      <alignment vertical="center" wrapText="1" shrinkToFit="1" readingOrder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49" fontId="1" fillId="2" borderId="9" xfId="0" applyNumberFormat="1" applyFont="1" applyFill="1" applyBorder="1" applyAlignment="1">
      <alignment horizontal="center" vertical="center" wrapText="1" shrinkToFit="1" readingOrder="1"/>
    </xf>
    <xf numFmtId="0" fontId="0" fillId="0" borderId="2" xfId="0" applyBorder="1"/>
    <xf numFmtId="49" fontId="1" fillId="2" borderId="10" xfId="0" applyNumberFormat="1" applyFont="1" applyFill="1" applyBorder="1" applyAlignment="1">
      <alignment horizontal="center" vertical="center" wrapText="1" shrinkToFit="1" readingOrder="1"/>
    </xf>
    <xf numFmtId="49" fontId="11" fillId="4" borderId="2" xfId="0" applyNumberFormat="1" applyFont="1" applyFill="1" applyBorder="1" applyAlignment="1">
      <alignment horizontal="left" vertical="center" wrapText="1" shrinkToFit="1" readingOrder="1"/>
    </xf>
    <xf numFmtId="0" fontId="10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left" vertical="center" wrapText="1" shrinkToFit="1" readingOrder="1"/>
    </xf>
    <xf numFmtId="0" fontId="10" fillId="4" borderId="2" xfId="0" applyFont="1" applyFill="1" applyBorder="1"/>
    <xf numFmtId="0" fontId="12" fillId="4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2" xfId="0" applyFont="1" applyBorder="1"/>
    <xf numFmtId="0" fontId="4" fillId="3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2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9" Type="http://schemas.openxmlformats.org/officeDocument/2006/relationships/theme" Target="theme/theme1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42" Type="http://schemas.openxmlformats.org/officeDocument/2006/relationships/calcChain" Target="calcChain.xml"/><Relationship Id="rId7" Type="http://schemas.openxmlformats.org/officeDocument/2006/relationships/worksheet" Target="worksheets/sheet6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worksheet" Target="worksheets/sheet36.xml"/><Relationship Id="rId40" Type="http://schemas.openxmlformats.org/officeDocument/2006/relationships/styles" Target="styles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worksheet" Target="worksheets/sheet35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worksheet" Target="worksheets/sheet34.xml"/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worksheet" Target="worksheets/sheet3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705760"/>
        <c:axId val="636533312"/>
      </c:barChart>
      <c:catAx>
        <c:axId val="635705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33312"/>
        <c:crosses val="autoZero"/>
        <c:auto val="1"/>
        <c:lblAlgn val="ctr"/>
        <c:lblOffset val="100"/>
        <c:noMultiLvlLbl val="0"/>
      </c:catAx>
      <c:valAx>
        <c:axId val="6365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0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B50949-A91B-4F60-B77D-8D1AD88C6724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E3530-AC63-B646-FA64-922E0665A8E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J602"/>
  <sheetViews>
    <sheetView showGridLines="0" workbookViewId="0">
      <selection sqref="A1:G1"/>
    </sheetView>
  </sheetViews>
  <sheetFormatPr defaultRowHeight="14.5" x14ac:dyDescent="0.35"/>
  <cols>
    <col min="2" max="2" width="9.54296875" customWidth="1"/>
    <col min="3" max="3" width="29" customWidth="1"/>
    <col min="4" max="4" width="51.7265625" bestFit="1" customWidth="1"/>
    <col min="5" max="5" width="9.7265625" customWidth="1"/>
    <col min="6" max="6" width="9.54296875" customWidth="1"/>
    <col min="7" max="7" width="11.453125" customWidth="1"/>
    <col min="8" max="8" width="9.7265625" customWidth="1"/>
    <col min="9" max="9" width="7.81640625" customWidth="1"/>
    <col min="10" max="10" width="9.7265625" customWidth="1"/>
  </cols>
  <sheetData>
    <row r="1" spans="2:10" ht="36" customHeight="1" x14ac:dyDescent="0.35">
      <c r="B1" s="1" t="s">
        <v>1151</v>
      </c>
      <c r="C1" s="1" t="s">
        <v>0</v>
      </c>
      <c r="D1" s="1" t="s">
        <v>588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2:10" ht="14.25" customHeight="1" x14ac:dyDescent="0.35">
      <c r="B2" s="2" t="s">
        <v>1152</v>
      </c>
      <c r="C2" s="2" t="s">
        <v>7</v>
      </c>
      <c r="D2" s="4" t="s">
        <v>589</v>
      </c>
      <c r="E2" s="3"/>
      <c r="F2" s="3" t="s">
        <v>8</v>
      </c>
      <c r="G2" s="3"/>
      <c r="H2" s="3"/>
      <c r="I2" s="3" t="s">
        <v>8</v>
      </c>
      <c r="J2" s="3"/>
    </row>
    <row r="3" spans="2:10" ht="14.25" customHeight="1" x14ac:dyDescent="0.35">
      <c r="B3" s="2" t="s">
        <v>1152</v>
      </c>
      <c r="C3" s="2" t="s">
        <v>9</v>
      </c>
      <c r="D3" s="4" t="s">
        <v>590</v>
      </c>
      <c r="E3" s="3"/>
      <c r="F3" s="3" t="s">
        <v>8</v>
      </c>
      <c r="G3" s="3"/>
      <c r="H3" s="3"/>
      <c r="I3" s="3" t="s">
        <v>8</v>
      </c>
      <c r="J3" s="3"/>
    </row>
    <row r="4" spans="2:10" ht="15" customHeight="1" x14ac:dyDescent="0.35">
      <c r="B4" s="2" t="s">
        <v>1152</v>
      </c>
      <c r="C4" s="2" t="s">
        <v>10</v>
      </c>
      <c r="D4" s="4" t="s">
        <v>591</v>
      </c>
      <c r="E4" s="3"/>
      <c r="F4" s="3"/>
      <c r="G4" s="3" t="s">
        <v>8</v>
      </c>
      <c r="H4" s="3"/>
      <c r="I4" s="3"/>
      <c r="J4" s="3" t="s">
        <v>8</v>
      </c>
    </row>
    <row r="5" spans="2:10" ht="14.25" customHeight="1" x14ac:dyDescent="0.35">
      <c r="B5" s="2" t="s">
        <v>1152</v>
      </c>
      <c r="C5" s="2" t="s">
        <v>11</v>
      </c>
      <c r="D5" s="4" t="s">
        <v>592</v>
      </c>
      <c r="E5" s="3"/>
      <c r="F5" s="3"/>
      <c r="G5" s="3" t="s">
        <v>8</v>
      </c>
      <c r="H5" s="3"/>
      <c r="I5" s="3"/>
      <c r="J5" s="3" t="s">
        <v>8</v>
      </c>
    </row>
    <row r="6" spans="2:10" ht="14.25" customHeight="1" x14ac:dyDescent="0.35">
      <c r="B6" s="2" t="s">
        <v>1152</v>
      </c>
      <c r="C6" s="2" t="s">
        <v>12</v>
      </c>
      <c r="D6" s="4" t="s">
        <v>593</v>
      </c>
      <c r="E6" s="3" t="s">
        <v>8</v>
      </c>
      <c r="F6" s="3"/>
      <c r="G6" s="3"/>
      <c r="H6" s="3" t="s">
        <v>8</v>
      </c>
      <c r="I6" s="3"/>
      <c r="J6" s="3"/>
    </row>
    <row r="7" spans="2:10" ht="14.25" customHeight="1" x14ac:dyDescent="0.35">
      <c r="B7" s="2" t="s">
        <v>1152</v>
      </c>
      <c r="C7" s="2" t="s">
        <v>13</v>
      </c>
      <c r="D7" s="4" t="s">
        <v>594</v>
      </c>
      <c r="E7" s="3"/>
      <c r="F7" s="3" t="s">
        <v>8</v>
      </c>
      <c r="G7" s="3"/>
      <c r="H7" s="3"/>
      <c r="I7" s="3" t="s">
        <v>8</v>
      </c>
      <c r="J7" s="3"/>
    </row>
    <row r="8" spans="2:10" ht="14.25" customHeight="1" x14ac:dyDescent="0.35">
      <c r="B8" s="2" t="s">
        <v>1152</v>
      </c>
      <c r="C8" s="2" t="s">
        <v>14</v>
      </c>
      <c r="D8" s="4" t="s">
        <v>595</v>
      </c>
      <c r="E8" s="3" t="s">
        <v>8</v>
      </c>
      <c r="F8" s="3"/>
      <c r="G8" s="3"/>
      <c r="H8" s="3" t="s">
        <v>8</v>
      </c>
      <c r="I8" s="3"/>
      <c r="J8" s="3"/>
    </row>
    <row r="9" spans="2:10" ht="15" customHeight="1" x14ac:dyDescent="0.35">
      <c r="B9" s="2" t="s">
        <v>1152</v>
      </c>
      <c r="C9" s="2" t="s">
        <v>15</v>
      </c>
      <c r="D9" s="4" t="s">
        <v>596</v>
      </c>
      <c r="E9" s="3"/>
      <c r="F9" s="3" t="s">
        <v>8</v>
      </c>
      <c r="G9" s="3"/>
      <c r="H9" s="3"/>
      <c r="I9" s="3" t="s">
        <v>8</v>
      </c>
      <c r="J9" s="3"/>
    </row>
    <row r="10" spans="2:10" ht="14.25" customHeight="1" x14ac:dyDescent="0.35">
      <c r="B10" s="2" t="s">
        <v>1152</v>
      </c>
      <c r="C10" s="2" t="s">
        <v>16</v>
      </c>
      <c r="D10" s="4" t="s">
        <v>597</v>
      </c>
      <c r="E10" s="3"/>
      <c r="F10" s="3"/>
      <c r="G10" s="3" t="s">
        <v>8</v>
      </c>
      <c r="H10" s="3"/>
      <c r="I10" s="3"/>
      <c r="J10" s="3" t="s">
        <v>8</v>
      </c>
    </row>
    <row r="11" spans="2:10" ht="14.25" customHeight="1" x14ac:dyDescent="0.35">
      <c r="B11" s="2" t="s">
        <v>1152</v>
      </c>
      <c r="C11" s="2" t="s">
        <v>17</v>
      </c>
      <c r="D11" s="4" t="s">
        <v>598</v>
      </c>
      <c r="E11" s="3"/>
      <c r="F11" s="3"/>
      <c r="G11" s="3" t="s">
        <v>8</v>
      </c>
      <c r="H11" s="3"/>
      <c r="I11" s="3"/>
      <c r="J11" s="3" t="s">
        <v>8</v>
      </c>
    </row>
    <row r="12" spans="2:10" ht="23.25" customHeight="1" x14ac:dyDescent="0.35">
      <c r="B12" s="2" t="s">
        <v>1152</v>
      </c>
      <c r="C12" s="2" t="s">
        <v>18</v>
      </c>
      <c r="D12" s="4" t="s">
        <v>593</v>
      </c>
      <c r="E12" s="3"/>
      <c r="F12" s="3" t="s">
        <v>8</v>
      </c>
      <c r="G12" s="3"/>
      <c r="H12" s="3"/>
      <c r="I12" s="3" t="s">
        <v>8</v>
      </c>
      <c r="J12" s="3"/>
    </row>
    <row r="13" spans="2:10" ht="14.25" customHeight="1" x14ac:dyDescent="0.35">
      <c r="B13" s="2" t="s">
        <v>1152</v>
      </c>
      <c r="C13" s="2" t="s">
        <v>19</v>
      </c>
      <c r="D13" s="4" t="s">
        <v>592</v>
      </c>
      <c r="E13" s="3"/>
      <c r="F13" s="3" t="s">
        <v>8</v>
      </c>
      <c r="G13" s="3"/>
      <c r="H13" s="3"/>
      <c r="I13" s="3" t="s">
        <v>8</v>
      </c>
      <c r="J13" s="3"/>
    </row>
    <row r="14" spans="2:10" ht="14.25" customHeight="1" x14ac:dyDescent="0.35">
      <c r="B14" s="2" t="s">
        <v>1152</v>
      </c>
      <c r="C14" s="2" t="s">
        <v>20</v>
      </c>
      <c r="D14" s="4" t="s">
        <v>599</v>
      </c>
      <c r="E14" s="3" t="s">
        <v>8</v>
      </c>
      <c r="F14" s="3"/>
      <c r="G14" s="3"/>
      <c r="H14" s="3" t="s">
        <v>8</v>
      </c>
      <c r="I14" s="3"/>
      <c r="J14" s="3"/>
    </row>
    <row r="15" spans="2:10" ht="15" customHeight="1" x14ac:dyDescent="0.35">
      <c r="B15" s="2" t="s">
        <v>1152</v>
      </c>
      <c r="C15" s="2" t="s">
        <v>21</v>
      </c>
      <c r="D15" s="4" t="s">
        <v>600</v>
      </c>
      <c r="E15" s="3"/>
      <c r="F15" s="3"/>
      <c r="G15" s="3" t="s">
        <v>8</v>
      </c>
      <c r="H15" s="3"/>
      <c r="I15" s="3"/>
      <c r="J15" s="3" t="s">
        <v>8</v>
      </c>
    </row>
    <row r="16" spans="2:10" ht="14.25" customHeight="1" x14ac:dyDescent="0.35">
      <c r="B16" s="2" t="s">
        <v>1152</v>
      </c>
      <c r="C16" s="2" t="s">
        <v>22</v>
      </c>
      <c r="D16" s="4" t="s">
        <v>601</v>
      </c>
      <c r="E16" s="3"/>
      <c r="F16" s="3"/>
      <c r="G16" s="3" t="s">
        <v>8</v>
      </c>
      <c r="H16" s="3"/>
      <c r="I16" s="3"/>
      <c r="J16" s="3" t="s">
        <v>8</v>
      </c>
    </row>
    <row r="17" spans="2:10" ht="14.25" customHeight="1" x14ac:dyDescent="0.35">
      <c r="B17" s="2" t="s">
        <v>1152</v>
      </c>
      <c r="C17" s="2" t="s">
        <v>23</v>
      </c>
      <c r="D17" s="4" t="s">
        <v>602</v>
      </c>
      <c r="E17" s="3"/>
      <c r="F17" s="3" t="s">
        <v>8</v>
      </c>
      <c r="G17" s="3"/>
      <c r="H17" s="3"/>
      <c r="I17" s="3" t="s">
        <v>8</v>
      </c>
      <c r="J17" s="3"/>
    </row>
    <row r="18" spans="2:10" ht="14.25" customHeight="1" x14ac:dyDescent="0.35">
      <c r="B18" s="2" t="s">
        <v>1152</v>
      </c>
      <c r="C18" s="2" t="s">
        <v>24</v>
      </c>
      <c r="D18" s="4" t="s">
        <v>603</v>
      </c>
      <c r="E18" s="3"/>
      <c r="F18" s="3"/>
      <c r="G18" s="3" t="s">
        <v>8</v>
      </c>
      <c r="H18" s="3"/>
      <c r="I18" s="3"/>
      <c r="J18" s="3" t="s">
        <v>8</v>
      </c>
    </row>
    <row r="19" spans="2:10" ht="23.25" customHeight="1" x14ac:dyDescent="0.35">
      <c r="B19" s="2" t="s">
        <v>1152</v>
      </c>
      <c r="C19" s="2" t="s">
        <v>25</v>
      </c>
      <c r="D19" s="4" t="s">
        <v>604</v>
      </c>
      <c r="E19" s="3"/>
      <c r="F19" s="3" t="s">
        <v>8</v>
      </c>
      <c r="G19" s="3"/>
      <c r="H19" s="3"/>
      <c r="I19" s="3" t="s">
        <v>8</v>
      </c>
      <c r="J19" s="3"/>
    </row>
    <row r="20" spans="2:10" ht="14.25" customHeight="1" x14ac:dyDescent="0.35">
      <c r="B20" s="2" t="s">
        <v>1152</v>
      </c>
      <c r="C20" s="2" t="s">
        <v>26</v>
      </c>
      <c r="D20" s="4" t="s">
        <v>605</v>
      </c>
      <c r="E20" s="3" t="s">
        <v>8</v>
      </c>
      <c r="F20" s="3"/>
      <c r="G20" s="3"/>
      <c r="H20" s="3" t="s">
        <v>8</v>
      </c>
      <c r="I20" s="3"/>
      <c r="J20" s="3"/>
    </row>
    <row r="21" spans="2:10" ht="15" customHeight="1" x14ac:dyDescent="0.35">
      <c r="B21" s="2" t="s">
        <v>1152</v>
      </c>
      <c r="C21" s="2" t="s">
        <v>27</v>
      </c>
      <c r="D21" s="4" t="s">
        <v>606</v>
      </c>
      <c r="E21" s="3"/>
      <c r="F21" s="3" t="s">
        <v>8</v>
      </c>
      <c r="G21" s="3"/>
      <c r="H21" s="3"/>
      <c r="I21" s="3" t="s">
        <v>8</v>
      </c>
      <c r="J21" s="3"/>
    </row>
    <row r="22" spans="2:10" ht="14.25" customHeight="1" x14ac:dyDescent="0.35">
      <c r="B22" s="2" t="s">
        <v>1152</v>
      </c>
      <c r="C22" s="2" t="s">
        <v>28</v>
      </c>
      <c r="D22" s="4" t="s">
        <v>593</v>
      </c>
      <c r="E22" s="3"/>
      <c r="F22" s="3" t="s">
        <v>8</v>
      </c>
      <c r="G22" s="3"/>
      <c r="H22" s="3"/>
      <c r="I22" s="3" t="s">
        <v>8</v>
      </c>
      <c r="J22" s="3"/>
    </row>
    <row r="23" spans="2:10" ht="14.25" customHeight="1" x14ac:dyDescent="0.35">
      <c r="B23" s="2" t="s">
        <v>1152</v>
      </c>
      <c r="C23" s="2" t="s">
        <v>29</v>
      </c>
      <c r="D23" s="4" t="s">
        <v>607</v>
      </c>
      <c r="E23" s="3" t="s">
        <v>8</v>
      </c>
      <c r="F23" s="3"/>
      <c r="G23" s="3"/>
      <c r="H23" s="3" t="s">
        <v>8</v>
      </c>
      <c r="I23" s="3"/>
      <c r="J23" s="3"/>
    </row>
    <row r="24" spans="2:10" ht="14.25" customHeight="1" x14ac:dyDescent="0.35">
      <c r="B24" s="2" t="s">
        <v>1152</v>
      </c>
      <c r="C24" s="2" t="s">
        <v>30</v>
      </c>
      <c r="D24" s="4" t="s">
        <v>608</v>
      </c>
      <c r="E24" s="3" t="s">
        <v>8</v>
      </c>
      <c r="F24" s="3"/>
      <c r="G24" s="3"/>
      <c r="H24" s="3" t="s">
        <v>8</v>
      </c>
      <c r="I24" s="3"/>
      <c r="J24" s="3"/>
    </row>
    <row r="25" spans="2:10" ht="14.25" customHeight="1" x14ac:dyDescent="0.35">
      <c r="B25" s="2" t="s">
        <v>1152</v>
      </c>
      <c r="C25" s="2" t="s">
        <v>31</v>
      </c>
      <c r="D25" s="4" t="s">
        <v>609</v>
      </c>
      <c r="E25" s="3"/>
      <c r="F25" s="3"/>
      <c r="G25" s="3" t="s">
        <v>8</v>
      </c>
      <c r="H25" s="3"/>
      <c r="I25" s="3"/>
      <c r="J25" s="3" t="s">
        <v>8</v>
      </c>
    </row>
    <row r="26" spans="2:10" ht="15" customHeight="1" x14ac:dyDescent="0.35">
      <c r="B26" s="2" t="s">
        <v>1152</v>
      </c>
      <c r="C26" s="2" t="s">
        <v>32</v>
      </c>
      <c r="D26" s="4" t="s">
        <v>610</v>
      </c>
      <c r="E26" s="3" t="s">
        <v>8</v>
      </c>
      <c r="F26" s="3"/>
      <c r="G26" s="3"/>
      <c r="H26" s="3" t="s">
        <v>8</v>
      </c>
      <c r="I26" s="3"/>
      <c r="J26" s="3"/>
    </row>
    <row r="27" spans="2:10" ht="22.5" customHeight="1" x14ac:dyDescent="0.35">
      <c r="B27" s="2" t="s">
        <v>1152</v>
      </c>
      <c r="C27" s="2" t="s">
        <v>33</v>
      </c>
      <c r="D27" s="4" t="s">
        <v>611</v>
      </c>
      <c r="E27" s="3" t="s">
        <v>8</v>
      </c>
      <c r="F27" s="3"/>
      <c r="G27" s="3"/>
      <c r="H27" s="3" t="s">
        <v>8</v>
      </c>
      <c r="I27" s="3"/>
      <c r="J27" s="3"/>
    </row>
    <row r="28" spans="2:10" ht="23.25" customHeight="1" x14ac:dyDescent="0.35">
      <c r="B28" s="2" t="s">
        <v>1152</v>
      </c>
      <c r="C28" s="2" t="s">
        <v>34</v>
      </c>
      <c r="D28" s="4" t="s">
        <v>612</v>
      </c>
      <c r="E28" s="3"/>
      <c r="F28" s="3" t="s">
        <v>8</v>
      </c>
      <c r="G28" s="3"/>
      <c r="H28" s="3"/>
      <c r="I28" s="3"/>
      <c r="J28" s="3"/>
    </row>
    <row r="29" spans="2:10" ht="15" customHeight="1" x14ac:dyDescent="0.35">
      <c r="B29" s="2" t="s">
        <v>1152</v>
      </c>
      <c r="C29" s="2" t="s">
        <v>35</v>
      </c>
      <c r="D29" s="4" t="s">
        <v>613</v>
      </c>
      <c r="E29" s="3" t="s">
        <v>8</v>
      </c>
      <c r="F29" s="3"/>
      <c r="G29" s="3"/>
      <c r="H29" s="3" t="s">
        <v>8</v>
      </c>
      <c r="I29" s="3"/>
      <c r="J29" s="3"/>
    </row>
    <row r="30" spans="2:10" ht="23.25" customHeight="1" x14ac:dyDescent="0.35">
      <c r="B30" s="2" t="s">
        <v>1152</v>
      </c>
      <c r="C30" s="2" t="s">
        <v>36</v>
      </c>
      <c r="D30" s="4" t="s">
        <v>614</v>
      </c>
      <c r="E30" s="3"/>
      <c r="F30" s="3" t="s">
        <v>8</v>
      </c>
      <c r="G30" s="3"/>
      <c r="H30" s="3"/>
      <c r="I30" s="3" t="s">
        <v>8</v>
      </c>
      <c r="J30" s="3"/>
    </row>
    <row r="31" spans="2:10" ht="14.25" customHeight="1" x14ac:dyDescent="0.35">
      <c r="B31" s="2" t="s">
        <v>1152</v>
      </c>
      <c r="C31" s="2" t="s">
        <v>37</v>
      </c>
      <c r="D31" s="4" t="s">
        <v>615</v>
      </c>
      <c r="E31" s="3" t="s">
        <v>8</v>
      </c>
      <c r="F31" s="3"/>
      <c r="G31" s="3"/>
      <c r="H31" s="3" t="s">
        <v>8</v>
      </c>
      <c r="I31" s="3"/>
      <c r="J31" s="3"/>
    </row>
    <row r="32" spans="2:10" ht="14.25" customHeight="1" x14ac:dyDescent="0.35">
      <c r="B32" s="2" t="s">
        <v>1152</v>
      </c>
      <c r="C32" s="2" t="s">
        <v>38</v>
      </c>
      <c r="D32" s="4" t="s">
        <v>616</v>
      </c>
      <c r="E32" s="3"/>
      <c r="F32" s="3"/>
      <c r="G32" s="3" t="s">
        <v>8</v>
      </c>
      <c r="H32" s="3"/>
      <c r="I32" s="3"/>
      <c r="J32" s="3" t="s">
        <v>8</v>
      </c>
    </row>
    <row r="33" spans="2:10" ht="14.25" customHeight="1" x14ac:dyDescent="0.35">
      <c r="B33" s="2" t="s">
        <v>1152</v>
      </c>
      <c r="C33" s="2" t="s">
        <v>39</v>
      </c>
      <c r="D33" s="4" t="s">
        <v>617</v>
      </c>
      <c r="E33" s="3"/>
      <c r="F33" s="3" t="s">
        <v>8</v>
      </c>
      <c r="G33" s="3"/>
      <c r="H33" s="3"/>
      <c r="I33" s="3"/>
      <c r="J33" s="3"/>
    </row>
    <row r="34" spans="2:10" ht="14.25" customHeight="1" x14ac:dyDescent="0.35">
      <c r="B34" s="2" t="s">
        <v>1152</v>
      </c>
      <c r="C34" s="2" t="s">
        <v>40</v>
      </c>
      <c r="D34" s="4" t="s">
        <v>618</v>
      </c>
      <c r="E34" s="3"/>
      <c r="F34" s="3" t="s">
        <v>8</v>
      </c>
      <c r="G34" s="3"/>
      <c r="H34" s="3"/>
      <c r="I34" s="3" t="s">
        <v>8</v>
      </c>
      <c r="J34" s="3"/>
    </row>
    <row r="35" spans="2:10" ht="15" customHeight="1" x14ac:dyDescent="0.35">
      <c r="B35" s="2" t="s">
        <v>1152</v>
      </c>
      <c r="C35" s="2" t="s">
        <v>13</v>
      </c>
      <c r="D35" s="4" t="s">
        <v>594</v>
      </c>
      <c r="E35" s="3"/>
      <c r="F35" s="3"/>
      <c r="G35" s="3" t="s">
        <v>8</v>
      </c>
      <c r="H35" s="3"/>
      <c r="I35" s="3"/>
      <c r="J35" s="3"/>
    </row>
    <row r="36" spans="2:10" ht="14.25" customHeight="1" x14ac:dyDescent="0.35">
      <c r="B36" s="2" t="s">
        <v>1152</v>
      </c>
      <c r="C36" s="2" t="s">
        <v>41</v>
      </c>
      <c r="D36" s="4" t="s">
        <v>619</v>
      </c>
      <c r="E36" s="3"/>
      <c r="F36" s="3"/>
      <c r="G36" s="3" t="s">
        <v>8</v>
      </c>
      <c r="H36" s="3"/>
      <c r="I36" s="3"/>
      <c r="J36" s="3" t="s">
        <v>8</v>
      </c>
    </row>
    <row r="37" spans="2:10" ht="23.25" customHeight="1" x14ac:dyDescent="0.35">
      <c r="B37" s="2" t="s">
        <v>1152</v>
      </c>
      <c r="C37" s="2" t="s">
        <v>18</v>
      </c>
      <c r="D37" s="4" t="s">
        <v>620</v>
      </c>
      <c r="E37" s="3"/>
      <c r="F37" s="3" t="s">
        <v>8</v>
      </c>
      <c r="G37" s="3"/>
      <c r="H37" s="3"/>
      <c r="I37" s="3" t="s">
        <v>8</v>
      </c>
      <c r="J37" s="3"/>
    </row>
    <row r="38" spans="2:10" ht="23.25" customHeight="1" x14ac:dyDescent="0.35">
      <c r="B38" s="2" t="s">
        <v>1152</v>
      </c>
      <c r="C38" s="2" t="s">
        <v>18</v>
      </c>
      <c r="D38" s="4" t="s">
        <v>621</v>
      </c>
      <c r="E38" s="3"/>
      <c r="F38" s="3"/>
      <c r="G38" s="3" t="s">
        <v>8</v>
      </c>
      <c r="H38" s="3"/>
      <c r="I38" s="3"/>
      <c r="J38" s="3" t="s">
        <v>8</v>
      </c>
    </row>
    <row r="39" spans="2:10" ht="23.25" customHeight="1" x14ac:dyDescent="0.35">
      <c r="B39" s="2" t="s">
        <v>1152</v>
      </c>
      <c r="C39" s="2" t="s">
        <v>18</v>
      </c>
      <c r="D39" s="4" t="s">
        <v>622</v>
      </c>
      <c r="E39" s="3"/>
      <c r="F39" s="3"/>
      <c r="G39" s="3" t="s">
        <v>8</v>
      </c>
      <c r="H39" s="3"/>
      <c r="I39" s="3"/>
      <c r="J39" s="3" t="s">
        <v>8</v>
      </c>
    </row>
    <row r="40" spans="2:10" ht="14.25" customHeight="1" x14ac:dyDescent="0.35">
      <c r="B40" s="2" t="s">
        <v>1152</v>
      </c>
      <c r="C40" s="2" t="s">
        <v>42</v>
      </c>
      <c r="D40" s="4" t="s">
        <v>623</v>
      </c>
      <c r="E40" s="3"/>
      <c r="F40" s="3"/>
      <c r="G40" s="3" t="s">
        <v>8</v>
      </c>
      <c r="H40" s="3"/>
      <c r="I40" s="3"/>
      <c r="J40" s="3" t="s">
        <v>8</v>
      </c>
    </row>
    <row r="41" spans="2:10" ht="14.25" customHeight="1" x14ac:dyDescent="0.35">
      <c r="B41" s="2" t="s">
        <v>1152</v>
      </c>
      <c r="C41" s="2" t="s">
        <v>43</v>
      </c>
      <c r="D41" s="4" t="s">
        <v>624</v>
      </c>
      <c r="E41" s="3"/>
      <c r="F41" s="3" t="s">
        <v>8</v>
      </c>
      <c r="G41" s="3"/>
      <c r="H41" s="3"/>
      <c r="I41" s="3" t="s">
        <v>8</v>
      </c>
      <c r="J41" s="3"/>
    </row>
    <row r="42" spans="2:10" ht="14.25" customHeight="1" x14ac:dyDescent="0.35">
      <c r="B42" s="2" t="s">
        <v>1152</v>
      </c>
      <c r="C42" s="2" t="s">
        <v>44</v>
      </c>
      <c r="D42" s="4" t="s">
        <v>625</v>
      </c>
      <c r="E42" s="3" t="s">
        <v>8</v>
      </c>
      <c r="F42" s="3"/>
      <c r="G42" s="3"/>
      <c r="H42" s="3" t="s">
        <v>8</v>
      </c>
      <c r="I42" s="3"/>
      <c r="J42" s="3"/>
    </row>
    <row r="43" spans="2:10" ht="15" customHeight="1" x14ac:dyDescent="0.35">
      <c r="B43" s="2" t="s">
        <v>1152</v>
      </c>
      <c r="C43" s="2" t="s">
        <v>45</v>
      </c>
      <c r="D43" s="4" t="s">
        <v>626</v>
      </c>
      <c r="E43" s="3" t="s">
        <v>8</v>
      </c>
      <c r="F43" s="3"/>
      <c r="G43" s="3"/>
      <c r="H43" s="3" t="s">
        <v>8</v>
      </c>
      <c r="I43" s="3"/>
      <c r="J43" s="3"/>
    </row>
    <row r="44" spans="2:10" ht="14.25" customHeight="1" x14ac:dyDescent="0.35">
      <c r="B44" s="2" t="s">
        <v>1152</v>
      </c>
      <c r="C44" s="2" t="s">
        <v>46</v>
      </c>
      <c r="D44" s="4" t="s">
        <v>627</v>
      </c>
      <c r="E44" s="3" t="s">
        <v>8</v>
      </c>
      <c r="F44" s="3"/>
      <c r="G44" s="3"/>
      <c r="H44" s="3" t="s">
        <v>8</v>
      </c>
      <c r="I44" s="3"/>
      <c r="J44" s="3"/>
    </row>
    <row r="45" spans="2:10" ht="14.25" customHeight="1" x14ac:dyDescent="0.35">
      <c r="B45" s="2" t="s">
        <v>1152</v>
      </c>
      <c r="C45" s="2" t="s">
        <v>47</v>
      </c>
      <c r="D45" s="4" t="s">
        <v>628</v>
      </c>
      <c r="E45" s="3" t="s">
        <v>8</v>
      </c>
      <c r="F45" s="3"/>
      <c r="G45" s="3"/>
      <c r="H45" s="3"/>
      <c r="I45" s="3"/>
      <c r="J45" s="3"/>
    </row>
    <row r="46" spans="2:10" ht="14.25" customHeight="1" x14ac:dyDescent="0.35">
      <c r="B46" s="2" t="s">
        <v>1152</v>
      </c>
      <c r="C46" s="2" t="s">
        <v>48</v>
      </c>
      <c r="D46" s="4" t="s">
        <v>629</v>
      </c>
      <c r="E46" s="3" t="s">
        <v>8</v>
      </c>
      <c r="F46" s="3"/>
      <c r="G46" s="3"/>
      <c r="H46" s="3" t="s">
        <v>8</v>
      </c>
      <c r="I46" s="3"/>
      <c r="J46" s="3"/>
    </row>
    <row r="47" spans="2:10" ht="23.25" customHeight="1" x14ac:dyDescent="0.35">
      <c r="B47" s="2" t="s">
        <v>1152</v>
      </c>
      <c r="C47" s="2" t="s">
        <v>49</v>
      </c>
      <c r="D47" s="4" t="s">
        <v>630</v>
      </c>
      <c r="E47" s="3"/>
      <c r="F47" s="3" t="s">
        <v>8</v>
      </c>
      <c r="G47" s="3"/>
      <c r="H47" s="3"/>
      <c r="I47" s="3" t="s">
        <v>8</v>
      </c>
      <c r="J47" s="3"/>
    </row>
    <row r="48" spans="2:10" ht="14.25" customHeight="1" x14ac:dyDescent="0.35">
      <c r="B48" s="2" t="s">
        <v>1152</v>
      </c>
      <c r="C48" s="2" t="s">
        <v>50</v>
      </c>
      <c r="D48" s="4" t="s">
        <v>631</v>
      </c>
      <c r="E48" s="3"/>
      <c r="F48" s="3" t="s">
        <v>8</v>
      </c>
      <c r="G48" s="3"/>
      <c r="H48" s="3"/>
      <c r="I48" s="3" t="s">
        <v>8</v>
      </c>
      <c r="J48" s="3"/>
    </row>
    <row r="49" spans="2:10" ht="14.25" customHeight="1" x14ac:dyDescent="0.35">
      <c r="B49" s="2" t="s">
        <v>1152</v>
      </c>
      <c r="C49" s="2" t="s">
        <v>51</v>
      </c>
      <c r="D49" s="4" t="s">
        <v>632</v>
      </c>
      <c r="E49" s="3"/>
      <c r="F49" s="3" t="s">
        <v>8</v>
      </c>
      <c r="G49" s="3"/>
      <c r="H49" s="3"/>
      <c r="I49" s="3" t="s">
        <v>8</v>
      </c>
      <c r="J49" s="3"/>
    </row>
    <row r="50" spans="2:10" ht="15" customHeight="1" x14ac:dyDescent="0.35">
      <c r="B50" s="2" t="s">
        <v>1152</v>
      </c>
      <c r="C50" s="2" t="s">
        <v>52</v>
      </c>
      <c r="D50" s="4" t="s">
        <v>633</v>
      </c>
      <c r="E50" s="3" t="s">
        <v>8</v>
      </c>
      <c r="F50" s="3"/>
      <c r="G50" s="3"/>
      <c r="H50" s="3" t="s">
        <v>8</v>
      </c>
      <c r="I50" s="3"/>
      <c r="J50" s="3"/>
    </row>
    <row r="51" spans="2:10" ht="14.25" customHeight="1" x14ac:dyDescent="0.35">
      <c r="B51" s="2" t="s">
        <v>1152</v>
      </c>
      <c r="C51" s="2" t="s">
        <v>53</v>
      </c>
      <c r="D51" s="4" t="s">
        <v>634</v>
      </c>
      <c r="E51" s="3"/>
      <c r="F51" s="3" t="s">
        <v>8</v>
      </c>
      <c r="G51" s="3"/>
      <c r="H51" s="3"/>
      <c r="I51" s="3" t="s">
        <v>8</v>
      </c>
      <c r="J51" s="3"/>
    </row>
    <row r="52" spans="2:10" ht="14.25" customHeight="1" x14ac:dyDescent="0.35">
      <c r="B52" s="2" t="s">
        <v>1152</v>
      </c>
      <c r="C52" s="2" t="s">
        <v>54</v>
      </c>
      <c r="D52" s="4" t="s">
        <v>635</v>
      </c>
      <c r="E52" s="3" t="s">
        <v>8</v>
      </c>
      <c r="F52" s="3"/>
      <c r="G52" s="3"/>
      <c r="H52" s="3" t="s">
        <v>8</v>
      </c>
      <c r="I52" s="3"/>
      <c r="J52" s="3"/>
    </row>
    <row r="53" spans="2:10" ht="14.25" customHeight="1" x14ac:dyDescent="0.35">
      <c r="B53" s="2" t="s">
        <v>1152</v>
      </c>
      <c r="C53" s="2" t="s">
        <v>55</v>
      </c>
      <c r="D53" s="4" t="s">
        <v>636</v>
      </c>
      <c r="E53" s="3"/>
      <c r="F53" s="3"/>
      <c r="G53" s="3" t="s">
        <v>8</v>
      </c>
      <c r="H53" s="3"/>
      <c r="I53" s="3"/>
      <c r="J53" s="3" t="s">
        <v>8</v>
      </c>
    </row>
    <row r="54" spans="2:10" ht="23.25" customHeight="1" x14ac:dyDescent="0.35">
      <c r="B54" s="2" t="s">
        <v>1152</v>
      </c>
      <c r="C54" s="2" t="s">
        <v>56</v>
      </c>
      <c r="D54" s="4" t="s">
        <v>637</v>
      </c>
      <c r="E54" s="3"/>
      <c r="F54" s="3"/>
      <c r="G54" s="3"/>
      <c r="H54" s="3"/>
      <c r="I54" s="3"/>
      <c r="J54" s="3" t="s">
        <v>8</v>
      </c>
    </row>
    <row r="55" spans="2:10" ht="14.25" customHeight="1" x14ac:dyDescent="0.35">
      <c r="B55" s="2" t="s">
        <v>1152</v>
      </c>
      <c r="C55" s="2" t="s">
        <v>57</v>
      </c>
      <c r="D55" s="4" t="s">
        <v>638</v>
      </c>
      <c r="E55" s="3"/>
      <c r="F55" s="3"/>
      <c r="G55" s="3"/>
      <c r="H55" s="3"/>
      <c r="I55" s="3" t="s">
        <v>8</v>
      </c>
      <c r="J55" s="3"/>
    </row>
    <row r="56" spans="2:10" ht="15" customHeight="1" x14ac:dyDescent="0.35">
      <c r="B56" s="2" t="s">
        <v>1152</v>
      </c>
      <c r="C56" s="2" t="s">
        <v>58</v>
      </c>
      <c r="D56" s="4" t="s">
        <v>639</v>
      </c>
      <c r="E56" s="3"/>
      <c r="F56" s="3" t="s">
        <v>8</v>
      </c>
      <c r="G56" s="3"/>
      <c r="H56" s="3"/>
      <c r="I56" s="3" t="s">
        <v>8</v>
      </c>
      <c r="J56" s="3"/>
    </row>
    <row r="57" spans="2:10" ht="14.25" customHeight="1" x14ac:dyDescent="0.35">
      <c r="B57" s="2" t="s">
        <v>1152</v>
      </c>
      <c r="C57" s="2" t="s">
        <v>59</v>
      </c>
      <c r="D57" s="4" t="s">
        <v>640</v>
      </c>
      <c r="E57" s="3" t="s">
        <v>8</v>
      </c>
      <c r="F57" s="3"/>
      <c r="G57" s="3"/>
      <c r="H57" s="3" t="s">
        <v>8</v>
      </c>
      <c r="I57" s="3"/>
      <c r="J57" s="3"/>
    </row>
    <row r="58" spans="2:10" ht="14.25" customHeight="1" x14ac:dyDescent="0.35">
      <c r="B58" s="2" t="s">
        <v>1152</v>
      </c>
      <c r="C58" s="2" t="s">
        <v>60</v>
      </c>
      <c r="D58" s="4" t="s">
        <v>641</v>
      </c>
      <c r="E58" s="3"/>
      <c r="F58" s="3" t="s">
        <v>8</v>
      </c>
      <c r="G58" s="3"/>
      <c r="H58" s="3"/>
      <c r="I58" s="3" t="s">
        <v>8</v>
      </c>
      <c r="J58" s="3"/>
    </row>
    <row r="59" spans="2:10" ht="14.25" customHeight="1" x14ac:dyDescent="0.35">
      <c r="B59" s="2" t="s">
        <v>1152</v>
      </c>
      <c r="C59" s="2" t="s">
        <v>61</v>
      </c>
      <c r="D59" s="4" t="s">
        <v>642</v>
      </c>
      <c r="E59" s="3"/>
      <c r="F59" s="3"/>
      <c r="G59" s="3" t="s">
        <v>8</v>
      </c>
      <c r="H59" s="3"/>
      <c r="I59" s="3"/>
      <c r="J59" s="3" t="s">
        <v>8</v>
      </c>
    </row>
    <row r="60" spans="2:10" ht="14.25" customHeight="1" x14ac:dyDescent="0.35">
      <c r="B60" s="2" t="s">
        <v>1152</v>
      </c>
      <c r="C60" s="2" t="s">
        <v>62</v>
      </c>
      <c r="D60" s="4" t="s">
        <v>643</v>
      </c>
      <c r="E60" s="3" t="s">
        <v>8</v>
      </c>
      <c r="F60" s="3"/>
      <c r="G60" s="3"/>
      <c r="H60" s="3" t="s">
        <v>8</v>
      </c>
      <c r="I60" s="3"/>
      <c r="J60" s="3"/>
    </row>
    <row r="61" spans="2:10" ht="15" customHeight="1" x14ac:dyDescent="0.35">
      <c r="B61" s="2" t="s">
        <v>1152</v>
      </c>
      <c r="C61" s="2" t="s">
        <v>63</v>
      </c>
      <c r="D61" s="4" t="s">
        <v>644</v>
      </c>
      <c r="E61" s="3"/>
      <c r="F61" s="3"/>
      <c r="G61" s="3" t="s">
        <v>8</v>
      </c>
      <c r="H61" s="3"/>
      <c r="I61" s="3"/>
      <c r="J61" s="3" t="s">
        <v>8</v>
      </c>
    </row>
    <row r="62" spans="2:10" ht="23.25" customHeight="1" x14ac:dyDescent="0.35">
      <c r="B62" s="2" t="s">
        <v>1152</v>
      </c>
      <c r="C62" s="2" t="s">
        <v>64</v>
      </c>
      <c r="D62" s="4" t="s">
        <v>645</v>
      </c>
      <c r="E62" s="3" t="s">
        <v>8</v>
      </c>
      <c r="F62" s="3"/>
      <c r="G62" s="3"/>
      <c r="H62" s="3" t="s">
        <v>8</v>
      </c>
      <c r="I62" s="3"/>
      <c r="J62" s="3"/>
    </row>
    <row r="63" spans="2:10" ht="14.25" customHeight="1" x14ac:dyDescent="0.35">
      <c r="B63" s="2" t="s">
        <v>1152</v>
      </c>
      <c r="C63" s="2" t="s">
        <v>65</v>
      </c>
      <c r="D63" s="4" t="s">
        <v>646</v>
      </c>
      <c r="E63" s="3"/>
      <c r="F63" s="3" t="s">
        <v>8</v>
      </c>
      <c r="G63" s="3"/>
      <c r="H63" s="3"/>
      <c r="I63" s="3" t="s">
        <v>8</v>
      </c>
      <c r="J63" s="3"/>
    </row>
    <row r="64" spans="2:10" ht="14.25" customHeight="1" x14ac:dyDescent="0.35">
      <c r="B64" s="2" t="s">
        <v>1152</v>
      </c>
      <c r="C64" s="2" t="s">
        <v>66</v>
      </c>
      <c r="D64" s="4" t="s">
        <v>647</v>
      </c>
      <c r="E64" s="3" t="s">
        <v>8</v>
      </c>
      <c r="F64" s="3"/>
      <c r="G64" s="3"/>
      <c r="H64" s="3" t="s">
        <v>8</v>
      </c>
      <c r="I64" s="3"/>
      <c r="J64" s="3"/>
    </row>
    <row r="65" spans="2:10" ht="14.25" customHeight="1" x14ac:dyDescent="0.35">
      <c r="B65" s="2" t="s">
        <v>1152</v>
      </c>
      <c r="C65" s="2" t="s">
        <v>67</v>
      </c>
      <c r="D65" s="4" t="s">
        <v>648</v>
      </c>
      <c r="E65" s="3"/>
      <c r="F65" s="3"/>
      <c r="G65" s="3" t="s">
        <v>8</v>
      </c>
      <c r="H65" s="3"/>
      <c r="I65" s="3"/>
      <c r="J65" s="3" t="s">
        <v>8</v>
      </c>
    </row>
    <row r="66" spans="2:10" ht="14.25" customHeight="1" x14ac:dyDescent="0.35">
      <c r="B66" s="2" t="s">
        <v>1152</v>
      </c>
      <c r="C66" s="2" t="s">
        <v>68</v>
      </c>
      <c r="D66" s="4" t="s">
        <v>649</v>
      </c>
      <c r="E66" s="3"/>
      <c r="F66" s="3"/>
      <c r="G66" s="3" t="s">
        <v>8</v>
      </c>
      <c r="H66" s="3"/>
      <c r="I66" s="3"/>
      <c r="J66" s="3" t="s">
        <v>8</v>
      </c>
    </row>
    <row r="67" spans="2:10" ht="14.25" customHeight="1" x14ac:dyDescent="0.35">
      <c r="B67" s="2" t="s">
        <v>1152</v>
      </c>
      <c r="C67" s="2" t="s">
        <v>69</v>
      </c>
      <c r="D67" s="4" t="s">
        <v>650</v>
      </c>
      <c r="E67" s="3" t="s">
        <v>8</v>
      </c>
      <c r="F67" s="3"/>
      <c r="G67" s="3"/>
      <c r="H67" s="3" t="s">
        <v>8</v>
      </c>
      <c r="I67" s="3"/>
      <c r="J67" s="3"/>
    </row>
    <row r="68" spans="2:10" ht="14.25" customHeight="1" x14ac:dyDescent="0.35">
      <c r="B68" s="2" t="s">
        <v>1152</v>
      </c>
      <c r="C68" s="2" t="s">
        <v>70</v>
      </c>
      <c r="D68" s="4" t="s">
        <v>651</v>
      </c>
      <c r="E68" s="3"/>
      <c r="F68" s="3" t="s">
        <v>8</v>
      </c>
      <c r="G68" s="3"/>
      <c r="H68" s="3"/>
      <c r="I68" s="3" t="s">
        <v>8</v>
      </c>
      <c r="J68" s="3"/>
    </row>
    <row r="69" spans="2:10" ht="14.25" customHeight="1" x14ac:dyDescent="0.35">
      <c r="B69" s="2" t="s">
        <v>1152</v>
      </c>
      <c r="C69" s="2" t="s">
        <v>71</v>
      </c>
      <c r="D69" s="4" t="s">
        <v>652</v>
      </c>
      <c r="E69" s="3"/>
      <c r="F69" s="3"/>
      <c r="G69" s="3" t="s">
        <v>8</v>
      </c>
      <c r="H69" s="3"/>
      <c r="I69" s="3"/>
      <c r="J69" s="3" t="s">
        <v>8</v>
      </c>
    </row>
    <row r="70" spans="2:10" ht="23.25" customHeight="1" x14ac:dyDescent="0.35">
      <c r="B70" s="2" t="s">
        <v>1152</v>
      </c>
      <c r="C70" s="2" t="s">
        <v>72</v>
      </c>
      <c r="D70" s="4" t="s">
        <v>653</v>
      </c>
      <c r="E70" s="3" t="s">
        <v>8</v>
      </c>
      <c r="F70" s="3"/>
      <c r="G70" s="3"/>
      <c r="H70" s="3" t="s">
        <v>8</v>
      </c>
      <c r="I70" s="3"/>
      <c r="J70" s="3"/>
    </row>
    <row r="71" spans="2:10" ht="14.25" customHeight="1" x14ac:dyDescent="0.35">
      <c r="B71" s="2" t="s">
        <v>1152</v>
      </c>
      <c r="C71" s="2" t="s">
        <v>73</v>
      </c>
      <c r="D71" s="4" t="s">
        <v>654</v>
      </c>
      <c r="E71" s="3"/>
      <c r="F71" s="3" t="s">
        <v>8</v>
      </c>
      <c r="G71" s="3"/>
      <c r="H71" s="3"/>
      <c r="I71" s="3" t="s">
        <v>8</v>
      </c>
      <c r="J71" s="3"/>
    </row>
    <row r="72" spans="2:10" ht="15" customHeight="1" x14ac:dyDescent="0.35">
      <c r="B72" s="2" t="s">
        <v>1152</v>
      </c>
      <c r="C72" s="2" t="s">
        <v>74</v>
      </c>
      <c r="D72" s="4" t="s">
        <v>655</v>
      </c>
      <c r="E72" s="3"/>
      <c r="F72" s="3" t="s">
        <v>8</v>
      </c>
      <c r="G72" s="3"/>
      <c r="H72" s="3"/>
      <c r="I72" s="3" t="s">
        <v>8</v>
      </c>
      <c r="J72" s="3"/>
    </row>
    <row r="73" spans="2:10" ht="14.25" customHeight="1" x14ac:dyDescent="0.35">
      <c r="B73" s="2" t="s">
        <v>1152</v>
      </c>
      <c r="C73" s="2" t="s">
        <v>75</v>
      </c>
      <c r="D73" s="4" t="s">
        <v>656</v>
      </c>
      <c r="E73" s="3"/>
      <c r="F73" s="3"/>
      <c r="G73" s="3" t="s">
        <v>8</v>
      </c>
      <c r="H73" s="3"/>
      <c r="I73" s="3"/>
      <c r="J73" s="3" t="s">
        <v>8</v>
      </c>
    </row>
    <row r="74" spans="2:10" ht="14.25" customHeight="1" x14ac:dyDescent="0.35">
      <c r="B74" s="2" t="s">
        <v>1152</v>
      </c>
      <c r="C74" s="2" t="s">
        <v>76</v>
      </c>
      <c r="D74" s="4" t="s">
        <v>657</v>
      </c>
      <c r="E74" s="3"/>
      <c r="F74" s="3"/>
      <c r="G74" s="3" t="s">
        <v>8</v>
      </c>
      <c r="H74" s="3"/>
      <c r="I74" s="3"/>
      <c r="J74" s="3" t="s">
        <v>8</v>
      </c>
    </row>
    <row r="75" spans="2:10" ht="14.25" customHeight="1" x14ac:dyDescent="0.35">
      <c r="B75" s="2" t="s">
        <v>1152</v>
      </c>
      <c r="C75" s="2" t="s">
        <v>77</v>
      </c>
      <c r="D75" s="4" t="s">
        <v>658</v>
      </c>
      <c r="E75" s="3"/>
      <c r="F75" s="3" t="s">
        <v>8</v>
      </c>
      <c r="G75" s="3"/>
      <c r="H75" s="3"/>
      <c r="I75" s="3" t="s">
        <v>8</v>
      </c>
      <c r="J75" s="3"/>
    </row>
    <row r="76" spans="2:10" ht="14.25" customHeight="1" x14ac:dyDescent="0.35">
      <c r="B76" s="2" t="s">
        <v>1152</v>
      </c>
      <c r="C76" s="2" t="s">
        <v>78</v>
      </c>
      <c r="D76" s="4" t="s">
        <v>659</v>
      </c>
      <c r="E76" s="3"/>
      <c r="F76" s="3" t="s">
        <v>8</v>
      </c>
      <c r="G76" s="3"/>
      <c r="H76" s="3"/>
      <c r="I76" s="3" t="s">
        <v>8</v>
      </c>
      <c r="J76" s="3"/>
    </row>
    <row r="77" spans="2:10" ht="15" customHeight="1" x14ac:dyDescent="0.35">
      <c r="B77" s="2" t="s">
        <v>1152</v>
      </c>
      <c r="C77" s="2" t="s">
        <v>79</v>
      </c>
      <c r="D77" s="4" t="s">
        <v>660</v>
      </c>
      <c r="E77" s="3" t="s">
        <v>8</v>
      </c>
      <c r="F77" s="3"/>
      <c r="G77" s="3"/>
      <c r="H77" s="3" t="s">
        <v>8</v>
      </c>
      <c r="I77" s="3"/>
      <c r="J77" s="3"/>
    </row>
    <row r="78" spans="2:10" ht="14.25" customHeight="1" x14ac:dyDescent="0.35">
      <c r="B78" s="2" t="s">
        <v>1152</v>
      </c>
      <c r="C78" s="2" t="s">
        <v>80</v>
      </c>
      <c r="D78" s="4" t="s">
        <v>661</v>
      </c>
      <c r="E78" s="3"/>
      <c r="F78" s="3" t="s">
        <v>8</v>
      </c>
      <c r="G78" s="3"/>
      <c r="H78" s="3"/>
      <c r="I78" s="3" t="s">
        <v>8</v>
      </c>
      <c r="J78" s="3"/>
    </row>
    <row r="79" spans="2:10" ht="14.25" customHeight="1" x14ac:dyDescent="0.35">
      <c r="B79" s="2" t="s">
        <v>1152</v>
      </c>
      <c r="C79" s="2" t="s">
        <v>81</v>
      </c>
      <c r="D79" s="4" t="s">
        <v>662</v>
      </c>
      <c r="E79" s="3"/>
      <c r="F79" s="3"/>
      <c r="G79" s="3" t="s">
        <v>8</v>
      </c>
      <c r="H79" s="3"/>
      <c r="I79" s="3"/>
      <c r="J79" s="3" t="s">
        <v>8</v>
      </c>
    </row>
    <row r="80" spans="2:10" ht="23.25" customHeight="1" x14ac:dyDescent="0.35">
      <c r="B80" s="2" t="s">
        <v>1152</v>
      </c>
      <c r="C80" s="2" t="s">
        <v>82</v>
      </c>
      <c r="D80" s="4" t="s">
        <v>663</v>
      </c>
      <c r="E80" s="3"/>
      <c r="F80" s="3"/>
      <c r="G80" s="3" t="s">
        <v>8</v>
      </c>
      <c r="H80" s="3"/>
      <c r="I80" s="3"/>
      <c r="J80" s="3"/>
    </row>
    <row r="81" spans="2:10" ht="23.25" customHeight="1" x14ac:dyDescent="0.35">
      <c r="B81" s="2" t="s">
        <v>1152</v>
      </c>
      <c r="C81" s="2" t="s">
        <v>83</v>
      </c>
      <c r="D81" s="4" t="s">
        <v>664</v>
      </c>
      <c r="E81" s="3"/>
      <c r="F81" s="3" t="s">
        <v>8</v>
      </c>
      <c r="G81" s="3"/>
      <c r="H81" s="3"/>
      <c r="I81" s="3"/>
      <c r="J81" s="3"/>
    </row>
    <row r="82" spans="2:10" ht="23.25" customHeight="1" x14ac:dyDescent="0.35">
      <c r="B82" s="2" t="s">
        <v>1152</v>
      </c>
      <c r="C82" s="2" t="s">
        <v>84</v>
      </c>
      <c r="D82" s="4" t="s">
        <v>665</v>
      </c>
      <c r="E82" s="3"/>
      <c r="F82" s="3"/>
      <c r="G82" s="3" t="s">
        <v>8</v>
      </c>
      <c r="H82" s="3"/>
      <c r="I82" s="3"/>
      <c r="J82" s="3"/>
    </row>
    <row r="83" spans="2:10" ht="14.25" customHeight="1" x14ac:dyDescent="0.35">
      <c r="B83" s="2" t="s">
        <v>1152</v>
      </c>
      <c r="C83" s="2" t="s">
        <v>85</v>
      </c>
      <c r="D83" s="4" t="s">
        <v>666</v>
      </c>
      <c r="E83" s="3" t="s">
        <v>8</v>
      </c>
      <c r="F83" s="3"/>
      <c r="G83" s="3"/>
      <c r="H83" s="3"/>
      <c r="I83" s="3"/>
      <c r="J83" s="3"/>
    </row>
    <row r="84" spans="2:10" ht="23.25" customHeight="1" x14ac:dyDescent="0.35">
      <c r="B84" s="2" t="s">
        <v>1152</v>
      </c>
      <c r="C84" s="2" t="s">
        <v>86</v>
      </c>
      <c r="D84" s="4" t="s">
        <v>667</v>
      </c>
      <c r="E84" s="3" t="s">
        <v>8</v>
      </c>
      <c r="F84" s="3"/>
      <c r="G84" s="3"/>
      <c r="H84" s="3" t="s">
        <v>8</v>
      </c>
      <c r="I84" s="3"/>
      <c r="J84" s="3"/>
    </row>
    <row r="85" spans="2:10" ht="14.25" customHeight="1" x14ac:dyDescent="0.35">
      <c r="B85" s="2" t="s">
        <v>1152</v>
      </c>
      <c r="C85" s="2" t="s">
        <v>87</v>
      </c>
      <c r="D85" s="4" t="s">
        <v>668</v>
      </c>
      <c r="E85" s="3"/>
      <c r="F85" s="3" t="s">
        <v>8</v>
      </c>
      <c r="G85" s="3"/>
      <c r="H85" s="3"/>
      <c r="I85" s="3" t="s">
        <v>8</v>
      </c>
      <c r="J85" s="3"/>
    </row>
    <row r="86" spans="2:10" ht="15" customHeight="1" x14ac:dyDescent="0.35">
      <c r="B86" s="2" t="s">
        <v>1152</v>
      </c>
      <c r="C86" s="2" t="s">
        <v>88</v>
      </c>
      <c r="D86" s="4" t="s">
        <v>669</v>
      </c>
      <c r="E86" s="3" t="s">
        <v>8</v>
      </c>
      <c r="F86" s="3"/>
      <c r="G86" s="3"/>
      <c r="H86" s="3" t="s">
        <v>8</v>
      </c>
      <c r="I86" s="3"/>
      <c r="J86" s="3"/>
    </row>
    <row r="87" spans="2:10" ht="14.25" customHeight="1" x14ac:dyDescent="0.35">
      <c r="B87" s="2" t="s">
        <v>1152</v>
      </c>
      <c r="C87" s="2" t="s">
        <v>89</v>
      </c>
      <c r="D87" s="4" t="s">
        <v>670</v>
      </c>
      <c r="E87" s="3"/>
      <c r="F87" s="3" t="s">
        <v>8</v>
      </c>
      <c r="G87" s="3"/>
      <c r="H87" s="3"/>
      <c r="I87" s="3" t="s">
        <v>8</v>
      </c>
      <c r="J87" s="3"/>
    </row>
    <row r="88" spans="2:10" ht="14.25" customHeight="1" x14ac:dyDescent="0.35">
      <c r="B88" s="2" t="s">
        <v>1152</v>
      </c>
      <c r="C88" s="2" t="s">
        <v>13</v>
      </c>
      <c r="D88" s="4" t="s">
        <v>594</v>
      </c>
      <c r="E88" s="3" t="s">
        <v>8</v>
      </c>
      <c r="F88" s="3"/>
      <c r="G88" s="3"/>
      <c r="H88" s="3"/>
      <c r="I88" s="3"/>
      <c r="J88" s="3"/>
    </row>
    <row r="89" spans="2:10" ht="14.25" customHeight="1" x14ac:dyDescent="0.35">
      <c r="B89" s="2" t="s">
        <v>1152</v>
      </c>
      <c r="C89" s="2" t="s">
        <v>90</v>
      </c>
      <c r="D89" s="4" t="s">
        <v>671</v>
      </c>
      <c r="E89" s="3" t="s">
        <v>8</v>
      </c>
      <c r="F89" s="3"/>
      <c r="G89" s="3"/>
      <c r="H89" s="3" t="s">
        <v>8</v>
      </c>
      <c r="I89" s="3"/>
      <c r="J89" s="3"/>
    </row>
    <row r="90" spans="2:10" ht="14.25" customHeight="1" x14ac:dyDescent="0.35">
      <c r="B90" s="2" t="s">
        <v>1152</v>
      </c>
      <c r="C90" s="2" t="s">
        <v>91</v>
      </c>
      <c r="D90" s="4" t="s">
        <v>672</v>
      </c>
      <c r="E90" s="3"/>
      <c r="F90" s="3"/>
      <c r="G90" s="3" t="s">
        <v>8</v>
      </c>
      <c r="H90" s="3"/>
      <c r="I90" s="3"/>
      <c r="J90" s="3" t="s">
        <v>8</v>
      </c>
    </row>
    <row r="91" spans="2:10" ht="15" customHeight="1" x14ac:dyDescent="0.35">
      <c r="B91" s="2" t="s">
        <v>1152</v>
      </c>
      <c r="C91" s="2" t="s">
        <v>92</v>
      </c>
      <c r="D91" s="4" t="s">
        <v>673</v>
      </c>
      <c r="E91" s="3"/>
      <c r="F91" s="3" t="s">
        <v>8</v>
      </c>
      <c r="G91" s="3"/>
      <c r="H91" s="3"/>
      <c r="I91" s="3"/>
      <c r="J91" s="3"/>
    </row>
    <row r="92" spans="2:10" ht="23.25" customHeight="1" x14ac:dyDescent="0.35">
      <c r="B92" s="2" t="s">
        <v>1152</v>
      </c>
      <c r="C92" s="2" t="s">
        <v>18</v>
      </c>
      <c r="D92" s="4" t="s">
        <v>674</v>
      </c>
      <c r="E92" s="3"/>
      <c r="F92" s="3" t="s">
        <v>8</v>
      </c>
      <c r="G92" s="3"/>
      <c r="H92" s="3"/>
      <c r="I92" s="3" t="s">
        <v>8</v>
      </c>
      <c r="J92" s="3"/>
    </row>
    <row r="93" spans="2:10" ht="14.25" customHeight="1" x14ac:dyDescent="0.35">
      <c r="B93" s="2" t="s">
        <v>1152</v>
      </c>
      <c r="C93" s="2" t="s">
        <v>93</v>
      </c>
      <c r="D93" s="4" t="s">
        <v>671</v>
      </c>
      <c r="E93" s="3" t="s">
        <v>8</v>
      </c>
      <c r="F93" s="3"/>
      <c r="G93" s="3"/>
      <c r="H93" s="3" t="s">
        <v>8</v>
      </c>
      <c r="I93" s="3"/>
      <c r="J93" s="3"/>
    </row>
    <row r="94" spans="2:10" ht="14.25" customHeight="1" x14ac:dyDescent="0.35">
      <c r="B94" s="2" t="s">
        <v>1152</v>
      </c>
      <c r="C94" s="2" t="s">
        <v>94</v>
      </c>
      <c r="D94" s="4" t="s">
        <v>675</v>
      </c>
      <c r="E94" s="3"/>
      <c r="F94" s="3"/>
      <c r="G94" s="3" t="s">
        <v>8</v>
      </c>
      <c r="H94" s="3"/>
      <c r="I94" s="3"/>
      <c r="J94" s="3" t="s">
        <v>8</v>
      </c>
    </row>
    <row r="95" spans="2:10" ht="14.25" customHeight="1" x14ac:dyDescent="0.35">
      <c r="B95" s="2" t="s">
        <v>1152</v>
      </c>
      <c r="C95" s="2" t="s">
        <v>95</v>
      </c>
      <c r="D95" s="4" t="s">
        <v>676</v>
      </c>
      <c r="E95" s="3"/>
      <c r="F95" s="3"/>
      <c r="G95" s="3" t="s">
        <v>8</v>
      </c>
      <c r="H95" s="3"/>
      <c r="I95" s="3"/>
      <c r="J95" s="3" t="s">
        <v>8</v>
      </c>
    </row>
    <row r="96" spans="2:10" ht="14.25" customHeight="1" x14ac:dyDescent="0.35">
      <c r="B96" s="2" t="s">
        <v>1152</v>
      </c>
      <c r="C96" s="2" t="s">
        <v>96</v>
      </c>
      <c r="D96" s="4" t="s">
        <v>677</v>
      </c>
      <c r="E96" s="3" t="s">
        <v>8</v>
      </c>
      <c r="F96" s="3"/>
      <c r="G96" s="3"/>
      <c r="H96" s="3" t="s">
        <v>8</v>
      </c>
      <c r="I96" s="3"/>
      <c r="J96" s="3"/>
    </row>
    <row r="97" spans="2:10" ht="15" customHeight="1" x14ac:dyDescent="0.35">
      <c r="B97" s="2" t="s">
        <v>1152</v>
      </c>
      <c r="C97" s="2" t="s">
        <v>97</v>
      </c>
      <c r="D97" s="4" t="s">
        <v>678</v>
      </c>
      <c r="E97" s="3"/>
      <c r="F97" s="3"/>
      <c r="G97" s="3" t="s">
        <v>8</v>
      </c>
      <c r="H97" s="3"/>
      <c r="I97" s="3"/>
      <c r="J97" s="3" t="s">
        <v>8</v>
      </c>
    </row>
    <row r="98" spans="2:10" ht="14.25" customHeight="1" x14ac:dyDescent="0.35">
      <c r="B98" s="2" t="s">
        <v>1152</v>
      </c>
      <c r="C98" s="2" t="s">
        <v>98</v>
      </c>
      <c r="D98" s="4" t="s">
        <v>679</v>
      </c>
      <c r="E98" s="3" t="s">
        <v>8</v>
      </c>
      <c r="F98" s="3"/>
      <c r="G98" s="3"/>
      <c r="H98" s="3" t="s">
        <v>8</v>
      </c>
      <c r="I98" s="3"/>
      <c r="J98" s="3"/>
    </row>
    <row r="99" spans="2:10" ht="14.25" customHeight="1" x14ac:dyDescent="0.35">
      <c r="B99" s="2" t="s">
        <v>1152</v>
      </c>
      <c r="C99" s="2" t="s">
        <v>99</v>
      </c>
      <c r="D99" s="4" t="s">
        <v>680</v>
      </c>
      <c r="E99" s="3"/>
      <c r="F99" s="3"/>
      <c r="G99" s="3" t="s">
        <v>8</v>
      </c>
      <c r="H99" s="3"/>
      <c r="I99" s="3"/>
      <c r="J99" s="3" t="s">
        <v>8</v>
      </c>
    </row>
    <row r="100" spans="2:10" ht="14.25" customHeight="1" x14ac:dyDescent="0.35">
      <c r="B100" s="2" t="s">
        <v>1152</v>
      </c>
      <c r="C100" s="2" t="s">
        <v>100</v>
      </c>
      <c r="D100" s="4" t="s">
        <v>681</v>
      </c>
      <c r="E100" s="3"/>
      <c r="F100" s="3" t="s">
        <v>8</v>
      </c>
      <c r="G100" s="3"/>
      <c r="H100" s="3"/>
      <c r="I100" s="3" t="s">
        <v>8</v>
      </c>
      <c r="J100" s="3"/>
    </row>
    <row r="101" spans="2:10" ht="14.25" customHeight="1" x14ac:dyDescent="0.35">
      <c r="B101" s="2" t="s">
        <v>1152</v>
      </c>
      <c r="C101" s="2" t="s">
        <v>101</v>
      </c>
      <c r="D101" s="4" t="s">
        <v>682</v>
      </c>
      <c r="E101" s="3" t="s">
        <v>8</v>
      </c>
      <c r="F101" s="3"/>
      <c r="G101" s="3"/>
      <c r="H101" s="3" t="s">
        <v>8</v>
      </c>
      <c r="I101" s="3"/>
      <c r="J101" s="3"/>
    </row>
    <row r="102" spans="2:10" ht="15" customHeight="1" x14ac:dyDescent="0.35">
      <c r="B102" s="2" t="s">
        <v>1152</v>
      </c>
      <c r="C102" s="2" t="s">
        <v>102</v>
      </c>
      <c r="D102" s="4" t="s">
        <v>683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</row>
    <row r="103" spans="2:10" ht="14.25" customHeight="1" x14ac:dyDescent="0.35">
      <c r="B103" s="2" t="s">
        <v>1152</v>
      </c>
      <c r="C103" s="2" t="s">
        <v>103</v>
      </c>
      <c r="D103" s="4" t="s">
        <v>684</v>
      </c>
      <c r="E103" s="3"/>
      <c r="F103" s="3"/>
      <c r="G103" s="3" t="s">
        <v>8</v>
      </c>
      <c r="H103" s="3"/>
      <c r="I103" s="3"/>
      <c r="J103" s="3" t="s">
        <v>8</v>
      </c>
    </row>
    <row r="104" spans="2:10" ht="14.25" customHeight="1" x14ac:dyDescent="0.35">
      <c r="B104" s="2" t="s">
        <v>1152</v>
      </c>
      <c r="C104" s="2" t="s">
        <v>104</v>
      </c>
      <c r="D104" s="4" t="s">
        <v>685</v>
      </c>
      <c r="E104" s="3"/>
      <c r="F104" s="3" t="s">
        <v>8</v>
      </c>
      <c r="G104" s="3"/>
      <c r="H104" s="3"/>
      <c r="I104" s="3" t="s">
        <v>8</v>
      </c>
      <c r="J104" s="3"/>
    </row>
    <row r="105" spans="2:10" ht="23.25" customHeight="1" x14ac:dyDescent="0.35">
      <c r="B105" s="2" t="s">
        <v>1152</v>
      </c>
      <c r="C105" s="2" t="s">
        <v>105</v>
      </c>
      <c r="D105" s="4" t="s">
        <v>686</v>
      </c>
      <c r="E105" s="3" t="s">
        <v>8</v>
      </c>
      <c r="F105" s="3"/>
      <c r="G105" s="3"/>
      <c r="H105" s="3" t="s">
        <v>8</v>
      </c>
      <c r="I105" s="3"/>
      <c r="J105" s="3"/>
    </row>
    <row r="106" spans="2:10" ht="14.25" customHeight="1" x14ac:dyDescent="0.35">
      <c r="B106" s="2" t="s">
        <v>1152</v>
      </c>
      <c r="C106" s="2" t="s">
        <v>106</v>
      </c>
      <c r="D106" s="4" t="s">
        <v>687</v>
      </c>
      <c r="E106" s="3"/>
      <c r="F106" s="3"/>
      <c r="G106" s="3" t="s">
        <v>8</v>
      </c>
      <c r="H106" s="3"/>
      <c r="I106" s="3"/>
      <c r="J106" s="3" t="s">
        <v>8</v>
      </c>
    </row>
    <row r="107" spans="2:10" ht="14.25" customHeight="1" x14ac:dyDescent="0.35">
      <c r="B107" s="2" t="s">
        <v>1152</v>
      </c>
      <c r="C107" s="2" t="s">
        <v>107</v>
      </c>
      <c r="D107" s="4" t="s">
        <v>688</v>
      </c>
      <c r="E107" s="3"/>
      <c r="F107" s="3"/>
      <c r="G107" s="3" t="s">
        <v>8</v>
      </c>
      <c r="H107" s="3"/>
      <c r="I107" s="3"/>
      <c r="J107" s="3" t="s">
        <v>8</v>
      </c>
    </row>
    <row r="108" spans="2:10" ht="15" customHeight="1" x14ac:dyDescent="0.35">
      <c r="B108" s="2" t="s">
        <v>1152</v>
      </c>
      <c r="C108" s="2" t="s">
        <v>108</v>
      </c>
      <c r="D108" s="4" t="s">
        <v>689</v>
      </c>
      <c r="E108" s="3"/>
      <c r="F108" s="3" t="s">
        <v>8</v>
      </c>
      <c r="G108" s="3"/>
      <c r="H108" s="3"/>
      <c r="I108" s="3" t="s">
        <v>8</v>
      </c>
      <c r="J108" s="3"/>
    </row>
    <row r="109" spans="2:10" ht="14.25" customHeight="1" x14ac:dyDescent="0.35">
      <c r="B109" s="2" t="s">
        <v>1152</v>
      </c>
      <c r="C109" s="2" t="s">
        <v>109</v>
      </c>
      <c r="D109" s="4" t="s">
        <v>674</v>
      </c>
      <c r="E109" s="3"/>
      <c r="F109" s="3" t="s">
        <v>8</v>
      </c>
      <c r="G109" s="3"/>
      <c r="H109" s="3"/>
      <c r="I109" s="3" t="s">
        <v>8</v>
      </c>
      <c r="J109" s="3"/>
    </row>
    <row r="110" spans="2:10" ht="14.25" customHeight="1" x14ac:dyDescent="0.35">
      <c r="B110" s="2" t="s">
        <v>1152</v>
      </c>
      <c r="C110" s="2" t="s">
        <v>110</v>
      </c>
      <c r="D110" s="4" t="s">
        <v>671</v>
      </c>
      <c r="E110" s="3"/>
      <c r="F110" s="3" t="s">
        <v>8</v>
      </c>
      <c r="G110" s="3"/>
      <c r="H110" s="3"/>
      <c r="I110" s="3" t="s">
        <v>8</v>
      </c>
      <c r="J110" s="3"/>
    </row>
    <row r="111" spans="2:10" ht="14.25" customHeight="1" x14ac:dyDescent="0.35">
      <c r="B111" s="2" t="s">
        <v>1152</v>
      </c>
      <c r="C111" s="2" t="s">
        <v>111</v>
      </c>
      <c r="D111" s="4" t="s">
        <v>690</v>
      </c>
      <c r="E111" s="3" t="s">
        <v>8</v>
      </c>
      <c r="F111" s="3"/>
      <c r="G111" s="3"/>
      <c r="H111" s="3" t="s">
        <v>8</v>
      </c>
      <c r="I111" s="3"/>
      <c r="J111" s="3"/>
    </row>
    <row r="112" spans="2:10" ht="14.25" customHeight="1" x14ac:dyDescent="0.35">
      <c r="B112" s="2" t="s">
        <v>1152</v>
      </c>
      <c r="C112" s="2" t="s">
        <v>112</v>
      </c>
      <c r="D112" s="4" t="s">
        <v>691</v>
      </c>
      <c r="E112" s="3"/>
      <c r="F112" s="3"/>
      <c r="G112" s="3"/>
      <c r="H112" s="3"/>
      <c r="I112" s="3"/>
      <c r="J112" s="3" t="s">
        <v>8</v>
      </c>
    </row>
    <row r="113" spans="2:10" ht="23.25" customHeight="1" x14ac:dyDescent="0.35">
      <c r="B113" s="2" t="s">
        <v>1152</v>
      </c>
      <c r="C113" s="2" t="s">
        <v>113</v>
      </c>
      <c r="D113" s="4" t="s">
        <v>692</v>
      </c>
      <c r="E113" s="3" t="s">
        <v>8</v>
      </c>
      <c r="F113" s="3"/>
      <c r="G113" s="3"/>
      <c r="H113" s="3" t="s">
        <v>8</v>
      </c>
      <c r="I113" s="3"/>
      <c r="J113" s="3"/>
    </row>
    <row r="114" spans="2:10" ht="23.25" customHeight="1" x14ac:dyDescent="0.35">
      <c r="B114" s="2" t="s">
        <v>1152</v>
      </c>
      <c r="C114" s="2" t="s">
        <v>114</v>
      </c>
      <c r="D114" s="4" t="s">
        <v>693</v>
      </c>
      <c r="E114" s="3"/>
      <c r="F114" s="3" t="s">
        <v>8</v>
      </c>
      <c r="G114" s="3"/>
      <c r="H114" s="3"/>
      <c r="I114" s="3" t="s">
        <v>8</v>
      </c>
      <c r="J114" s="3"/>
    </row>
    <row r="115" spans="2:10" ht="23.25" customHeight="1" x14ac:dyDescent="0.35">
      <c r="B115" s="2" t="s">
        <v>1152</v>
      </c>
      <c r="C115" s="2" t="s">
        <v>115</v>
      </c>
      <c r="D115" s="4" t="s">
        <v>694</v>
      </c>
      <c r="E115" s="3"/>
      <c r="F115" s="3"/>
      <c r="G115" s="3" t="s">
        <v>8</v>
      </c>
      <c r="H115" s="3"/>
      <c r="I115" s="3"/>
      <c r="J115" s="3" t="s">
        <v>8</v>
      </c>
    </row>
    <row r="116" spans="2:10" ht="23.25" customHeight="1" x14ac:dyDescent="0.35">
      <c r="B116" s="2" t="s">
        <v>1152</v>
      </c>
      <c r="C116" s="2" t="s">
        <v>116</v>
      </c>
      <c r="D116" s="4" t="s">
        <v>695</v>
      </c>
      <c r="E116" s="3"/>
      <c r="F116" s="3" t="s">
        <v>8</v>
      </c>
      <c r="G116" s="3"/>
      <c r="H116" s="3"/>
      <c r="I116" s="3" t="s">
        <v>8</v>
      </c>
      <c r="J116" s="3"/>
    </row>
    <row r="117" spans="2:10" ht="14.25" customHeight="1" x14ac:dyDescent="0.35">
      <c r="B117" s="2" t="s">
        <v>1152</v>
      </c>
      <c r="C117" s="2" t="s">
        <v>117</v>
      </c>
      <c r="D117" s="4" t="s">
        <v>696</v>
      </c>
      <c r="E117" s="3"/>
      <c r="F117" s="3" t="s">
        <v>8</v>
      </c>
      <c r="G117" s="3"/>
      <c r="H117" s="3"/>
      <c r="I117" s="3"/>
      <c r="J117" s="3"/>
    </row>
    <row r="118" spans="2:10" ht="15" customHeight="1" x14ac:dyDescent="0.35">
      <c r="B118" s="2" t="s">
        <v>1152</v>
      </c>
      <c r="C118" s="2" t="s">
        <v>13</v>
      </c>
      <c r="D118" s="4" t="s">
        <v>594</v>
      </c>
      <c r="E118" s="3"/>
      <c r="F118" s="3" t="s">
        <v>8</v>
      </c>
      <c r="G118" s="3"/>
      <c r="H118" s="3"/>
      <c r="I118" s="3"/>
      <c r="J118" s="3"/>
    </row>
    <row r="119" spans="2:10" ht="14.25" customHeight="1" x14ac:dyDescent="0.35">
      <c r="B119" s="2" t="s">
        <v>1152</v>
      </c>
      <c r="C119" s="2" t="s">
        <v>118</v>
      </c>
      <c r="D119" s="4" t="s">
        <v>697</v>
      </c>
      <c r="E119" s="3"/>
      <c r="F119" s="3"/>
      <c r="G119" s="3" t="s">
        <v>8</v>
      </c>
      <c r="H119" s="3"/>
      <c r="I119" s="3"/>
      <c r="J119" s="3" t="s">
        <v>8</v>
      </c>
    </row>
    <row r="120" spans="2:10" ht="14.25" customHeight="1" x14ac:dyDescent="0.35">
      <c r="B120" s="2" t="s">
        <v>1152</v>
      </c>
      <c r="C120" s="2" t="s">
        <v>119</v>
      </c>
      <c r="D120" s="4" t="s">
        <v>698</v>
      </c>
      <c r="E120" s="3" t="s">
        <v>8</v>
      </c>
      <c r="F120" s="3"/>
      <c r="G120" s="3"/>
      <c r="H120" s="3" t="s">
        <v>8</v>
      </c>
      <c r="I120" s="3"/>
      <c r="J120" s="3"/>
    </row>
    <row r="121" spans="2:10" ht="14.25" customHeight="1" x14ac:dyDescent="0.35">
      <c r="B121" s="2" t="s">
        <v>1152</v>
      </c>
      <c r="C121" s="2" t="s">
        <v>120</v>
      </c>
      <c r="D121" s="4" t="s">
        <v>699</v>
      </c>
      <c r="E121" s="3"/>
      <c r="F121" s="3" t="s">
        <v>8</v>
      </c>
      <c r="G121" s="3"/>
      <c r="H121" s="3"/>
      <c r="I121" s="3" t="s">
        <v>8</v>
      </c>
      <c r="J121" s="3"/>
    </row>
    <row r="122" spans="2:10" ht="14.25" customHeight="1" x14ac:dyDescent="0.35">
      <c r="B122" s="2" t="s">
        <v>1152</v>
      </c>
      <c r="C122" s="2" t="s">
        <v>121</v>
      </c>
      <c r="D122" s="4" t="s">
        <v>700</v>
      </c>
      <c r="E122" s="3"/>
      <c r="F122" s="3"/>
      <c r="G122" s="3" t="s">
        <v>8</v>
      </c>
      <c r="H122" s="3"/>
      <c r="I122" s="3"/>
      <c r="J122" s="3" t="s">
        <v>8</v>
      </c>
    </row>
    <row r="123" spans="2:10" ht="15" customHeight="1" x14ac:dyDescent="0.35">
      <c r="B123" s="2" t="s">
        <v>1152</v>
      </c>
      <c r="C123" s="2" t="s">
        <v>122</v>
      </c>
      <c r="D123" s="4" t="s">
        <v>701</v>
      </c>
      <c r="E123" s="3"/>
      <c r="F123" s="3" t="s">
        <v>8</v>
      </c>
      <c r="G123" s="3"/>
      <c r="H123" s="3"/>
      <c r="I123" s="3" t="s">
        <v>8</v>
      </c>
      <c r="J123" s="3"/>
    </row>
    <row r="124" spans="2:10" ht="14.25" customHeight="1" x14ac:dyDescent="0.35">
      <c r="B124" s="2" t="s">
        <v>1152</v>
      </c>
      <c r="C124" s="2" t="s">
        <v>123</v>
      </c>
      <c r="D124" s="4" t="s">
        <v>702</v>
      </c>
      <c r="E124" s="3"/>
      <c r="F124" s="3"/>
      <c r="G124" s="3" t="s">
        <v>8</v>
      </c>
      <c r="H124" s="3"/>
      <c r="I124" s="3"/>
      <c r="J124" s="3" t="s">
        <v>8</v>
      </c>
    </row>
    <row r="125" spans="2:10" ht="14.25" customHeight="1" x14ac:dyDescent="0.35">
      <c r="B125" s="2" t="s">
        <v>1152</v>
      </c>
      <c r="C125" s="2" t="s">
        <v>124</v>
      </c>
      <c r="D125" s="4" t="s">
        <v>703</v>
      </c>
      <c r="E125" s="3" t="s">
        <v>8</v>
      </c>
      <c r="F125" s="3"/>
      <c r="G125" s="3"/>
      <c r="H125" s="3" t="s">
        <v>8</v>
      </c>
      <c r="I125" s="3"/>
      <c r="J125" s="3"/>
    </row>
    <row r="126" spans="2:10" ht="14.25" customHeight="1" x14ac:dyDescent="0.35">
      <c r="B126" s="2" t="s">
        <v>1152</v>
      </c>
      <c r="C126" s="2" t="s">
        <v>125</v>
      </c>
      <c r="D126" s="4" t="s">
        <v>704</v>
      </c>
      <c r="E126" s="3"/>
      <c r="F126" s="3" t="s">
        <v>8</v>
      </c>
      <c r="G126" s="3"/>
      <c r="H126" s="3"/>
      <c r="I126" s="3" t="s">
        <v>8</v>
      </c>
      <c r="J126" s="3"/>
    </row>
    <row r="127" spans="2:10" ht="14.25" customHeight="1" x14ac:dyDescent="0.35">
      <c r="B127" s="2" t="s">
        <v>1152</v>
      </c>
      <c r="C127" s="2" t="s">
        <v>126</v>
      </c>
      <c r="D127" s="4" t="s">
        <v>705</v>
      </c>
      <c r="E127" s="3" t="s">
        <v>8</v>
      </c>
      <c r="F127" s="3"/>
      <c r="G127" s="3"/>
      <c r="H127" s="3" t="s">
        <v>8</v>
      </c>
      <c r="I127" s="3"/>
      <c r="J127" s="3"/>
    </row>
    <row r="128" spans="2:10" ht="15" customHeight="1" x14ac:dyDescent="0.35">
      <c r="B128" s="2" t="s">
        <v>1152</v>
      </c>
      <c r="C128" s="2" t="s">
        <v>127</v>
      </c>
      <c r="D128" s="4" t="s">
        <v>706</v>
      </c>
      <c r="E128" s="3" t="s">
        <v>8</v>
      </c>
      <c r="F128" s="3"/>
      <c r="G128" s="3"/>
      <c r="H128" s="3" t="s">
        <v>8</v>
      </c>
      <c r="I128" s="3"/>
      <c r="J128" s="3"/>
    </row>
    <row r="129" spans="2:10" ht="14.25" customHeight="1" x14ac:dyDescent="0.35">
      <c r="B129" s="2" t="s">
        <v>1152</v>
      </c>
      <c r="C129" s="2" t="s">
        <v>128</v>
      </c>
      <c r="D129" s="4" t="s">
        <v>707</v>
      </c>
      <c r="E129" s="3"/>
      <c r="F129" s="3"/>
      <c r="G129" s="3" t="s">
        <v>8</v>
      </c>
      <c r="H129" s="3"/>
      <c r="I129" s="3"/>
      <c r="J129" s="3"/>
    </row>
    <row r="130" spans="2:10" ht="14.25" customHeight="1" x14ac:dyDescent="0.35">
      <c r="B130" s="2" t="s">
        <v>1152</v>
      </c>
      <c r="C130" s="2" t="s">
        <v>129</v>
      </c>
      <c r="D130" s="4" t="s">
        <v>708</v>
      </c>
      <c r="E130" s="3" t="s">
        <v>8</v>
      </c>
      <c r="F130" s="3"/>
      <c r="G130" s="3"/>
      <c r="H130" s="3" t="s">
        <v>8</v>
      </c>
      <c r="I130" s="3"/>
      <c r="J130" s="3"/>
    </row>
    <row r="131" spans="2:10" ht="23.25" customHeight="1" x14ac:dyDescent="0.35">
      <c r="B131" s="2" t="s">
        <v>1152</v>
      </c>
      <c r="C131" s="2" t="s">
        <v>130</v>
      </c>
      <c r="D131" s="4" t="s">
        <v>709</v>
      </c>
      <c r="E131" s="3"/>
      <c r="F131" s="3"/>
      <c r="G131" s="3"/>
      <c r="H131" s="3"/>
      <c r="I131" s="3"/>
      <c r="J131" s="3" t="s">
        <v>8</v>
      </c>
    </row>
    <row r="132" spans="2:10" ht="14.25" customHeight="1" x14ac:dyDescent="0.35">
      <c r="B132" s="2" t="s">
        <v>1152</v>
      </c>
      <c r="C132" s="2" t="s">
        <v>131</v>
      </c>
      <c r="D132" s="4" t="s">
        <v>710</v>
      </c>
      <c r="E132" s="3"/>
      <c r="F132" s="3"/>
      <c r="G132" s="3" t="s">
        <v>8</v>
      </c>
      <c r="H132" s="3"/>
      <c r="I132" s="3"/>
      <c r="J132" s="3"/>
    </row>
    <row r="133" spans="2:10" ht="23.25" customHeight="1" x14ac:dyDescent="0.35">
      <c r="B133" s="2" t="s">
        <v>1152</v>
      </c>
      <c r="C133" s="2" t="s">
        <v>132</v>
      </c>
      <c r="D133" s="4" t="s">
        <v>711</v>
      </c>
      <c r="E133" s="3" t="s">
        <v>8</v>
      </c>
      <c r="F133" s="3"/>
      <c r="G133" s="3"/>
      <c r="H133" s="3"/>
      <c r="I133" s="3"/>
      <c r="J133" s="3"/>
    </row>
    <row r="134" spans="2:10" ht="14.25" customHeight="1" x14ac:dyDescent="0.35">
      <c r="B134" s="2" t="s">
        <v>1152</v>
      </c>
      <c r="C134" s="2" t="s">
        <v>133</v>
      </c>
      <c r="D134" s="4" t="s">
        <v>712</v>
      </c>
      <c r="E134" s="3" t="s">
        <v>8</v>
      </c>
      <c r="F134" s="3"/>
      <c r="G134" s="3"/>
      <c r="H134" s="3" t="s">
        <v>8</v>
      </c>
      <c r="I134" s="3"/>
      <c r="J134" s="3"/>
    </row>
    <row r="135" spans="2:10" ht="15" customHeight="1" x14ac:dyDescent="0.35">
      <c r="B135" s="2" t="s">
        <v>1152</v>
      </c>
      <c r="C135" s="2" t="s">
        <v>134</v>
      </c>
      <c r="D135" s="4" t="s">
        <v>713</v>
      </c>
      <c r="E135" s="3"/>
      <c r="F135" s="3" t="s">
        <v>8</v>
      </c>
      <c r="G135" s="3"/>
      <c r="H135" s="3"/>
      <c r="I135" s="3" t="s">
        <v>8</v>
      </c>
      <c r="J135" s="3"/>
    </row>
    <row r="136" spans="2:10" ht="14.25" customHeight="1" x14ac:dyDescent="0.35">
      <c r="B136" s="2" t="s">
        <v>1152</v>
      </c>
      <c r="C136" s="2" t="s">
        <v>135</v>
      </c>
      <c r="D136" s="4" t="s">
        <v>714</v>
      </c>
      <c r="E136" s="3"/>
      <c r="F136" s="3"/>
      <c r="G136" s="3" t="s">
        <v>8</v>
      </c>
      <c r="H136" s="3"/>
      <c r="I136" s="3"/>
      <c r="J136" s="3" t="s">
        <v>8</v>
      </c>
    </row>
    <row r="137" spans="2:10" ht="14.25" customHeight="1" x14ac:dyDescent="0.35">
      <c r="B137" s="2" t="s">
        <v>1152</v>
      </c>
      <c r="C137" s="2" t="s">
        <v>136</v>
      </c>
      <c r="D137" s="4" t="s">
        <v>715</v>
      </c>
      <c r="E137" s="3"/>
      <c r="F137" s="3" t="s">
        <v>8</v>
      </c>
      <c r="G137" s="3"/>
      <c r="H137" s="3"/>
      <c r="I137" s="3" t="s">
        <v>8</v>
      </c>
      <c r="J137" s="3"/>
    </row>
    <row r="138" spans="2:10" ht="23.25" customHeight="1" x14ac:dyDescent="0.35">
      <c r="B138" s="2" t="s">
        <v>1152</v>
      </c>
      <c r="C138" s="2" t="s">
        <v>137</v>
      </c>
      <c r="D138" s="4" t="s">
        <v>715</v>
      </c>
      <c r="E138" s="3"/>
      <c r="F138" s="3" t="s">
        <v>8</v>
      </c>
      <c r="G138" s="3"/>
      <c r="H138" s="3"/>
      <c r="I138" s="3" t="s">
        <v>8</v>
      </c>
      <c r="J138" s="3"/>
    </row>
    <row r="139" spans="2:10" ht="14.25" customHeight="1" x14ac:dyDescent="0.35">
      <c r="B139" s="2" t="s">
        <v>1152</v>
      </c>
      <c r="C139" s="2" t="s">
        <v>138</v>
      </c>
      <c r="D139" s="4" t="s">
        <v>716</v>
      </c>
      <c r="E139" s="3"/>
      <c r="F139" s="3" t="s">
        <v>8</v>
      </c>
      <c r="G139" s="3"/>
      <c r="H139" s="3"/>
      <c r="I139" s="3" t="s">
        <v>8</v>
      </c>
      <c r="J139" s="3"/>
    </row>
    <row r="140" spans="2:10" ht="14.25" customHeight="1" x14ac:dyDescent="0.35">
      <c r="B140" s="2" t="s">
        <v>1152</v>
      </c>
      <c r="C140" s="2" t="s">
        <v>139</v>
      </c>
      <c r="D140" s="4" t="s">
        <v>717</v>
      </c>
      <c r="E140" s="3"/>
      <c r="F140" s="3"/>
      <c r="G140" s="3" t="s">
        <v>8</v>
      </c>
      <c r="H140" s="3"/>
      <c r="I140" s="3"/>
      <c r="J140" s="3" t="s">
        <v>8</v>
      </c>
    </row>
    <row r="141" spans="2:10" ht="15" customHeight="1" x14ac:dyDescent="0.35">
      <c r="B141" s="2" t="s">
        <v>1152</v>
      </c>
      <c r="C141" s="2" t="s">
        <v>140</v>
      </c>
      <c r="D141" s="4" t="s">
        <v>718</v>
      </c>
      <c r="E141" s="3"/>
      <c r="F141" s="3"/>
      <c r="G141" s="3"/>
      <c r="H141" s="3"/>
      <c r="I141" s="3"/>
      <c r="J141" s="3" t="s">
        <v>8</v>
      </c>
    </row>
    <row r="142" spans="2:10" ht="14.25" customHeight="1" x14ac:dyDescent="0.35">
      <c r="B142" s="2" t="s">
        <v>1152</v>
      </c>
      <c r="C142" s="2" t="s">
        <v>141</v>
      </c>
      <c r="D142" s="4" t="s">
        <v>719</v>
      </c>
      <c r="E142" s="3"/>
      <c r="F142" s="3"/>
      <c r="G142" s="3" t="s">
        <v>8</v>
      </c>
      <c r="H142" s="3"/>
      <c r="I142" s="3"/>
      <c r="J142" s="3" t="s">
        <v>8</v>
      </c>
    </row>
    <row r="143" spans="2:10" ht="14.25" customHeight="1" x14ac:dyDescent="0.35">
      <c r="B143" s="2" t="s">
        <v>1152</v>
      </c>
      <c r="C143" s="2" t="s">
        <v>142</v>
      </c>
      <c r="D143" s="4" t="s">
        <v>720</v>
      </c>
      <c r="E143" s="3" t="s">
        <v>8</v>
      </c>
      <c r="F143" s="3"/>
      <c r="G143" s="3"/>
      <c r="H143" s="3" t="s">
        <v>8</v>
      </c>
      <c r="I143" s="3"/>
      <c r="J143" s="3"/>
    </row>
    <row r="144" spans="2:10" ht="23.25" customHeight="1" x14ac:dyDescent="0.35">
      <c r="B144" s="2" t="s">
        <v>1152</v>
      </c>
      <c r="C144" s="2" t="s">
        <v>143</v>
      </c>
      <c r="D144" s="4" t="s">
        <v>721</v>
      </c>
      <c r="E144" s="3"/>
      <c r="F144" s="3" t="s">
        <v>8</v>
      </c>
      <c r="G144" s="3"/>
      <c r="H144" s="3"/>
      <c r="I144" s="3" t="s">
        <v>8</v>
      </c>
      <c r="J144" s="3"/>
    </row>
    <row r="145" spans="2:10" ht="14.25" customHeight="1" x14ac:dyDescent="0.35">
      <c r="B145" s="2" t="s">
        <v>1152</v>
      </c>
      <c r="C145" s="2" t="s">
        <v>144</v>
      </c>
      <c r="D145" s="4" t="s">
        <v>722</v>
      </c>
      <c r="E145" s="3"/>
      <c r="F145" s="3"/>
      <c r="G145" s="3" t="s">
        <v>8</v>
      </c>
      <c r="H145" s="3"/>
      <c r="I145" s="3"/>
      <c r="J145" s="3" t="s">
        <v>8</v>
      </c>
    </row>
    <row r="146" spans="2:10" ht="14.25" customHeight="1" x14ac:dyDescent="0.35">
      <c r="B146" s="2" t="s">
        <v>1152</v>
      </c>
      <c r="C146" s="2" t="s">
        <v>145</v>
      </c>
      <c r="D146" s="4" t="s">
        <v>723</v>
      </c>
      <c r="E146" s="3" t="s">
        <v>8</v>
      </c>
      <c r="F146" s="3"/>
      <c r="G146" s="3"/>
      <c r="H146" s="3" t="s">
        <v>8</v>
      </c>
      <c r="I146" s="3"/>
      <c r="J146" s="3"/>
    </row>
    <row r="147" spans="2:10" ht="15" customHeight="1" x14ac:dyDescent="0.35">
      <c r="B147" s="2" t="s">
        <v>1152</v>
      </c>
      <c r="C147" s="2" t="s">
        <v>146</v>
      </c>
      <c r="D147" s="4" t="s">
        <v>724</v>
      </c>
      <c r="E147" s="3"/>
      <c r="F147" s="3"/>
      <c r="G147" s="3" t="s">
        <v>8</v>
      </c>
      <c r="H147" s="3"/>
      <c r="I147" s="3"/>
      <c r="J147" s="3" t="s">
        <v>8</v>
      </c>
    </row>
    <row r="148" spans="2:10" ht="14.25" customHeight="1" x14ac:dyDescent="0.35">
      <c r="B148" s="2" t="s">
        <v>1152</v>
      </c>
      <c r="C148" s="2" t="s">
        <v>145</v>
      </c>
      <c r="D148" s="4" t="s">
        <v>725</v>
      </c>
      <c r="E148" s="3"/>
      <c r="F148" s="3" t="s">
        <v>8</v>
      </c>
      <c r="G148" s="3"/>
      <c r="H148" s="3"/>
      <c r="I148" s="3" t="s">
        <v>8</v>
      </c>
      <c r="J148" s="3"/>
    </row>
    <row r="149" spans="2:10" ht="14.25" customHeight="1" x14ac:dyDescent="0.35">
      <c r="B149" s="2" t="s">
        <v>1152</v>
      </c>
      <c r="C149" s="2" t="s">
        <v>147</v>
      </c>
      <c r="D149" s="4" t="s">
        <v>726</v>
      </c>
      <c r="E149" s="3" t="s">
        <v>8</v>
      </c>
      <c r="F149" s="3"/>
      <c r="G149" s="3"/>
      <c r="H149" s="3" t="s">
        <v>8</v>
      </c>
      <c r="I149" s="3"/>
      <c r="J149" s="3"/>
    </row>
    <row r="150" spans="2:10" ht="14.25" customHeight="1" x14ac:dyDescent="0.35">
      <c r="B150" s="2" t="s">
        <v>1152</v>
      </c>
      <c r="C150" s="2" t="s">
        <v>148</v>
      </c>
      <c r="D150" s="4" t="s">
        <v>727</v>
      </c>
      <c r="E150" s="3" t="s">
        <v>8</v>
      </c>
      <c r="F150" s="3"/>
      <c r="G150" s="3"/>
      <c r="H150" s="3" t="s">
        <v>8</v>
      </c>
      <c r="I150" s="3"/>
      <c r="J150" s="3"/>
    </row>
    <row r="151" spans="2:10" ht="14.25" customHeight="1" x14ac:dyDescent="0.35">
      <c r="B151" s="2" t="s">
        <v>1152</v>
      </c>
      <c r="C151" s="2" t="s">
        <v>149</v>
      </c>
      <c r="D151" s="4" t="s">
        <v>728</v>
      </c>
      <c r="E151" s="3"/>
      <c r="F151" s="3" t="s">
        <v>8</v>
      </c>
      <c r="G151" s="3"/>
      <c r="H151" s="3"/>
      <c r="I151" s="3" t="s">
        <v>8</v>
      </c>
      <c r="J151" s="3"/>
    </row>
    <row r="152" spans="2:10" ht="15" customHeight="1" x14ac:dyDescent="0.35">
      <c r="B152" s="2" t="s">
        <v>1152</v>
      </c>
      <c r="C152" s="2" t="s">
        <v>150</v>
      </c>
      <c r="D152" s="4" t="s">
        <v>729</v>
      </c>
      <c r="E152" s="3"/>
      <c r="F152" s="3" t="s">
        <v>8</v>
      </c>
      <c r="G152" s="3"/>
      <c r="H152" s="3"/>
      <c r="I152" s="3" t="s">
        <v>8</v>
      </c>
      <c r="J152" s="3"/>
    </row>
    <row r="153" spans="2:10" ht="14.25" customHeight="1" x14ac:dyDescent="0.35">
      <c r="B153" s="2" t="s">
        <v>1152</v>
      </c>
      <c r="C153" s="2" t="s">
        <v>151</v>
      </c>
      <c r="D153" s="4" t="s">
        <v>730</v>
      </c>
      <c r="E153" s="3"/>
      <c r="F153" s="3"/>
      <c r="G153" s="3" t="s">
        <v>8</v>
      </c>
      <c r="H153" s="3"/>
      <c r="I153" s="3"/>
      <c r="J153" s="3" t="s">
        <v>8</v>
      </c>
    </row>
    <row r="154" spans="2:10" ht="14.25" customHeight="1" x14ac:dyDescent="0.35">
      <c r="B154" s="2" t="s">
        <v>1152</v>
      </c>
      <c r="C154" s="2" t="s">
        <v>152</v>
      </c>
      <c r="D154" s="4" t="s">
        <v>731</v>
      </c>
      <c r="E154" s="3" t="s">
        <v>8</v>
      </c>
      <c r="F154" s="3"/>
      <c r="G154" s="3"/>
      <c r="H154" s="3" t="s">
        <v>8</v>
      </c>
      <c r="I154" s="3"/>
      <c r="J154" s="3"/>
    </row>
    <row r="155" spans="2:10" ht="14.25" customHeight="1" x14ac:dyDescent="0.35">
      <c r="B155" s="2" t="s">
        <v>1152</v>
      </c>
      <c r="C155" s="2" t="s">
        <v>153</v>
      </c>
      <c r="D155" s="4" t="s">
        <v>732</v>
      </c>
      <c r="E155" s="3"/>
      <c r="F155" s="3"/>
      <c r="G155" s="3" t="s">
        <v>8</v>
      </c>
      <c r="H155" s="3"/>
      <c r="I155" s="3"/>
      <c r="J155" s="3" t="s">
        <v>8</v>
      </c>
    </row>
    <row r="156" spans="2:10" ht="23.25" customHeight="1" x14ac:dyDescent="0.35">
      <c r="B156" s="2" t="s">
        <v>1152</v>
      </c>
      <c r="C156" s="2" t="s">
        <v>154</v>
      </c>
      <c r="D156" s="4" t="s">
        <v>733</v>
      </c>
      <c r="E156" s="3"/>
      <c r="F156" s="3"/>
      <c r="G156" s="3"/>
      <c r="H156" s="3" t="s">
        <v>8</v>
      </c>
      <c r="I156" s="3"/>
      <c r="J156" s="3"/>
    </row>
    <row r="157" spans="2:10" ht="23.25" customHeight="1" x14ac:dyDescent="0.35">
      <c r="B157" s="2" t="s">
        <v>1152</v>
      </c>
      <c r="C157" s="2" t="s">
        <v>155</v>
      </c>
      <c r="D157" s="4" t="s">
        <v>734</v>
      </c>
      <c r="E157" s="3" t="s">
        <v>8</v>
      </c>
      <c r="F157" s="3"/>
      <c r="G157" s="3"/>
      <c r="H157" s="3"/>
      <c r="I157" s="3"/>
      <c r="J157" s="3"/>
    </row>
    <row r="158" spans="2:10" ht="23.25" customHeight="1" x14ac:dyDescent="0.35">
      <c r="B158" s="2" t="s">
        <v>1152</v>
      </c>
      <c r="C158" s="2" t="s">
        <v>156</v>
      </c>
      <c r="D158" s="4" t="s">
        <v>735</v>
      </c>
      <c r="E158" s="3"/>
      <c r="F158" s="3"/>
      <c r="G158" s="3"/>
      <c r="H158" s="3"/>
      <c r="I158" s="3" t="s">
        <v>8</v>
      </c>
      <c r="J158" s="3"/>
    </row>
    <row r="159" spans="2:10" ht="23.25" customHeight="1" x14ac:dyDescent="0.35">
      <c r="B159" s="2" t="s">
        <v>1152</v>
      </c>
      <c r="C159" s="2" t="s">
        <v>157</v>
      </c>
      <c r="D159" s="4" t="s">
        <v>736</v>
      </c>
      <c r="E159" s="3" t="s">
        <v>8</v>
      </c>
      <c r="F159" s="3"/>
      <c r="G159" s="3"/>
      <c r="H159" s="3"/>
      <c r="I159" s="3"/>
      <c r="J159" s="3"/>
    </row>
    <row r="160" spans="2:10" ht="14.25" customHeight="1" x14ac:dyDescent="0.35">
      <c r="B160" s="2" t="s">
        <v>1152</v>
      </c>
      <c r="C160" s="2" t="s">
        <v>158</v>
      </c>
      <c r="D160" s="4" t="s">
        <v>737</v>
      </c>
      <c r="E160" s="3"/>
      <c r="F160" s="3" t="s">
        <v>8</v>
      </c>
      <c r="G160" s="3"/>
      <c r="H160" s="3"/>
      <c r="I160" s="3"/>
      <c r="J160" s="3"/>
    </row>
    <row r="161" spans="2:10" ht="23.25" customHeight="1" x14ac:dyDescent="0.35">
      <c r="B161" s="2" t="s">
        <v>1152</v>
      </c>
      <c r="C161" s="2" t="s">
        <v>159</v>
      </c>
      <c r="D161" s="4" t="s">
        <v>717</v>
      </c>
      <c r="E161" s="3"/>
      <c r="F161" s="3"/>
      <c r="G161" s="3" t="s">
        <v>8</v>
      </c>
      <c r="H161" s="3"/>
      <c r="I161" s="3"/>
      <c r="J161" s="3"/>
    </row>
    <row r="162" spans="2:10" ht="23.25" customHeight="1" x14ac:dyDescent="0.35">
      <c r="B162" s="2" t="s">
        <v>1152</v>
      </c>
      <c r="C162" s="2" t="s">
        <v>160</v>
      </c>
      <c r="D162" s="4" t="s">
        <v>738</v>
      </c>
      <c r="E162" s="3" t="s">
        <v>8</v>
      </c>
      <c r="F162" s="3"/>
      <c r="G162" s="3"/>
      <c r="H162" s="3"/>
      <c r="I162" s="3"/>
      <c r="J162" s="3"/>
    </row>
    <row r="163" spans="2:10" ht="15" customHeight="1" x14ac:dyDescent="0.35">
      <c r="B163" s="2" t="s">
        <v>1152</v>
      </c>
      <c r="C163" s="2" t="s">
        <v>161</v>
      </c>
      <c r="D163" s="4" t="s">
        <v>739</v>
      </c>
      <c r="E163" s="3"/>
      <c r="F163" s="3"/>
      <c r="G163" s="3" t="s">
        <v>8</v>
      </c>
      <c r="H163" s="3"/>
      <c r="I163" s="3"/>
      <c r="J163" s="3"/>
    </row>
    <row r="164" spans="2:10" ht="14.25" customHeight="1" x14ac:dyDescent="0.35">
      <c r="B164" s="2" t="s">
        <v>1152</v>
      </c>
      <c r="C164" s="2" t="s">
        <v>162</v>
      </c>
      <c r="D164" s="4" t="s">
        <v>740</v>
      </c>
      <c r="E164" s="3"/>
      <c r="F164" s="3"/>
      <c r="G164" s="3" t="s">
        <v>8</v>
      </c>
      <c r="H164" s="3"/>
      <c r="I164" s="3"/>
      <c r="J164" s="3" t="s">
        <v>8</v>
      </c>
    </row>
    <row r="165" spans="2:10" ht="14.25" customHeight="1" x14ac:dyDescent="0.35">
      <c r="B165" s="2" t="s">
        <v>1152</v>
      </c>
      <c r="C165" s="2" t="s">
        <v>163</v>
      </c>
      <c r="D165" s="4" t="s">
        <v>741</v>
      </c>
      <c r="E165" s="3"/>
      <c r="F165" s="3"/>
      <c r="G165" s="3"/>
      <c r="H165" s="3" t="s">
        <v>8</v>
      </c>
      <c r="I165" s="3"/>
      <c r="J165" s="3" t="s">
        <v>8</v>
      </c>
    </row>
    <row r="166" spans="2:10" ht="14.25" customHeight="1" x14ac:dyDescent="0.35">
      <c r="B166" s="2" t="s">
        <v>1152</v>
      </c>
      <c r="C166" s="2" t="s">
        <v>164</v>
      </c>
      <c r="D166" s="4" t="s">
        <v>742</v>
      </c>
      <c r="E166" s="3"/>
      <c r="F166" s="3"/>
      <c r="G166" s="3" t="s">
        <v>8</v>
      </c>
      <c r="H166" s="3"/>
      <c r="I166" s="3"/>
      <c r="J166" s="3" t="s">
        <v>8</v>
      </c>
    </row>
    <row r="167" spans="2:10" ht="23.25" customHeight="1" x14ac:dyDescent="0.35">
      <c r="B167" s="2" t="s">
        <v>1152</v>
      </c>
      <c r="C167" s="2" t="s">
        <v>165</v>
      </c>
      <c r="D167" s="4" t="s">
        <v>743</v>
      </c>
      <c r="E167" s="3" t="s">
        <v>8</v>
      </c>
      <c r="F167" s="3"/>
      <c r="G167" s="3"/>
      <c r="H167" s="3" t="s">
        <v>8</v>
      </c>
      <c r="I167" s="3"/>
      <c r="J167" s="3"/>
    </row>
    <row r="168" spans="2:10" ht="14.25" customHeight="1" x14ac:dyDescent="0.35">
      <c r="B168" s="2" t="s">
        <v>1152</v>
      </c>
      <c r="C168" s="2" t="s">
        <v>166</v>
      </c>
      <c r="D168" s="4" t="s">
        <v>744</v>
      </c>
      <c r="E168" s="3"/>
      <c r="F168" s="3" t="s">
        <v>8</v>
      </c>
      <c r="G168" s="3"/>
      <c r="H168" s="3"/>
      <c r="I168" s="3" t="s">
        <v>8</v>
      </c>
      <c r="J168" s="3"/>
    </row>
    <row r="169" spans="2:10" ht="14.25" customHeight="1" x14ac:dyDescent="0.35">
      <c r="B169" s="2" t="s">
        <v>1152</v>
      </c>
      <c r="C169" s="2" t="s">
        <v>167</v>
      </c>
      <c r="D169" s="4" t="s">
        <v>745</v>
      </c>
      <c r="E169" s="3" t="s">
        <v>8</v>
      </c>
      <c r="F169" s="3"/>
      <c r="G169" s="3"/>
      <c r="H169" s="3" t="s">
        <v>8</v>
      </c>
      <c r="I169" s="3"/>
      <c r="J169" s="3"/>
    </row>
    <row r="170" spans="2:10" ht="15" customHeight="1" x14ac:dyDescent="0.35">
      <c r="B170" s="2" t="s">
        <v>1152</v>
      </c>
      <c r="C170" s="2" t="s">
        <v>168</v>
      </c>
      <c r="D170" s="4" t="s">
        <v>746</v>
      </c>
      <c r="E170" s="3"/>
      <c r="F170" s="3"/>
      <c r="G170" s="3" t="s">
        <v>8</v>
      </c>
      <c r="H170" s="3"/>
      <c r="I170" s="3"/>
      <c r="J170" s="3" t="s">
        <v>8</v>
      </c>
    </row>
    <row r="171" spans="2:10" ht="14.25" customHeight="1" x14ac:dyDescent="0.35">
      <c r="B171" s="2" t="s">
        <v>1152</v>
      </c>
      <c r="C171" s="2" t="s">
        <v>169</v>
      </c>
      <c r="D171" s="4" t="s">
        <v>747</v>
      </c>
      <c r="E171" s="3"/>
      <c r="F171" s="3" t="s">
        <v>8</v>
      </c>
      <c r="G171" s="3"/>
      <c r="H171" s="3"/>
      <c r="I171" s="3" t="s">
        <v>8</v>
      </c>
      <c r="J171" s="3"/>
    </row>
    <row r="172" spans="2:10" ht="14.25" customHeight="1" x14ac:dyDescent="0.35">
      <c r="B172" s="2" t="s">
        <v>1152</v>
      </c>
      <c r="C172" s="2" t="s">
        <v>170</v>
      </c>
      <c r="D172" s="4" t="s">
        <v>748</v>
      </c>
      <c r="E172" s="3"/>
      <c r="F172" s="3" t="s">
        <v>8</v>
      </c>
      <c r="G172" s="3"/>
      <c r="H172" s="3"/>
      <c r="I172" s="3" t="s">
        <v>8</v>
      </c>
      <c r="J172" s="3"/>
    </row>
    <row r="173" spans="2:10" ht="14.25" customHeight="1" x14ac:dyDescent="0.35">
      <c r="B173" s="2" t="s">
        <v>1152</v>
      </c>
      <c r="C173" s="2" t="s">
        <v>171</v>
      </c>
      <c r="D173" s="4" t="s">
        <v>749</v>
      </c>
      <c r="E173" s="3"/>
      <c r="F173" s="3"/>
      <c r="G173" s="3" t="s">
        <v>8</v>
      </c>
      <c r="H173" s="3"/>
      <c r="I173" s="3"/>
      <c r="J173" s="3" t="s">
        <v>8</v>
      </c>
    </row>
    <row r="174" spans="2:10" ht="14.25" customHeight="1" x14ac:dyDescent="0.35">
      <c r="B174" s="2" t="s">
        <v>1152</v>
      </c>
      <c r="C174" s="2" t="s">
        <v>172</v>
      </c>
      <c r="D174" s="4" t="s">
        <v>750</v>
      </c>
      <c r="E174" s="3" t="s">
        <v>8</v>
      </c>
      <c r="F174" s="3"/>
      <c r="G174" s="3"/>
      <c r="H174" s="3" t="s">
        <v>8</v>
      </c>
      <c r="I174" s="3"/>
      <c r="J174" s="3"/>
    </row>
    <row r="175" spans="2:10" ht="15" customHeight="1" x14ac:dyDescent="0.35">
      <c r="B175" s="2" t="s">
        <v>1152</v>
      </c>
      <c r="C175" s="2" t="s">
        <v>173</v>
      </c>
      <c r="D175" s="4" t="s">
        <v>751</v>
      </c>
      <c r="E175" s="3" t="s">
        <v>8</v>
      </c>
      <c r="F175" s="3"/>
      <c r="G175" s="3"/>
      <c r="H175" s="3" t="s">
        <v>8</v>
      </c>
      <c r="I175" s="3"/>
      <c r="J175" s="3"/>
    </row>
    <row r="176" spans="2:10" ht="14.25" customHeight="1" x14ac:dyDescent="0.35">
      <c r="B176" s="2" t="s">
        <v>1152</v>
      </c>
      <c r="C176" s="2" t="s">
        <v>174</v>
      </c>
      <c r="D176" s="4" t="s">
        <v>752</v>
      </c>
      <c r="E176" s="3" t="s">
        <v>8</v>
      </c>
      <c r="F176" s="3"/>
      <c r="G176" s="3"/>
      <c r="H176" s="3" t="s">
        <v>8</v>
      </c>
      <c r="I176" s="3"/>
      <c r="J176" s="3"/>
    </row>
    <row r="177" spans="2:10" ht="23.25" customHeight="1" x14ac:dyDescent="0.35">
      <c r="B177" s="2" t="s">
        <v>1152</v>
      </c>
      <c r="C177" s="2" t="s">
        <v>18</v>
      </c>
      <c r="D177" s="4" t="s">
        <v>753</v>
      </c>
      <c r="E177" s="3"/>
      <c r="F177" s="3"/>
      <c r="G177" s="3"/>
      <c r="H177" s="3" t="s">
        <v>8</v>
      </c>
      <c r="I177" s="3"/>
      <c r="J177" s="3"/>
    </row>
    <row r="178" spans="2:10" ht="14.25" customHeight="1" x14ac:dyDescent="0.35">
      <c r="B178" s="2" t="s">
        <v>1152</v>
      </c>
      <c r="C178" s="2" t="s">
        <v>175</v>
      </c>
      <c r="D178" s="4" t="s">
        <v>754</v>
      </c>
      <c r="E178" s="3"/>
      <c r="F178" s="3" t="s">
        <v>8</v>
      </c>
      <c r="G178" s="3"/>
      <c r="H178" s="3"/>
      <c r="I178" s="3" t="s">
        <v>8</v>
      </c>
      <c r="J178" s="3"/>
    </row>
    <row r="179" spans="2:10" ht="14.25" customHeight="1" x14ac:dyDescent="0.35">
      <c r="B179" s="2" t="s">
        <v>1152</v>
      </c>
      <c r="C179" s="2" t="s">
        <v>176</v>
      </c>
      <c r="D179" s="4" t="s">
        <v>755</v>
      </c>
      <c r="E179" s="3" t="s">
        <v>8</v>
      </c>
      <c r="F179" s="3"/>
      <c r="G179" s="3"/>
      <c r="H179" s="3" t="s">
        <v>8</v>
      </c>
      <c r="I179" s="3"/>
      <c r="J179" s="3"/>
    </row>
    <row r="180" spans="2:10" ht="23.25" customHeight="1" x14ac:dyDescent="0.35">
      <c r="B180" s="2" t="s">
        <v>1152</v>
      </c>
      <c r="C180" s="2" t="s">
        <v>177</v>
      </c>
      <c r="D180" s="4" t="s">
        <v>756</v>
      </c>
      <c r="E180" s="3"/>
      <c r="F180" s="3"/>
      <c r="G180" s="3"/>
      <c r="H180" s="3"/>
      <c r="I180" s="3" t="s">
        <v>8</v>
      </c>
      <c r="J180" s="3"/>
    </row>
    <row r="181" spans="2:10" ht="14.25" customHeight="1" x14ac:dyDescent="0.35">
      <c r="B181" s="2" t="s">
        <v>1152</v>
      </c>
      <c r="C181" s="2" t="s">
        <v>178</v>
      </c>
      <c r="D181" s="4" t="s">
        <v>757</v>
      </c>
      <c r="E181" s="3" t="s">
        <v>8</v>
      </c>
      <c r="F181" s="3"/>
      <c r="G181" s="3"/>
      <c r="H181" s="3" t="s">
        <v>8</v>
      </c>
      <c r="I181" s="3"/>
      <c r="J181" s="3"/>
    </row>
    <row r="182" spans="2:10" ht="15" customHeight="1" x14ac:dyDescent="0.35">
      <c r="B182" s="2" t="s">
        <v>1152</v>
      </c>
      <c r="C182" s="2" t="s">
        <v>179</v>
      </c>
      <c r="D182" s="4" t="s">
        <v>758</v>
      </c>
      <c r="E182" s="3"/>
      <c r="F182" s="3" t="s">
        <v>8</v>
      </c>
      <c r="G182" s="3"/>
      <c r="H182" s="3"/>
      <c r="I182" s="3" t="s">
        <v>8</v>
      </c>
      <c r="J182" s="3"/>
    </row>
    <row r="183" spans="2:10" ht="14.25" customHeight="1" x14ac:dyDescent="0.35">
      <c r="B183" s="2" t="s">
        <v>1152</v>
      </c>
      <c r="C183" s="2" t="s">
        <v>180</v>
      </c>
      <c r="D183" s="4" t="s">
        <v>759</v>
      </c>
      <c r="E183" s="3"/>
      <c r="F183" s="3" t="s">
        <v>8</v>
      </c>
      <c r="G183" s="3"/>
      <c r="H183" s="3"/>
      <c r="I183" s="3"/>
      <c r="J183" s="3"/>
    </row>
    <row r="184" spans="2:10" ht="23.25" customHeight="1" x14ac:dyDescent="0.35">
      <c r="B184" s="2" t="s">
        <v>1152</v>
      </c>
      <c r="C184" s="2" t="s">
        <v>181</v>
      </c>
      <c r="D184" s="4" t="s">
        <v>760</v>
      </c>
      <c r="E184" s="3"/>
      <c r="F184" s="3" t="s">
        <v>8</v>
      </c>
      <c r="G184" s="3"/>
      <c r="H184" s="3"/>
      <c r="I184" s="3"/>
      <c r="J184" s="3"/>
    </row>
    <row r="185" spans="2:10" ht="23.25" customHeight="1" x14ac:dyDescent="0.35">
      <c r="B185" s="2" t="s">
        <v>1152</v>
      </c>
      <c r="C185" s="2" t="s">
        <v>182</v>
      </c>
      <c r="D185" s="4" t="s">
        <v>761</v>
      </c>
      <c r="E185" s="3"/>
      <c r="F185" s="3"/>
      <c r="G185" s="3"/>
      <c r="H185" s="3"/>
      <c r="I185" s="3" t="s">
        <v>8</v>
      </c>
      <c r="J185" s="3"/>
    </row>
    <row r="186" spans="2:10" ht="14.25" customHeight="1" x14ac:dyDescent="0.35">
      <c r="B186" s="2" t="s">
        <v>1152</v>
      </c>
      <c r="C186" s="2" t="s">
        <v>183</v>
      </c>
      <c r="D186" s="4" t="s">
        <v>762</v>
      </c>
      <c r="E186" s="3"/>
      <c r="F186" s="3"/>
      <c r="G186" s="3"/>
      <c r="H186" s="3"/>
      <c r="I186" s="3"/>
      <c r="J186" s="3" t="s">
        <v>8</v>
      </c>
    </row>
    <row r="187" spans="2:10" ht="14.25" customHeight="1" x14ac:dyDescent="0.35">
      <c r="B187" s="2" t="s">
        <v>1152</v>
      </c>
      <c r="C187" s="2" t="s">
        <v>184</v>
      </c>
      <c r="D187" s="4" t="s">
        <v>763</v>
      </c>
      <c r="E187" s="3"/>
      <c r="F187" s="3"/>
      <c r="G187" s="3"/>
      <c r="H187" s="3"/>
      <c r="I187" s="3"/>
      <c r="J187" s="3" t="s">
        <v>8</v>
      </c>
    </row>
    <row r="188" spans="2:10" ht="23.25" customHeight="1" x14ac:dyDescent="0.35">
      <c r="B188" s="2" t="s">
        <v>1152</v>
      </c>
      <c r="C188" s="2" t="s">
        <v>185</v>
      </c>
      <c r="D188" s="4" t="s">
        <v>764</v>
      </c>
      <c r="E188" s="3"/>
      <c r="F188" s="3"/>
      <c r="G188" s="3"/>
      <c r="H188" s="3"/>
      <c r="I188" s="3"/>
      <c r="J188" s="3" t="s">
        <v>8</v>
      </c>
    </row>
    <row r="189" spans="2:10" ht="14.25" customHeight="1" x14ac:dyDescent="0.35">
      <c r="B189" s="2" t="s">
        <v>1152</v>
      </c>
      <c r="C189" s="2" t="s">
        <v>186</v>
      </c>
      <c r="D189" s="4" t="s">
        <v>765</v>
      </c>
      <c r="E189" s="3" t="s">
        <v>8</v>
      </c>
      <c r="F189" s="3"/>
      <c r="G189" s="3"/>
      <c r="H189" s="3"/>
      <c r="I189" s="3"/>
      <c r="J189" s="3"/>
    </row>
    <row r="190" spans="2:10" ht="23.25" customHeight="1" x14ac:dyDescent="0.35">
      <c r="B190" s="2" t="s">
        <v>1152</v>
      </c>
      <c r="C190" s="2" t="s">
        <v>187</v>
      </c>
      <c r="D190" s="4" t="s">
        <v>766</v>
      </c>
      <c r="E190" s="3"/>
      <c r="F190" s="3"/>
      <c r="G190" s="3"/>
      <c r="H190" s="3" t="s">
        <v>8</v>
      </c>
      <c r="I190" s="3"/>
      <c r="J190" s="3"/>
    </row>
    <row r="191" spans="2:10" ht="23.25" customHeight="1" x14ac:dyDescent="0.35">
      <c r="B191" s="2" t="s">
        <v>1152</v>
      </c>
      <c r="C191" s="2" t="s">
        <v>188</v>
      </c>
      <c r="D191" s="4" t="s">
        <v>767</v>
      </c>
      <c r="E191" s="3" t="s">
        <v>8</v>
      </c>
      <c r="F191" s="3"/>
      <c r="G191" s="3"/>
      <c r="H191" s="3"/>
      <c r="I191" s="3"/>
      <c r="J191" s="3"/>
    </row>
    <row r="192" spans="2:10" ht="14.25" customHeight="1" x14ac:dyDescent="0.35">
      <c r="B192" s="2" t="s">
        <v>1152</v>
      </c>
      <c r="C192" s="2" t="s">
        <v>189</v>
      </c>
      <c r="D192" s="4" t="s">
        <v>768</v>
      </c>
      <c r="E192" s="3"/>
      <c r="F192" s="3"/>
      <c r="G192" s="3" t="s">
        <v>8</v>
      </c>
      <c r="H192" s="3"/>
      <c r="I192" s="3"/>
      <c r="J192" s="3"/>
    </row>
    <row r="193" spans="2:10" ht="15" customHeight="1" x14ac:dyDescent="0.35">
      <c r="B193" s="2" t="s">
        <v>1152</v>
      </c>
      <c r="C193" s="2" t="s">
        <v>190</v>
      </c>
      <c r="D193" s="4" t="s">
        <v>769</v>
      </c>
      <c r="E193" s="3"/>
      <c r="F193" s="3"/>
      <c r="G193" s="3" t="s">
        <v>8</v>
      </c>
      <c r="H193" s="3"/>
      <c r="I193" s="3"/>
      <c r="J193" s="3" t="s">
        <v>8</v>
      </c>
    </row>
    <row r="194" spans="2:10" ht="14.25" customHeight="1" x14ac:dyDescent="0.35">
      <c r="B194" s="2" t="s">
        <v>1152</v>
      </c>
      <c r="C194" s="2" t="s">
        <v>191</v>
      </c>
      <c r="D194" s="4" t="s">
        <v>770</v>
      </c>
      <c r="E194" s="3" t="s">
        <v>8</v>
      </c>
      <c r="F194" s="3"/>
      <c r="G194" s="3"/>
      <c r="H194" s="3" t="s">
        <v>8</v>
      </c>
      <c r="I194" s="3"/>
      <c r="J194" s="3"/>
    </row>
    <row r="195" spans="2:10" ht="14.25" customHeight="1" x14ac:dyDescent="0.35">
      <c r="B195" s="2" t="s">
        <v>1152</v>
      </c>
      <c r="C195" s="2" t="s">
        <v>192</v>
      </c>
      <c r="D195" s="4" t="s">
        <v>771</v>
      </c>
      <c r="E195" s="3"/>
      <c r="F195" s="3" t="s">
        <v>8</v>
      </c>
      <c r="G195" s="3"/>
      <c r="H195" s="3"/>
      <c r="I195" s="3" t="s">
        <v>8</v>
      </c>
      <c r="J195" s="3"/>
    </row>
    <row r="196" spans="2:10" ht="14.25" customHeight="1" x14ac:dyDescent="0.35">
      <c r="B196" s="2" t="s">
        <v>1152</v>
      </c>
      <c r="C196" s="2" t="s">
        <v>13</v>
      </c>
      <c r="D196" s="4" t="s">
        <v>594</v>
      </c>
      <c r="E196" s="3" t="s">
        <v>8</v>
      </c>
      <c r="F196" s="3"/>
      <c r="G196" s="3"/>
      <c r="H196" s="3"/>
      <c r="I196" s="3"/>
      <c r="J196" s="3"/>
    </row>
    <row r="197" spans="2:10" ht="14.25" customHeight="1" x14ac:dyDescent="0.35">
      <c r="B197" s="2" t="s">
        <v>1152</v>
      </c>
      <c r="C197" s="2" t="s">
        <v>193</v>
      </c>
      <c r="D197" s="4" t="s">
        <v>772</v>
      </c>
      <c r="E197" s="3"/>
      <c r="F197" s="3"/>
      <c r="G197" s="3" t="s">
        <v>8</v>
      </c>
      <c r="H197" s="3"/>
      <c r="I197" s="3"/>
      <c r="J197" s="3" t="s">
        <v>8</v>
      </c>
    </row>
    <row r="198" spans="2:10" ht="15" customHeight="1" x14ac:dyDescent="0.35">
      <c r="B198" s="2" t="s">
        <v>1152</v>
      </c>
      <c r="C198" s="2" t="s">
        <v>194</v>
      </c>
      <c r="D198" s="4" t="s">
        <v>773</v>
      </c>
      <c r="E198" s="3"/>
      <c r="F198" s="3"/>
      <c r="G198" s="3" t="s">
        <v>8</v>
      </c>
      <c r="H198" s="3"/>
      <c r="I198" s="3"/>
      <c r="J198" s="3" t="s">
        <v>8</v>
      </c>
    </row>
    <row r="199" spans="2:10" ht="14.25" customHeight="1" x14ac:dyDescent="0.35">
      <c r="B199" s="2" t="s">
        <v>1152</v>
      </c>
      <c r="C199" s="2" t="s">
        <v>195</v>
      </c>
      <c r="D199" s="4" t="s">
        <v>774</v>
      </c>
      <c r="E199" s="3"/>
      <c r="F199" s="3"/>
      <c r="G199" s="3" t="s">
        <v>8</v>
      </c>
      <c r="H199" s="3"/>
      <c r="I199" s="3"/>
      <c r="J199" s="3" t="s">
        <v>8</v>
      </c>
    </row>
    <row r="200" spans="2:10" ht="14.25" customHeight="1" x14ac:dyDescent="0.35">
      <c r="B200" s="2" t="s">
        <v>1152</v>
      </c>
      <c r="C200" s="2" t="s">
        <v>196</v>
      </c>
      <c r="D200" s="4" t="s">
        <v>775</v>
      </c>
      <c r="E200" s="3"/>
      <c r="F200" s="3" t="s">
        <v>8</v>
      </c>
      <c r="G200" s="3"/>
      <c r="H200" s="3"/>
      <c r="I200" s="3" t="s">
        <v>8</v>
      </c>
      <c r="J200" s="3"/>
    </row>
    <row r="201" spans="2:10" ht="14.25" customHeight="1" x14ac:dyDescent="0.35">
      <c r="B201" s="2" t="s">
        <v>1152</v>
      </c>
      <c r="C201" s="2" t="s">
        <v>197</v>
      </c>
      <c r="D201" s="4" t="s">
        <v>776</v>
      </c>
      <c r="E201" s="3"/>
      <c r="F201" s="3" t="s">
        <v>8</v>
      </c>
      <c r="G201" s="3"/>
      <c r="H201" s="3"/>
      <c r="I201" s="3" t="s">
        <v>8</v>
      </c>
      <c r="J201" s="3"/>
    </row>
    <row r="202" spans="2:10" ht="14.25" customHeight="1" x14ac:dyDescent="0.35">
      <c r="B202" s="2" t="s">
        <v>1152</v>
      </c>
      <c r="C202" s="2" t="s">
        <v>198</v>
      </c>
      <c r="D202" s="4" t="s">
        <v>777</v>
      </c>
      <c r="E202" s="3" t="s">
        <v>8</v>
      </c>
      <c r="F202" s="3"/>
      <c r="G202" s="3"/>
      <c r="H202" s="3" t="s">
        <v>8</v>
      </c>
      <c r="I202" s="3"/>
      <c r="J202" s="3"/>
    </row>
    <row r="203" spans="2:10" ht="15" customHeight="1" x14ac:dyDescent="0.35">
      <c r="B203" s="2" t="s">
        <v>1152</v>
      </c>
      <c r="C203" s="2" t="s">
        <v>199</v>
      </c>
      <c r="D203" s="4" t="s">
        <v>778</v>
      </c>
      <c r="E203" s="3" t="s">
        <v>8</v>
      </c>
      <c r="F203" s="3"/>
      <c r="G203" s="3"/>
      <c r="H203" s="3" t="s">
        <v>8</v>
      </c>
      <c r="I203" s="3"/>
      <c r="J203" s="3"/>
    </row>
    <row r="204" spans="2:10" ht="14.25" customHeight="1" x14ac:dyDescent="0.35">
      <c r="B204" s="2" t="s">
        <v>1152</v>
      </c>
      <c r="C204" s="2" t="s">
        <v>200</v>
      </c>
      <c r="D204" s="4" t="s">
        <v>779</v>
      </c>
      <c r="E204" s="3"/>
      <c r="F204" s="3" t="s">
        <v>8</v>
      </c>
      <c r="G204" s="3"/>
      <c r="H204" s="3"/>
      <c r="I204" s="3" t="s">
        <v>8</v>
      </c>
      <c r="J204" s="3"/>
    </row>
    <row r="205" spans="2:10" ht="14.25" customHeight="1" x14ac:dyDescent="0.35">
      <c r="B205" s="2" t="s">
        <v>1152</v>
      </c>
      <c r="C205" s="2" t="s">
        <v>201</v>
      </c>
      <c r="D205" s="4" t="s">
        <v>779</v>
      </c>
      <c r="E205" s="3"/>
      <c r="F205" s="3" t="s">
        <v>8</v>
      </c>
      <c r="G205" s="3"/>
      <c r="H205" s="3"/>
      <c r="I205" s="3" t="s">
        <v>8</v>
      </c>
      <c r="J205" s="3"/>
    </row>
    <row r="206" spans="2:10" ht="14.25" customHeight="1" x14ac:dyDescent="0.35">
      <c r="B206" s="2" t="s">
        <v>1152</v>
      </c>
      <c r="C206" s="2" t="s">
        <v>202</v>
      </c>
      <c r="D206" s="4" t="s">
        <v>780</v>
      </c>
      <c r="E206" s="3"/>
      <c r="F206" s="3"/>
      <c r="G206" s="3" t="s">
        <v>8</v>
      </c>
      <c r="H206" s="3"/>
      <c r="I206" s="3"/>
      <c r="J206" s="3" t="s">
        <v>8</v>
      </c>
    </row>
    <row r="207" spans="2:10" ht="14.25" customHeight="1" x14ac:dyDescent="0.35">
      <c r="B207" s="2" t="s">
        <v>1152</v>
      </c>
      <c r="C207" s="2" t="s">
        <v>203</v>
      </c>
      <c r="D207" s="4" t="s">
        <v>781</v>
      </c>
      <c r="E207" s="3" t="s">
        <v>8</v>
      </c>
      <c r="F207" s="3"/>
      <c r="G207" s="3"/>
      <c r="H207" s="3" t="s">
        <v>8</v>
      </c>
      <c r="I207" s="3"/>
      <c r="J207" s="3"/>
    </row>
    <row r="208" spans="2:10" ht="15" customHeight="1" x14ac:dyDescent="0.35">
      <c r="B208" s="2" t="s">
        <v>1152</v>
      </c>
      <c r="C208" s="2" t="s">
        <v>204</v>
      </c>
      <c r="D208" s="4" t="s">
        <v>782</v>
      </c>
      <c r="E208" s="3"/>
      <c r="F208" s="3" t="s">
        <v>8</v>
      </c>
      <c r="G208" s="3"/>
      <c r="H208" s="3"/>
      <c r="I208" s="3"/>
      <c r="J208" s="3"/>
    </row>
    <row r="209" spans="2:10" ht="14.25" customHeight="1" x14ac:dyDescent="0.35">
      <c r="B209" s="2" t="s">
        <v>1152</v>
      </c>
      <c r="C209" s="2" t="s">
        <v>205</v>
      </c>
      <c r="D209" s="4" t="s">
        <v>783</v>
      </c>
      <c r="E209" s="3" t="s">
        <v>8</v>
      </c>
      <c r="F209" s="3"/>
      <c r="G209" s="3"/>
      <c r="H209" s="3" t="s">
        <v>8</v>
      </c>
      <c r="I209" s="3"/>
      <c r="J209" s="3"/>
    </row>
    <row r="210" spans="2:10" ht="14.25" customHeight="1" x14ac:dyDescent="0.35">
      <c r="B210" s="2" t="s">
        <v>1152</v>
      </c>
      <c r="C210" s="2" t="s">
        <v>206</v>
      </c>
      <c r="D210" s="4" t="s">
        <v>784</v>
      </c>
      <c r="E210" s="3" t="s">
        <v>8</v>
      </c>
      <c r="F210" s="3"/>
      <c r="G210" s="3"/>
      <c r="H210" s="3" t="s">
        <v>8</v>
      </c>
      <c r="I210" s="3"/>
      <c r="J210" s="3"/>
    </row>
    <row r="211" spans="2:10" ht="14.25" customHeight="1" x14ac:dyDescent="0.35">
      <c r="B211" s="2" t="s">
        <v>1152</v>
      </c>
      <c r="C211" s="2" t="s">
        <v>207</v>
      </c>
      <c r="D211" s="4" t="s">
        <v>785</v>
      </c>
      <c r="E211" s="3"/>
      <c r="F211" s="3"/>
      <c r="G211" s="3" t="s">
        <v>8</v>
      </c>
      <c r="H211" s="3"/>
      <c r="I211" s="3"/>
      <c r="J211" s="3" t="s">
        <v>8</v>
      </c>
    </row>
    <row r="212" spans="2:10" ht="23.25" customHeight="1" x14ac:dyDescent="0.35">
      <c r="B212" s="2" t="s">
        <v>1152</v>
      </c>
      <c r="C212" s="2" t="s">
        <v>208</v>
      </c>
      <c r="D212" s="4" t="s">
        <v>786</v>
      </c>
      <c r="E212" s="3"/>
      <c r="F212" s="3" t="s">
        <v>8</v>
      </c>
      <c r="G212" s="3"/>
      <c r="H212" s="3"/>
      <c r="I212" s="3"/>
      <c r="J212" s="3"/>
    </row>
    <row r="213" spans="2:10" ht="14.25" customHeight="1" x14ac:dyDescent="0.35">
      <c r="B213" s="2" t="s">
        <v>1152</v>
      </c>
      <c r="C213" s="2" t="s">
        <v>209</v>
      </c>
      <c r="D213" s="4" t="s">
        <v>787</v>
      </c>
      <c r="E213" s="3" t="s">
        <v>8</v>
      </c>
      <c r="F213" s="3"/>
      <c r="G213" s="3"/>
      <c r="H213" s="3"/>
      <c r="I213" s="3"/>
      <c r="J213" s="3"/>
    </row>
    <row r="214" spans="2:10" ht="15" customHeight="1" x14ac:dyDescent="0.35">
      <c r="B214" s="2" t="s">
        <v>1152</v>
      </c>
      <c r="C214" s="2" t="s">
        <v>210</v>
      </c>
      <c r="D214" s="4" t="s">
        <v>788</v>
      </c>
      <c r="E214" s="3"/>
      <c r="F214" s="3" t="s">
        <v>8</v>
      </c>
      <c r="G214" s="3"/>
      <c r="H214" s="3"/>
      <c r="I214" s="3"/>
      <c r="J214" s="3"/>
    </row>
    <row r="215" spans="2:10" ht="14.25" customHeight="1" x14ac:dyDescent="0.35">
      <c r="B215" s="2" t="s">
        <v>1152</v>
      </c>
      <c r="C215" s="2" t="s">
        <v>211</v>
      </c>
      <c r="D215" s="4" t="s">
        <v>789</v>
      </c>
      <c r="E215" s="3" t="s">
        <v>8</v>
      </c>
      <c r="F215" s="3"/>
      <c r="G215" s="3"/>
      <c r="H215" s="3" t="s">
        <v>8</v>
      </c>
      <c r="I215" s="3"/>
      <c r="J215" s="3"/>
    </row>
    <row r="216" spans="2:10" ht="14.25" customHeight="1" x14ac:dyDescent="0.35">
      <c r="B216" s="2" t="s">
        <v>1152</v>
      </c>
      <c r="C216" s="2" t="s">
        <v>212</v>
      </c>
      <c r="D216" s="4" t="s">
        <v>790</v>
      </c>
      <c r="E216" s="3"/>
      <c r="F216" s="3"/>
      <c r="G216" s="3" t="s">
        <v>8</v>
      </c>
      <c r="H216" s="3"/>
      <c r="I216" s="3"/>
      <c r="J216" s="3" t="s">
        <v>8</v>
      </c>
    </row>
    <row r="217" spans="2:10" ht="14.25" customHeight="1" x14ac:dyDescent="0.35">
      <c r="B217" s="2" t="s">
        <v>1152</v>
      </c>
      <c r="C217" s="2" t="s">
        <v>213</v>
      </c>
      <c r="D217" s="4" t="s">
        <v>791</v>
      </c>
      <c r="E217" s="3"/>
      <c r="F217" s="3" t="s">
        <v>8</v>
      </c>
      <c r="G217" s="3"/>
      <c r="H217" s="3"/>
      <c r="I217" s="3" t="s">
        <v>8</v>
      </c>
      <c r="J217" s="3"/>
    </row>
    <row r="218" spans="2:10" ht="14.25" customHeight="1" x14ac:dyDescent="0.35">
      <c r="B218" s="2" t="s">
        <v>1152</v>
      </c>
      <c r="C218" s="2" t="s">
        <v>214</v>
      </c>
      <c r="D218" s="4" t="s">
        <v>792</v>
      </c>
      <c r="E218" s="3"/>
      <c r="F218" s="3" t="s">
        <v>8</v>
      </c>
      <c r="G218" s="3"/>
      <c r="H218" s="3"/>
      <c r="I218" s="3" t="s">
        <v>8</v>
      </c>
      <c r="J218" s="3"/>
    </row>
    <row r="219" spans="2:10" ht="15" customHeight="1" x14ac:dyDescent="0.35">
      <c r="B219" s="2" t="s">
        <v>1152</v>
      </c>
      <c r="C219" s="2" t="s">
        <v>215</v>
      </c>
      <c r="D219" s="4" t="s">
        <v>793</v>
      </c>
      <c r="E219" s="3"/>
      <c r="F219" s="3" t="s">
        <v>8</v>
      </c>
      <c r="G219" s="3"/>
      <c r="H219" s="3"/>
      <c r="I219" s="3" t="s">
        <v>8</v>
      </c>
      <c r="J219" s="3"/>
    </row>
    <row r="220" spans="2:10" ht="14.25" customHeight="1" x14ac:dyDescent="0.35">
      <c r="B220" s="2" t="s">
        <v>1152</v>
      </c>
      <c r="C220" s="2" t="s">
        <v>216</v>
      </c>
      <c r="D220" s="4" t="s">
        <v>794</v>
      </c>
      <c r="E220" s="3"/>
      <c r="F220" s="3"/>
      <c r="G220" s="3" t="s">
        <v>8</v>
      </c>
      <c r="H220" s="3"/>
      <c r="I220" s="3"/>
      <c r="J220" s="3" t="s">
        <v>8</v>
      </c>
    </row>
    <row r="221" spans="2:10" ht="14.25" customHeight="1" x14ac:dyDescent="0.35">
      <c r="B221" s="2" t="s">
        <v>1152</v>
      </c>
      <c r="C221" s="2" t="s">
        <v>217</v>
      </c>
      <c r="D221" s="4" t="s">
        <v>795</v>
      </c>
      <c r="E221" s="3"/>
      <c r="F221" s="3" t="s">
        <v>8</v>
      </c>
      <c r="G221" s="3"/>
      <c r="H221" s="3"/>
      <c r="I221" s="3" t="s">
        <v>8</v>
      </c>
      <c r="J221" s="3"/>
    </row>
    <row r="222" spans="2:10" ht="23.25" customHeight="1" x14ac:dyDescent="0.35">
      <c r="B222" s="2" t="s">
        <v>1152</v>
      </c>
      <c r="C222" s="2" t="s">
        <v>18</v>
      </c>
      <c r="D222" s="4" t="s">
        <v>796</v>
      </c>
      <c r="E222" s="3" t="s">
        <v>8</v>
      </c>
      <c r="F222" s="3"/>
      <c r="G222" s="3"/>
      <c r="H222" s="3" t="s">
        <v>8</v>
      </c>
      <c r="I222" s="3"/>
      <c r="J222" s="3"/>
    </row>
    <row r="223" spans="2:10" ht="23.25" customHeight="1" x14ac:dyDescent="0.35">
      <c r="B223" s="2" t="s">
        <v>1152</v>
      </c>
      <c r="C223" s="2" t="s">
        <v>218</v>
      </c>
      <c r="D223" s="4" t="s">
        <v>797</v>
      </c>
      <c r="E223" s="3"/>
      <c r="F223" s="3" t="s">
        <v>8</v>
      </c>
      <c r="G223" s="3"/>
      <c r="H223" s="3"/>
      <c r="I223" s="3" t="s">
        <v>8</v>
      </c>
      <c r="J223" s="3"/>
    </row>
    <row r="224" spans="2:10" ht="14.25" customHeight="1" x14ac:dyDescent="0.35">
      <c r="B224" s="2" t="s">
        <v>1152</v>
      </c>
      <c r="C224" s="2" t="s">
        <v>219</v>
      </c>
      <c r="D224" s="4" t="s">
        <v>798</v>
      </c>
      <c r="E224" s="3"/>
      <c r="F224" s="3"/>
      <c r="G224" s="3" t="s">
        <v>8</v>
      </c>
      <c r="H224" s="3"/>
      <c r="I224" s="3"/>
      <c r="J224" s="3" t="s">
        <v>8</v>
      </c>
    </row>
    <row r="225" spans="2:10" ht="14.25" customHeight="1" x14ac:dyDescent="0.35">
      <c r="B225" s="2" t="s">
        <v>1152</v>
      </c>
      <c r="C225" s="2" t="s">
        <v>220</v>
      </c>
      <c r="D225" s="4" t="s">
        <v>799</v>
      </c>
      <c r="E225" s="3"/>
      <c r="F225" s="3"/>
      <c r="G225" s="3" t="s">
        <v>8</v>
      </c>
      <c r="H225" s="3"/>
      <c r="I225" s="3"/>
      <c r="J225" s="3" t="s">
        <v>8</v>
      </c>
    </row>
    <row r="226" spans="2:10" ht="15" customHeight="1" x14ac:dyDescent="0.35">
      <c r="B226" s="2" t="s">
        <v>1152</v>
      </c>
      <c r="C226" s="2" t="s">
        <v>221</v>
      </c>
      <c r="D226" s="4" t="s">
        <v>800</v>
      </c>
      <c r="E226" s="3" t="s">
        <v>8</v>
      </c>
      <c r="F226" s="3"/>
      <c r="G226" s="3"/>
      <c r="H226" s="3" t="s">
        <v>8</v>
      </c>
      <c r="I226" s="3"/>
      <c r="J226" s="3"/>
    </row>
    <row r="227" spans="2:10" ht="14.25" customHeight="1" x14ac:dyDescent="0.35">
      <c r="B227" s="2" t="s">
        <v>1152</v>
      </c>
      <c r="C227" s="2" t="s">
        <v>222</v>
      </c>
      <c r="D227" s="4" t="s">
        <v>801</v>
      </c>
      <c r="E227" s="3" t="s">
        <v>8</v>
      </c>
      <c r="F227" s="3"/>
      <c r="G227" s="3"/>
      <c r="H227" s="3" t="s">
        <v>8</v>
      </c>
      <c r="I227" s="3"/>
      <c r="J227" s="3"/>
    </row>
    <row r="228" spans="2:10" ht="14.25" customHeight="1" x14ac:dyDescent="0.35">
      <c r="B228" s="2" t="s">
        <v>1152</v>
      </c>
      <c r="C228" s="2" t="s">
        <v>223</v>
      </c>
      <c r="D228" s="4" t="s">
        <v>802</v>
      </c>
      <c r="E228" s="3"/>
      <c r="F228" s="3"/>
      <c r="G228" s="3" t="s">
        <v>8</v>
      </c>
      <c r="H228" s="3"/>
      <c r="I228" s="3"/>
      <c r="J228" s="3" t="s">
        <v>8</v>
      </c>
    </row>
    <row r="229" spans="2:10" ht="14.25" customHeight="1" x14ac:dyDescent="0.35">
      <c r="B229" s="2" t="s">
        <v>1152</v>
      </c>
      <c r="C229" s="2" t="s">
        <v>224</v>
      </c>
      <c r="D229" s="4" t="s">
        <v>803</v>
      </c>
      <c r="E229" s="3"/>
      <c r="F229" s="3"/>
      <c r="G229" s="3" t="s">
        <v>8</v>
      </c>
      <c r="H229" s="3"/>
      <c r="I229" s="3"/>
      <c r="J229" s="3" t="s">
        <v>8</v>
      </c>
    </row>
    <row r="230" spans="2:10" ht="14.25" customHeight="1" x14ac:dyDescent="0.35">
      <c r="B230" s="2" t="s">
        <v>1152</v>
      </c>
      <c r="C230" s="2" t="s">
        <v>225</v>
      </c>
      <c r="D230" s="4" t="s">
        <v>804</v>
      </c>
      <c r="E230" s="3"/>
      <c r="F230" s="3"/>
      <c r="G230" s="3" t="s">
        <v>8</v>
      </c>
      <c r="H230" s="3"/>
      <c r="I230" s="3"/>
      <c r="J230" s="3"/>
    </row>
    <row r="231" spans="2:10" ht="15" customHeight="1" x14ac:dyDescent="0.35">
      <c r="B231" s="2" t="s">
        <v>1152</v>
      </c>
      <c r="C231" s="2" t="s">
        <v>226</v>
      </c>
      <c r="D231" s="4" t="s">
        <v>805</v>
      </c>
      <c r="E231" s="3" t="s">
        <v>8</v>
      </c>
      <c r="F231" s="3"/>
      <c r="G231" s="3"/>
      <c r="H231" s="3"/>
      <c r="I231" s="3"/>
      <c r="J231" s="3"/>
    </row>
    <row r="232" spans="2:10" ht="14.25" customHeight="1" x14ac:dyDescent="0.35">
      <c r="B232" s="2" t="s">
        <v>1152</v>
      </c>
      <c r="C232" s="2" t="s">
        <v>227</v>
      </c>
      <c r="D232" s="4" t="s">
        <v>806</v>
      </c>
      <c r="E232" s="3" t="s">
        <v>8</v>
      </c>
      <c r="F232" s="3"/>
      <c r="G232" s="3"/>
      <c r="H232" s="3" t="s">
        <v>8</v>
      </c>
      <c r="I232" s="3"/>
      <c r="J232" s="3"/>
    </row>
    <row r="233" spans="2:10" ht="14.25" customHeight="1" x14ac:dyDescent="0.35">
      <c r="B233" s="2" t="s">
        <v>1152</v>
      </c>
      <c r="C233" s="2" t="s">
        <v>228</v>
      </c>
      <c r="D233" s="4" t="s">
        <v>807</v>
      </c>
      <c r="E233" s="3"/>
      <c r="F233" s="3" t="s">
        <v>8</v>
      </c>
      <c r="G233" s="3"/>
      <c r="H233" s="3"/>
      <c r="I233" s="3" t="s">
        <v>8</v>
      </c>
      <c r="J233" s="3"/>
    </row>
    <row r="234" spans="2:10" ht="14.25" customHeight="1" x14ac:dyDescent="0.35">
      <c r="B234" s="2" t="s">
        <v>1152</v>
      </c>
      <c r="C234" s="2" t="s">
        <v>229</v>
      </c>
      <c r="D234" s="4" t="s">
        <v>808</v>
      </c>
      <c r="E234" s="3" t="s">
        <v>8</v>
      </c>
      <c r="F234" s="3"/>
      <c r="G234" s="3"/>
      <c r="H234" s="3" t="s">
        <v>8</v>
      </c>
      <c r="I234" s="3"/>
      <c r="J234" s="3"/>
    </row>
    <row r="235" spans="2:10" ht="14.25" customHeight="1" x14ac:dyDescent="0.35">
      <c r="B235" s="2" t="s">
        <v>1152</v>
      </c>
      <c r="C235" s="2" t="s">
        <v>230</v>
      </c>
      <c r="D235" s="4" t="s">
        <v>719</v>
      </c>
      <c r="E235" s="3"/>
      <c r="F235" s="3" t="s">
        <v>8</v>
      </c>
      <c r="G235" s="3"/>
      <c r="H235" s="3"/>
      <c r="I235" s="3" t="s">
        <v>8</v>
      </c>
      <c r="J235" s="3"/>
    </row>
    <row r="236" spans="2:10" ht="15" customHeight="1" x14ac:dyDescent="0.35">
      <c r="B236" s="2" t="s">
        <v>1152</v>
      </c>
      <c r="C236" s="2" t="s">
        <v>231</v>
      </c>
      <c r="D236" s="4" t="s">
        <v>797</v>
      </c>
      <c r="E236" s="3"/>
      <c r="F236" s="3" t="s">
        <v>8</v>
      </c>
      <c r="G236" s="3"/>
      <c r="H236" s="3"/>
      <c r="I236" s="3" t="s">
        <v>8</v>
      </c>
      <c r="J236" s="3"/>
    </row>
    <row r="237" spans="2:10" ht="14.25" customHeight="1" x14ac:dyDescent="0.35">
      <c r="B237" s="2" t="s">
        <v>1152</v>
      </c>
      <c r="C237" s="2" t="s">
        <v>232</v>
      </c>
      <c r="D237" s="4" t="s">
        <v>809</v>
      </c>
      <c r="E237" s="3" t="s">
        <v>8</v>
      </c>
      <c r="F237" s="3"/>
      <c r="G237" s="3"/>
      <c r="H237" s="3" t="s">
        <v>8</v>
      </c>
      <c r="I237" s="3"/>
      <c r="J237" s="3"/>
    </row>
    <row r="238" spans="2:10" ht="23.25" customHeight="1" x14ac:dyDescent="0.35">
      <c r="B238" s="2" t="s">
        <v>1152</v>
      </c>
      <c r="C238" s="2" t="s">
        <v>233</v>
      </c>
      <c r="D238" s="4" t="s">
        <v>810</v>
      </c>
      <c r="E238" s="3"/>
      <c r="F238" s="3" t="s">
        <v>8</v>
      </c>
      <c r="G238" s="3"/>
      <c r="H238" s="3"/>
      <c r="I238" s="3"/>
      <c r="J238" s="3"/>
    </row>
    <row r="239" spans="2:10" ht="23.25" customHeight="1" x14ac:dyDescent="0.35">
      <c r="B239" s="2" t="s">
        <v>1152</v>
      </c>
      <c r="C239" s="2" t="s">
        <v>234</v>
      </c>
      <c r="D239" s="4" t="s">
        <v>811</v>
      </c>
      <c r="E239" s="3"/>
      <c r="F239" s="3"/>
      <c r="G239" s="3"/>
      <c r="H239" s="3" t="s">
        <v>8</v>
      </c>
      <c r="I239" s="3"/>
      <c r="J239" s="3"/>
    </row>
    <row r="240" spans="2:10" ht="14.25" customHeight="1" x14ac:dyDescent="0.35">
      <c r="B240" s="2" t="s">
        <v>1152</v>
      </c>
      <c r="C240" s="2" t="s">
        <v>235</v>
      </c>
      <c r="D240" s="4" t="s">
        <v>812</v>
      </c>
      <c r="E240" s="3"/>
      <c r="F240" s="3" t="s">
        <v>8</v>
      </c>
      <c r="G240" s="3"/>
      <c r="H240" s="3"/>
      <c r="I240" s="3"/>
      <c r="J240" s="3"/>
    </row>
    <row r="241" spans="2:10" ht="14.25" customHeight="1" x14ac:dyDescent="0.35">
      <c r="B241" s="2" t="s">
        <v>1152</v>
      </c>
      <c r="C241" s="2" t="s">
        <v>236</v>
      </c>
      <c r="D241" s="4" t="s">
        <v>621</v>
      </c>
      <c r="E241" s="3" t="s">
        <v>8</v>
      </c>
      <c r="F241" s="3" t="s">
        <v>8</v>
      </c>
      <c r="G241" s="3" t="s">
        <v>8</v>
      </c>
      <c r="H241" s="3" t="s">
        <v>8</v>
      </c>
      <c r="I241" s="3" t="s">
        <v>8</v>
      </c>
      <c r="J241" s="3" t="s">
        <v>8</v>
      </c>
    </row>
    <row r="242" spans="2:10" ht="23.25" customHeight="1" x14ac:dyDescent="0.35">
      <c r="B242" s="2" t="s">
        <v>1152</v>
      </c>
      <c r="C242" s="2" t="s">
        <v>237</v>
      </c>
      <c r="D242" s="4" t="s">
        <v>813</v>
      </c>
      <c r="E242" s="3"/>
      <c r="F242" s="3"/>
      <c r="G242" s="3"/>
      <c r="H242" s="3" t="s">
        <v>8</v>
      </c>
      <c r="I242" s="3"/>
      <c r="J242" s="3"/>
    </row>
    <row r="243" spans="2:10" ht="14.25" customHeight="1" x14ac:dyDescent="0.35">
      <c r="B243" s="2" t="s">
        <v>1152</v>
      </c>
      <c r="C243" s="2" t="s">
        <v>238</v>
      </c>
      <c r="D243" s="4" t="s">
        <v>814</v>
      </c>
      <c r="E243" s="3"/>
      <c r="F243" s="3" t="s">
        <v>8</v>
      </c>
      <c r="G243" s="3"/>
      <c r="H243" s="3"/>
      <c r="I243" s="3"/>
      <c r="J243" s="3"/>
    </row>
    <row r="244" spans="2:10" ht="14.25" customHeight="1" x14ac:dyDescent="0.35">
      <c r="B244" s="2" t="s">
        <v>1152</v>
      </c>
      <c r="C244" s="2" t="s">
        <v>239</v>
      </c>
      <c r="D244" s="4" t="s">
        <v>815</v>
      </c>
      <c r="E244" s="3"/>
      <c r="F244" s="3"/>
      <c r="G244" s="3" t="s">
        <v>8</v>
      </c>
      <c r="H244" s="3"/>
      <c r="I244" s="3"/>
      <c r="J244" s="3"/>
    </row>
    <row r="245" spans="2:10" ht="23.25" customHeight="1" x14ac:dyDescent="0.35">
      <c r="B245" s="2" t="s">
        <v>1152</v>
      </c>
      <c r="C245" s="2" t="s">
        <v>240</v>
      </c>
      <c r="D245" s="4" t="s">
        <v>816</v>
      </c>
      <c r="E245" s="3" t="s">
        <v>8</v>
      </c>
      <c r="F245" s="3"/>
      <c r="G245" s="3" t="s">
        <v>8</v>
      </c>
      <c r="H245" s="3"/>
      <c r="I245" s="3" t="s">
        <v>8</v>
      </c>
      <c r="J245" s="3"/>
    </row>
    <row r="246" spans="2:10" ht="15" customHeight="1" x14ac:dyDescent="0.35">
      <c r="B246" s="2" t="s">
        <v>1152</v>
      </c>
      <c r="C246" s="2" t="s">
        <v>241</v>
      </c>
      <c r="D246" s="4" t="s">
        <v>817</v>
      </c>
      <c r="E246" s="3"/>
      <c r="F246" s="3"/>
      <c r="G246" s="3" t="s">
        <v>8</v>
      </c>
      <c r="H246" s="3"/>
      <c r="I246" s="3"/>
      <c r="J246" s="3" t="s">
        <v>8</v>
      </c>
    </row>
    <row r="247" spans="2:10" ht="14.25" customHeight="1" x14ac:dyDescent="0.35">
      <c r="B247" s="2" t="s">
        <v>1152</v>
      </c>
      <c r="C247" s="2" t="s">
        <v>242</v>
      </c>
      <c r="D247" s="4" t="s">
        <v>818</v>
      </c>
      <c r="E247" s="3"/>
      <c r="F247" s="3"/>
      <c r="G247" s="3" t="s">
        <v>8</v>
      </c>
      <c r="H247" s="3"/>
      <c r="I247" s="3"/>
      <c r="J247" s="3" t="s">
        <v>8</v>
      </c>
    </row>
    <row r="248" spans="2:10" ht="14.25" customHeight="1" x14ac:dyDescent="0.35">
      <c r="B248" s="2" t="s">
        <v>1152</v>
      </c>
      <c r="C248" s="2" t="s">
        <v>243</v>
      </c>
      <c r="D248" s="4" t="s">
        <v>819</v>
      </c>
      <c r="E248" s="3"/>
      <c r="F248" s="3"/>
      <c r="G248" s="3" t="s">
        <v>8</v>
      </c>
      <c r="H248" s="3"/>
      <c r="I248" s="3"/>
      <c r="J248" s="3" t="s">
        <v>8</v>
      </c>
    </row>
    <row r="249" spans="2:10" ht="14.25" customHeight="1" x14ac:dyDescent="0.35">
      <c r="B249" s="2" t="s">
        <v>1152</v>
      </c>
      <c r="C249" s="2" t="s">
        <v>244</v>
      </c>
      <c r="D249" s="4" t="s">
        <v>820</v>
      </c>
      <c r="E249" s="3"/>
      <c r="F249" s="3" t="s">
        <v>8</v>
      </c>
      <c r="G249" s="3"/>
      <c r="H249" s="3"/>
      <c r="I249" s="3" t="s">
        <v>8</v>
      </c>
      <c r="J249" s="3"/>
    </row>
    <row r="250" spans="2:10" ht="14.25" customHeight="1" x14ac:dyDescent="0.35">
      <c r="B250" s="2" t="s">
        <v>1152</v>
      </c>
      <c r="C250" s="2" t="s">
        <v>245</v>
      </c>
      <c r="D250" s="4" t="s">
        <v>821</v>
      </c>
      <c r="E250" s="3" t="s">
        <v>8</v>
      </c>
      <c r="F250" s="3"/>
      <c r="G250" s="3"/>
      <c r="H250" s="3" t="s">
        <v>8</v>
      </c>
      <c r="I250" s="3"/>
      <c r="J250" s="3"/>
    </row>
    <row r="251" spans="2:10" ht="15" customHeight="1" x14ac:dyDescent="0.35">
      <c r="B251" s="2" t="s">
        <v>1152</v>
      </c>
      <c r="C251" s="2" t="s">
        <v>246</v>
      </c>
      <c r="D251" s="4" t="s">
        <v>822</v>
      </c>
      <c r="E251" s="3"/>
      <c r="F251" s="3"/>
      <c r="G251" s="3"/>
      <c r="H251" s="3" t="s">
        <v>8</v>
      </c>
      <c r="I251" s="3"/>
      <c r="J251" s="3"/>
    </row>
    <row r="252" spans="2:10" ht="14.25" customHeight="1" x14ac:dyDescent="0.35">
      <c r="B252" s="2" t="s">
        <v>1152</v>
      </c>
      <c r="C252" s="2" t="s">
        <v>247</v>
      </c>
      <c r="D252" s="4" t="s">
        <v>823</v>
      </c>
      <c r="E252" s="3"/>
      <c r="F252" s="3"/>
      <c r="G252" s="3" t="s">
        <v>8</v>
      </c>
      <c r="H252" s="3"/>
      <c r="I252" s="3"/>
      <c r="J252" s="3" t="s">
        <v>8</v>
      </c>
    </row>
    <row r="253" spans="2:10" ht="14.25" customHeight="1" x14ac:dyDescent="0.35">
      <c r="B253" s="2" t="s">
        <v>1152</v>
      </c>
      <c r="C253" s="2" t="s">
        <v>248</v>
      </c>
      <c r="D253" s="4" t="s">
        <v>824</v>
      </c>
      <c r="E253" s="3"/>
      <c r="F253" s="3"/>
      <c r="G253" s="3" t="s">
        <v>8</v>
      </c>
      <c r="H253" s="3"/>
      <c r="I253" s="3"/>
      <c r="J253" s="3" t="s">
        <v>8</v>
      </c>
    </row>
    <row r="254" spans="2:10" ht="14.25" customHeight="1" x14ac:dyDescent="0.35">
      <c r="B254" s="2" t="s">
        <v>1152</v>
      </c>
      <c r="C254" s="2" t="s">
        <v>249</v>
      </c>
      <c r="D254" s="4" t="s">
        <v>825</v>
      </c>
      <c r="E254" s="3"/>
      <c r="F254" s="3" t="s">
        <v>8</v>
      </c>
      <c r="G254" s="3"/>
      <c r="H254" s="3"/>
      <c r="I254" s="3"/>
      <c r="J254" s="3"/>
    </row>
    <row r="255" spans="2:10" ht="14.25" customHeight="1" x14ac:dyDescent="0.35">
      <c r="B255" s="2" t="s">
        <v>1152</v>
      </c>
      <c r="C255" s="2" t="s">
        <v>250</v>
      </c>
      <c r="D255" s="4" t="s">
        <v>826</v>
      </c>
      <c r="E255" s="3"/>
      <c r="F255" s="3"/>
      <c r="G255" s="3"/>
      <c r="H255" s="3"/>
      <c r="I255" s="3"/>
      <c r="J255" s="3" t="s">
        <v>8</v>
      </c>
    </row>
    <row r="256" spans="2:10" ht="15" customHeight="1" x14ac:dyDescent="0.35">
      <c r="B256" s="2" t="s">
        <v>1152</v>
      </c>
      <c r="C256" s="2" t="s">
        <v>251</v>
      </c>
      <c r="D256" s="4" t="s">
        <v>827</v>
      </c>
      <c r="E256" s="3"/>
      <c r="F256" s="3" t="s">
        <v>8</v>
      </c>
      <c r="G256" s="3"/>
      <c r="H256" s="3"/>
      <c r="I256" s="3" t="s">
        <v>8</v>
      </c>
      <c r="J256" s="3"/>
    </row>
    <row r="257" spans="2:10" ht="14.25" customHeight="1" x14ac:dyDescent="0.35">
      <c r="B257" s="2" t="s">
        <v>1152</v>
      </c>
      <c r="C257" s="2" t="s">
        <v>252</v>
      </c>
      <c r="D257" s="4" t="s">
        <v>828</v>
      </c>
      <c r="E257" s="3"/>
      <c r="F257" s="3"/>
      <c r="G257" s="3"/>
      <c r="H257" s="3" t="s">
        <v>8</v>
      </c>
      <c r="I257" s="3"/>
      <c r="J257" s="3"/>
    </row>
    <row r="258" spans="2:10" ht="14.25" customHeight="1" x14ac:dyDescent="0.35">
      <c r="B258" s="2" t="s">
        <v>1152</v>
      </c>
      <c r="C258" s="2" t="s">
        <v>253</v>
      </c>
      <c r="D258" s="4" t="s">
        <v>829</v>
      </c>
      <c r="E258" s="3"/>
      <c r="F258" s="3" t="s">
        <v>8</v>
      </c>
      <c r="G258" s="3"/>
      <c r="H258" s="3"/>
      <c r="I258" s="3"/>
      <c r="J258" s="3"/>
    </row>
    <row r="259" spans="2:10" ht="14.25" customHeight="1" x14ac:dyDescent="0.35">
      <c r="B259" s="2" t="s">
        <v>1152</v>
      </c>
      <c r="C259" s="2" t="s">
        <v>254</v>
      </c>
      <c r="D259" s="4" t="s">
        <v>830</v>
      </c>
      <c r="E259" s="3"/>
      <c r="F259" s="3" t="s">
        <v>8</v>
      </c>
      <c r="G259" s="3"/>
      <c r="H259" s="3"/>
      <c r="I259" s="3" t="s">
        <v>8</v>
      </c>
      <c r="J259" s="3"/>
    </row>
    <row r="260" spans="2:10" ht="14.25" customHeight="1" x14ac:dyDescent="0.35">
      <c r="B260" s="2" t="s">
        <v>1152</v>
      </c>
      <c r="C260" s="2" t="s">
        <v>255</v>
      </c>
      <c r="D260" s="4" t="s">
        <v>831</v>
      </c>
      <c r="E260" s="3"/>
      <c r="F260" s="3" t="s">
        <v>8</v>
      </c>
      <c r="G260" s="3"/>
      <c r="H260" s="3"/>
      <c r="I260" s="3"/>
      <c r="J260" s="3"/>
    </row>
    <row r="261" spans="2:10" ht="15" customHeight="1" x14ac:dyDescent="0.35">
      <c r="B261" s="2" t="s">
        <v>1152</v>
      </c>
      <c r="C261" s="2" t="s">
        <v>256</v>
      </c>
      <c r="D261" s="4" t="s">
        <v>832</v>
      </c>
      <c r="E261" s="3"/>
      <c r="F261" s="3" t="s">
        <v>8</v>
      </c>
      <c r="G261" s="3"/>
      <c r="H261" s="3"/>
      <c r="I261" s="3" t="s">
        <v>8</v>
      </c>
      <c r="J261" s="3"/>
    </row>
    <row r="262" spans="2:10" ht="14.25" customHeight="1" x14ac:dyDescent="0.35">
      <c r="B262" s="2" t="s">
        <v>1152</v>
      </c>
      <c r="C262" s="2" t="s">
        <v>257</v>
      </c>
      <c r="D262" s="4" t="s">
        <v>833</v>
      </c>
      <c r="E262" s="3"/>
      <c r="F262" s="3" t="s">
        <v>8</v>
      </c>
      <c r="G262" s="3"/>
      <c r="H262" s="3"/>
      <c r="I262" s="3" t="s">
        <v>8</v>
      </c>
      <c r="J262" s="3"/>
    </row>
    <row r="263" spans="2:10" ht="14.25" customHeight="1" x14ac:dyDescent="0.35">
      <c r="B263" s="2" t="s">
        <v>1152</v>
      </c>
      <c r="C263" s="2" t="s">
        <v>258</v>
      </c>
      <c r="D263" s="4" t="s">
        <v>834</v>
      </c>
      <c r="E263" s="3"/>
      <c r="F263" s="3"/>
      <c r="G263" s="3" t="s">
        <v>8</v>
      </c>
      <c r="H263" s="3"/>
      <c r="I263" s="3"/>
      <c r="J263" s="3"/>
    </row>
    <row r="264" spans="2:10" ht="14.25" customHeight="1" x14ac:dyDescent="0.35">
      <c r="B264" s="2" t="s">
        <v>1152</v>
      </c>
      <c r="C264" s="2" t="s">
        <v>259</v>
      </c>
      <c r="D264" s="4" t="s">
        <v>835</v>
      </c>
      <c r="E264" s="3" t="s">
        <v>8</v>
      </c>
      <c r="F264" s="3"/>
      <c r="G264" s="3"/>
      <c r="H264" s="3" t="s">
        <v>8</v>
      </c>
      <c r="I264" s="3"/>
      <c r="J264" s="3"/>
    </row>
    <row r="265" spans="2:10" ht="14.25" customHeight="1" x14ac:dyDescent="0.35">
      <c r="B265" s="2" t="s">
        <v>1152</v>
      </c>
      <c r="C265" s="2" t="s">
        <v>260</v>
      </c>
      <c r="D265" s="4" t="s">
        <v>836</v>
      </c>
      <c r="E265" s="3"/>
      <c r="F265" s="3"/>
      <c r="G265" s="3" t="s">
        <v>8</v>
      </c>
      <c r="H265" s="3"/>
      <c r="I265" s="3"/>
      <c r="J265" s="3" t="s">
        <v>8</v>
      </c>
    </row>
    <row r="266" spans="2:10" ht="15" customHeight="1" x14ac:dyDescent="0.35">
      <c r="B266" s="2" t="s">
        <v>1152</v>
      </c>
      <c r="C266" s="2" t="s">
        <v>261</v>
      </c>
      <c r="D266" s="4" t="s">
        <v>837</v>
      </c>
      <c r="E266" s="3"/>
      <c r="F266" s="3" t="s">
        <v>8</v>
      </c>
      <c r="G266" s="3"/>
      <c r="H266" s="3"/>
      <c r="I266" s="3" t="s">
        <v>8</v>
      </c>
      <c r="J266" s="3"/>
    </row>
    <row r="267" spans="2:10" ht="14.25" customHeight="1" x14ac:dyDescent="0.35">
      <c r="B267" s="2" t="s">
        <v>1152</v>
      </c>
      <c r="C267" s="2" t="s">
        <v>262</v>
      </c>
      <c r="D267" s="4" t="s">
        <v>838</v>
      </c>
      <c r="E267" s="3" t="s">
        <v>8</v>
      </c>
      <c r="F267" s="3"/>
      <c r="G267" s="3"/>
      <c r="H267" s="3" t="s">
        <v>8</v>
      </c>
      <c r="I267" s="3"/>
      <c r="J267" s="3"/>
    </row>
    <row r="268" spans="2:10" ht="14.25" customHeight="1" x14ac:dyDescent="0.35">
      <c r="B268" s="2" t="s">
        <v>1152</v>
      </c>
      <c r="C268" s="2" t="s">
        <v>263</v>
      </c>
      <c r="D268" s="4" t="s">
        <v>839</v>
      </c>
      <c r="E268" s="3" t="s">
        <v>8</v>
      </c>
      <c r="F268" s="3"/>
      <c r="G268" s="3"/>
      <c r="H268" s="3" t="s">
        <v>8</v>
      </c>
      <c r="I268" s="3"/>
      <c r="J268" s="3"/>
    </row>
    <row r="269" spans="2:10" ht="14.25" customHeight="1" x14ac:dyDescent="0.35">
      <c r="B269" s="2" t="s">
        <v>1152</v>
      </c>
      <c r="C269" s="2" t="s">
        <v>264</v>
      </c>
      <c r="D269" s="4" t="s">
        <v>840</v>
      </c>
      <c r="E269" s="3"/>
      <c r="F269" s="3"/>
      <c r="G269" s="3" t="s">
        <v>8</v>
      </c>
      <c r="H269" s="3"/>
      <c r="I269" s="3"/>
      <c r="J269" s="3" t="s">
        <v>8</v>
      </c>
    </row>
    <row r="270" spans="2:10" ht="14.25" customHeight="1" x14ac:dyDescent="0.35">
      <c r="B270" s="2" t="s">
        <v>1152</v>
      </c>
      <c r="C270" s="2" t="s">
        <v>265</v>
      </c>
      <c r="D270" s="4" t="s">
        <v>841</v>
      </c>
      <c r="E270" s="3" t="s">
        <v>8</v>
      </c>
      <c r="F270" s="3"/>
      <c r="G270" s="3"/>
      <c r="H270" s="3" t="s">
        <v>8</v>
      </c>
      <c r="I270" s="3"/>
      <c r="J270" s="3"/>
    </row>
    <row r="271" spans="2:10" ht="15" customHeight="1" x14ac:dyDescent="0.35">
      <c r="B271" s="2" t="s">
        <v>1152</v>
      </c>
      <c r="C271" s="2" t="s">
        <v>266</v>
      </c>
      <c r="D271" s="4" t="s">
        <v>842</v>
      </c>
      <c r="E271" s="3" t="s">
        <v>8</v>
      </c>
      <c r="F271" s="3"/>
      <c r="G271" s="3"/>
      <c r="H271" s="3" t="s">
        <v>8</v>
      </c>
      <c r="I271" s="3"/>
      <c r="J271" s="3"/>
    </row>
    <row r="272" spans="2:10" ht="23.25" customHeight="1" x14ac:dyDescent="0.35">
      <c r="B272" s="2" t="s">
        <v>1152</v>
      </c>
      <c r="C272" s="2" t="s">
        <v>267</v>
      </c>
      <c r="D272" s="4" t="s">
        <v>843</v>
      </c>
      <c r="E272" s="3"/>
      <c r="F272" s="3"/>
      <c r="G272" s="3" t="s">
        <v>8</v>
      </c>
      <c r="H272" s="3"/>
      <c r="I272" s="3"/>
      <c r="J272" s="3"/>
    </row>
    <row r="273" spans="2:10" ht="23.25" customHeight="1" x14ac:dyDescent="0.35">
      <c r="B273" s="2" t="s">
        <v>1152</v>
      </c>
      <c r="C273" s="2" t="s">
        <v>18</v>
      </c>
      <c r="D273" s="4" t="s">
        <v>844</v>
      </c>
      <c r="E273" s="3"/>
      <c r="F273" s="3" t="s">
        <v>8</v>
      </c>
      <c r="G273" s="3"/>
      <c r="H273" s="3"/>
      <c r="I273" s="3"/>
      <c r="J273" s="3"/>
    </row>
    <row r="274" spans="2:10" ht="14.25" customHeight="1" x14ac:dyDescent="0.35">
      <c r="B274" s="2" t="s">
        <v>1152</v>
      </c>
      <c r="C274" s="2" t="s">
        <v>268</v>
      </c>
      <c r="D274" s="4" t="s">
        <v>845</v>
      </c>
      <c r="E274" s="3"/>
      <c r="F274" s="3" t="s">
        <v>8</v>
      </c>
      <c r="G274" s="3"/>
      <c r="H274" s="3"/>
      <c r="I274" s="3" t="s">
        <v>8</v>
      </c>
      <c r="J274" s="3"/>
    </row>
    <row r="275" spans="2:10" ht="14.25" customHeight="1" x14ac:dyDescent="0.35">
      <c r="B275" s="2" t="s">
        <v>1152</v>
      </c>
      <c r="C275" s="2" t="s">
        <v>269</v>
      </c>
      <c r="D275" s="4" t="s">
        <v>846</v>
      </c>
      <c r="E275" s="3"/>
      <c r="F275" s="3"/>
      <c r="G275" s="3" t="s">
        <v>8</v>
      </c>
      <c r="H275" s="3"/>
      <c r="I275" s="3"/>
      <c r="J275" s="3" t="s">
        <v>8</v>
      </c>
    </row>
    <row r="276" spans="2:10" ht="14.25" customHeight="1" x14ac:dyDescent="0.35">
      <c r="B276" s="2" t="s">
        <v>1152</v>
      </c>
      <c r="C276" s="2" t="s">
        <v>270</v>
      </c>
      <c r="D276" s="4" t="s">
        <v>847</v>
      </c>
      <c r="E276" s="3" t="s">
        <v>8</v>
      </c>
      <c r="F276" s="3"/>
      <c r="G276" s="3"/>
      <c r="H276" s="3" t="s">
        <v>8</v>
      </c>
      <c r="I276" s="3"/>
      <c r="J276" s="3"/>
    </row>
    <row r="277" spans="2:10" ht="14.25" customHeight="1" x14ac:dyDescent="0.35">
      <c r="B277" s="2" t="s">
        <v>1152</v>
      </c>
      <c r="C277" s="2" t="s">
        <v>271</v>
      </c>
      <c r="D277" s="4" t="s">
        <v>848</v>
      </c>
      <c r="E277" s="3" t="s">
        <v>8</v>
      </c>
      <c r="F277" s="3"/>
      <c r="G277" s="3"/>
      <c r="H277" s="3" t="s">
        <v>8</v>
      </c>
      <c r="I277" s="3"/>
      <c r="J277" s="3"/>
    </row>
    <row r="278" spans="2:10" ht="15" customHeight="1" x14ac:dyDescent="0.35">
      <c r="B278" s="2" t="s">
        <v>1152</v>
      </c>
      <c r="C278" s="2" t="s">
        <v>272</v>
      </c>
      <c r="D278" s="4" t="s">
        <v>849</v>
      </c>
      <c r="E278" s="3"/>
      <c r="F278" s="3"/>
      <c r="G278" s="3" t="s">
        <v>8</v>
      </c>
      <c r="H278" s="3"/>
      <c r="I278" s="3"/>
      <c r="J278" s="3" t="s">
        <v>8</v>
      </c>
    </row>
    <row r="279" spans="2:10" ht="14.25" customHeight="1" x14ac:dyDescent="0.35">
      <c r="B279" s="2" t="s">
        <v>1152</v>
      </c>
      <c r="C279" s="2" t="s">
        <v>273</v>
      </c>
      <c r="D279" s="4" t="s">
        <v>850</v>
      </c>
      <c r="E279" s="3"/>
      <c r="F279" s="3" t="s">
        <v>8</v>
      </c>
      <c r="G279" s="3"/>
      <c r="H279" s="3"/>
      <c r="I279" s="3" t="s">
        <v>8</v>
      </c>
      <c r="J279" s="3"/>
    </row>
    <row r="280" spans="2:10" ht="14.25" customHeight="1" x14ac:dyDescent="0.35">
      <c r="B280" s="2" t="s">
        <v>1152</v>
      </c>
      <c r="C280" s="2" t="s">
        <v>274</v>
      </c>
      <c r="D280" s="4" t="s">
        <v>851</v>
      </c>
      <c r="E280" s="3"/>
      <c r="F280" s="3"/>
      <c r="G280" s="3" t="s">
        <v>8</v>
      </c>
      <c r="H280" s="3"/>
      <c r="I280" s="3"/>
      <c r="J280" s="3" t="s">
        <v>8</v>
      </c>
    </row>
    <row r="281" spans="2:10" ht="14.25" customHeight="1" x14ac:dyDescent="0.35">
      <c r="B281" s="2" t="s">
        <v>1152</v>
      </c>
      <c r="C281" s="2" t="s">
        <v>275</v>
      </c>
      <c r="D281" s="4" t="s">
        <v>852</v>
      </c>
      <c r="E281" s="3" t="s">
        <v>8</v>
      </c>
      <c r="F281" s="3"/>
      <c r="G281" s="3"/>
      <c r="H281" s="3" t="s">
        <v>8</v>
      </c>
      <c r="I281" s="3"/>
      <c r="J281" s="3"/>
    </row>
    <row r="282" spans="2:10" ht="14.25" customHeight="1" x14ac:dyDescent="0.35">
      <c r="B282" s="2" t="s">
        <v>1152</v>
      </c>
      <c r="C282" s="2" t="s">
        <v>276</v>
      </c>
      <c r="D282" s="4" t="s">
        <v>853</v>
      </c>
      <c r="E282" s="3" t="s">
        <v>8</v>
      </c>
      <c r="F282" s="3"/>
      <c r="G282" s="3"/>
      <c r="H282" s="3" t="s">
        <v>8</v>
      </c>
      <c r="I282" s="3"/>
      <c r="J282" s="3"/>
    </row>
    <row r="283" spans="2:10" ht="15" customHeight="1" x14ac:dyDescent="0.35">
      <c r="B283" s="2" t="s">
        <v>1152</v>
      </c>
      <c r="C283" s="2" t="s">
        <v>277</v>
      </c>
      <c r="D283" s="4" t="s">
        <v>854</v>
      </c>
      <c r="E283" s="3"/>
      <c r="F283" s="3" t="s">
        <v>8</v>
      </c>
      <c r="G283" s="3"/>
      <c r="H283" s="3"/>
      <c r="I283" s="3" t="s">
        <v>8</v>
      </c>
      <c r="J283" s="3"/>
    </row>
    <row r="284" spans="2:10" ht="23.25" customHeight="1" x14ac:dyDescent="0.35">
      <c r="B284" s="2" t="s">
        <v>1152</v>
      </c>
      <c r="C284" s="2" t="s">
        <v>278</v>
      </c>
      <c r="D284" s="4" t="s">
        <v>855</v>
      </c>
      <c r="E284" s="3"/>
      <c r="F284" s="3"/>
      <c r="G284" s="3" t="s">
        <v>8</v>
      </c>
      <c r="H284" s="3"/>
      <c r="I284" s="3"/>
      <c r="J284" s="3" t="s">
        <v>8</v>
      </c>
    </row>
    <row r="285" spans="2:10" ht="23.25" customHeight="1" x14ac:dyDescent="0.35">
      <c r="B285" s="2" t="s">
        <v>1152</v>
      </c>
      <c r="C285" s="2" t="s">
        <v>279</v>
      </c>
      <c r="D285" s="4" t="s">
        <v>856</v>
      </c>
      <c r="E285" s="3" t="s">
        <v>8</v>
      </c>
      <c r="F285" s="3"/>
      <c r="G285" s="3"/>
      <c r="H285" s="3"/>
      <c r="I285" s="3"/>
      <c r="J285" s="3"/>
    </row>
    <row r="286" spans="2:10" ht="22.5" customHeight="1" x14ac:dyDescent="0.35">
      <c r="B286" s="2" t="s">
        <v>1152</v>
      </c>
      <c r="C286" s="2" t="s">
        <v>280</v>
      </c>
      <c r="D286" s="4" t="s">
        <v>857</v>
      </c>
      <c r="E286" s="3"/>
      <c r="F286" s="3" t="s">
        <v>8</v>
      </c>
      <c r="G286" s="3"/>
      <c r="H286" s="3"/>
      <c r="I286" s="3"/>
      <c r="J286" s="3"/>
    </row>
    <row r="287" spans="2:10" ht="15" customHeight="1" x14ac:dyDescent="0.35">
      <c r="B287" s="2" t="s">
        <v>1152</v>
      </c>
      <c r="C287" s="2" t="s">
        <v>281</v>
      </c>
      <c r="D287" s="4" t="s">
        <v>858</v>
      </c>
      <c r="E287" s="3" t="s">
        <v>8</v>
      </c>
      <c r="F287" s="3"/>
      <c r="G287" s="3"/>
      <c r="H287" s="3"/>
      <c r="I287" s="3"/>
      <c r="J287" s="3"/>
    </row>
    <row r="288" spans="2:10" ht="14.25" customHeight="1" x14ac:dyDescent="0.35">
      <c r="B288" s="2" t="s">
        <v>1152</v>
      </c>
      <c r="C288" s="2" t="s">
        <v>282</v>
      </c>
      <c r="D288" s="4" t="s">
        <v>859</v>
      </c>
      <c r="E288" s="3"/>
      <c r="F288" s="3"/>
      <c r="G288" s="3"/>
      <c r="H288" s="3" t="s">
        <v>8</v>
      </c>
      <c r="I288" s="3"/>
      <c r="J288" s="3"/>
    </row>
    <row r="289" spans="2:10" ht="23.25" customHeight="1" x14ac:dyDescent="0.35">
      <c r="B289" s="2" t="s">
        <v>1152</v>
      </c>
      <c r="C289" s="2" t="s">
        <v>283</v>
      </c>
      <c r="D289" s="4" t="s">
        <v>860</v>
      </c>
      <c r="E289" s="3" t="s">
        <v>8</v>
      </c>
      <c r="F289" s="3"/>
      <c r="G289" s="3"/>
      <c r="H289" s="3"/>
      <c r="I289" s="3"/>
      <c r="J289" s="3"/>
    </row>
    <row r="290" spans="2:10" ht="14.25" customHeight="1" x14ac:dyDescent="0.35">
      <c r="B290" s="2" t="s">
        <v>1152</v>
      </c>
      <c r="C290" s="2" t="s">
        <v>284</v>
      </c>
      <c r="D290" s="4" t="s">
        <v>861</v>
      </c>
      <c r="E290" s="3"/>
      <c r="F290" s="3" t="s">
        <v>8</v>
      </c>
      <c r="G290" s="3"/>
      <c r="H290" s="3"/>
      <c r="I290" s="3" t="s">
        <v>8</v>
      </c>
      <c r="J290" s="3"/>
    </row>
    <row r="291" spans="2:10" ht="14.25" customHeight="1" x14ac:dyDescent="0.35">
      <c r="B291" s="2" t="s">
        <v>1152</v>
      </c>
      <c r="C291" s="2" t="s">
        <v>285</v>
      </c>
      <c r="D291" s="4" t="s">
        <v>862</v>
      </c>
      <c r="E291" s="3"/>
      <c r="F291" s="3"/>
      <c r="G291" s="3"/>
      <c r="H291" s="3"/>
      <c r="I291" s="3" t="s">
        <v>8</v>
      </c>
      <c r="J291" s="3"/>
    </row>
    <row r="292" spans="2:10" ht="14.25" customHeight="1" x14ac:dyDescent="0.35">
      <c r="B292" s="2" t="s">
        <v>1152</v>
      </c>
      <c r="C292" s="2" t="s">
        <v>286</v>
      </c>
      <c r="D292" s="4" t="s">
        <v>863</v>
      </c>
      <c r="E292" s="3" t="s">
        <v>8</v>
      </c>
      <c r="F292" s="3"/>
      <c r="G292" s="3"/>
      <c r="H292" s="3"/>
      <c r="I292" s="3"/>
      <c r="J292" s="3"/>
    </row>
    <row r="293" spans="2:10" ht="15" customHeight="1" x14ac:dyDescent="0.35">
      <c r="B293" s="2" t="s">
        <v>1152</v>
      </c>
      <c r="C293" s="2" t="s">
        <v>287</v>
      </c>
      <c r="D293" s="4" t="s">
        <v>864</v>
      </c>
      <c r="E293" s="3" t="s">
        <v>8</v>
      </c>
      <c r="F293" s="3"/>
      <c r="G293" s="3"/>
      <c r="H293" s="3" t="s">
        <v>8</v>
      </c>
      <c r="I293" s="3"/>
      <c r="J293" s="3"/>
    </row>
    <row r="294" spans="2:10" ht="14.25" customHeight="1" x14ac:dyDescent="0.35">
      <c r="B294" s="2" t="s">
        <v>1152</v>
      </c>
      <c r="C294" s="2" t="s">
        <v>288</v>
      </c>
      <c r="D294" s="4" t="s">
        <v>865</v>
      </c>
      <c r="E294" s="3"/>
      <c r="F294" s="3"/>
      <c r="G294" s="3" t="s">
        <v>8</v>
      </c>
      <c r="H294" s="3"/>
      <c r="I294" s="3"/>
      <c r="J294" s="3"/>
    </row>
    <row r="295" spans="2:10" ht="14.25" customHeight="1" x14ac:dyDescent="0.35">
      <c r="B295" s="2" t="s">
        <v>1152</v>
      </c>
      <c r="C295" s="2" t="s">
        <v>289</v>
      </c>
      <c r="D295" s="4" t="s">
        <v>866</v>
      </c>
      <c r="E295" s="3"/>
      <c r="F295" s="3"/>
      <c r="G295" s="3" t="s">
        <v>8</v>
      </c>
      <c r="H295" s="3"/>
      <c r="I295" s="3"/>
      <c r="J295" s="3" t="s">
        <v>8</v>
      </c>
    </row>
    <row r="296" spans="2:10" ht="14.25" customHeight="1" x14ac:dyDescent="0.35">
      <c r="B296" s="2" t="s">
        <v>1152</v>
      </c>
      <c r="C296" s="2" t="s">
        <v>290</v>
      </c>
      <c r="D296" s="4" t="s">
        <v>867</v>
      </c>
      <c r="E296" s="3"/>
      <c r="F296" s="3"/>
      <c r="G296" s="3" t="s">
        <v>8</v>
      </c>
      <c r="H296" s="3"/>
      <c r="I296" s="3"/>
      <c r="J296" s="3" t="s">
        <v>8</v>
      </c>
    </row>
    <row r="297" spans="2:10" ht="14.25" customHeight="1" x14ac:dyDescent="0.35">
      <c r="B297" s="2" t="s">
        <v>1152</v>
      </c>
      <c r="C297" s="2" t="s">
        <v>291</v>
      </c>
      <c r="D297" s="4" t="s">
        <v>868</v>
      </c>
      <c r="E297" s="3"/>
      <c r="F297" s="3" t="s">
        <v>8</v>
      </c>
      <c r="G297" s="3"/>
      <c r="H297" s="3"/>
      <c r="I297" s="3" t="s">
        <v>8</v>
      </c>
      <c r="J297" s="3"/>
    </row>
    <row r="298" spans="2:10" ht="15" customHeight="1" x14ac:dyDescent="0.35">
      <c r="B298" s="2" t="s">
        <v>1152</v>
      </c>
      <c r="C298" s="2" t="s">
        <v>292</v>
      </c>
      <c r="D298" s="4" t="s">
        <v>869</v>
      </c>
      <c r="E298" s="3" t="s">
        <v>8</v>
      </c>
      <c r="F298" s="3"/>
      <c r="G298" s="3"/>
      <c r="H298" s="3" t="s">
        <v>8</v>
      </c>
      <c r="I298" s="3"/>
      <c r="J298" s="3"/>
    </row>
    <row r="299" spans="2:10" ht="14.25" customHeight="1" x14ac:dyDescent="0.35">
      <c r="B299" s="2" t="s">
        <v>1152</v>
      </c>
      <c r="C299" s="2" t="s">
        <v>293</v>
      </c>
      <c r="D299" s="4" t="s">
        <v>870</v>
      </c>
      <c r="E299" s="3"/>
      <c r="F299" s="3" t="s">
        <v>8</v>
      </c>
      <c r="G299" s="3"/>
      <c r="H299" s="3"/>
      <c r="I299" s="3"/>
      <c r="J299" s="3"/>
    </row>
    <row r="300" spans="2:10" ht="14.25" customHeight="1" x14ac:dyDescent="0.35">
      <c r="B300" s="2" t="s">
        <v>1152</v>
      </c>
      <c r="C300" s="2" t="s">
        <v>294</v>
      </c>
      <c r="D300" s="4" t="s">
        <v>871</v>
      </c>
      <c r="E300" s="3"/>
      <c r="F300" s="3" t="s">
        <v>8</v>
      </c>
      <c r="G300" s="3"/>
      <c r="H300" s="3"/>
      <c r="I300" s="3" t="s">
        <v>8</v>
      </c>
      <c r="J300" s="3"/>
    </row>
    <row r="301" spans="2:10" ht="14.25" customHeight="1" x14ac:dyDescent="0.35">
      <c r="B301" s="2" t="s">
        <v>1152</v>
      </c>
      <c r="C301" s="2" t="s">
        <v>295</v>
      </c>
      <c r="D301" s="4" t="s">
        <v>872</v>
      </c>
      <c r="E301" s="3"/>
      <c r="F301" s="3" t="s">
        <v>8</v>
      </c>
      <c r="G301" s="3"/>
      <c r="H301" s="3"/>
      <c r="I301" s="3" t="s">
        <v>8</v>
      </c>
      <c r="J301" s="3"/>
    </row>
    <row r="302" spans="2:10" ht="23.25" customHeight="1" x14ac:dyDescent="0.35">
      <c r="B302" s="2" t="s">
        <v>1152</v>
      </c>
      <c r="C302" s="2" t="s">
        <v>296</v>
      </c>
      <c r="D302" s="4" t="s">
        <v>873</v>
      </c>
      <c r="E302" s="3" t="s">
        <v>8</v>
      </c>
      <c r="F302" s="3"/>
      <c r="G302" s="3"/>
      <c r="H302" s="3"/>
      <c r="I302" s="3"/>
      <c r="J302" s="3"/>
    </row>
    <row r="303" spans="2:10" ht="14.25" customHeight="1" x14ac:dyDescent="0.35">
      <c r="B303" s="2" t="s">
        <v>1152</v>
      </c>
      <c r="C303" s="2" t="s">
        <v>297</v>
      </c>
      <c r="D303" s="4" t="s">
        <v>874</v>
      </c>
      <c r="E303" s="3" t="s">
        <v>8</v>
      </c>
      <c r="F303" s="3"/>
      <c r="G303" s="3"/>
      <c r="H303" s="3" t="s">
        <v>8</v>
      </c>
      <c r="I303" s="3"/>
      <c r="J303" s="3"/>
    </row>
    <row r="304" spans="2:10" ht="15" customHeight="1" x14ac:dyDescent="0.35">
      <c r="B304" s="2" t="s">
        <v>1152</v>
      </c>
      <c r="C304" s="2" t="s">
        <v>298</v>
      </c>
      <c r="D304" s="4" t="s">
        <v>875</v>
      </c>
      <c r="E304" s="3"/>
      <c r="F304" s="3"/>
      <c r="G304" s="3"/>
      <c r="H304" s="3"/>
      <c r="I304" s="3" t="s">
        <v>8</v>
      </c>
      <c r="J304" s="3"/>
    </row>
    <row r="305" spans="2:10" ht="14.25" customHeight="1" x14ac:dyDescent="0.35">
      <c r="B305" s="2" t="s">
        <v>1152</v>
      </c>
      <c r="C305" s="2" t="s">
        <v>299</v>
      </c>
      <c r="D305" s="4" t="s">
        <v>876</v>
      </c>
      <c r="E305" s="3" t="s">
        <v>8</v>
      </c>
      <c r="F305" s="3"/>
      <c r="G305" s="3"/>
      <c r="H305" s="3"/>
      <c r="I305" s="3"/>
      <c r="J305" s="3"/>
    </row>
    <row r="306" spans="2:10" ht="14.25" customHeight="1" x14ac:dyDescent="0.35">
      <c r="B306" s="2" t="s">
        <v>1152</v>
      </c>
      <c r="C306" s="2" t="s">
        <v>300</v>
      </c>
      <c r="D306" s="4" t="s">
        <v>877</v>
      </c>
      <c r="E306" s="3"/>
      <c r="F306" s="3" t="s">
        <v>8</v>
      </c>
      <c r="G306" s="3"/>
      <c r="H306" s="3"/>
      <c r="I306" s="3" t="s">
        <v>8</v>
      </c>
      <c r="J306" s="3"/>
    </row>
    <row r="307" spans="2:10" ht="14.25" customHeight="1" x14ac:dyDescent="0.35">
      <c r="B307" s="2" t="s">
        <v>1152</v>
      </c>
      <c r="C307" s="2" t="s">
        <v>301</v>
      </c>
      <c r="D307" s="4" t="s">
        <v>867</v>
      </c>
      <c r="E307" s="3"/>
      <c r="F307" s="3"/>
      <c r="G307" s="3" t="s">
        <v>8</v>
      </c>
      <c r="H307" s="3"/>
      <c r="I307" s="3"/>
      <c r="J307" s="3" t="s">
        <v>8</v>
      </c>
    </row>
    <row r="308" spans="2:10" ht="14.25" customHeight="1" x14ac:dyDescent="0.35">
      <c r="B308" s="2" t="s">
        <v>1152</v>
      </c>
      <c r="C308" s="2" t="s">
        <v>302</v>
      </c>
      <c r="D308" s="4" t="s">
        <v>878</v>
      </c>
      <c r="E308" s="3"/>
      <c r="F308" s="3" t="s">
        <v>8</v>
      </c>
      <c r="G308" s="3"/>
      <c r="H308" s="3"/>
      <c r="I308" s="3" t="s">
        <v>8</v>
      </c>
      <c r="J308" s="3"/>
    </row>
    <row r="309" spans="2:10" ht="15" customHeight="1" x14ac:dyDescent="0.35">
      <c r="B309" s="2" t="s">
        <v>1152</v>
      </c>
      <c r="C309" s="2" t="s">
        <v>303</v>
      </c>
      <c r="D309" s="4" t="s">
        <v>879</v>
      </c>
      <c r="E309" s="3" t="s">
        <v>8</v>
      </c>
      <c r="F309" s="3"/>
      <c r="G309" s="3"/>
      <c r="H309" s="3" t="s">
        <v>8</v>
      </c>
      <c r="I309" s="3"/>
      <c r="J309" s="3"/>
    </row>
    <row r="310" spans="2:10" ht="23.25" customHeight="1" x14ac:dyDescent="0.35">
      <c r="B310" s="2" t="s">
        <v>1152</v>
      </c>
      <c r="C310" s="2" t="s">
        <v>304</v>
      </c>
      <c r="D310" s="4" t="s">
        <v>880</v>
      </c>
      <c r="E310" s="3" t="s">
        <v>8</v>
      </c>
      <c r="F310" s="3"/>
      <c r="G310" s="3"/>
      <c r="H310" s="3" t="s">
        <v>8</v>
      </c>
      <c r="I310" s="3"/>
      <c r="J310" s="3"/>
    </row>
    <row r="311" spans="2:10" ht="23.25" customHeight="1" x14ac:dyDescent="0.35">
      <c r="B311" s="2" t="s">
        <v>1152</v>
      </c>
      <c r="C311" s="2" t="s">
        <v>305</v>
      </c>
      <c r="D311" s="4" t="s">
        <v>881</v>
      </c>
      <c r="E311" s="3"/>
      <c r="F311" s="3" t="s">
        <v>8</v>
      </c>
      <c r="G311" s="3"/>
      <c r="H311" s="3"/>
      <c r="I311" s="3" t="s">
        <v>8</v>
      </c>
      <c r="J311" s="3"/>
    </row>
    <row r="312" spans="2:10" ht="23.25" customHeight="1" x14ac:dyDescent="0.35">
      <c r="B312" s="2" t="s">
        <v>1152</v>
      </c>
      <c r="C312" s="2" t="s">
        <v>306</v>
      </c>
      <c r="D312" s="4" t="s">
        <v>882</v>
      </c>
      <c r="E312" s="3" t="s">
        <v>8</v>
      </c>
      <c r="F312" s="3"/>
      <c r="G312" s="3"/>
      <c r="H312" s="3" t="s">
        <v>8</v>
      </c>
      <c r="I312" s="3"/>
      <c r="J312" s="3"/>
    </row>
    <row r="313" spans="2:10" ht="14.25" customHeight="1" x14ac:dyDescent="0.35">
      <c r="B313" s="2" t="s">
        <v>1152</v>
      </c>
      <c r="C313" s="2" t="s">
        <v>307</v>
      </c>
      <c r="D313" s="4" t="s">
        <v>883</v>
      </c>
      <c r="E313" s="3" t="s">
        <v>8</v>
      </c>
      <c r="F313" s="3"/>
      <c r="G313" s="3"/>
      <c r="H313" s="3"/>
      <c r="I313" s="3"/>
      <c r="J313" s="3"/>
    </row>
    <row r="314" spans="2:10" ht="14.25" customHeight="1" x14ac:dyDescent="0.35">
      <c r="B314" s="2" t="s">
        <v>1153</v>
      </c>
      <c r="C314" s="2" t="s">
        <v>308</v>
      </c>
      <c r="D314" s="4" t="s">
        <v>884</v>
      </c>
      <c r="E314" s="3"/>
      <c r="F314" s="3" t="s">
        <v>8</v>
      </c>
      <c r="G314" s="3"/>
      <c r="H314" s="3"/>
      <c r="I314" s="3" t="s">
        <v>8</v>
      </c>
      <c r="J314" s="3"/>
    </row>
    <row r="315" spans="2:10" ht="14.25" customHeight="1" x14ac:dyDescent="0.35">
      <c r="B315" s="2" t="s">
        <v>1153</v>
      </c>
      <c r="C315" s="2" t="s">
        <v>309</v>
      </c>
      <c r="D315" s="4" t="s">
        <v>885</v>
      </c>
      <c r="E315" s="3" t="s">
        <v>8</v>
      </c>
      <c r="F315" s="3"/>
      <c r="G315" s="3"/>
      <c r="H315" s="3" t="s">
        <v>8</v>
      </c>
      <c r="I315" s="3"/>
      <c r="J315" s="3"/>
    </row>
    <row r="316" spans="2:10" ht="15" customHeight="1" x14ac:dyDescent="0.35">
      <c r="B316" s="2" t="s">
        <v>1153</v>
      </c>
      <c r="C316" s="2" t="s">
        <v>310</v>
      </c>
      <c r="D316" s="4" t="s">
        <v>886</v>
      </c>
      <c r="E316" s="3"/>
      <c r="F316" s="3"/>
      <c r="G316" s="3" t="s">
        <v>8</v>
      </c>
      <c r="H316" s="3"/>
      <c r="I316" s="3"/>
      <c r="J316" s="3" t="s">
        <v>8</v>
      </c>
    </row>
    <row r="317" spans="2:10" ht="14.25" customHeight="1" x14ac:dyDescent="0.35">
      <c r="B317" s="2" t="s">
        <v>1153</v>
      </c>
      <c r="C317" s="2" t="s">
        <v>311</v>
      </c>
      <c r="D317" s="4" t="s">
        <v>887</v>
      </c>
      <c r="E317" s="3"/>
      <c r="F317" s="3" t="s">
        <v>8</v>
      </c>
      <c r="G317" s="3"/>
      <c r="H317" s="3"/>
      <c r="I317" s="3" t="s">
        <v>8</v>
      </c>
      <c r="J317" s="3"/>
    </row>
    <row r="318" spans="2:10" ht="14.25" customHeight="1" x14ac:dyDescent="0.35">
      <c r="B318" s="2" t="s">
        <v>1153</v>
      </c>
      <c r="C318" s="2" t="s">
        <v>312</v>
      </c>
      <c r="D318" s="4" t="s">
        <v>888</v>
      </c>
      <c r="E318" s="3" t="s">
        <v>8</v>
      </c>
      <c r="F318" s="3"/>
      <c r="G318" s="3"/>
      <c r="H318" s="3" t="s">
        <v>8</v>
      </c>
      <c r="I318" s="3"/>
      <c r="J318" s="3"/>
    </row>
    <row r="319" spans="2:10" ht="14.25" customHeight="1" x14ac:dyDescent="0.35">
      <c r="B319" s="2" t="s">
        <v>1153</v>
      </c>
      <c r="C319" s="2" t="s">
        <v>313</v>
      </c>
      <c r="D319" s="4" t="s">
        <v>889</v>
      </c>
      <c r="E319" s="3"/>
      <c r="F319" s="3"/>
      <c r="G319" s="3"/>
      <c r="H319" s="3" t="s">
        <v>8</v>
      </c>
      <c r="I319" s="3"/>
      <c r="J319" s="3"/>
    </row>
    <row r="320" spans="2:10" ht="14.25" customHeight="1" x14ac:dyDescent="0.35">
      <c r="B320" s="2" t="s">
        <v>1153</v>
      </c>
      <c r="C320" s="2" t="s">
        <v>314</v>
      </c>
      <c r="D320" s="4" t="s">
        <v>890</v>
      </c>
      <c r="E320" s="3" t="s">
        <v>8</v>
      </c>
      <c r="F320" s="3"/>
      <c r="G320" s="3"/>
      <c r="H320" s="3"/>
      <c r="I320" s="3"/>
      <c r="J320" s="3"/>
    </row>
    <row r="321" spans="2:10" ht="15" customHeight="1" x14ac:dyDescent="0.35">
      <c r="B321" s="2" t="s">
        <v>1153</v>
      </c>
      <c r="C321" s="2" t="s">
        <v>315</v>
      </c>
      <c r="D321" s="4" t="s">
        <v>891</v>
      </c>
      <c r="E321" s="3"/>
      <c r="F321" s="3"/>
      <c r="G321" s="3"/>
      <c r="H321" s="3" t="s">
        <v>8</v>
      </c>
      <c r="I321" s="3"/>
      <c r="J321" s="3"/>
    </row>
    <row r="322" spans="2:10" ht="14.25" customHeight="1" x14ac:dyDescent="0.35">
      <c r="B322" s="2" t="s">
        <v>1153</v>
      </c>
      <c r="C322" s="2" t="s">
        <v>316</v>
      </c>
      <c r="D322" s="4" t="s">
        <v>884</v>
      </c>
      <c r="E322" s="3"/>
      <c r="F322" s="3" t="s">
        <v>8</v>
      </c>
      <c r="G322" s="3"/>
      <c r="H322" s="3"/>
      <c r="I322" s="3" t="s">
        <v>8</v>
      </c>
      <c r="J322" s="3"/>
    </row>
    <row r="323" spans="2:10" ht="23.25" customHeight="1" x14ac:dyDescent="0.35">
      <c r="B323" s="2" t="s">
        <v>1153</v>
      </c>
      <c r="C323" s="2" t="s">
        <v>18</v>
      </c>
      <c r="D323" s="4" t="s">
        <v>892</v>
      </c>
      <c r="E323" s="3" t="s">
        <v>8</v>
      </c>
      <c r="F323" s="3"/>
      <c r="G323" s="3"/>
      <c r="H323" s="3" t="s">
        <v>8</v>
      </c>
      <c r="I323" s="3"/>
      <c r="J323" s="3"/>
    </row>
    <row r="324" spans="2:10" ht="23.25" customHeight="1" x14ac:dyDescent="0.35">
      <c r="B324" s="2" t="s">
        <v>1153</v>
      </c>
      <c r="C324" s="2" t="s">
        <v>18</v>
      </c>
      <c r="D324" s="4" t="s">
        <v>893</v>
      </c>
      <c r="E324" s="3" t="s">
        <v>8</v>
      </c>
      <c r="F324" s="3"/>
      <c r="G324" s="3"/>
      <c r="H324" s="3" t="s">
        <v>8</v>
      </c>
      <c r="I324" s="3"/>
      <c r="J324" s="3"/>
    </row>
    <row r="325" spans="2:10" ht="14.25" customHeight="1" x14ac:dyDescent="0.35">
      <c r="B325" s="2" t="s">
        <v>1153</v>
      </c>
      <c r="C325" s="2" t="s">
        <v>317</v>
      </c>
      <c r="D325" s="4" t="s">
        <v>894</v>
      </c>
      <c r="E325" s="3"/>
      <c r="F325" s="3" t="s">
        <v>8</v>
      </c>
      <c r="G325" s="3"/>
      <c r="H325" s="3"/>
      <c r="I325" s="3" t="s">
        <v>8</v>
      </c>
      <c r="J325" s="3"/>
    </row>
    <row r="326" spans="2:10" ht="14.25" customHeight="1" x14ac:dyDescent="0.35">
      <c r="B326" s="2" t="s">
        <v>1153</v>
      </c>
      <c r="C326" s="2" t="s">
        <v>318</v>
      </c>
      <c r="D326" s="4" t="s">
        <v>895</v>
      </c>
      <c r="E326" s="3"/>
      <c r="F326" s="3"/>
      <c r="G326" s="3" t="s">
        <v>8</v>
      </c>
      <c r="H326" s="3"/>
      <c r="I326" s="3"/>
      <c r="J326" s="3" t="s">
        <v>8</v>
      </c>
    </row>
    <row r="327" spans="2:10" ht="23.25" customHeight="1" x14ac:dyDescent="0.35">
      <c r="B327" s="2" t="s">
        <v>1153</v>
      </c>
      <c r="C327" s="2" t="s">
        <v>319</v>
      </c>
      <c r="D327" s="4" t="s">
        <v>896</v>
      </c>
      <c r="E327" s="3"/>
      <c r="F327" s="3" t="s">
        <v>8</v>
      </c>
      <c r="G327" s="3"/>
      <c r="H327" s="3"/>
      <c r="I327" s="3" t="s">
        <v>8</v>
      </c>
      <c r="J327" s="3"/>
    </row>
    <row r="328" spans="2:10" ht="14.25" customHeight="1" x14ac:dyDescent="0.35">
      <c r="B328" s="2" t="s">
        <v>1153</v>
      </c>
      <c r="C328" s="2" t="s">
        <v>320</v>
      </c>
      <c r="D328" s="4" t="s">
        <v>897</v>
      </c>
      <c r="E328" s="3" t="s">
        <v>8</v>
      </c>
      <c r="F328" s="3"/>
      <c r="G328" s="3"/>
      <c r="H328" s="3" t="s">
        <v>8</v>
      </c>
      <c r="I328" s="3"/>
      <c r="J328" s="3"/>
    </row>
    <row r="329" spans="2:10" ht="14.25" customHeight="1" x14ac:dyDescent="0.35">
      <c r="B329" s="2" t="s">
        <v>1153</v>
      </c>
      <c r="C329" s="2" t="s">
        <v>321</v>
      </c>
      <c r="D329" s="4" t="s">
        <v>898</v>
      </c>
      <c r="E329" s="3"/>
      <c r="F329" s="3"/>
      <c r="G329" s="3" t="s">
        <v>8</v>
      </c>
      <c r="H329" s="3"/>
      <c r="I329" s="3" t="s">
        <v>8</v>
      </c>
      <c r="J329" s="3" t="s">
        <v>8</v>
      </c>
    </row>
    <row r="330" spans="2:10" ht="15" customHeight="1" x14ac:dyDescent="0.35">
      <c r="B330" s="2" t="s">
        <v>1153</v>
      </c>
      <c r="C330" s="2" t="s">
        <v>322</v>
      </c>
      <c r="D330" s="4" t="s">
        <v>899</v>
      </c>
      <c r="E330" s="3"/>
      <c r="F330" s="3" t="s">
        <v>8</v>
      </c>
      <c r="G330" s="3"/>
      <c r="H330" s="3"/>
      <c r="I330" s="3"/>
      <c r="J330" s="3"/>
    </row>
    <row r="331" spans="2:10" ht="14.25" customHeight="1" x14ac:dyDescent="0.35">
      <c r="B331" s="2" t="s">
        <v>1153</v>
      </c>
      <c r="C331" s="2" t="s">
        <v>323</v>
      </c>
      <c r="D331" s="4" t="s">
        <v>900</v>
      </c>
      <c r="E331" s="3" t="s">
        <v>8</v>
      </c>
      <c r="F331" s="3"/>
      <c r="G331" s="3"/>
      <c r="H331" s="3" t="s">
        <v>8</v>
      </c>
      <c r="I331" s="3"/>
      <c r="J331" s="3"/>
    </row>
    <row r="332" spans="2:10" ht="14.25" customHeight="1" x14ac:dyDescent="0.35">
      <c r="B332" s="2" t="s">
        <v>1153</v>
      </c>
      <c r="C332" s="2" t="s">
        <v>324</v>
      </c>
      <c r="D332" s="4" t="s">
        <v>884</v>
      </c>
      <c r="E332" s="3"/>
      <c r="F332" s="3" t="s">
        <v>8</v>
      </c>
      <c r="G332" s="3"/>
      <c r="H332" s="3"/>
      <c r="I332" s="3" t="s">
        <v>8</v>
      </c>
      <c r="J332" s="3"/>
    </row>
    <row r="333" spans="2:10" ht="14.25" customHeight="1" x14ac:dyDescent="0.35">
      <c r="B333" s="2" t="s">
        <v>1153</v>
      </c>
      <c r="C333" s="2" t="s">
        <v>325</v>
      </c>
      <c r="D333" s="4" t="s">
        <v>901</v>
      </c>
      <c r="E333" s="3"/>
      <c r="F333" s="3"/>
      <c r="G333" s="3" t="s">
        <v>8</v>
      </c>
      <c r="H333" s="3"/>
      <c r="I333" s="3"/>
      <c r="J333" s="3" t="s">
        <v>8</v>
      </c>
    </row>
    <row r="334" spans="2:10" ht="14.25" customHeight="1" x14ac:dyDescent="0.35">
      <c r="B334" s="2" t="s">
        <v>1153</v>
      </c>
      <c r="C334" s="2" t="s">
        <v>326</v>
      </c>
      <c r="D334" s="4" t="s">
        <v>902</v>
      </c>
      <c r="E334" s="3"/>
      <c r="F334" s="3" t="s">
        <v>8</v>
      </c>
      <c r="G334" s="3"/>
      <c r="H334" s="3"/>
      <c r="I334" s="3" t="s">
        <v>8</v>
      </c>
      <c r="J334" s="3"/>
    </row>
    <row r="335" spans="2:10" ht="15" customHeight="1" x14ac:dyDescent="0.35">
      <c r="B335" s="2" t="s">
        <v>1153</v>
      </c>
      <c r="C335" s="2" t="s">
        <v>327</v>
      </c>
      <c r="D335" s="4" t="s">
        <v>903</v>
      </c>
      <c r="E335" s="3"/>
      <c r="F335" s="3" t="s">
        <v>8</v>
      </c>
      <c r="G335" s="3"/>
      <c r="H335" s="3"/>
      <c r="I335" s="3"/>
      <c r="J335" s="3"/>
    </row>
    <row r="336" spans="2:10" ht="14.25" customHeight="1" x14ac:dyDescent="0.35">
      <c r="B336" s="2" t="s">
        <v>1153</v>
      </c>
      <c r="C336" s="2" t="s">
        <v>328</v>
      </c>
      <c r="D336" s="4" t="s">
        <v>904</v>
      </c>
      <c r="E336" s="3" t="s">
        <v>8</v>
      </c>
      <c r="F336" s="3"/>
      <c r="G336" s="3"/>
      <c r="H336" s="3" t="s">
        <v>8</v>
      </c>
      <c r="I336" s="3"/>
      <c r="J336" s="3"/>
    </row>
    <row r="337" spans="2:10" ht="14.25" customHeight="1" x14ac:dyDescent="0.35">
      <c r="B337" s="2" t="s">
        <v>1153</v>
      </c>
      <c r="C337" s="2" t="s">
        <v>329</v>
      </c>
      <c r="D337" s="4" t="s">
        <v>905</v>
      </c>
      <c r="E337" s="3"/>
      <c r="F337" s="3" t="s">
        <v>8</v>
      </c>
      <c r="G337" s="3"/>
      <c r="H337" s="3"/>
      <c r="I337" s="3" t="s">
        <v>8</v>
      </c>
      <c r="J337" s="3"/>
    </row>
    <row r="338" spans="2:10" ht="14.25" customHeight="1" x14ac:dyDescent="0.35">
      <c r="B338" s="2" t="s">
        <v>1153</v>
      </c>
      <c r="C338" s="2" t="s">
        <v>330</v>
      </c>
      <c r="D338" s="4" t="s">
        <v>906</v>
      </c>
      <c r="E338" s="3" t="s">
        <v>8</v>
      </c>
      <c r="F338" s="3"/>
      <c r="G338" s="3"/>
      <c r="H338" s="3" t="s">
        <v>8</v>
      </c>
      <c r="I338" s="3"/>
      <c r="J338" s="3"/>
    </row>
    <row r="339" spans="2:10" ht="14.25" customHeight="1" x14ac:dyDescent="0.35">
      <c r="B339" s="2" t="s">
        <v>1153</v>
      </c>
      <c r="C339" s="2" t="s">
        <v>331</v>
      </c>
      <c r="D339" s="4" t="s">
        <v>907</v>
      </c>
      <c r="E339" s="3" t="s">
        <v>8</v>
      </c>
      <c r="F339" s="3"/>
      <c r="G339" s="3"/>
      <c r="H339" s="3" t="s">
        <v>8</v>
      </c>
      <c r="I339" s="3"/>
      <c r="J339" s="3"/>
    </row>
    <row r="340" spans="2:10" ht="15" customHeight="1" x14ac:dyDescent="0.35">
      <c r="B340" s="2" t="s">
        <v>1153</v>
      </c>
      <c r="C340" s="2" t="s">
        <v>332</v>
      </c>
      <c r="D340" s="4" t="s">
        <v>908</v>
      </c>
      <c r="E340" s="3"/>
      <c r="F340" s="3" t="s">
        <v>8</v>
      </c>
      <c r="G340" s="3"/>
      <c r="H340" s="3"/>
      <c r="I340" s="3" t="s">
        <v>8</v>
      </c>
      <c r="J340" s="3"/>
    </row>
    <row r="341" spans="2:10" ht="14.25" customHeight="1" x14ac:dyDescent="0.35">
      <c r="B341" s="2" t="s">
        <v>1153</v>
      </c>
      <c r="C341" s="2" t="s">
        <v>333</v>
      </c>
      <c r="D341" s="4" t="s">
        <v>909</v>
      </c>
      <c r="E341" s="3" t="s">
        <v>8</v>
      </c>
      <c r="F341" s="3"/>
      <c r="G341" s="3"/>
      <c r="H341" s="3" t="s">
        <v>8</v>
      </c>
      <c r="I341" s="3"/>
      <c r="J341" s="3"/>
    </row>
    <row r="342" spans="2:10" ht="14.25" customHeight="1" x14ac:dyDescent="0.35">
      <c r="B342" s="2" t="s">
        <v>1153</v>
      </c>
      <c r="C342" s="2" t="s">
        <v>334</v>
      </c>
      <c r="D342" s="4" t="s">
        <v>910</v>
      </c>
      <c r="E342" s="3"/>
      <c r="F342" s="3"/>
      <c r="G342" s="3" t="s">
        <v>8</v>
      </c>
      <c r="H342" s="3"/>
      <c r="I342" s="3"/>
      <c r="J342" s="3" t="s">
        <v>8</v>
      </c>
    </row>
    <row r="343" spans="2:10" ht="14.25" customHeight="1" x14ac:dyDescent="0.35">
      <c r="B343" s="2" t="s">
        <v>1153</v>
      </c>
      <c r="C343" s="2" t="s">
        <v>335</v>
      </c>
      <c r="D343" s="4" t="s">
        <v>911</v>
      </c>
      <c r="E343" s="3"/>
      <c r="F343" s="3" t="s">
        <v>8</v>
      </c>
      <c r="G343" s="3"/>
      <c r="H343" s="3"/>
      <c r="I343" s="3" t="s">
        <v>8</v>
      </c>
      <c r="J343" s="3"/>
    </row>
    <row r="344" spans="2:10" ht="14.25" customHeight="1" x14ac:dyDescent="0.35">
      <c r="B344" s="2" t="s">
        <v>1153</v>
      </c>
      <c r="C344" s="2" t="s">
        <v>336</v>
      </c>
      <c r="D344" s="4" t="s">
        <v>912</v>
      </c>
      <c r="E344" s="3"/>
      <c r="F344" s="3"/>
      <c r="G344" s="3" t="s">
        <v>8</v>
      </c>
      <c r="H344" s="3"/>
      <c r="I344" s="3"/>
      <c r="J344" s="3" t="s">
        <v>8</v>
      </c>
    </row>
    <row r="345" spans="2:10" ht="15" customHeight="1" x14ac:dyDescent="0.35">
      <c r="B345" s="2" t="s">
        <v>1153</v>
      </c>
      <c r="C345" s="2" t="s">
        <v>337</v>
      </c>
      <c r="D345" s="4" t="s">
        <v>913</v>
      </c>
      <c r="E345" s="3"/>
      <c r="F345" s="3"/>
      <c r="G345" s="3" t="s">
        <v>8</v>
      </c>
      <c r="H345" s="3"/>
      <c r="I345" s="3"/>
      <c r="J345" s="3" t="s">
        <v>8</v>
      </c>
    </row>
    <row r="346" spans="2:10" ht="14.25" customHeight="1" x14ac:dyDescent="0.35">
      <c r="B346" s="2" t="s">
        <v>1153</v>
      </c>
      <c r="C346" s="2" t="s">
        <v>338</v>
      </c>
      <c r="D346" s="4" t="s">
        <v>914</v>
      </c>
      <c r="E346" s="3"/>
      <c r="F346" s="3"/>
      <c r="G346" s="3" t="s">
        <v>8</v>
      </c>
      <c r="H346" s="3"/>
      <c r="I346" s="3"/>
      <c r="J346" s="3" t="s">
        <v>8</v>
      </c>
    </row>
    <row r="347" spans="2:10" ht="14.25" customHeight="1" x14ac:dyDescent="0.35">
      <c r="B347" s="2" t="s">
        <v>1153</v>
      </c>
      <c r="C347" s="2" t="s">
        <v>339</v>
      </c>
      <c r="D347" s="4" t="s">
        <v>915</v>
      </c>
      <c r="E347" s="3"/>
      <c r="F347" s="3" t="s">
        <v>8</v>
      </c>
      <c r="G347" s="3"/>
      <c r="H347" s="3"/>
      <c r="I347" s="3" t="s">
        <v>8</v>
      </c>
      <c r="J347" s="3"/>
    </row>
    <row r="348" spans="2:10" ht="14.25" customHeight="1" x14ac:dyDescent="0.35">
      <c r="B348" s="2" t="s">
        <v>1153</v>
      </c>
      <c r="C348" s="2" t="s">
        <v>340</v>
      </c>
      <c r="D348" s="4" t="s">
        <v>916</v>
      </c>
      <c r="E348" s="3"/>
      <c r="F348" s="3" t="s">
        <v>8</v>
      </c>
      <c r="G348" s="3"/>
      <c r="H348" s="3"/>
      <c r="I348" s="3" t="s">
        <v>8</v>
      </c>
      <c r="J348" s="3"/>
    </row>
    <row r="349" spans="2:10" ht="14.25" customHeight="1" x14ac:dyDescent="0.35">
      <c r="B349" s="2" t="s">
        <v>1153</v>
      </c>
      <c r="C349" s="2" t="s">
        <v>341</v>
      </c>
      <c r="D349" s="4" t="s">
        <v>917</v>
      </c>
      <c r="E349" s="3"/>
      <c r="F349" s="3"/>
      <c r="G349" s="3" t="s">
        <v>8</v>
      </c>
      <c r="H349" s="3"/>
      <c r="I349" s="3"/>
      <c r="J349" s="3" t="s">
        <v>8</v>
      </c>
    </row>
    <row r="350" spans="2:10" ht="15" customHeight="1" x14ac:dyDescent="0.35">
      <c r="B350" s="2" t="s">
        <v>1153</v>
      </c>
      <c r="C350" s="2" t="s">
        <v>342</v>
      </c>
      <c r="D350" s="4" t="s">
        <v>918</v>
      </c>
      <c r="E350" s="3" t="s">
        <v>8</v>
      </c>
      <c r="F350" s="3"/>
      <c r="G350" s="3"/>
      <c r="H350" s="3" t="s">
        <v>8</v>
      </c>
      <c r="I350" s="3"/>
      <c r="J350" s="3"/>
    </row>
    <row r="351" spans="2:10" ht="14.25" customHeight="1" x14ac:dyDescent="0.35">
      <c r="B351" s="2" t="s">
        <v>1153</v>
      </c>
      <c r="C351" s="2" t="s">
        <v>343</v>
      </c>
      <c r="D351" s="4" t="s">
        <v>919</v>
      </c>
      <c r="E351" s="3" t="s">
        <v>8</v>
      </c>
      <c r="F351" s="3"/>
      <c r="G351" s="3"/>
      <c r="H351" s="3" t="s">
        <v>8</v>
      </c>
      <c r="I351" s="3"/>
      <c r="J351" s="3"/>
    </row>
    <row r="352" spans="2:10" ht="14.25" customHeight="1" x14ac:dyDescent="0.35">
      <c r="B352" s="2" t="s">
        <v>1153</v>
      </c>
      <c r="C352" s="2" t="s">
        <v>344</v>
      </c>
      <c r="D352" s="4" t="s">
        <v>920</v>
      </c>
      <c r="E352" s="3" t="s">
        <v>8</v>
      </c>
      <c r="F352" s="3"/>
      <c r="G352" s="3"/>
      <c r="H352" s="3"/>
      <c r="I352" s="3"/>
      <c r="J352" s="3"/>
    </row>
    <row r="353" spans="2:10" ht="14.25" customHeight="1" x14ac:dyDescent="0.35">
      <c r="B353" s="2" t="s">
        <v>1153</v>
      </c>
      <c r="C353" s="2" t="s">
        <v>345</v>
      </c>
      <c r="D353" s="4" t="s">
        <v>921</v>
      </c>
      <c r="E353" s="3"/>
      <c r="F353" s="3" t="s">
        <v>8</v>
      </c>
      <c r="G353" s="3"/>
      <c r="H353" s="3"/>
      <c r="I353" s="3" t="s">
        <v>8</v>
      </c>
      <c r="J353" s="3"/>
    </row>
    <row r="354" spans="2:10" ht="14.25" customHeight="1" x14ac:dyDescent="0.35">
      <c r="B354" s="2" t="s">
        <v>1153</v>
      </c>
      <c r="C354" s="2" t="s">
        <v>346</v>
      </c>
      <c r="D354" s="4" t="s">
        <v>922</v>
      </c>
      <c r="E354" s="3"/>
      <c r="F354" s="3" t="s">
        <v>8</v>
      </c>
      <c r="G354" s="3"/>
      <c r="H354" s="3"/>
      <c r="I354" s="3" t="s">
        <v>8</v>
      </c>
      <c r="J354" s="3"/>
    </row>
    <row r="355" spans="2:10" ht="15" customHeight="1" x14ac:dyDescent="0.35">
      <c r="B355" s="2" t="s">
        <v>1153</v>
      </c>
      <c r="C355" s="2" t="s">
        <v>347</v>
      </c>
      <c r="D355" s="4" t="s">
        <v>923</v>
      </c>
      <c r="E355" s="3"/>
      <c r="F355" s="3"/>
      <c r="G355" s="3"/>
      <c r="H355" s="3"/>
      <c r="I355" s="3" t="s">
        <v>8</v>
      </c>
      <c r="J355" s="3"/>
    </row>
    <row r="356" spans="2:10" ht="14.25" customHeight="1" x14ac:dyDescent="0.35">
      <c r="B356" s="2" t="s">
        <v>1153</v>
      </c>
      <c r="C356" s="2" t="s">
        <v>348</v>
      </c>
      <c r="D356" s="4" t="s">
        <v>922</v>
      </c>
      <c r="E356" s="3" t="s">
        <v>8</v>
      </c>
      <c r="F356" s="3"/>
      <c r="G356" s="3"/>
      <c r="H356" s="3" t="s">
        <v>8</v>
      </c>
      <c r="I356" s="3"/>
      <c r="J356" s="3"/>
    </row>
    <row r="357" spans="2:10" ht="14.25" customHeight="1" x14ac:dyDescent="0.35">
      <c r="B357" s="2" t="s">
        <v>1153</v>
      </c>
      <c r="C357" s="2" t="s">
        <v>349</v>
      </c>
      <c r="D357" s="4" t="s">
        <v>924</v>
      </c>
      <c r="E357" s="3"/>
      <c r="F357" s="3"/>
      <c r="G357" s="3" t="s">
        <v>8</v>
      </c>
      <c r="H357" s="3"/>
      <c r="I357" s="3"/>
      <c r="J357" s="3" t="s">
        <v>8</v>
      </c>
    </row>
    <row r="358" spans="2:10" ht="14.25" customHeight="1" x14ac:dyDescent="0.35">
      <c r="B358" s="2" t="s">
        <v>1153</v>
      </c>
      <c r="C358" s="2" t="s">
        <v>350</v>
      </c>
      <c r="D358" s="4" t="s">
        <v>925</v>
      </c>
      <c r="E358" s="3"/>
      <c r="F358" s="3" t="s">
        <v>8</v>
      </c>
      <c r="G358" s="3"/>
      <c r="H358" s="3"/>
      <c r="I358" s="3" t="s">
        <v>8</v>
      </c>
      <c r="J358" s="3"/>
    </row>
    <row r="359" spans="2:10" ht="14.25" customHeight="1" x14ac:dyDescent="0.35">
      <c r="B359" s="2" t="s">
        <v>1153</v>
      </c>
      <c r="C359" s="2" t="s">
        <v>351</v>
      </c>
      <c r="D359" s="4" t="s">
        <v>926</v>
      </c>
      <c r="E359" s="3"/>
      <c r="F359" s="3"/>
      <c r="G359" s="3" t="s">
        <v>8</v>
      </c>
      <c r="H359" s="3"/>
      <c r="I359" s="3"/>
      <c r="J359" s="3" t="s">
        <v>8</v>
      </c>
    </row>
    <row r="360" spans="2:10" ht="15" customHeight="1" x14ac:dyDescent="0.35">
      <c r="B360" s="2" t="s">
        <v>1153</v>
      </c>
      <c r="C360" s="2" t="s">
        <v>352</v>
      </c>
      <c r="D360" s="4" t="s">
        <v>927</v>
      </c>
      <c r="E360" s="3"/>
      <c r="F360" s="3" t="s">
        <v>8</v>
      </c>
      <c r="G360" s="3"/>
      <c r="H360" s="3"/>
      <c r="I360" s="3" t="s">
        <v>8</v>
      </c>
      <c r="J360" s="3"/>
    </row>
    <row r="361" spans="2:10" ht="23.25" customHeight="1" x14ac:dyDescent="0.35">
      <c r="B361" s="2" t="s">
        <v>1153</v>
      </c>
      <c r="C361" s="2" t="s">
        <v>353</v>
      </c>
      <c r="D361" s="4" t="s">
        <v>928</v>
      </c>
      <c r="E361" s="3"/>
      <c r="F361" s="3"/>
      <c r="G361" s="3" t="s">
        <v>8</v>
      </c>
      <c r="H361" s="3"/>
      <c r="I361" s="3"/>
      <c r="J361" s="3"/>
    </row>
    <row r="362" spans="2:10" ht="14.25" customHeight="1" x14ac:dyDescent="0.35">
      <c r="B362" s="2" t="s">
        <v>1153</v>
      </c>
      <c r="C362" s="2" t="s">
        <v>354</v>
      </c>
      <c r="D362" s="4" t="s">
        <v>929</v>
      </c>
      <c r="E362" s="3"/>
      <c r="F362" s="3"/>
      <c r="G362" s="3"/>
      <c r="H362" s="3"/>
      <c r="I362" s="3"/>
      <c r="J362" s="3" t="s">
        <v>8</v>
      </c>
    </row>
    <row r="363" spans="2:10" ht="14.25" customHeight="1" x14ac:dyDescent="0.35">
      <c r="B363" s="2" t="s">
        <v>1153</v>
      </c>
      <c r="C363" s="2" t="s">
        <v>355</v>
      </c>
      <c r="D363" s="4" t="s">
        <v>930</v>
      </c>
      <c r="E363" s="3"/>
      <c r="F363" s="3"/>
      <c r="G363" s="3" t="s">
        <v>8</v>
      </c>
      <c r="H363" s="3"/>
      <c r="I363" s="3"/>
      <c r="J363" s="3"/>
    </row>
    <row r="364" spans="2:10" ht="23.25" customHeight="1" x14ac:dyDescent="0.35">
      <c r="B364" s="2" t="s">
        <v>1153</v>
      </c>
      <c r="C364" s="2" t="s">
        <v>356</v>
      </c>
      <c r="D364" s="4" t="s">
        <v>931</v>
      </c>
      <c r="E364" s="3"/>
      <c r="F364" s="3"/>
      <c r="G364" s="3"/>
      <c r="H364" s="3"/>
      <c r="I364" s="3"/>
      <c r="J364" s="3" t="s">
        <v>8</v>
      </c>
    </row>
    <row r="365" spans="2:10" ht="23.25" customHeight="1" x14ac:dyDescent="0.35">
      <c r="B365" s="2" t="s">
        <v>1153</v>
      </c>
      <c r="C365" s="2" t="s">
        <v>357</v>
      </c>
      <c r="D365" s="4" t="s">
        <v>932</v>
      </c>
      <c r="E365" s="3" t="s">
        <v>8</v>
      </c>
      <c r="F365" s="3"/>
      <c r="G365" s="3"/>
      <c r="H365" s="3" t="s">
        <v>8</v>
      </c>
      <c r="I365" s="3"/>
      <c r="J365" s="3"/>
    </row>
    <row r="366" spans="2:10" ht="14.25" customHeight="1" x14ac:dyDescent="0.35">
      <c r="B366" s="2" t="s">
        <v>1153</v>
      </c>
      <c r="C366" s="2" t="s">
        <v>358</v>
      </c>
      <c r="D366" s="4" t="s">
        <v>933</v>
      </c>
      <c r="E366" s="3"/>
      <c r="F366" s="3"/>
      <c r="G366" s="3"/>
      <c r="H366" s="3" t="s">
        <v>8</v>
      </c>
      <c r="I366" s="3"/>
      <c r="J366" s="3"/>
    </row>
    <row r="367" spans="2:10" ht="14.25" customHeight="1" x14ac:dyDescent="0.35">
      <c r="B367" s="2" t="s">
        <v>1153</v>
      </c>
      <c r="C367" s="2" t="s">
        <v>359</v>
      </c>
      <c r="D367" s="4" t="s">
        <v>934</v>
      </c>
      <c r="E367" s="3"/>
      <c r="F367" s="3" t="s">
        <v>8</v>
      </c>
      <c r="G367" s="3"/>
      <c r="H367" s="3"/>
      <c r="I367" s="3" t="s">
        <v>8</v>
      </c>
      <c r="J367" s="3"/>
    </row>
    <row r="368" spans="2:10" ht="15" customHeight="1" x14ac:dyDescent="0.35">
      <c r="B368" s="2" t="s">
        <v>1153</v>
      </c>
      <c r="C368" s="2" t="s">
        <v>360</v>
      </c>
      <c r="D368" s="4" t="s">
        <v>935</v>
      </c>
      <c r="E368" s="3"/>
      <c r="F368" s="3"/>
      <c r="G368" s="3" t="s">
        <v>8</v>
      </c>
      <c r="H368" s="3"/>
      <c r="I368" s="3"/>
      <c r="J368" s="3" t="s">
        <v>8</v>
      </c>
    </row>
    <row r="369" spans="2:10" ht="14.25" customHeight="1" x14ac:dyDescent="0.35">
      <c r="B369" s="2" t="s">
        <v>1153</v>
      </c>
      <c r="C369" s="2" t="s">
        <v>361</v>
      </c>
      <c r="D369" s="4" t="s">
        <v>936</v>
      </c>
      <c r="E369" s="3"/>
      <c r="F369" s="3"/>
      <c r="G369" s="3" t="s">
        <v>8</v>
      </c>
      <c r="H369" s="3"/>
      <c r="I369" s="3"/>
      <c r="J369" s="3" t="s">
        <v>8</v>
      </c>
    </row>
    <row r="370" spans="2:10" ht="14.25" customHeight="1" x14ac:dyDescent="0.35">
      <c r="B370" s="2" t="s">
        <v>1153</v>
      </c>
      <c r="C370" s="2" t="s">
        <v>362</v>
      </c>
      <c r="D370" s="4" t="s">
        <v>937</v>
      </c>
      <c r="E370" s="3"/>
      <c r="F370" s="3"/>
      <c r="G370" s="3" t="s">
        <v>8</v>
      </c>
      <c r="H370" s="3"/>
      <c r="I370" s="3"/>
      <c r="J370" s="3" t="s">
        <v>8</v>
      </c>
    </row>
    <row r="371" spans="2:10" ht="23.25" customHeight="1" x14ac:dyDescent="0.35">
      <c r="B371" s="2" t="s">
        <v>1153</v>
      </c>
      <c r="C371" s="2" t="s">
        <v>18</v>
      </c>
      <c r="D371" s="4" t="s">
        <v>938</v>
      </c>
      <c r="E371" s="3"/>
      <c r="F371" s="3"/>
      <c r="G371" s="3" t="s">
        <v>8</v>
      </c>
      <c r="H371" s="3"/>
      <c r="I371" s="3"/>
      <c r="J371" s="3" t="s">
        <v>8</v>
      </c>
    </row>
    <row r="372" spans="2:10" ht="14.25" customHeight="1" x14ac:dyDescent="0.35">
      <c r="B372" s="2" t="s">
        <v>1153</v>
      </c>
      <c r="C372" s="2" t="s">
        <v>363</v>
      </c>
      <c r="D372" s="4" t="s">
        <v>939</v>
      </c>
      <c r="E372" s="3"/>
      <c r="F372" s="3" t="s">
        <v>8</v>
      </c>
      <c r="G372" s="3"/>
      <c r="H372" s="3"/>
      <c r="I372" s="3" t="s">
        <v>8</v>
      </c>
      <c r="J372" s="3"/>
    </row>
    <row r="373" spans="2:10" ht="14.25" customHeight="1" x14ac:dyDescent="0.35">
      <c r="B373" s="2" t="s">
        <v>1153</v>
      </c>
      <c r="C373" s="2" t="s">
        <v>364</v>
      </c>
      <c r="D373" s="4" t="s">
        <v>940</v>
      </c>
      <c r="E373" s="3" t="s">
        <v>8</v>
      </c>
      <c r="F373" s="3"/>
      <c r="G373" s="3"/>
      <c r="H373" s="3" t="s">
        <v>8</v>
      </c>
      <c r="I373" s="3"/>
      <c r="J373" s="3"/>
    </row>
    <row r="374" spans="2:10" ht="15" customHeight="1" x14ac:dyDescent="0.35">
      <c r="B374" s="2" t="s">
        <v>1153</v>
      </c>
      <c r="C374" s="2" t="s">
        <v>365</v>
      </c>
      <c r="D374" s="4" t="s">
        <v>941</v>
      </c>
      <c r="E374" s="3"/>
      <c r="F374" s="3" t="s">
        <v>8</v>
      </c>
      <c r="G374" s="3"/>
      <c r="H374" s="3"/>
      <c r="I374" s="3" t="s">
        <v>8</v>
      </c>
      <c r="J374" s="3"/>
    </row>
    <row r="375" spans="2:10" ht="14.25" customHeight="1" x14ac:dyDescent="0.35">
      <c r="B375" s="2" t="s">
        <v>1153</v>
      </c>
      <c r="C375" s="2" t="s">
        <v>366</v>
      </c>
      <c r="D375" s="4" t="s">
        <v>942</v>
      </c>
      <c r="E375" s="3" t="s">
        <v>8</v>
      </c>
      <c r="F375" s="3"/>
      <c r="G375" s="3"/>
      <c r="H375" s="3" t="s">
        <v>8</v>
      </c>
      <c r="I375" s="3"/>
      <c r="J375" s="3"/>
    </row>
    <row r="376" spans="2:10" ht="14.25" customHeight="1" x14ac:dyDescent="0.35">
      <c r="B376" s="2" t="s">
        <v>1153</v>
      </c>
      <c r="C376" s="2" t="s">
        <v>367</v>
      </c>
      <c r="D376" s="4" t="s">
        <v>943</v>
      </c>
      <c r="E376" s="3"/>
      <c r="F376" s="3" t="s">
        <v>8</v>
      </c>
      <c r="G376" s="3"/>
      <c r="H376" s="3"/>
      <c r="I376" s="3" t="s">
        <v>8</v>
      </c>
      <c r="J376" s="3"/>
    </row>
    <row r="377" spans="2:10" ht="14.25" customHeight="1" x14ac:dyDescent="0.35">
      <c r="B377" s="2" t="s">
        <v>1153</v>
      </c>
      <c r="C377" s="2" t="s">
        <v>368</v>
      </c>
      <c r="D377" s="4" t="s">
        <v>944</v>
      </c>
      <c r="E377" s="3" t="s">
        <v>8</v>
      </c>
      <c r="F377" s="3"/>
      <c r="G377" s="3"/>
      <c r="H377" s="3" t="s">
        <v>8</v>
      </c>
      <c r="I377" s="3"/>
      <c r="J377" s="3"/>
    </row>
    <row r="378" spans="2:10" ht="14.25" customHeight="1" x14ac:dyDescent="0.35">
      <c r="B378" s="2" t="s">
        <v>1153</v>
      </c>
      <c r="C378" s="2" t="s">
        <v>369</v>
      </c>
      <c r="D378" s="4" t="s">
        <v>944</v>
      </c>
      <c r="E378" s="3"/>
      <c r="F378" s="3"/>
      <c r="G378" s="3" t="s">
        <v>8</v>
      </c>
      <c r="H378" s="3"/>
      <c r="I378" s="3"/>
      <c r="J378" s="3" t="s">
        <v>8</v>
      </c>
    </row>
    <row r="379" spans="2:10" ht="15" customHeight="1" x14ac:dyDescent="0.35">
      <c r="B379" s="2" t="s">
        <v>1153</v>
      </c>
      <c r="C379" s="2" t="s">
        <v>370</v>
      </c>
      <c r="D379" s="4" t="s">
        <v>945</v>
      </c>
      <c r="E379" s="3"/>
      <c r="F379" s="3" t="s">
        <v>8</v>
      </c>
      <c r="G379" s="3"/>
      <c r="H379" s="3"/>
      <c r="I379" s="3" t="s">
        <v>8</v>
      </c>
      <c r="J379" s="3"/>
    </row>
    <row r="380" spans="2:10" ht="22.5" customHeight="1" x14ac:dyDescent="0.35">
      <c r="B380" s="2" t="s">
        <v>1153</v>
      </c>
      <c r="C380" s="2" t="s">
        <v>371</v>
      </c>
      <c r="D380" s="4" t="s">
        <v>937</v>
      </c>
      <c r="E380" s="3" t="s">
        <v>8</v>
      </c>
      <c r="F380" s="3"/>
      <c r="G380" s="3"/>
      <c r="H380" s="3" t="s">
        <v>8</v>
      </c>
      <c r="I380" s="3"/>
      <c r="J380" s="3"/>
    </row>
    <row r="381" spans="2:10" ht="15" customHeight="1" x14ac:dyDescent="0.35">
      <c r="B381" s="2" t="s">
        <v>1153</v>
      </c>
      <c r="C381" s="2" t="s">
        <v>372</v>
      </c>
      <c r="D381" s="4" t="s">
        <v>946</v>
      </c>
      <c r="E381" s="3"/>
      <c r="F381" s="3"/>
      <c r="G381" s="3" t="s">
        <v>8</v>
      </c>
      <c r="H381" s="3"/>
      <c r="I381" s="3"/>
      <c r="J381" s="3" t="s">
        <v>8</v>
      </c>
    </row>
    <row r="382" spans="2:10" ht="14.25" customHeight="1" x14ac:dyDescent="0.35">
      <c r="B382" s="2" t="s">
        <v>1153</v>
      </c>
      <c r="C382" s="2" t="s">
        <v>373</v>
      </c>
      <c r="D382" s="4" t="s">
        <v>947</v>
      </c>
      <c r="E382" s="3"/>
      <c r="F382" s="3" t="s">
        <v>8</v>
      </c>
      <c r="G382" s="3"/>
      <c r="H382" s="3"/>
      <c r="I382" s="3" t="s">
        <v>8</v>
      </c>
      <c r="J382" s="3"/>
    </row>
    <row r="383" spans="2:10" ht="23.25" customHeight="1" x14ac:dyDescent="0.35">
      <c r="B383" s="2" t="s">
        <v>1153</v>
      </c>
      <c r="C383" s="2" t="s">
        <v>374</v>
      </c>
      <c r="D383" s="4" t="s">
        <v>948</v>
      </c>
      <c r="E383" s="3" t="s">
        <v>8</v>
      </c>
      <c r="F383" s="3"/>
      <c r="G383" s="3"/>
      <c r="H383" s="3" t="s">
        <v>8</v>
      </c>
      <c r="I383" s="3"/>
      <c r="J383" s="3"/>
    </row>
    <row r="384" spans="2:10" ht="14.25" customHeight="1" x14ac:dyDescent="0.35">
      <c r="B384" s="2" t="s">
        <v>1153</v>
      </c>
      <c r="C384" s="2" t="s">
        <v>375</v>
      </c>
      <c r="D384" s="4" t="s">
        <v>949</v>
      </c>
      <c r="E384" s="3" t="s">
        <v>8</v>
      </c>
      <c r="F384" s="3"/>
      <c r="G384" s="3"/>
      <c r="H384" s="3" t="s">
        <v>8</v>
      </c>
      <c r="I384" s="3"/>
      <c r="J384" s="3"/>
    </row>
    <row r="385" spans="2:10" ht="14.25" customHeight="1" x14ac:dyDescent="0.35">
      <c r="B385" s="2" t="s">
        <v>1153</v>
      </c>
      <c r="C385" s="2" t="s">
        <v>376</v>
      </c>
      <c r="D385" s="4" t="s">
        <v>950</v>
      </c>
      <c r="E385" s="3"/>
      <c r="F385" s="3" t="s">
        <v>8</v>
      </c>
      <c r="G385" s="3"/>
      <c r="H385" s="3"/>
      <c r="I385" s="3" t="s">
        <v>8</v>
      </c>
      <c r="J385" s="3"/>
    </row>
    <row r="386" spans="2:10" ht="14.25" customHeight="1" x14ac:dyDescent="0.35">
      <c r="B386" s="2" t="s">
        <v>1153</v>
      </c>
      <c r="C386" s="2" t="s">
        <v>377</v>
      </c>
      <c r="D386" s="4" t="s">
        <v>951</v>
      </c>
      <c r="E386" s="3"/>
      <c r="F386" s="3" t="s">
        <v>8</v>
      </c>
      <c r="G386" s="3"/>
      <c r="H386" s="3"/>
      <c r="I386" s="3" t="s">
        <v>8</v>
      </c>
      <c r="J386" s="3"/>
    </row>
    <row r="387" spans="2:10" ht="15" customHeight="1" x14ac:dyDescent="0.35">
      <c r="B387" s="2" t="s">
        <v>1153</v>
      </c>
      <c r="C387" s="2" t="s">
        <v>378</v>
      </c>
      <c r="D387" s="4" t="s">
        <v>952</v>
      </c>
      <c r="E387" s="3"/>
      <c r="F387" s="3"/>
      <c r="G387" s="3" t="s">
        <v>8</v>
      </c>
      <c r="H387" s="3"/>
      <c r="I387" s="3"/>
      <c r="J387" s="3" t="s">
        <v>8</v>
      </c>
    </row>
    <row r="388" spans="2:10" ht="14.25" customHeight="1" x14ac:dyDescent="0.35">
      <c r="B388" s="2" t="s">
        <v>1153</v>
      </c>
      <c r="C388" s="2" t="s">
        <v>379</v>
      </c>
      <c r="D388" s="4" t="s">
        <v>953</v>
      </c>
      <c r="E388" s="3" t="s">
        <v>8</v>
      </c>
      <c r="F388" s="3"/>
      <c r="G388" s="3"/>
      <c r="H388" s="3" t="s">
        <v>8</v>
      </c>
      <c r="I388" s="3"/>
      <c r="J388" s="3"/>
    </row>
    <row r="389" spans="2:10" ht="14.25" customHeight="1" x14ac:dyDescent="0.35">
      <c r="B389" s="2" t="s">
        <v>1153</v>
      </c>
      <c r="C389" s="2" t="s">
        <v>380</v>
      </c>
      <c r="D389" s="4" t="s">
        <v>954</v>
      </c>
      <c r="E389" s="3"/>
      <c r="F389" s="3"/>
      <c r="G389" s="3" t="s">
        <v>8</v>
      </c>
      <c r="H389" s="3"/>
      <c r="I389" s="3"/>
      <c r="J389" s="3" t="s">
        <v>8</v>
      </c>
    </row>
    <row r="390" spans="2:10" ht="14.25" customHeight="1" x14ac:dyDescent="0.35">
      <c r="B390" s="2" t="s">
        <v>1153</v>
      </c>
      <c r="C390" s="2" t="s">
        <v>381</v>
      </c>
      <c r="D390" s="4" t="s">
        <v>955</v>
      </c>
      <c r="E390" s="3"/>
      <c r="F390" s="3" t="s">
        <v>8</v>
      </c>
      <c r="G390" s="3"/>
      <c r="H390" s="3"/>
      <c r="I390" s="3" t="s">
        <v>8</v>
      </c>
      <c r="J390" s="3"/>
    </row>
    <row r="391" spans="2:10" ht="14.25" customHeight="1" x14ac:dyDescent="0.35">
      <c r="B391" s="2" t="s">
        <v>1153</v>
      </c>
      <c r="C391" s="2" t="s">
        <v>382</v>
      </c>
      <c r="D391" s="4" t="s">
        <v>956</v>
      </c>
      <c r="E391" s="3"/>
      <c r="F391" s="3"/>
      <c r="G391" s="3" t="s">
        <v>8</v>
      </c>
      <c r="H391" s="3"/>
      <c r="I391" s="3"/>
      <c r="J391" s="3" t="s">
        <v>8</v>
      </c>
    </row>
    <row r="392" spans="2:10" ht="23.25" customHeight="1" x14ac:dyDescent="0.35">
      <c r="B392" s="2" t="s">
        <v>1153</v>
      </c>
      <c r="C392" s="2" t="s">
        <v>383</v>
      </c>
      <c r="D392" s="4" t="s">
        <v>957</v>
      </c>
      <c r="E392" s="3"/>
      <c r="F392" s="3"/>
      <c r="G392" s="3" t="s">
        <v>8</v>
      </c>
      <c r="H392" s="3"/>
      <c r="I392" s="3"/>
      <c r="J392" s="3"/>
    </row>
    <row r="393" spans="2:10" ht="23.25" customHeight="1" x14ac:dyDescent="0.35">
      <c r="B393" s="2" t="s">
        <v>1153</v>
      </c>
      <c r="C393" s="2" t="s">
        <v>384</v>
      </c>
      <c r="D393" s="4" t="s">
        <v>958</v>
      </c>
      <c r="E393" s="3" t="s">
        <v>8</v>
      </c>
      <c r="F393" s="3"/>
      <c r="G393" s="3"/>
      <c r="H393" s="3"/>
      <c r="I393" s="3"/>
      <c r="J393" s="3"/>
    </row>
    <row r="394" spans="2:10" ht="23.25" customHeight="1" x14ac:dyDescent="0.35">
      <c r="B394" s="2" t="s">
        <v>1153</v>
      </c>
      <c r="C394" s="2" t="s">
        <v>385</v>
      </c>
      <c r="D394" s="4" t="s">
        <v>959</v>
      </c>
      <c r="E394" s="3"/>
      <c r="F394" s="3"/>
      <c r="G394" s="3" t="s">
        <v>8</v>
      </c>
      <c r="H394" s="3"/>
      <c r="I394" s="3"/>
      <c r="J394" s="3"/>
    </row>
    <row r="395" spans="2:10" ht="23.25" customHeight="1" x14ac:dyDescent="0.35">
      <c r="B395" s="2" t="s">
        <v>1153</v>
      </c>
      <c r="C395" s="2" t="s">
        <v>386</v>
      </c>
      <c r="D395" s="4" t="s">
        <v>941</v>
      </c>
      <c r="E395" s="3"/>
      <c r="F395" s="3" t="s">
        <v>8</v>
      </c>
      <c r="G395" s="3"/>
      <c r="H395" s="3"/>
      <c r="I395" s="3"/>
      <c r="J395" s="3"/>
    </row>
    <row r="396" spans="2:10" ht="23.25" customHeight="1" x14ac:dyDescent="0.35">
      <c r="B396" s="2" t="s">
        <v>1153</v>
      </c>
      <c r="C396" s="2" t="s">
        <v>387</v>
      </c>
      <c r="D396" s="4" t="s">
        <v>960</v>
      </c>
      <c r="E396" s="3"/>
      <c r="F396" s="3" t="s">
        <v>8</v>
      </c>
      <c r="G396" s="3"/>
      <c r="H396" s="3"/>
      <c r="I396" s="3" t="s">
        <v>8</v>
      </c>
      <c r="J396" s="3"/>
    </row>
    <row r="397" spans="2:10" ht="14.25" customHeight="1" x14ac:dyDescent="0.35">
      <c r="B397" s="2" t="s">
        <v>1153</v>
      </c>
      <c r="C397" s="2" t="s">
        <v>388</v>
      </c>
      <c r="D397" s="4" t="s">
        <v>961</v>
      </c>
      <c r="E397" s="3"/>
      <c r="F397" s="3" t="s">
        <v>8</v>
      </c>
      <c r="G397" s="3"/>
      <c r="H397" s="3"/>
      <c r="I397" s="3"/>
      <c r="J397" s="3"/>
    </row>
    <row r="398" spans="2:10" ht="15" customHeight="1" x14ac:dyDescent="0.35">
      <c r="B398" s="2" t="s">
        <v>1153</v>
      </c>
      <c r="C398" s="2" t="s">
        <v>389</v>
      </c>
      <c r="D398" s="4" t="s">
        <v>962</v>
      </c>
      <c r="E398" s="3"/>
      <c r="F398" s="3"/>
      <c r="G398" s="3"/>
      <c r="H398" s="3" t="s">
        <v>8</v>
      </c>
      <c r="I398" s="3"/>
      <c r="J398" s="3"/>
    </row>
    <row r="399" spans="2:10" ht="14.25" customHeight="1" x14ac:dyDescent="0.35">
      <c r="B399" s="2" t="s">
        <v>1153</v>
      </c>
      <c r="C399" s="2" t="s">
        <v>390</v>
      </c>
      <c r="D399" s="4" t="s">
        <v>963</v>
      </c>
      <c r="E399" s="3" t="s">
        <v>8</v>
      </c>
      <c r="F399" s="3"/>
      <c r="G399" s="3"/>
      <c r="H399" s="3" t="s">
        <v>8</v>
      </c>
      <c r="I399" s="3"/>
      <c r="J399" s="3"/>
    </row>
    <row r="400" spans="2:10" ht="14.25" customHeight="1" x14ac:dyDescent="0.35">
      <c r="B400" s="2" t="s">
        <v>1153</v>
      </c>
      <c r="C400" s="2" t="s">
        <v>391</v>
      </c>
      <c r="D400" s="4" t="s">
        <v>964</v>
      </c>
      <c r="E400" s="3"/>
      <c r="F400" s="3"/>
      <c r="G400" s="3" t="s">
        <v>8</v>
      </c>
      <c r="H400" s="3"/>
      <c r="I400" s="3"/>
      <c r="J400" s="3" t="s">
        <v>8</v>
      </c>
    </row>
    <row r="401" spans="2:10" ht="14.25" customHeight="1" x14ac:dyDescent="0.35">
      <c r="B401" s="2" t="s">
        <v>1153</v>
      </c>
      <c r="C401" s="2" t="s">
        <v>392</v>
      </c>
      <c r="D401" s="4" t="s">
        <v>965</v>
      </c>
      <c r="E401" s="3"/>
      <c r="F401" s="3" t="s">
        <v>8</v>
      </c>
      <c r="G401" s="3"/>
      <c r="H401" s="3"/>
      <c r="I401" s="3" t="s">
        <v>8</v>
      </c>
      <c r="J401" s="3"/>
    </row>
    <row r="402" spans="2:10" ht="14.25" customHeight="1" x14ac:dyDescent="0.35">
      <c r="B402" s="2" t="s">
        <v>1153</v>
      </c>
      <c r="C402" s="2" t="s">
        <v>393</v>
      </c>
      <c r="D402" s="4" t="s">
        <v>966</v>
      </c>
      <c r="E402" s="3"/>
      <c r="F402" s="3" t="s">
        <v>8</v>
      </c>
      <c r="G402" s="3"/>
      <c r="H402" s="3"/>
      <c r="I402" s="3" t="s">
        <v>8</v>
      </c>
      <c r="J402" s="3"/>
    </row>
    <row r="403" spans="2:10" ht="15" customHeight="1" x14ac:dyDescent="0.35">
      <c r="B403" s="2" t="s">
        <v>1153</v>
      </c>
      <c r="C403" s="2" t="s">
        <v>394</v>
      </c>
      <c r="D403" s="4" t="s">
        <v>967</v>
      </c>
      <c r="E403" s="3"/>
      <c r="F403" s="3"/>
      <c r="G403" s="3" t="s">
        <v>8</v>
      </c>
      <c r="H403" s="3"/>
      <c r="I403" s="3"/>
      <c r="J403" s="3" t="s">
        <v>8</v>
      </c>
    </row>
    <row r="404" spans="2:10" ht="14.25" customHeight="1" x14ac:dyDescent="0.35">
      <c r="B404" s="2" t="s">
        <v>1153</v>
      </c>
      <c r="C404" s="2" t="s">
        <v>395</v>
      </c>
      <c r="D404" s="4" t="s">
        <v>963</v>
      </c>
      <c r="E404" s="3" t="s">
        <v>8</v>
      </c>
      <c r="F404" s="3"/>
      <c r="G404" s="3"/>
      <c r="H404" s="3"/>
      <c r="I404" s="3"/>
      <c r="J404" s="3"/>
    </row>
    <row r="405" spans="2:10" ht="14.25" customHeight="1" x14ac:dyDescent="0.35">
      <c r="B405" s="2" t="s">
        <v>1153</v>
      </c>
      <c r="C405" s="2" t="s">
        <v>396</v>
      </c>
      <c r="D405" s="4" t="s">
        <v>968</v>
      </c>
      <c r="E405" s="3"/>
      <c r="F405" s="3" t="s">
        <v>8</v>
      </c>
      <c r="G405" s="3"/>
      <c r="H405" s="3"/>
      <c r="I405" s="3"/>
      <c r="J405" s="3"/>
    </row>
    <row r="406" spans="2:10" ht="23.25" customHeight="1" x14ac:dyDescent="0.35">
      <c r="B406" s="2" t="s">
        <v>1153</v>
      </c>
      <c r="C406" s="2" t="s">
        <v>18</v>
      </c>
      <c r="D406" s="4" t="s">
        <v>969</v>
      </c>
      <c r="E406" s="3"/>
      <c r="F406" s="3" t="s">
        <v>8</v>
      </c>
      <c r="G406" s="3"/>
      <c r="H406" s="3"/>
      <c r="I406" s="3" t="s">
        <v>8</v>
      </c>
      <c r="J406" s="3"/>
    </row>
    <row r="407" spans="2:10" ht="14.25" customHeight="1" x14ac:dyDescent="0.35">
      <c r="B407" s="2" t="s">
        <v>1153</v>
      </c>
      <c r="C407" s="2" t="s">
        <v>397</v>
      </c>
      <c r="D407" s="4" t="s">
        <v>968</v>
      </c>
      <c r="E407" s="3"/>
      <c r="F407" s="3"/>
      <c r="G407" s="3" t="s">
        <v>8</v>
      </c>
      <c r="H407" s="3"/>
      <c r="I407" s="3"/>
      <c r="J407" s="3" t="s">
        <v>8</v>
      </c>
    </row>
    <row r="408" spans="2:10" ht="14.25" customHeight="1" x14ac:dyDescent="0.35">
      <c r="B408" s="2" t="s">
        <v>1153</v>
      </c>
      <c r="C408" s="2" t="s">
        <v>398</v>
      </c>
      <c r="D408" s="4" t="s">
        <v>970</v>
      </c>
      <c r="E408" s="3" t="s">
        <v>8</v>
      </c>
      <c r="F408" s="3"/>
      <c r="G408" s="3"/>
      <c r="H408" s="3"/>
      <c r="I408" s="3"/>
      <c r="J408" s="3"/>
    </row>
    <row r="409" spans="2:10" ht="15" customHeight="1" x14ac:dyDescent="0.35">
      <c r="B409" s="2" t="s">
        <v>1153</v>
      </c>
      <c r="C409" s="2" t="s">
        <v>399</v>
      </c>
      <c r="D409" s="4" t="s">
        <v>971</v>
      </c>
      <c r="E409" s="3"/>
      <c r="F409" s="3"/>
      <c r="G409" s="3" t="s">
        <v>8</v>
      </c>
      <c r="H409" s="3"/>
      <c r="I409" s="3"/>
      <c r="J409" s="3" t="s">
        <v>8</v>
      </c>
    </row>
    <row r="410" spans="2:10" ht="23.25" customHeight="1" x14ac:dyDescent="0.35">
      <c r="B410" s="2" t="s">
        <v>1153</v>
      </c>
      <c r="C410" s="2" t="s">
        <v>18</v>
      </c>
      <c r="D410" s="4" t="s">
        <v>972</v>
      </c>
      <c r="E410" s="3" t="s">
        <v>8</v>
      </c>
      <c r="F410" s="3"/>
      <c r="G410" s="3"/>
      <c r="H410" s="3"/>
      <c r="I410" s="3" t="s">
        <v>8</v>
      </c>
      <c r="J410" s="3"/>
    </row>
    <row r="411" spans="2:10" ht="14.25" customHeight="1" x14ac:dyDescent="0.35">
      <c r="B411" s="2" t="s">
        <v>1153</v>
      </c>
      <c r="C411" s="2" t="s">
        <v>400</v>
      </c>
      <c r="D411" s="4" t="s">
        <v>973</v>
      </c>
      <c r="E411" s="3" t="s">
        <v>8</v>
      </c>
      <c r="F411" s="3"/>
      <c r="G411" s="3"/>
      <c r="H411" s="3" t="s">
        <v>8</v>
      </c>
      <c r="I411" s="3"/>
      <c r="J411" s="3"/>
    </row>
    <row r="412" spans="2:10" ht="14.25" customHeight="1" x14ac:dyDescent="0.35">
      <c r="B412" s="2" t="s">
        <v>1153</v>
      </c>
      <c r="C412" s="2" t="s">
        <v>401</v>
      </c>
      <c r="D412" s="4" t="s">
        <v>974</v>
      </c>
      <c r="E412" s="3"/>
      <c r="F412" s="3" t="s">
        <v>8</v>
      </c>
      <c r="G412" s="3"/>
      <c r="H412" s="3"/>
      <c r="I412" s="3"/>
      <c r="J412" s="3"/>
    </row>
    <row r="413" spans="2:10" ht="14.25" customHeight="1" x14ac:dyDescent="0.35">
      <c r="B413" s="2" t="s">
        <v>1153</v>
      </c>
      <c r="C413" s="2" t="s">
        <v>402</v>
      </c>
      <c r="D413" s="4" t="s">
        <v>975</v>
      </c>
      <c r="E413" s="3"/>
      <c r="F413" s="3"/>
      <c r="G413" s="3" t="s">
        <v>8</v>
      </c>
      <c r="H413" s="3"/>
      <c r="I413" s="3"/>
      <c r="J413" s="3"/>
    </row>
    <row r="414" spans="2:10" ht="14.25" customHeight="1" x14ac:dyDescent="0.35">
      <c r="B414" s="2" t="s">
        <v>1153</v>
      </c>
      <c r="C414" s="2" t="s">
        <v>403</v>
      </c>
      <c r="D414" s="4" t="s">
        <v>976</v>
      </c>
      <c r="E414" s="3"/>
      <c r="F414" s="3"/>
      <c r="G414" s="3"/>
      <c r="H414" s="3"/>
      <c r="I414" s="3" t="s">
        <v>8</v>
      </c>
      <c r="J414" s="3"/>
    </row>
    <row r="415" spans="2:10" ht="15" customHeight="1" x14ac:dyDescent="0.35">
      <c r="B415" s="2" t="s">
        <v>1153</v>
      </c>
      <c r="C415" s="2" t="s">
        <v>404</v>
      </c>
      <c r="D415" s="4" t="s">
        <v>968</v>
      </c>
      <c r="E415" s="3"/>
      <c r="F415" s="3"/>
      <c r="G415" s="3"/>
      <c r="H415" s="3"/>
      <c r="I415" s="3" t="s">
        <v>8</v>
      </c>
      <c r="J415" s="3"/>
    </row>
    <row r="416" spans="2:10" ht="14.25" customHeight="1" x14ac:dyDescent="0.35">
      <c r="B416" s="2" t="s">
        <v>1153</v>
      </c>
      <c r="C416" s="2" t="s">
        <v>405</v>
      </c>
      <c r="D416" s="4" t="s">
        <v>977</v>
      </c>
      <c r="E416" s="3" t="s">
        <v>8</v>
      </c>
      <c r="F416" s="3"/>
      <c r="G416" s="3"/>
      <c r="H416" s="3"/>
      <c r="I416" s="3"/>
      <c r="J416" s="3"/>
    </row>
    <row r="417" spans="2:10" ht="14.25" customHeight="1" x14ac:dyDescent="0.35">
      <c r="B417" s="2" t="s">
        <v>1153</v>
      </c>
      <c r="C417" s="2" t="s">
        <v>406</v>
      </c>
      <c r="D417" s="4" t="s">
        <v>978</v>
      </c>
      <c r="E417" s="3" t="s">
        <v>8</v>
      </c>
      <c r="F417" s="3"/>
      <c r="G417" s="3"/>
      <c r="H417" s="3" t="s">
        <v>8</v>
      </c>
      <c r="I417" s="3"/>
      <c r="J417" s="3"/>
    </row>
    <row r="418" spans="2:10" ht="14.25" customHeight="1" x14ac:dyDescent="0.35">
      <c r="B418" s="2" t="s">
        <v>1153</v>
      </c>
      <c r="C418" s="2" t="s">
        <v>407</v>
      </c>
      <c r="D418" s="4" t="s">
        <v>979</v>
      </c>
      <c r="E418" s="3" t="s">
        <v>8</v>
      </c>
      <c r="F418" s="3"/>
      <c r="G418" s="3"/>
      <c r="H418" s="3" t="s">
        <v>8</v>
      </c>
      <c r="I418" s="3"/>
      <c r="J418" s="3"/>
    </row>
    <row r="419" spans="2:10" ht="14.25" customHeight="1" x14ac:dyDescent="0.35">
      <c r="B419" s="2" t="s">
        <v>1153</v>
      </c>
      <c r="C419" s="2" t="s">
        <v>408</v>
      </c>
      <c r="D419" s="4" t="s">
        <v>980</v>
      </c>
      <c r="E419" s="3"/>
      <c r="F419" s="3" t="s">
        <v>8</v>
      </c>
      <c r="G419" s="3"/>
      <c r="H419" s="3"/>
      <c r="I419" s="3" t="s">
        <v>8</v>
      </c>
      <c r="J419" s="3"/>
    </row>
    <row r="420" spans="2:10" ht="15" customHeight="1" x14ac:dyDescent="0.35">
      <c r="B420" s="2" t="s">
        <v>1153</v>
      </c>
      <c r="C420" s="2" t="s">
        <v>409</v>
      </c>
      <c r="D420" s="4" t="s">
        <v>981</v>
      </c>
      <c r="E420" s="3"/>
      <c r="F420" s="3"/>
      <c r="G420" s="3" t="s">
        <v>8</v>
      </c>
      <c r="H420" s="3"/>
      <c r="I420" s="3"/>
      <c r="J420" s="3" t="s">
        <v>8</v>
      </c>
    </row>
    <row r="421" spans="2:10" ht="14.25" customHeight="1" x14ac:dyDescent="0.35">
      <c r="B421" s="2" t="s">
        <v>1153</v>
      </c>
      <c r="C421" s="2" t="s">
        <v>410</v>
      </c>
      <c r="D421" s="4" t="s">
        <v>982</v>
      </c>
      <c r="E421" s="3"/>
      <c r="F421" s="3"/>
      <c r="G421" s="3" t="s">
        <v>8</v>
      </c>
      <c r="H421" s="3"/>
      <c r="I421" s="3"/>
      <c r="J421" s="3" t="s">
        <v>8</v>
      </c>
    </row>
    <row r="422" spans="2:10" ht="14.25" customHeight="1" x14ac:dyDescent="0.35">
      <c r="B422" s="2" t="s">
        <v>1153</v>
      </c>
      <c r="C422" s="2" t="s">
        <v>411</v>
      </c>
      <c r="D422" s="4" t="s">
        <v>983</v>
      </c>
      <c r="E422" s="3" t="s">
        <v>8</v>
      </c>
      <c r="F422" s="3"/>
      <c r="G422" s="3"/>
      <c r="H422" s="3" t="s">
        <v>8</v>
      </c>
      <c r="I422" s="3"/>
      <c r="J422" s="3"/>
    </row>
    <row r="423" spans="2:10" ht="23.25" customHeight="1" x14ac:dyDescent="0.35">
      <c r="B423" s="2" t="s">
        <v>1153</v>
      </c>
      <c r="C423" s="2" t="s">
        <v>412</v>
      </c>
      <c r="D423" s="4" t="s">
        <v>984</v>
      </c>
      <c r="E423" s="3"/>
      <c r="F423" s="3"/>
      <c r="G423" s="3"/>
      <c r="H423" s="3" t="s">
        <v>8</v>
      </c>
      <c r="I423" s="3"/>
      <c r="J423" s="3"/>
    </row>
    <row r="424" spans="2:10" ht="14.25" customHeight="1" x14ac:dyDescent="0.35">
      <c r="B424" s="2" t="s">
        <v>1153</v>
      </c>
      <c r="C424" s="2" t="s">
        <v>413</v>
      </c>
      <c r="D424" s="4" t="s">
        <v>985</v>
      </c>
      <c r="E424" s="3" t="s">
        <v>8</v>
      </c>
      <c r="F424" s="3"/>
      <c r="G424" s="3"/>
      <c r="H424" s="3"/>
      <c r="I424" s="3"/>
      <c r="J424" s="3"/>
    </row>
    <row r="425" spans="2:10" ht="15" customHeight="1" x14ac:dyDescent="0.35">
      <c r="B425" s="2" t="s">
        <v>1153</v>
      </c>
      <c r="C425" s="2" t="s">
        <v>414</v>
      </c>
      <c r="D425" s="4" t="s">
        <v>986</v>
      </c>
      <c r="E425" s="3"/>
      <c r="F425" s="3"/>
      <c r="G425" s="3"/>
      <c r="H425" s="3"/>
      <c r="I425" s="3" t="s">
        <v>8</v>
      </c>
      <c r="J425" s="3"/>
    </row>
    <row r="426" spans="2:10" ht="14.25" customHeight="1" x14ac:dyDescent="0.35">
      <c r="B426" s="2" t="s">
        <v>1153</v>
      </c>
      <c r="C426" s="2" t="s">
        <v>415</v>
      </c>
      <c r="D426" s="4" t="s">
        <v>987</v>
      </c>
      <c r="E426" s="3"/>
      <c r="F426" s="3" t="s">
        <v>8</v>
      </c>
      <c r="G426" s="3"/>
      <c r="H426" s="3"/>
      <c r="I426" s="3" t="s">
        <v>8</v>
      </c>
      <c r="J426" s="3"/>
    </row>
    <row r="427" spans="2:10" ht="14.25" customHeight="1" x14ac:dyDescent="0.35">
      <c r="B427" s="2" t="s">
        <v>1153</v>
      </c>
      <c r="C427" s="2" t="s">
        <v>416</v>
      </c>
      <c r="D427" s="4" t="s">
        <v>988</v>
      </c>
      <c r="E427" s="3"/>
      <c r="F427" s="3"/>
      <c r="G427" s="3" t="s">
        <v>8</v>
      </c>
      <c r="H427" s="3"/>
      <c r="I427" s="3"/>
      <c r="J427" s="3" t="s">
        <v>8</v>
      </c>
    </row>
    <row r="428" spans="2:10" ht="14.25" customHeight="1" x14ac:dyDescent="0.35">
      <c r="B428" s="2" t="s">
        <v>1153</v>
      </c>
      <c r="C428" s="2" t="s">
        <v>417</v>
      </c>
      <c r="D428" s="4" t="s">
        <v>989</v>
      </c>
      <c r="E428" s="3" t="s">
        <v>8</v>
      </c>
      <c r="F428" s="3"/>
      <c r="G428" s="3"/>
      <c r="H428" s="3" t="s">
        <v>8</v>
      </c>
      <c r="I428" s="3"/>
      <c r="J428" s="3"/>
    </row>
    <row r="429" spans="2:10" ht="14.25" customHeight="1" x14ac:dyDescent="0.35">
      <c r="B429" s="2" t="s">
        <v>1153</v>
      </c>
      <c r="C429" s="2" t="s">
        <v>418</v>
      </c>
      <c r="D429" s="4" t="s">
        <v>990</v>
      </c>
      <c r="E429" s="3" t="s">
        <v>8</v>
      </c>
      <c r="F429" s="3"/>
      <c r="G429" s="3"/>
      <c r="H429" s="3" t="s">
        <v>8</v>
      </c>
      <c r="I429" s="3"/>
      <c r="J429" s="3"/>
    </row>
    <row r="430" spans="2:10" ht="23.25" customHeight="1" x14ac:dyDescent="0.35">
      <c r="B430" s="2" t="s">
        <v>1153</v>
      </c>
      <c r="C430" s="2" t="s">
        <v>419</v>
      </c>
      <c r="D430" s="4" t="s">
        <v>991</v>
      </c>
      <c r="E430" s="3" t="s">
        <v>8</v>
      </c>
      <c r="F430" s="3"/>
      <c r="G430" s="3"/>
      <c r="H430" s="3" t="s">
        <v>8</v>
      </c>
      <c r="I430" s="3"/>
      <c r="J430" s="3"/>
    </row>
    <row r="431" spans="2:10" ht="15" customHeight="1" x14ac:dyDescent="0.35">
      <c r="B431" s="2" t="s">
        <v>1153</v>
      </c>
      <c r="C431" s="2" t="s">
        <v>420</v>
      </c>
      <c r="D431" s="4" t="s">
        <v>992</v>
      </c>
      <c r="E431" s="3" t="s">
        <v>8</v>
      </c>
      <c r="F431" s="3"/>
      <c r="G431" s="3"/>
      <c r="H431" s="3" t="s">
        <v>8</v>
      </c>
      <c r="I431" s="3"/>
      <c r="J431" s="3"/>
    </row>
    <row r="432" spans="2:10" ht="14.25" customHeight="1" x14ac:dyDescent="0.35">
      <c r="B432" s="2" t="s">
        <v>1153</v>
      </c>
      <c r="C432" s="2" t="s">
        <v>421</v>
      </c>
      <c r="D432" s="4" t="s">
        <v>993</v>
      </c>
      <c r="E432" s="3"/>
      <c r="F432" s="3" t="s">
        <v>8</v>
      </c>
      <c r="G432" s="3"/>
      <c r="H432" s="3"/>
      <c r="I432" s="3" t="s">
        <v>8</v>
      </c>
      <c r="J432" s="3"/>
    </row>
    <row r="433" spans="2:10" ht="14.25" customHeight="1" x14ac:dyDescent="0.35">
      <c r="B433" s="2" t="s">
        <v>1153</v>
      </c>
      <c r="C433" s="2" t="s">
        <v>422</v>
      </c>
      <c r="D433" s="4" t="s">
        <v>994</v>
      </c>
      <c r="E433" s="3" t="s">
        <v>8</v>
      </c>
      <c r="F433" s="3"/>
      <c r="G433" s="3"/>
      <c r="H433" s="3" t="s">
        <v>8</v>
      </c>
      <c r="I433" s="3"/>
      <c r="J433" s="3"/>
    </row>
    <row r="434" spans="2:10" ht="14.25" customHeight="1" x14ac:dyDescent="0.35">
      <c r="B434" s="2" t="s">
        <v>1153</v>
      </c>
      <c r="C434" s="2" t="s">
        <v>423</v>
      </c>
      <c r="D434" s="4" t="s">
        <v>995</v>
      </c>
      <c r="E434" s="3"/>
      <c r="F434" s="3" t="s">
        <v>8</v>
      </c>
      <c r="G434" s="3"/>
      <c r="H434" s="3"/>
      <c r="I434" s="3" t="s">
        <v>8</v>
      </c>
      <c r="J434" s="3"/>
    </row>
    <row r="435" spans="2:10" ht="23.25" customHeight="1" x14ac:dyDescent="0.35">
      <c r="B435" s="2" t="s">
        <v>1153</v>
      </c>
      <c r="C435" s="2" t="s">
        <v>424</v>
      </c>
      <c r="D435" s="4" t="s">
        <v>996</v>
      </c>
      <c r="E435" s="3"/>
      <c r="F435" s="3" t="s">
        <v>8</v>
      </c>
      <c r="G435" s="3"/>
      <c r="H435" s="3"/>
      <c r="I435" s="3" t="s">
        <v>8</v>
      </c>
      <c r="J435" s="3"/>
    </row>
    <row r="436" spans="2:10" ht="14.25" customHeight="1" x14ac:dyDescent="0.35">
      <c r="B436" s="2" t="s">
        <v>1153</v>
      </c>
      <c r="C436" s="2" t="s">
        <v>425</v>
      </c>
      <c r="D436" s="4" t="s">
        <v>997</v>
      </c>
      <c r="E436" s="3" t="s">
        <v>8</v>
      </c>
      <c r="F436" s="3"/>
      <c r="G436" s="3"/>
      <c r="H436" s="3" t="s">
        <v>8</v>
      </c>
      <c r="I436" s="3"/>
      <c r="J436" s="3"/>
    </row>
    <row r="437" spans="2:10" ht="14.25" customHeight="1" x14ac:dyDescent="0.35">
      <c r="B437" s="2" t="s">
        <v>1153</v>
      </c>
      <c r="C437" s="2" t="s">
        <v>426</v>
      </c>
      <c r="D437" s="4" t="s">
        <v>998</v>
      </c>
      <c r="E437" s="3"/>
      <c r="F437" s="3"/>
      <c r="G437" s="3" t="s">
        <v>8</v>
      </c>
      <c r="H437" s="3"/>
      <c r="I437" s="3"/>
      <c r="J437" s="3" t="s">
        <v>8</v>
      </c>
    </row>
    <row r="438" spans="2:10" ht="15" customHeight="1" x14ac:dyDescent="0.35">
      <c r="B438" s="2" t="s">
        <v>1153</v>
      </c>
      <c r="C438" s="2" t="s">
        <v>427</v>
      </c>
      <c r="D438" s="4" t="s">
        <v>999</v>
      </c>
      <c r="E438" s="3"/>
      <c r="F438" s="3"/>
      <c r="G438" s="3" t="s">
        <v>8</v>
      </c>
      <c r="H438" s="3"/>
      <c r="I438" s="3"/>
      <c r="J438" s="3" t="s">
        <v>8</v>
      </c>
    </row>
    <row r="439" spans="2:10" ht="23.25" customHeight="1" x14ac:dyDescent="0.35">
      <c r="B439" s="2" t="s">
        <v>1153</v>
      </c>
      <c r="C439" s="2" t="s">
        <v>428</v>
      </c>
      <c r="D439" s="4" t="s">
        <v>1000</v>
      </c>
      <c r="E439" s="3" t="s">
        <v>8</v>
      </c>
      <c r="F439" s="3"/>
      <c r="G439" s="3"/>
      <c r="H439" s="3" t="s">
        <v>8</v>
      </c>
      <c r="I439" s="3"/>
      <c r="J439" s="3"/>
    </row>
    <row r="440" spans="2:10" ht="14.25" customHeight="1" x14ac:dyDescent="0.35">
      <c r="B440" s="2" t="s">
        <v>1153</v>
      </c>
      <c r="C440" s="2" t="s">
        <v>429</v>
      </c>
      <c r="D440" s="4" t="s">
        <v>1001</v>
      </c>
      <c r="E440" s="3"/>
      <c r="F440" s="3"/>
      <c r="G440" s="3" t="s">
        <v>8</v>
      </c>
      <c r="H440" s="3"/>
      <c r="I440" s="3"/>
      <c r="J440" s="3" t="s">
        <v>8</v>
      </c>
    </row>
    <row r="441" spans="2:10" ht="14.25" customHeight="1" x14ac:dyDescent="0.35">
      <c r="B441" s="2" t="s">
        <v>1153</v>
      </c>
      <c r="C441" s="2" t="s">
        <v>430</v>
      </c>
      <c r="D441" s="4" t="s">
        <v>1002</v>
      </c>
      <c r="E441" s="3"/>
      <c r="F441" s="3" t="s">
        <v>8</v>
      </c>
      <c r="G441" s="3"/>
      <c r="H441" s="3"/>
      <c r="I441" s="3" t="s">
        <v>8</v>
      </c>
      <c r="J441" s="3"/>
    </row>
    <row r="442" spans="2:10" ht="14.25" customHeight="1" x14ac:dyDescent="0.35">
      <c r="B442" s="2" t="s">
        <v>1153</v>
      </c>
      <c r="C442" s="2" t="s">
        <v>431</v>
      </c>
      <c r="D442" s="4" t="s">
        <v>1003</v>
      </c>
      <c r="E442" s="3"/>
      <c r="F442" s="3" t="s">
        <v>8</v>
      </c>
      <c r="G442" s="3"/>
      <c r="H442" s="3"/>
      <c r="I442" s="3" t="s">
        <v>8</v>
      </c>
      <c r="J442" s="3"/>
    </row>
    <row r="443" spans="2:10" ht="14.25" customHeight="1" x14ac:dyDescent="0.35">
      <c r="B443" s="2" t="s">
        <v>1153</v>
      </c>
      <c r="C443" s="2" t="s">
        <v>432</v>
      </c>
      <c r="D443" s="4" t="s">
        <v>1004</v>
      </c>
      <c r="E443" s="3"/>
      <c r="F443" s="3" t="s">
        <v>8</v>
      </c>
      <c r="G443" s="3"/>
      <c r="H443" s="3"/>
      <c r="I443" s="3" t="s">
        <v>8</v>
      </c>
      <c r="J443" s="3"/>
    </row>
    <row r="444" spans="2:10" ht="15" customHeight="1" x14ac:dyDescent="0.35">
      <c r="B444" s="2" t="s">
        <v>1153</v>
      </c>
      <c r="C444" s="2" t="s">
        <v>433</v>
      </c>
      <c r="D444" s="4" t="s">
        <v>1005</v>
      </c>
      <c r="E444" s="3"/>
      <c r="F444" s="3" t="s">
        <v>8</v>
      </c>
      <c r="G444" s="3"/>
      <c r="H444" s="3"/>
      <c r="I444" s="3" t="s">
        <v>8</v>
      </c>
      <c r="J444" s="3"/>
    </row>
    <row r="445" spans="2:10" ht="23.25" customHeight="1" x14ac:dyDescent="0.35">
      <c r="B445" s="2" t="s">
        <v>1153</v>
      </c>
      <c r="C445" s="2" t="s">
        <v>434</v>
      </c>
      <c r="D445" s="4" t="s">
        <v>1006</v>
      </c>
      <c r="E445" s="3" t="s">
        <v>8</v>
      </c>
      <c r="F445" s="3"/>
      <c r="G445" s="3"/>
      <c r="H445" s="3" t="s">
        <v>8</v>
      </c>
      <c r="I445" s="3"/>
      <c r="J445" s="3"/>
    </row>
    <row r="446" spans="2:10" ht="23.25" customHeight="1" x14ac:dyDescent="0.35">
      <c r="B446" s="2" t="s">
        <v>1153</v>
      </c>
      <c r="C446" s="2" t="s">
        <v>435</v>
      </c>
      <c r="D446" s="4" t="s">
        <v>1007</v>
      </c>
      <c r="E446" s="3"/>
      <c r="F446" s="3" t="s">
        <v>8</v>
      </c>
      <c r="G446" s="3"/>
      <c r="H446" s="3"/>
      <c r="I446" s="3" t="s">
        <v>8</v>
      </c>
      <c r="J446" s="3"/>
    </row>
    <row r="447" spans="2:10" ht="23.25" customHeight="1" x14ac:dyDescent="0.35">
      <c r="B447" s="2" t="s">
        <v>1153</v>
      </c>
      <c r="C447" s="2" t="s">
        <v>436</v>
      </c>
      <c r="D447" s="4" t="s">
        <v>1008</v>
      </c>
      <c r="E447" s="3"/>
      <c r="F447" s="3" t="s">
        <v>8</v>
      </c>
      <c r="G447" s="3"/>
      <c r="H447" s="3"/>
      <c r="I447" s="3" t="s">
        <v>8</v>
      </c>
      <c r="J447" s="3"/>
    </row>
    <row r="448" spans="2:10" ht="14.25" customHeight="1" x14ac:dyDescent="0.35">
      <c r="B448" s="2" t="s">
        <v>1153</v>
      </c>
      <c r="C448" s="2" t="s">
        <v>437</v>
      </c>
      <c r="D448" s="4" t="s">
        <v>1009</v>
      </c>
      <c r="E448" s="3"/>
      <c r="F448" s="3"/>
      <c r="G448" s="3" t="s">
        <v>8</v>
      </c>
      <c r="H448" s="3"/>
      <c r="I448" s="3"/>
      <c r="J448" s="3" t="s">
        <v>8</v>
      </c>
    </row>
    <row r="449" spans="2:10" ht="23.25" customHeight="1" x14ac:dyDescent="0.35">
      <c r="B449" s="2" t="s">
        <v>1153</v>
      </c>
      <c r="C449" s="2" t="s">
        <v>438</v>
      </c>
      <c r="D449" s="4" t="s">
        <v>1010</v>
      </c>
      <c r="E449" s="3"/>
      <c r="F449" s="3"/>
      <c r="G449" s="3" t="s">
        <v>8</v>
      </c>
      <c r="H449" s="3"/>
      <c r="I449" s="3"/>
      <c r="J449" s="3" t="s">
        <v>8</v>
      </c>
    </row>
    <row r="450" spans="2:10" ht="23.25" customHeight="1" x14ac:dyDescent="0.35">
      <c r="B450" s="2" t="s">
        <v>1153</v>
      </c>
      <c r="C450" s="2" t="s">
        <v>439</v>
      </c>
      <c r="D450" s="4" t="s">
        <v>1011</v>
      </c>
      <c r="E450" s="3"/>
      <c r="F450" s="3" t="s">
        <v>8</v>
      </c>
      <c r="G450" s="3"/>
      <c r="H450" s="3"/>
      <c r="I450" s="3"/>
      <c r="J450" s="3"/>
    </row>
    <row r="451" spans="2:10" ht="23.25" customHeight="1" x14ac:dyDescent="0.35">
      <c r="B451" s="2" t="s">
        <v>1153</v>
      </c>
      <c r="C451" s="2" t="s">
        <v>440</v>
      </c>
      <c r="D451" s="4" t="s">
        <v>1012</v>
      </c>
      <c r="E451" s="3"/>
      <c r="F451" s="3" t="s">
        <v>8</v>
      </c>
      <c r="G451" s="3"/>
      <c r="H451" s="3"/>
      <c r="I451" s="3"/>
      <c r="J451" s="3"/>
    </row>
    <row r="452" spans="2:10" ht="23.25" customHeight="1" x14ac:dyDescent="0.35">
      <c r="B452" s="2" t="s">
        <v>1153</v>
      </c>
      <c r="C452" s="2" t="s">
        <v>441</v>
      </c>
      <c r="D452" s="4" t="s">
        <v>1013</v>
      </c>
      <c r="E452" s="3" t="s">
        <v>8</v>
      </c>
      <c r="F452" s="3"/>
      <c r="G452" s="3"/>
      <c r="H452" s="3"/>
      <c r="I452" s="3"/>
      <c r="J452" s="3"/>
    </row>
    <row r="453" spans="2:10" ht="23.25" customHeight="1" x14ac:dyDescent="0.35">
      <c r="B453" s="2" t="s">
        <v>1153</v>
      </c>
      <c r="C453" s="2" t="s">
        <v>442</v>
      </c>
      <c r="D453" s="4" t="s">
        <v>1014</v>
      </c>
      <c r="E453" s="3"/>
      <c r="F453" s="3"/>
      <c r="G453" s="3"/>
      <c r="H453" s="3" t="s">
        <v>8</v>
      </c>
      <c r="I453" s="3"/>
      <c r="J453" s="3"/>
    </row>
    <row r="454" spans="2:10" ht="23.25" customHeight="1" x14ac:dyDescent="0.35">
      <c r="B454" s="2" t="s">
        <v>1153</v>
      </c>
      <c r="C454" s="2" t="s">
        <v>443</v>
      </c>
      <c r="D454" s="4" t="s">
        <v>1015</v>
      </c>
      <c r="E454" s="3"/>
      <c r="F454" s="3"/>
      <c r="G454" s="3"/>
      <c r="H454" s="3"/>
      <c r="I454" s="3" t="s">
        <v>8</v>
      </c>
      <c r="J454" s="3"/>
    </row>
    <row r="455" spans="2:10" ht="14.25" customHeight="1" x14ac:dyDescent="0.35">
      <c r="B455" s="2" t="s">
        <v>1153</v>
      </c>
      <c r="C455" s="2" t="s">
        <v>444</v>
      </c>
      <c r="D455" s="4" t="s">
        <v>907</v>
      </c>
      <c r="E455" s="3"/>
      <c r="F455" s="3"/>
      <c r="G455" s="3"/>
      <c r="H455" s="3"/>
      <c r="I455" s="3" t="s">
        <v>8</v>
      </c>
      <c r="J455" s="3"/>
    </row>
    <row r="456" spans="2:10" ht="23.25" customHeight="1" x14ac:dyDescent="0.35">
      <c r="B456" s="2" t="s">
        <v>1153</v>
      </c>
      <c r="C456" s="2" t="s">
        <v>445</v>
      </c>
      <c r="D456" s="4" t="s">
        <v>1016</v>
      </c>
      <c r="E456" s="3"/>
      <c r="F456" s="3"/>
      <c r="G456" s="3"/>
      <c r="H456" s="3"/>
      <c r="I456" s="3" t="s">
        <v>8</v>
      </c>
      <c r="J456" s="3"/>
    </row>
    <row r="457" spans="2:10" ht="14.25" customHeight="1" x14ac:dyDescent="0.35">
      <c r="B457" s="2" t="s">
        <v>1153</v>
      </c>
      <c r="C457" s="2" t="s">
        <v>446</v>
      </c>
      <c r="D457" s="4" t="s">
        <v>1017</v>
      </c>
      <c r="E457" s="3"/>
      <c r="F457" s="3"/>
      <c r="G457" s="3" t="s">
        <v>8</v>
      </c>
      <c r="H457" s="3"/>
      <c r="I457" s="3"/>
      <c r="J457" s="3" t="s">
        <v>8</v>
      </c>
    </row>
    <row r="458" spans="2:10" ht="14.25" customHeight="1" x14ac:dyDescent="0.35">
      <c r="B458" s="2" t="s">
        <v>1153</v>
      </c>
      <c r="C458" s="2" t="s">
        <v>447</v>
      </c>
      <c r="D458" s="4" t="s">
        <v>1018</v>
      </c>
      <c r="E458" s="3"/>
      <c r="F458" s="3" t="s">
        <v>8</v>
      </c>
      <c r="G458" s="3"/>
      <c r="H458" s="3"/>
      <c r="I458" s="3"/>
      <c r="J458" s="3"/>
    </row>
    <row r="459" spans="2:10" ht="14.25" customHeight="1" x14ac:dyDescent="0.35">
      <c r="B459" s="2" t="s">
        <v>1153</v>
      </c>
      <c r="C459" s="2" t="s">
        <v>448</v>
      </c>
      <c r="D459" s="4" t="s">
        <v>1019</v>
      </c>
      <c r="E459" s="3"/>
      <c r="F459" s="3"/>
      <c r="G459" s="3" t="s">
        <v>8</v>
      </c>
      <c r="H459" s="3"/>
      <c r="I459" s="3"/>
      <c r="J459" s="3" t="s">
        <v>8</v>
      </c>
    </row>
    <row r="460" spans="2:10" ht="15" customHeight="1" x14ac:dyDescent="0.35">
      <c r="B460" s="2" t="s">
        <v>1153</v>
      </c>
      <c r="C460" s="2" t="s">
        <v>449</v>
      </c>
      <c r="D460" s="4" t="s">
        <v>1020</v>
      </c>
      <c r="E460" s="3"/>
      <c r="F460" s="3"/>
      <c r="G460" s="3" t="s">
        <v>8</v>
      </c>
      <c r="H460" s="3"/>
      <c r="I460" s="3"/>
      <c r="J460" s="3" t="s">
        <v>8</v>
      </c>
    </row>
    <row r="461" spans="2:10" ht="14.25" customHeight="1" x14ac:dyDescent="0.35">
      <c r="B461" s="2" t="s">
        <v>1153</v>
      </c>
      <c r="C461" s="2" t="s">
        <v>450</v>
      </c>
      <c r="D461" s="4" t="s">
        <v>1021</v>
      </c>
      <c r="E461" s="3"/>
      <c r="F461" s="3" t="s">
        <v>8</v>
      </c>
      <c r="G461" s="3"/>
      <c r="H461" s="3"/>
      <c r="I461" s="3" t="s">
        <v>8</v>
      </c>
      <c r="J461" s="3"/>
    </row>
    <row r="462" spans="2:10" ht="14.25" customHeight="1" x14ac:dyDescent="0.35">
      <c r="B462" s="2" t="s">
        <v>1153</v>
      </c>
      <c r="C462" s="2" t="s">
        <v>451</v>
      </c>
      <c r="D462" s="4" t="s">
        <v>1022</v>
      </c>
      <c r="E462" s="3" t="s">
        <v>8</v>
      </c>
      <c r="F462" s="3"/>
      <c r="G462" s="3"/>
      <c r="H462" s="3"/>
      <c r="I462" s="3"/>
      <c r="J462" s="3"/>
    </row>
    <row r="463" spans="2:10" ht="14.25" customHeight="1" x14ac:dyDescent="0.35">
      <c r="B463" s="2" t="s">
        <v>1153</v>
      </c>
      <c r="C463" s="2" t="s">
        <v>452</v>
      </c>
      <c r="D463" s="4" t="s">
        <v>1023</v>
      </c>
      <c r="E463" s="3"/>
      <c r="F463" s="3" t="s">
        <v>8</v>
      </c>
      <c r="G463" s="3"/>
      <c r="H463" s="3"/>
      <c r="I463" s="3"/>
      <c r="J463" s="3"/>
    </row>
    <row r="464" spans="2:10" ht="14.25" customHeight="1" x14ac:dyDescent="0.35">
      <c r="B464" s="2" t="s">
        <v>1153</v>
      </c>
      <c r="C464" s="2" t="s">
        <v>453</v>
      </c>
      <c r="D464" s="4" t="s">
        <v>1024</v>
      </c>
      <c r="E464" s="3"/>
      <c r="F464" s="3"/>
      <c r="G464" s="3"/>
      <c r="H464" s="3" t="s">
        <v>8</v>
      </c>
      <c r="I464" s="3"/>
      <c r="J464" s="3"/>
    </row>
    <row r="465" spans="2:10" ht="15" customHeight="1" x14ac:dyDescent="0.35">
      <c r="B465" s="2" t="s">
        <v>1153</v>
      </c>
      <c r="C465" s="2" t="s">
        <v>13</v>
      </c>
      <c r="D465" s="4" t="s">
        <v>594</v>
      </c>
      <c r="E465" s="3"/>
      <c r="F465" s="3"/>
      <c r="G465" s="3"/>
      <c r="H465" s="3"/>
      <c r="I465" s="3"/>
      <c r="J465" s="3" t="s">
        <v>8</v>
      </c>
    </row>
    <row r="466" spans="2:10" ht="14.25" customHeight="1" x14ac:dyDescent="0.35">
      <c r="B466" s="2" t="s">
        <v>1153</v>
      </c>
      <c r="C466" s="2" t="s">
        <v>454</v>
      </c>
      <c r="D466" s="4" t="s">
        <v>1025</v>
      </c>
      <c r="E466" s="3"/>
      <c r="F466" s="3" t="s">
        <v>8</v>
      </c>
      <c r="G466" s="3"/>
      <c r="H466" s="3"/>
      <c r="I466" s="3" t="s">
        <v>8</v>
      </c>
      <c r="J466" s="3"/>
    </row>
    <row r="467" spans="2:10" ht="14.25" customHeight="1" x14ac:dyDescent="0.35">
      <c r="B467" s="2" t="s">
        <v>1153</v>
      </c>
      <c r="C467" s="2" t="s">
        <v>455</v>
      </c>
      <c r="D467" s="4" t="s">
        <v>1026</v>
      </c>
      <c r="E467" s="3"/>
      <c r="F467" s="3"/>
      <c r="G467" s="3" t="s">
        <v>8</v>
      </c>
      <c r="H467" s="3"/>
      <c r="I467" s="3" t="s">
        <v>8</v>
      </c>
      <c r="J467" s="3" t="s">
        <v>8</v>
      </c>
    </row>
    <row r="468" spans="2:10" ht="23.25" customHeight="1" x14ac:dyDescent="0.35">
      <c r="B468" s="2" t="s">
        <v>1153</v>
      </c>
      <c r="C468" s="2" t="s">
        <v>18</v>
      </c>
      <c r="D468" s="4" t="s">
        <v>1027</v>
      </c>
      <c r="E468" s="3"/>
      <c r="F468" s="3"/>
      <c r="G468" s="3"/>
      <c r="H468" s="3"/>
      <c r="I468" s="3" t="s">
        <v>8</v>
      </c>
      <c r="J468" s="3"/>
    </row>
    <row r="469" spans="2:10" ht="14.25" customHeight="1" x14ac:dyDescent="0.35">
      <c r="B469" s="2" t="s">
        <v>1153</v>
      </c>
      <c r="C469" s="2" t="s">
        <v>456</v>
      </c>
      <c r="D469" s="4" t="s">
        <v>1028</v>
      </c>
      <c r="E469" s="3"/>
      <c r="F469" s="3"/>
      <c r="G469" s="3" t="s">
        <v>8</v>
      </c>
      <c r="H469" s="3"/>
      <c r="I469" s="3"/>
      <c r="J469" s="3"/>
    </row>
    <row r="470" spans="2:10" ht="14.25" customHeight="1" x14ac:dyDescent="0.35">
      <c r="B470" s="2" t="s">
        <v>1153</v>
      </c>
      <c r="C470" s="2" t="s">
        <v>457</v>
      </c>
      <c r="D470" s="4" t="s">
        <v>1029</v>
      </c>
      <c r="E470" s="3"/>
      <c r="F470" s="3"/>
      <c r="G470" s="3"/>
      <c r="H470" s="3" t="s">
        <v>8</v>
      </c>
      <c r="I470" s="3"/>
      <c r="J470" s="3"/>
    </row>
    <row r="471" spans="2:10" ht="15" customHeight="1" x14ac:dyDescent="0.35">
      <c r="B471" s="2" t="s">
        <v>1153</v>
      </c>
      <c r="C471" s="2" t="s">
        <v>458</v>
      </c>
      <c r="D471" s="4" t="s">
        <v>1030</v>
      </c>
      <c r="E471" s="3" t="s">
        <v>8</v>
      </c>
      <c r="F471" s="3"/>
      <c r="G471" s="3"/>
      <c r="H471" s="3" t="s">
        <v>8</v>
      </c>
      <c r="I471" s="3"/>
      <c r="J471" s="3"/>
    </row>
    <row r="472" spans="2:10" ht="14.25" customHeight="1" x14ac:dyDescent="0.35">
      <c r="B472" s="2" t="s">
        <v>1153</v>
      </c>
      <c r="C472" s="2" t="s">
        <v>459</v>
      </c>
      <c r="D472" s="4" t="s">
        <v>1031</v>
      </c>
      <c r="E472" s="3"/>
      <c r="F472" s="3"/>
      <c r="G472" s="3"/>
      <c r="H472" s="3"/>
      <c r="I472" s="3"/>
      <c r="J472" s="3" t="s">
        <v>8</v>
      </c>
    </row>
    <row r="473" spans="2:10" ht="23.25" customHeight="1" x14ac:dyDescent="0.35">
      <c r="B473" s="2" t="s">
        <v>1153</v>
      </c>
      <c r="C473" s="2" t="s">
        <v>460</v>
      </c>
      <c r="D473" s="4" t="s">
        <v>1032</v>
      </c>
      <c r="E473" s="3" t="s">
        <v>8</v>
      </c>
      <c r="F473" s="3"/>
      <c r="G473" s="3"/>
      <c r="H473" s="3"/>
      <c r="I473" s="3"/>
      <c r="J473" s="3"/>
    </row>
    <row r="474" spans="2:10" ht="14.25" customHeight="1" x14ac:dyDescent="0.35">
      <c r="B474" s="2" t="s">
        <v>1153</v>
      </c>
      <c r="C474" s="2" t="s">
        <v>461</v>
      </c>
      <c r="D474" s="4" t="s">
        <v>1033</v>
      </c>
      <c r="E474" s="3"/>
      <c r="F474" s="3" t="s">
        <v>8</v>
      </c>
      <c r="G474" s="3"/>
      <c r="H474" s="3"/>
      <c r="I474" s="3"/>
      <c r="J474" s="3"/>
    </row>
    <row r="475" spans="2:10" ht="14.25" customHeight="1" x14ac:dyDescent="0.35">
      <c r="B475" s="2" t="s">
        <v>1153</v>
      </c>
      <c r="C475" s="2" t="s">
        <v>462</v>
      </c>
      <c r="D475" s="4" t="s">
        <v>1034</v>
      </c>
      <c r="E475" s="3" t="s">
        <v>8</v>
      </c>
      <c r="F475" s="3"/>
      <c r="G475" s="3"/>
      <c r="H475" s="3" t="s">
        <v>8</v>
      </c>
      <c r="I475" s="3"/>
      <c r="J475" s="3"/>
    </row>
    <row r="476" spans="2:10" ht="14.25" customHeight="1" x14ac:dyDescent="0.35">
      <c r="B476" s="2" t="s">
        <v>1153</v>
      </c>
      <c r="C476" s="2" t="s">
        <v>463</v>
      </c>
      <c r="D476" s="4" t="s">
        <v>1035</v>
      </c>
      <c r="E476" s="3"/>
      <c r="F476" s="3"/>
      <c r="G476" s="3" t="s">
        <v>8</v>
      </c>
      <c r="H476" s="3"/>
      <c r="I476" s="3"/>
      <c r="J476" s="3" t="s">
        <v>8</v>
      </c>
    </row>
    <row r="477" spans="2:10" ht="14.25" customHeight="1" x14ac:dyDescent="0.35">
      <c r="B477" s="2" t="s">
        <v>1153</v>
      </c>
      <c r="C477" s="2" t="s">
        <v>464</v>
      </c>
      <c r="D477" s="4" t="s">
        <v>1036</v>
      </c>
      <c r="E477" s="3"/>
      <c r="F477" s="3" t="s">
        <v>8</v>
      </c>
      <c r="G477" s="3"/>
      <c r="H477" s="3"/>
      <c r="I477" s="3" t="s">
        <v>8</v>
      </c>
      <c r="J477" s="3"/>
    </row>
    <row r="478" spans="2:10" ht="15" customHeight="1" x14ac:dyDescent="0.35">
      <c r="B478" s="2" t="s">
        <v>1153</v>
      </c>
      <c r="C478" s="2" t="s">
        <v>465</v>
      </c>
      <c r="D478" s="4" t="s">
        <v>1037</v>
      </c>
      <c r="E478" s="3" t="s">
        <v>8</v>
      </c>
      <c r="F478" s="3"/>
      <c r="G478" s="3"/>
      <c r="H478" s="3"/>
      <c r="I478" s="3"/>
      <c r="J478" s="3"/>
    </row>
    <row r="479" spans="2:10" ht="14.25" customHeight="1" x14ac:dyDescent="0.35">
      <c r="B479" s="2" t="s">
        <v>1153</v>
      </c>
      <c r="C479" s="2" t="s">
        <v>466</v>
      </c>
      <c r="D479" s="4" t="s">
        <v>1038</v>
      </c>
      <c r="E479" s="3" t="s">
        <v>8</v>
      </c>
      <c r="F479" s="3"/>
      <c r="G479" s="3"/>
      <c r="H479" s="3"/>
      <c r="I479" s="3"/>
      <c r="J479" s="3"/>
    </row>
    <row r="480" spans="2:10" ht="14.25" customHeight="1" x14ac:dyDescent="0.35">
      <c r="B480" s="2" t="s">
        <v>1153</v>
      </c>
      <c r="C480" s="2" t="s">
        <v>467</v>
      </c>
      <c r="D480" s="4" t="s">
        <v>1039</v>
      </c>
      <c r="E480" s="3" t="s">
        <v>8</v>
      </c>
      <c r="F480" s="3"/>
      <c r="G480" s="3"/>
      <c r="H480" s="3" t="s">
        <v>8</v>
      </c>
      <c r="I480" s="3"/>
      <c r="J480" s="3"/>
    </row>
    <row r="481" spans="2:10" ht="23.25" customHeight="1" x14ac:dyDescent="0.35">
      <c r="B481" s="2" t="s">
        <v>1153</v>
      </c>
      <c r="C481" s="2" t="s">
        <v>468</v>
      </c>
      <c r="D481" s="4" t="s">
        <v>1040</v>
      </c>
      <c r="E481" s="3"/>
      <c r="F481" s="3"/>
      <c r="G481" s="3" t="s">
        <v>8</v>
      </c>
      <c r="H481" s="3"/>
      <c r="I481" s="3"/>
      <c r="J481" s="3"/>
    </row>
    <row r="482" spans="2:10" ht="14.25" customHeight="1" x14ac:dyDescent="0.35">
      <c r="B482" s="2" t="s">
        <v>1153</v>
      </c>
      <c r="C482" s="2" t="s">
        <v>469</v>
      </c>
      <c r="D482" s="4" t="s">
        <v>1041</v>
      </c>
      <c r="E482" s="3"/>
      <c r="F482" s="3"/>
      <c r="G482" s="3" t="s">
        <v>8</v>
      </c>
      <c r="H482" s="3"/>
      <c r="I482" s="3"/>
      <c r="J482" s="3" t="s">
        <v>8</v>
      </c>
    </row>
    <row r="483" spans="2:10" ht="14.25" customHeight="1" x14ac:dyDescent="0.35">
      <c r="B483" s="2" t="s">
        <v>1153</v>
      </c>
      <c r="C483" s="2" t="s">
        <v>470</v>
      </c>
      <c r="D483" s="4" t="s">
        <v>1042</v>
      </c>
      <c r="E483" s="3" t="s">
        <v>8</v>
      </c>
      <c r="F483" s="3"/>
      <c r="G483" s="3"/>
      <c r="H483" s="3" t="s">
        <v>8</v>
      </c>
      <c r="I483" s="3"/>
      <c r="J483" s="3"/>
    </row>
    <row r="484" spans="2:10" ht="15" customHeight="1" x14ac:dyDescent="0.35">
      <c r="B484" s="2" t="s">
        <v>1153</v>
      </c>
      <c r="C484" s="2" t="s">
        <v>471</v>
      </c>
      <c r="D484" s="4" t="s">
        <v>1043</v>
      </c>
      <c r="E484" s="3"/>
      <c r="F484" s="3" t="s">
        <v>8</v>
      </c>
      <c r="G484" s="3"/>
      <c r="H484" s="3"/>
      <c r="I484" s="3" t="s">
        <v>8</v>
      </c>
      <c r="J484" s="3"/>
    </row>
    <row r="485" spans="2:10" ht="14.25" customHeight="1" x14ac:dyDescent="0.35">
      <c r="B485" s="2" t="s">
        <v>1153</v>
      </c>
      <c r="C485" s="2" t="s">
        <v>472</v>
      </c>
      <c r="D485" s="4" t="s">
        <v>1018</v>
      </c>
      <c r="E485" s="3" t="s">
        <v>8</v>
      </c>
      <c r="F485" s="3" t="s">
        <v>8</v>
      </c>
      <c r="G485" s="3" t="s">
        <v>8</v>
      </c>
      <c r="H485" s="3" t="s">
        <v>8</v>
      </c>
      <c r="I485" s="3" t="s">
        <v>8</v>
      </c>
      <c r="J485" s="3" t="s">
        <v>8</v>
      </c>
    </row>
    <row r="486" spans="2:10" ht="14.25" customHeight="1" x14ac:dyDescent="0.35">
      <c r="B486" s="2" t="s">
        <v>1153</v>
      </c>
      <c r="C486" s="2" t="s">
        <v>473</v>
      </c>
      <c r="D486" s="4" t="s">
        <v>1044</v>
      </c>
      <c r="E486" s="3" t="s">
        <v>8</v>
      </c>
      <c r="F486" s="3"/>
      <c r="G486" s="3"/>
      <c r="H486" s="3" t="s">
        <v>8</v>
      </c>
      <c r="I486" s="3"/>
      <c r="J486" s="3"/>
    </row>
    <row r="487" spans="2:10" ht="14.25" customHeight="1" x14ac:dyDescent="0.35">
      <c r="B487" s="2" t="s">
        <v>1153</v>
      </c>
      <c r="C487" s="2" t="s">
        <v>474</v>
      </c>
      <c r="D487" s="4" t="s">
        <v>1045</v>
      </c>
      <c r="E487" s="3"/>
      <c r="F487" s="3"/>
      <c r="G487" s="3" t="s">
        <v>8</v>
      </c>
      <c r="H487" s="3"/>
      <c r="I487" s="3"/>
      <c r="J487" s="3" t="s">
        <v>8</v>
      </c>
    </row>
    <row r="488" spans="2:10" ht="14.25" customHeight="1" x14ac:dyDescent="0.35">
      <c r="B488" s="2" t="s">
        <v>1153</v>
      </c>
      <c r="C488" s="2" t="s">
        <v>475</v>
      </c>
      <c r="D488" s="4" t="s">
        <v>1018</v>
      </c>
      <c r="E488" s="3"/>
      <c r="F488" s="3" t="s">
        <v>8</v>
      </c>
      <c r="G488" s="3"/>
      <c r="H488" s="3"/>
      <c r="I488" s="3" t="s">
        <v>8</v>
      </c>
      <c r="J488" s="3"/>
    </row>
    <row r="489" spans="2:10" ht="15" customHeight="1" x14ac:dyDescent="0.35">
      <c r="B489" s="2" t="s">
        <v>1153</v>
      </c>
      <c r="C489" s="2" t="s">
        <v>476</v>
      </c>
      <c r="D489" s="4" t="s">
        <v>1046</v>
      </c>
      <c r="E489" s="3"/>
      <c r="F489" s="3"/>
      <c r="G489" s="3" t="s">
        <v>8</v>
      </c>
      <c r="H489" s="3"/>
      <c r="I489" s="3"/>
      <c r="J489" s="3" t="s">
        <v>8</v>
      </c>
    </row>
    <row r="490" spans="2:10" ht="14.25" customHeight="1" x14ac:dyDescent="0.35">
      <c r="B490" s="2" t="s">
        <v>1153</v>
      </c>
      <c r="C490" s="2" t="s">
        <v>63</v>
      </c>
      <c r="D490" s="4" t="s">
        <v>1047</v>
      </c>
      <c r="E490" s="3"/>
      <c r="F490" s="3"/>
      <c r="G490" s="3" t="s">
        <v>8</v>
      </c>
      <c r="H490" s="3"/>
      <c r="I490" s="3"/>
      <c r="J490" s="3" t="s">
        <v>8</v>
      </c>
    </row>
    <row r="491" spans="2:10" ht="14.25" customHeight="1" x14ac:dyDescent="0.35">
      <c r="B491" s="2" t="s">
        <v>1153</v>
      </c>
      <c r="C491" s="2" t="s">
        <v>477</v>
      </c>
      <c r="D491" s="4" t="s">
        <v>1048</v>
      </c>
      <c r="E491" s="3" t="s">
        <v>8</v>
      </c>
      <c r="F491" s="3"/>
      <c r="G491" s="3"/>
      <c r="H491" s="3" t="s">
        <v>8</v>
      </c>
      <c r="I491" s="3"/>
      <c r="J491" s="3"/>
    </row>
    <row r="492" spans="2:10" ht="14.25" customHeight="1" x14ac:dyDescent="0.35">
      <c r="B492" s="2" t="s">
        <v>1153</v>
      </c>
      <c r="C492" s="2" t="s">
        <v>478</v>
      </c>
      <c r="D492" s="4" t="s">
        <v>1049</v>
      </c>
      <c r="E492" s="3" t="s">
        <v>8</v>
      </c>
      <c r="F492" s="3"/>
      <c r="G492" s="3"/>
      <c r="H492" s="3" t="s">
        <v>8</v>
      </c>
      <c r="I492" s="3"/>
      <c r="J492" s="3"/>
    </row>
    <row r="493" spans="2:10" ht="14.25" customHeight="1" x14ac:dyDescent="0.35">
      <c r="B493" s="2" t="s">
        <v>1153</v>
      </c>
      <c r="C493" s="2" t="s">
        <v>479</v>
      </c>
      <c r="D493" s="4" t="s">
        <v>1050</v>
      </c>
      <c r="E493" s="3"/>
      <c r="F493" s="3"/>
      <c r="G493" s="3"/>
      <c r="H493" s="3"/>
      <c r="I493" s="3" t="s">
        <v>8</v>
      </c>
      <c r="J493" s="3"/>
    </row>
    <row r="494" spans="2:10" ht="15" customHeight="1" x14ac:dyDescent="0.35">
      <c r="B494" s="2" t="s">
        <v>1153</v>
      </c>
      <c r="C494" s="2" t="s">
        <v>480</v>
      </c>
      <c r="D494" s="4" t="s">
        <v>1051</v>
      </c>
      <c r="E494" s="3"/>
      <c r="F494" s="3"/>
      <c r="G494" s="3"/>
      <c r="H494" s="3"/>
      <c r="I494" s="3"/>
      <c r="J494" s="3" t="s">
        <v>8</v>
      </c>
    </row>
    <row r="495" spans="2:10" ht="14.25" customHeight="1" x14ac:dyDescent="0.35">
      <c r="B495" s="2" t="s">
        <v>1153</v>
      </c>
      <c r="C495" s="2" t="s">
        <v>481</v>
      </c>
      <c r="D495" s="4" t="s">
        <v>1052</v>
      </c>
      <c r="E495" s="3"/>
      <c r="F495" s="3"/>
      <c r="G495" s="3" t="s">
        <v>8</v>
      </c>
      <c r="H495" s="3"/>
      <c r="I495" s="3"/>
      <c r="J495" s="3" t="s">
        <v>8</v>
      </c>
    </row>
    <row r="496" spans="2:10" ht="23.25" customHeight="1" x14ac:dyDescent="0.35">
      <c r="B496" s="2" t="s">
        <v>1153</v>
      </c>
      <c r="C496" s="2" t="s">
        <v>482</v>
      </c>
      <c r="D496" s="4" t="s">
        <v>1053</v>
      </c>
      <c r="E496" s="3"/>
      <c r="F496" s="3" t="s">
        <v>8</v>
      </c>
      <c r="G496" s="3"/>
      <c r="H496" s="3"/>
      <c r="I496" s="3" t="s">
        <v>8</v>
      </c>
      <c r="J496" s="3"/>
    </row>
    <row r="497" spans="2:10" ht="14.25" customHeight="1" x14ac:dyDescent="0.35">
      <c r="B497" s="2" t="s">
        <v>1153</v>
      </c>
      <c r="C497" s="2" t="s">
        <v>483</v>
      </c>
      <c r="D497" s="4" t="s">
        <v>1054</v>
      </c>
      <c r="E497" s="3"/>
      <c r="F497" s="3" t="s">
        <v>8</v>
      </c>
      <c r="G497" s="3"/>
      <c r="H497" s="3"/>
      <c r="I497" s="3"/>
      <c r="J497" s="3"/>
    </row>
    <row r="498" spans="2:10" ht="14.25" customHeight="1" x14ac:dyDescent="0.35">
      <c r="B498" s="2" t="s">
        <v>1153</v>
      </c>
      <c r="C498" s="2" t="s">
        <v>484</v>
      </c>
      <c r="D498" s="4" t="s">
        <v>1055</v>
      </c>
      <c r="E498" s="3"/>
      <c r="F498" s="3"/>
      <c r="G498" s="3" t="s">
        <v>8</v>
      </c>
      <c r="H498" s="3"/>
      <c r="I498" s="3"/>
      <c r="J498" s="3" t="s">
        <v>8</v>
      </c>
    </row>
    <row r="499" spans="2:10" ht="14.25" customHeight="1" x14ac:dyDescent="0.35">
      <c r="B499" s="2" t="s">
        <v>1153</v>
      </c>
      <c r="C499" s="2" t="s">
        <v>485</v>
      </c>
      <c r="D499" s="4" t="s">
        <v>1056</v>
      </c>
      <c r="E499" s="3" t="s">
        <v>8</v>
      </c>
      <c r="F499" s="3"/>
      <c r="G499" s="3"/>
      <c r="H499" s="3" t="s">
        <v>8</v>
      </c>
      <c r="I499" s="3"/>
      <c r="J499" s="3"/>
    </row>
    <row r="500" spans="2:10" ht="23.25" customHeight="1" x14ac:dyDescent="0.35">
      <c r="B500" s="2" t="s">
        <v>1153</v>
      </c>
      <c r="C500" s="2" t="s">
        <v>486</v>
      </c>
      <c r="D500" s="4" t="s">
        <v>1057</v>
      </c>
      <c r="E500" s="3"/>
      <c r="F500" s="3" t="s">
        <v>8</v>
      </c>
      <c r="G500" s="3"/>
      <c r="H500" s="3"/>
      <c r="I500" s="3"/>
      <c r="J500" s="3"/>
    </row>
    <row r="501" spans="2:10" ht="15" customHeight="1" x14ac:dyDescent="0.35">
      <c r="B501" s="2" t="s">
        <v>1153</v>
      </c>
      <c r="C501" s="2" t="s">
        <v>487</v>
      </c>
      <c r="D501" s="4" t="s">
        <v>1058</v>
      </c>
      <c r="E501" s="3" t="s">
        <v>8</v>
      </c>
      <c r="F501" s="3"/>
      <c r="G501" s="3"/>
      <c r="H501" s="3" t="s">
        <v>8</v>
      </c>
      <c r="I501" s="3"/>
      <c r="J501" s="3"/>
    </row>
    <row r="502" spans="2:10" ht="14.25" customHeight="1" x14ac:dyDescent="0.35">
      <c r="B502" s="2" t="s">
        <v>1153</v>
      </c>
      <c r="C502" s="2" t="s">
        <v>488</v>
      </c>
      <c r="D502" s="4" t="s">
        <v>1059</v>
      </c>
      <c r="E502" s="3" t="s">
        <v>8</v>
      </c>
      <c r="F502" s="3"/>
      <c r="G502" s="3"/>
      <c r="H502" s="3" t="s">
        <v>8</v>
      </c>
      <c r="I502" s="3"/>
      <c r="J502" s="3"/>
    </row>
    <row r="503" spans="2:10" ht="14.25" customHeight="1" x14ac:dyDescent="0.35">
      <c r="B503" s="2" t="s">
        <v>1153</v>
      </c>
      <c r="C503" s="2" t="s">
        <v>489</v>
      </c>
      <c r="D503" s="4" t="s">
        <v>1060</v>
      </c>
      <c r="E503" s="3"/>
      <c r="F503" s="3"/>
      <c r="G503" s="3" t="s">
        <v>8</v>
      </c>
      <c r="H503" s="3"/>
      <c r="I503" s="3"/>
      <c r="J503" s="3" t="s">
        <v>8</v>
      </c>
    </row>
    <row r="504" spans="2:10" ht="14.25" customHeight="1" x14ac:dyDescent="0.35">
      <c r="B504" s="2" t="s">
        <v>1153</v>
      </c>
      <c r="C504" s="2" t="s">
        <v>490</v>
      </c>
      <c r="D504" s="4" t="s">
        <v>1018</v>
      </c>
      <c r="E504" s="3"/>
      <c r="F504" s="3"/>
      <c r="G504" s="3" t="s">
        <v>8</v>
      </c>
      <c r="H504" s="3"/>
      <c r="I504" s="3"/>
      <c r="J504" s="3"/>
    </row>
    <row r="505" spans="2:10" ht="14.25" customHeight="1" x14ac:dyDescent="0.35">
      <c r="B505" s="2" t="s">
        <v>1153</v>
      </c>
      <c r="C505" s="2" t="s">
        <v>491</v>
      </c>
      <c r="D505" s="4" t="s">
        <v>1061</v>
      </c>
      <c r="E505" s="3" t="s">
        <v>8</v>
      </c>
      <c r="F505" s="3"/>
      <c r="G505" s="3"/>
      <c r="H505" s="3" t="s">
        <v>8</v>
      </c>
      <c r="I505" s="3"/>
      <c r="J505" s="3"/>
    </row>
    <row r="506" spans="2:10" ht="15" customHeight="1" x14ac:dyDescent="0.35">
      <c r="B506" s="2" t="s">
        <v>1153</v>
      </c>
      <c r="C506" s="2" t="s">
        <v>492</v>
      </c>
      <c r="D506" s="4" t="s">
        <v>1062</v>
      </c>
      <c r="E506" s="3"/>
      <c r="F506" s="3" t="s">
        <v>8</v>
      </c>
      <c r="G506" s="3"/>
      <c r="H506" s="3"/>
      <c r="I506" s="3"/>
      <c r="J506" s="3"/>
    </row>
    <row r="507" spans="2:10" ht="14.25" customHeight="1" x14ac:dyDescent="0.35">
      <c r="B507" s="2" t="s">
        <v>1153</v>
      </c>
      <c r="C507" s="2" t="s">
        <v>493</v>
      </c>
      <c r="D507" s="4" t="s">
        <v>1063</v>
      </c>
      <c r="E507" s="3" t="s">
        <v>8</v>
      </c>
      <c r="F507" s="3"/>
      <c r="G507" s="3"/>
      <c r="H507" s="3" t="s">
        <v>8</v>
      </c>
      <c r="I507" s="3"/>
      <c r="J507" s="3"/>
    </row>
    <row r="508" spans="2:10" ht="23.25" customHeight="1" x14ac:dyDescent="0.35">
      <c r="B508" s="2" t="s">
        <v>1153</v>
      </c>
      <c r="C508" s="2" t="s">
        <v>494</v>
      </c>
      <c r="D508" s="4" t="s">
        <v>1064</v>
      </c>
      <c r="E508" s="3"/>
      <c r="F508" s="3" t="s">
        <v>8</v>
      </c>
      <c r="G508" s="3"/>
      <c r="H508" s="3"/>
      <c r="I508" s="3"/>
      <c r="J508" s="3"/>
    </row>
    <row r="509" spans="2:10" ht="23.25" customHeight="1" x14ac:dyDescent="0.35">
      <c r="B509" s="2" t="s">
        <v>1153</v>
      </c>
      <c r="C509" s="2" t="s">
        <v>495</v>
      </c>
      <c r="D509" s="4" t="s">
        <v>1065</v>
      </c>
      <c r="E509" s="3"/>
      <c r="F509" s="3"/>
      <c r="G509" s="3" t="s">
        <v>8</v>
      </c>
      <c r="H509" s="3"/>
      <c r="I509" s="3"/>
      <c r="J509" s="3"/>
    </row>
    <row r="510" spans="2:10" ht="14.25" customHeight="1" x14ac:dyDescent="0.35">
      <c r="B510" s="2" t="s">
        <v>1153</v>
      </c>
      <c r="C510" s="2" t="s">
        <v>496</v>
      </c>
      <c r="D510" s="4" t="s">
        <v>1066</v>
      </c>
      <c r="E510" s="3"/>
      <c r="F510" s="3"/>
      <c r="G510" s="3" t="s">
        <v>8</v>
      </c>
      <c r="H510" s="3"/>
      <c r="I510" s="3"/>
      <c r="J510" s="3"/>
    </row>
    <row r="511" spans="2:10" ht="14.25" customHeight="1" x14ac:dyDescent="0.35">
      <c r="B511" s="2" t="s">
        <v>1153</v>
      </c>
      <c r="C511" s="2" t="s">
        <v>497</v>
      </c>
      <c r="D511" s="4" t="s">
        <v>1067</v>
      </c>
      <c r="E511" s="3"/>
      <c r="F511" s="3"/>
      <c r="G511" s="3"/>
      <c r="H511" s="3" t="s">
        <v>8</v>
      </c>
      <c r="I511" s="3"/>
      <c r="J511" s="3"/>
    </row>
    <row r="512" spans="2:10" ht="23.25" customHeight="1" x14ac:dyDescent="0.35">
      <c r="B512" s="2" t="s">
        <v>1153</v>
      </c>
      <c r="C512" s="2" t="s">
        <v>498</v>
      </c>
      <c r="D512" s="4" t="s">
        <v>1068</v>
      </c>
      <c r="E512" s="3"/>
      <c r="F512" s="3"/>
      <c r="G512" s="3" t="s">
        <v>8</v>
      </c>
      <c r="H512" s="3"/>
      <c r="I512" s="3"/>
      <c r="J512" s="3"/>
    </row>
    <row r="513" spans="2:10" ht="14.25" customHeight="1" x14ac:dyDescent="0.35">
      <c r="B513" s="2" t="s">
        <v>1153</v>
      </c>
      <c r="C513" s="2" t="s">
        <v>499</v>
      </c>
      <c r="D513" s="4" t="s">
        <v>1069</v>
      </c>
      <c r="E513" s="3" t="s">
        <v>8</v>
      </c>
      <c r="F513" s="3"/>
      <c r="G513" s="3"/>
      <c r="H513" s="3"/>
      <c r="I513" s="3"/>
      <c r="J513" s="3"/>
    </row>
    <row r="514" spans="2:10" ht="15" customHeight="1" x14ac:dyDescent="0.35">
      <c r="B514" s="2" t="s">
        <v>1153</v>
      </c>
      <c r="C514" s="2" t="s">
        <v>500</v>
      </c>
      <c r="D514" s="4" t="s">
        <v>1070</v>
      </c>
      <c r="E514" s="3"/>
      <c r="F514" s="3"/>
      <c r="G514" s="3" t="s">
        <v>8</v>
      </c>
      <c r="H514" s="3"/>
      <c r="I514" s="3"/>
      <c r="J514" s="3" t="s">
        <v>8</v>
      </c>
    </row>
    <row r="515" spans="2:10" ht="14.25" customHeight="1" x14ac:dyDescent="0.35">
      <c r="B515" s="2" t="s">
        <v>1153</v>
      </c>
      <c r="C515" s="2" t="s">
        <v>501</v>
      </c>
      <c r="D515" s="4" t="s">
        <v>1071</v>
      </c>
      <c r="E515" s="3" t="s">
        <v>8</v>
      </c>
      <c r="F515" s="3"/>
      <c r="G515" s="3"/>
      <c r="H515" s="3" t="s">
        <v>8</v>
      </c>
      <c r="I515" s="3"/>
      <c r="J515" s="3"/>
    </row>
    <row r="516" spans="2:10" ht="14.25" customHeight="1" x14ac:dyDescent="0.35">
      <c r="B516" s="2" t="s">
        <v>1153</v>
      </c>
      <c r="C516" s="2" t="s">
        <v>502</v>
      </c>
      <c r="D516" s="4" t="s">
        <v>978</v>
      </c>
      <c r="E516" s="3"/>
      <c r="F516" s="3"/>
      <c r="G516" s="3" t="s">
        <v>8</v>
      </c>
      <c r="H516" s="3"/>
      <c r="I516" s="3"/>
      <c r="J516" s="3" t="s">
        <v>8</v>
      </c>
    </row>
    <row r="517" spans="2:10" ht="14.25" customHeight="1" x14ac:dyDescent="0.35">
      <c r="B517" s="2" t="s">
        <v>1153</v>
      </c>
      <c r="C517" s="2" t="s">
        <v>503</v>
      </c>
      <c r="D517" s="4" t="s">
        <v>1072</v>
      </c>
      <c r="E517" s="3"/>
      <c r="F517" s="3"/>
      <c r="G517" s="3" t="s">
        <v>8</v>
      </c>
      <c r="H517" s="3"/>
      <c r="I517" s="3"/>
      <c r="J517" s="3" t="s">
        <v>8</v>
      </c>
    </row>
    <row r="518" spans="2:10" ht="14.25" customHeight="1" x14ac:dyDescent="0.35">
      <c r="B518" s="2" t="s">
        <v>1153</v>
      </c>
      <c r="C518" s="2" t="s">
        <v>504</v>
      </c>
      <c r="D518" s="4" t="s">
        <v>1073</v>
      </c>
      <c r="E518" s="3"/>
      <c r="F518" s="3" t="s">
        <v>8</v>
      </c>
      <c r="G518" s="3"/>
      <c r="H518" s="3"/>
      <c r="I518" s="3" t="s">
        <v>8</v>
      </c>
      <c r="J518" s="3"/>
    </row>
    <row r="519" spans="2:10" ht="15" customHeight="1" x14ac:dyDescent="0.35">
      <c r="B519" s="2" t="s">
        <v>1153</v>
      </c>
      <c r="C519" s="2" t="s">
        <v>505</v>
      </c>
      <c r="D519" s="4" t="s">
        <v>1074</v>
      </c>
      <c r="E519" s="3" t="s">
        <v>8</v>
      </c>
      <c r="F519" s="3"/>
      <c r="G519" s="3"/>
      <c r="H519" s="3" t="s">
        <v>8</v>
      </c>
      <c r="I519" s="3"/>
      <c r="J519" s="3"/>
    </row>
    <row r="520" spans="2:10" ht="14.25" customHeight="1" x14ac:dyDescent="0.35">
      <c r="B520" s="2" t="s">
        <v>1153</v>
      </c>
      <c r="C520" s="2" t="s">
        <v>506</v>
      </c>
      <c r="D520" s="4" t="s">
        <v>1075</v>
      </c>
      <c r="E520" s="3" t="s">
        <v>8</v>
      </c>
      <c r="F520" s="3"/>
      <c r="G520" s="3"/>
      <c r="H520" s="3" t="s">
        <v>8</v>
      </c>
      <c r="I520" s="3"/>
      <c r="J520" s="3"/>
    </row>
    <row r="521" spans="2:10" ht="14.25" customHeight="1" x14ac:dyDescent="0.35">
      <c r="B521" s="2" t="s">
        <v>1153</v>
      </c>
      <c r="C521" s="2" t="s">
        <v>507</v>
      </c>
      <c r="D521" s="4" t="s">
        <v>1076</v>
      </c>
      <c r="E521" s="3"/>
      <c r="F521" s="3" t="s">
        <v>8</v>
      </c>
      <c r="G521" s="3"/>
      <c r="H521" s="3"/>
      <c r="I521" s="3" t="s">
        <v>8</v>
      </c>
      <c r="J521" s="3"/>
    </row>
    <row r="522" spans="2:10" ht="14.25" customHeight="1" x14ac:dyDescent="0.35">
      <c r="B522" s="2" t="s">
        <v>1153</v>
      </c>
      <c r="C522" s="2" t="s">
        <v>508</v>
      </c>
      <c r="D522" s="4" t="s">
        <v>1077</v>
      </c>
      <c r="E522" s="3"/>
      <c r="F522" s="3" t="s">
        <v>8</v>
      </c>
      <c r="G522" s="3"/>
      <c r="H522" s="3"/>
      <c r="I522" s="3" t="s">
        <v>8</v>
      </c>
      <c r="J522" s="3"/>
    </row>
    <row r="523" spans="2:10" ht="14.25" customHeight="1" x14ac:dyDescent="0.35">
      <c r="B523" s="2" t="s">
        <v>1153</v>
      </c>
      <c r="C523" s="2" t="s">
        <v>509</v>
      </c>
      <c r="D523" s="4" t="s">
        <v>1078</v>
      </c>
      <c r="E523" s="3" t="s">
        <v>8</v>
      </c>
      <c r="F523" s="3"/>
      <c r="G523" s="3" t="s">
        <v>8</v>
      </c>
      <c r="H523" s="3"/>
      <c r="I523" s="3" t="s">
        <v>8</v>
      </c>
      <c r="J523" s="3"/>
    </row>
    <row r="524" spans="2:10" ht="15" customHeight="1" x14ac:dyDescent="0.35">
      <c r="B524" s="2" t="s">
        <v>1153</v>
      </c>
      <c r="C524" s="2" t="s">
        <v>510</v>
      </c>
      <c r="D524" s="4" t="s">
        <v>1079</v>
      </c>
      <c r="E524" s="3"/>
      <c r="F524" s="3"/>
      <c r="G524" s="3" t="s">
        <v>8</v>
      </c>
      <c r="H524" s="3"/>
      <c r="I524" s="3"/>
      <c r="J524" s="3" t="s">
        <v>8</v>
      </c>
    </row>
    <row r="525" spans="2:10" ht="14.25" customHeight="1" x14ac:dyDescent="0.35">
      <c r="B525" s="2" t="s">
        <v>1153</v>
      </c>
      <c r="C525" s="2" t="s">
        <v>511</v>
      </c>
      <c r="D525" s="4" t="s">
        <v>1080</v>
      </c>
      <c r="E525" s="3"/>
      <c r="F525" s="3"/>
      <c r="G525" s="3"/>
      <c r="H525" s="3"/>
      <c r="I525" s="3"/>
      <c r="J525" s="3" t="s">
        <v>8</v>
      </c>
    </row>
    <row r="526" spans="2:10" ht="14.25" customHeight="1" x14ac:dyDescent="0.35">
      <c r="B526" s="2" t="s">
        <v>1153</v>
      </c>
      <c r="C526" s="2" t="s">
        <v>512</v>
      </c>
      <c r="D526" s="4" t="s">
        <v>1081</v>
      </c>
      <c r="E526" s="3"/>
      <c r="F526" s="3"/>
      <c r="G526" s="3" t="s">
        <v>8</v>
      </c>
      <c r="H526" s="3"/>
      <c r="I526" s="3"/>
      <c r="J526" s="3"/>
    </row>
    <row r="527" spans="2:10" ht="14.25" customHeight="1" x14ac:dyDescent="0.35">
      <c r="B527" s="2" t="s">
        <v>1153</v>
      </c>
      <c r="C527" s="2" t="s">
        <v>513</v>
      </c>
      <c r="D527" s="4" t="s">
        <v>1082</v>
      </c>
      <c r="E527" s="3" t="s">
        <v>8</v>
      </c>
      <c r="F527" s="3"/>
      <c r="G527" s="3"/>
      <c r="H527" s="3" t="s">
        <v>8</v>
      </c>
      <c r="I527" s="3"/>
      <c r="J527" s="3"/>
    </row>
    <row r="528" spans="2:10" ht="14.25" customHeight="1" x14ac:dyDescent="0.35">
      <c r="B528" s="2" t="s">
        <v>1153</v>
      </c>
      <c r="C528" s="2" t="s">
        <v>514</v>
      </c>
      <c r="D528" s="4" t="s">
        <v>1083</v>
      </c>
      <c r="E528" s="3" t="s">
        <v>8</v>
      </c>
      <c r="F528" s="3"/>
      <c r="G528" s="3"/>
      <c r="H528" s="3" t="s">
        <v>8</v>
      </c>
      <c r="I528" s="3"/>
      <c r="J528" s="3"/>
    </row>
    <row r="529" spans="2:10" ht="15" customHeight="1" x14ac:dyDescent="0.35">
      <c r="B529" s="2" t="s">
        <v>1153</v>
      </c>
      <c r="C529" s="2" t="s">
        <v>515</v>
      </c>
      <c r="D529" s="4" t="s">
        <v>1084</v>
      </c>
      <c r="E529" s="3"/>
      <c r="F529" s="3"/>
      <c r="G529" s="3"/>
      <c r="H529" s="3"/>
      <c r="I529" s="3"/>
      <c r="J529" s="3" t="s">
        <v>8</v>
      </c>
    </row>
    <row r="530" spans="2:10" ht="14.25" customHeight="1" x14ac:dyDescent="0.35">
      <c r="B530" s="2" t="s">
        <v>1153</v>
      </c>
      <c r="C530" s="2" t="s">
        <v>516</v>
      </c>
      <c r="D530" s="4" t="s">
        <v>1085</v>
      </c>
      <c r="E530" s="3"/>
      <c r="F530" s="3"/>
      <c r="G530" s="3"/>
      <c r="H530" s="3"/>
      <c r="I530" s="3"/>
      <c r="J530" s="3" t="s">
        <v>8</v>
      </c>
    </row>
    <row r="531" spans="2:10" ht="14.25" customHeight="1" x14ac:dyDescent="0.35">
      <c r="B531" s="2" t="s">
        <v>1153</v>
      </c>
      <c r="C531" s="2" t="s">
        <v>517</v>
      </c>
      <c r="D531" s="4" t="s">
        <v>1086</v>
      </c>
      <c r="E531" s="3" t="s">
        <v>8</v>
      </c>
      <c r="F531" s="3"/>
      <c r="G531" s="3"/>
      <c r="H531" s="3"/>
      <c r="I531" s="3"/>
      <c r="J531" s="3"/>
    </row>
    <row r="532" spans="2:10" ht="14.25" customHeight="1" x14ac:dyDescent="0.35">
      <c r="B532" s="2" t="s">
        <v>1153</v>
      </c>
      <c r="C532" s="2" t="s">
        <v>518</v>
      </c>
      <c r="D532" s="4" t="s">
        <v>1087</v>
      </c>
      <c r="E532" s="3" t="s">
        <v>8</v>
      </c>
      <c r="F532" s="3"/>
      <c r="G532" s="3"/>
      <c r="H532" s="3" t="s">
        <v>8</v>
      </c>
      <c r="I532" s="3"/>
      <c r="J532" s="3"/>
    </row>
    <row r="533" spans="2:10" ht="14.25" customHeight="1" x14ac:dyDescent="0.35">
      <c r="B533" s="2" t="s">
        <v>1153</v>
      </c>
      <c r="C533" s="2" t="s">
        <v>519</v>
      </c>
      <c r="D533" s="4" t="s">
        <v>1088</v>
      </c>
      <c r="E533" s="3"/>
      <c r="F533" s="3"/>
      <c r="G533" s="3"/>
      <c r="H533" s="3"/>
      <c r="I533" s="3" t="s">
        <v>8</v>
      </c>
      <c r="J533" s="3"/>
    </row>
    <row r="534" spans="2:10" ht="23.25" customHeight="1" x14ac:dyDescent="0.35">
      <c r="B534" s="2" t="s">
        <v>1153</v>
      </c>
      <c r="C534" s="2" t="s">
        <v>520</v>
      </c>
      <c r="D534" s="4" t="s">
        <v>1089</v>
      </c>
      <c r="E534" s="3"/>
      <c r="F534" s="3"/>
      <c r="G534" s="3"/>
      <c r="H534" s="3"/>
      <c r="I534" s="3"/>
      <c r="J534" s="3" t="s">
        <v>8</v>
      </c>
    </row>
    <row r="535" spans="2:10" ht="14.25" customHeight="1" x14ac:dyDescent="0.35">
      <c r="B535" s="2" t="s">
        <v>1153</v>
      </c>
      <c r="C535" s="2" t="s">
        <v>521</v>
      </c>
      <c r="D535" s="4" t="s">
        <v>1087</v>
      </c>
      <c r="E535" s="3" t="s">
        <v>8</v>
      </c>
      <c r="F535" s="3"/>
      <c r="G535" s="3"/>
      <c r="H535" s="3" t="s">
        <v>8</v>
      </c>
      <c r="I535" s="3"/>
      <c r="J535" s="3"/>
    </row>
    <row r="536" spans="2:10" ht="15" customHeight="1" x14ac:dyDescent="0.35">
      <c r="B536" s="2" t="s">
        <v>1153</v>
      </c>
      <c r="C536" s="2" t="s">
        <v>522</v>
      </c>
      <c r="D536" s="4" t="s">
        <v>1090</v>
      </c>
      <c r="E536" s="3"/>
      <c r="F536" s="3"/>
      <c r="G536" s="3" t="s">
        <v>8</v>
      </c>
      <c r="H536" s="3"/>
      <c r="I536" s="3"/>
      <c r="J536" s="3" t="s">
        <v>8</v>
      </c>
    </row>
    <row r="537" spans="2:10" ht="14.25" customHeight="1" x14ac:dyDescent="0.35">
      <c r="B537" s="2" t="s">
        <v>1153</v>
      </c>
      <c r="C537" s="2" t="s">
        <v>523</v>
      </c>
      <c r="D537" s="4" t="s">
        <v>1091</v>
      </c>
      <c r="E537" s="3"/>
      <c r="F537" s="3"/>
      <c r="G537" s="3"/>
      <c r="H537" s="3"/>
      <c r="I537" s="3"/>
      <c r="J537" s="3" t="s">
        <v>8</v>
      </c>
    </row>
    <row r="538" spans="2:10" ht="14.25" customHeight="1" x14ac:dyDescent="0.35">
      <c r="B538" s="2" t="s">
        <v>1153</v>
      </c>
      <c r="C538" s="2" t="s">
        <v>524</v>
      </c>
      <c r="D538" s="4" t="s">
        <v>1092</v>
      </c>
      <c r="E538" s="3"/>
      <c r="F538" s="3" t="s">
        <v>8</v>
      </c>
      <c r="G538" s="3"/>
      <c r="H538" s="3"/>
      <c r="I538" s="3" t="s">
        <v>8</v>
      </c>
      <c r="J538" s="3"/>
    </row>
    <row r="539" spans="2:10" ht="14.25" customHeight="1" x14ac:dyDescent="0.35">
      <c r="B539" s="2" t="s">
        <v>1153</v>
      </c>
      <c r="C539" s="2" t="s">
        <v>525</v>
      </c>
      <c r="D539" s="4" t="s">
        <v>1093</v>
      </c>
      <c r="E539" s="3"/>
      <c r="F539" s="3" t="s">
        <v>8</v>
      </c>
      <c r="G539" s="3"/>
      <c r="H539" s="3"/>
      <c r="I539" s="3"/>
      <c r="J539" s="3"/>
    </row>
    <row r="540" spans="2:10" ht="14.25" customHeight="1" x14ac:dyDescent="0.35">
      <c r="B540" s="2" t="s">
        <v>1153</v>
      </c>
      <c r="C540" s="2" t="s">
        <v>526</v>
      </c>
      <c r="D540" s="4" t="s">
        <v>1094</v>
      </c>
      <c r="E540" s="3" t="s">
        <v>8</v>
      </c>
      <c r="F540" s="3"/>
      <c r="G540" s="3"/>
      <c r="H540" s="3" t="s">
        <v>8</v>
      </c>
      <c r="I540" s="3"/>
      <c r="J540" s="3"/>
    </row>
    <row r="541" spans="2:10" ht="15" customHeight="1" x14ac:dyDescent="0.35">
      <c r="B541" s="2" t="s">
        <v>1153</v>
      </c>
      <c r="C541" s="2" t="s">
        <v>527</v>
      </c>
      <c r="D541" s="4" t="s">
        <v>1073</v>
      </c>
      <c r="E541" s="3"/>
      <c r="F541" s="3" t="s">
        <v>8</v>
      </c>
      <c r="G541" s="3"/>
      <c r="H541" s="3"/>
      <c r="I541" s="3" t="s">
        <v>8</v>
      </c>
      <c r="J541" s="3"/>
    </row>
    <row r="542" spans="2:10" ht="14.25" customHeight="1" x14ac:dyDescent="0.35">
      <c r="B542" s="2" t="s">
        <v>1153</v>
      </c>
      <c r="C542" s="2" t="s">
        <v>528</v>
      </c>
      <c r="D542" s="4" t="s">
        <v>1095</v>
      </c>
      <c r="E542" s="3"/>
      <c r="F542" s="3"/>
      <c r="G542" s="3"/>
      <c r="H542" s="3" t="s">
        <v>8</v>
      </c>
      <c r="I542" s="3"/>
      <c r="J542" s="3"/>
    </row>
    <row r="543" spans="2:10" ht="23.25" customHeight="1" x14ac:dyDescent="0.35">
      <c r="B543" s="2" t="s">
        <v>1153</v>
      </c>
      <c r="C543" s="2" t="s">
        <v>529</v>
      </c>
      <c r="D543" s="4" t="s">
        <v>1096</v>
      </c>
      <c r="E543" s="3"/>
      <c r="F543" s="3" t="s">
        <v>8</v>
      </c>
      <c r="G543" s="3"/>
      <c r="H543" s="3"/>
      <c r="I543" s="3"/>
      <c r="J543" s="3"/>
    </row>
    <row r="544" spans="2:10" ht="23.25" customHeight="1" x14ac:dyDescent="0.35">
      <c r="B544" s="2" t="s">
        <v>1153</v>
      </c>
      <c r="C544" s="2" t="s">
        <v>530</v>
      </c>
      <c r="D544" s="4" t="s">
        <v>1097</v>
      </c>
      <c r="E544" s="3" t="s">
        <v>8</v>
      </c>
      <c r="F544" s="3"/>
      <c r="G544" s="3"/>
      <c r="H544" s="3"/>
      <c r="I544" s="3"/>
      <c r="J544" s="3"/>
    </row>
    <row r="545" spans="2:10" ht="23.25" customHeight="1" x14ac:dyDescent="0.35">
      <c r="B545" s="2" t="s">
        <v>1153</v>
      </c>
      <c r="C545" s="2" t="s">
        <v>531</v>
      </c>
      <c r="D545" s="4" t="s">
        <v>1098</v>
      </c>
      <c r="E545" s="3"/>
      <c r="F545" s="3"/>
      <c r="G545" s="3" t="s">
        <v>8</v>
      </c>
      <c r="H545" s="3"/>
      <c r="I545" s="3"/>
      <c r="J545" s="3"/>
    </row>
    <row r="546" spans="2:10" ht="23.25" customHeight="1" x14ac:dyDescent="0.35">
      <c r="B546" s="2" t="s">
        <v>1153</v>
      </c>
      <c r="C546" s="2" t="s">
        <v>532</v>
      </c>
      <c r="D546" s="4" t="s">
        <v>1099</v>
      </c>
      <c r="E546" s="3"/>
      <c r="F546" s="3"/>
      <c r="G546" s="3"/>
      <c r="H546" s="3" t="s">
        <v>8</v>
      </c>
      <c r="I546" s="3"/>
      <c r="J546" s="3"/>
    </row>
    <row r="547" spans="2:10" ht="14.25" customHeight="1" x14ac:dyDescent="0.35">
      <c r="B547" s="2" t="s">
        <v>1153</v>
      </c>
      <c r="C547" s="2" t="s">
        <v>533</v>
      </c>
      <c r="D547" s="4" t="s">
        <v>1100</v>
      </c>
      <c r="E547" s="3"/>
      <c r="F547" s="3"/>
      <c r="G547" s="3" t="s">
        <v>8</v>
      </c>
      <c r="H547" s="3"/>
      <c r="I547" s="3"/>
      <c r="J547" s="3"/>
    </row>
    <row r="548" spans="2:10" ht="14.25" customHeight="1" x14ac:dyDescent="0.35">
      <c r="B548" s="2" t="s">
        <v>1153</v>
      </c>
      <c r="C548" s="2" t="s">
        <v>534</v>
      </c>
      <c r="D548" s="4" t="s">
        <v>1101</v>
      </c>
      <c r="E548" s="3" t="s">
        <v>8</v>
      </c>
      <c r="F548" s="3"/>
      <c r="G548" s="3"/>
      <c r="H548" s="3" t="s">
        <v>8</v>
      </c>
      <c r="I548" s="3"/>
      <c r="J548" s="3"/>
    </row>
    <row r="549" spans="2:10" ht="14.25" customHeight="1" x14ac:dyDescent="0.35">
      <c r="B549" s="2" t="s">
        <v>1153</v>
      </c>
      <c r="C549" s="2" t="s">
        <v>535</v>
      </c>
      <c r="D549" s="4" t="s">
        <v>1102</v>
      </c>
      <c r="E549" s="3"/>
      <c r="F549" s="3" t="s">
        <v>8</v>
      </c>
      <c r="G549" s="3"/>
      <c r="H549" s="3"/>
      <c r="I549" s="3" t="s">
        <v>8</v>
      </c>
      <c r="J549" s="3"/>
    </row>
    <row r="550" spans="2:10" ht="23.25" customHeight="1" x14ac:dyDescent="0.35">
      <c r="B550" s="2" t="s">
        <v>1153</v>
      </c>
      <c r="C550" s="2" t="s">
        <v>536</v>
      </c>
      <c r="D550" s="4" t="s">
        <v>1103</v>
      </c>
      <c r="E550" s="3"/>
      <c r="F550" s="3"/>
      <c r="G550" s="3" t="s">
        <v>8</v>
      </c>
      <c r="H550" s="3"/>
      <c r="I550" s="3"/>
      <c r="J550" s="3" t="s">
        <v>8</v>
      </c>
    </row>
    <row r="551" spans="2:10" ht="15" customHeight="1" x14ac:dyDescent="0.35">
      <c r="B551" s="2" t="s">
        <v>1153</v>
      </c>
      <c r="C551" s="2" t="s">
        <v>537</v>
      </c>
      <c r="D551" s="4" t="s">
        <v>1104</v>
      </c>
      <c r="E551" s="3"/>
      <c r="F551" s="3"/>
      <c r="G551" s="3" t="s">
        <v>8</v>
      </c>
      <c r="H551" s="3"/>
      <c r="I551" s="3"/>
      <c r="J551" s="3" t="s">
        <v>8</v>
      </c>
    </row>
    <row r="552" spans="2:10" ht="14.25" customHeight="1" x14ac:dyDescent="0.35">
      <c r="B552" s="2" t="s">
        <v>1153</v>
      </c>
      <c r="C552" s="2" t="s">
        <v>538</v>
      </c>
      <c r="D552" s="4" t="s">
        <v>1105</v>
      </c>
      <c r="E552" s="3" t="s">
        <v>8</v>
      </c>
      <c r="F552" s="3"/>
      <c r="G552" s="3"/>
      <c r="H552" s="3" t="s">
        <v>8</v>
      </c>
      <c r="I552" s="3"/>
      <c r="J552" s="3"/>
    </row>
    <row r="553" spans="2:10" ht="14.25" customHeight="1" x14ac:dyDescent="0.35">
      <c r="B553" s="2" t="s">
        <v>1153</v>
      </c>
      <c r="C553" s="2" t="s">
        <v>63</v>
      </c>
      <c r="D553" s="4" t="s">
        <v>1106</v>
      </c>
      <c r="E553" s="3"/>
      <c r="F553" s="3" t="s">
        <v>8</v>
      </c>
      <c r="G553" s="3"/>
      <c r="H553" s="3"/>
      <c r="I553" s="3" t="s">
        <v>8</v>
      </c>
      <c r="J553" s="3"/>
    </row>
    <row r="554" spans="2:10" ht="14.25" customHeight="1" x14ac:dyDescent="0.35">
      <c r="B554" s="2" t="s">
        <v>1153</v>
      </c>
      <c r="C554" s="2" t="s">
        <v>539</v>
      </c>
      <c r="D554" s="4" t="s">
        <v>1107</v>
      </c>
      <c r="E554" s="3"/>
      <c r="F554" s="3"/>
      <c r="G554" s="3" t="s">
        <v>8</v>
      </c>
      <c r="H554" s="3"/>
      <c r="I554" s="3"/>
      <c r="J554" s="3" t="s">
        <v>8</v>
      </c>
    </row>
    <row r="555" spans="2:10" ht="23.25" customHeight="1" x14ac:dyDescent="0.35">
      <c r="B555" s="2" t="s">
        <v>1153</v>
      </c>
      <c r="C555" s="2" t="s">
        <v>540</v>
      </c>
      <c r="D555" s="4" t="s">
        <v>1108</v>
      </c>
      <c r="E555" s="3" t="s">
        <v>8</v>
      </c>
      <c r="F555" s="3"/>
      <c r="G555" s="3"/>
      <c r="H555" s="3" t="s">
        <v>8</v>
      </c>
      <c r="I555" s="3"/>
      <c r="J555" s="3"/>
    </row>
    <row r="556" spans="2:10" ht="14.25" customHeight="1" x14ac:dyDescent="0.35">
      <c r="B556" s="2" t="s">
        <v>1153</v>
      </c>
      <c r="C556" s="2" t="s">
        <v>541</v>
      </c>
      <c r="D556" s="4" t="s">
        <v>1109</v>
      </c>
      <c r="E556" s="3"/>
      <c r="F556" s="3" t="s">
        <v>8</v>
      </c>
      <c r="G556" s="3"/>
      <c r="H556" s="3"/>
      <c r="I556" s="3" t="s">
        <v>8</v>
      </c>
      <c r="J556" s="3"/>
    </row>
    <row r="557" spans="2:10" ht="14.25" customHeight="1" x14ac:dyDescent="0.35">
      <c r="B557" s="2" t="s">
        <v>1153</v>
      </c>
      <c r="C557" s="2" t="s">
        <v>542</v>
      </c>
      <c r="D557" s="4" t="s">
        <v>1110</v>
      </c>
      <c r="E557" s="3"/>
      <c r="F557" s="3"/>
      <c r="G557" s="3" t="s">
        <v>8</v>
      </c>
      <c r="H557" s="3"/>
      <c r="I557" s="3"/>
      <c r="J557" s="3" t="s">
        <v>8</v>
      </c>
    </row>
    <row r="558" spans="2:10" ht="15" customHeight="1" x14ac:dyDescent="0.35">
      <c r="B558" s="2" t="s">
        <v>1153</v>
      </c>
      <c r="C558" s="2" t="s">
        <v>543</v>
      </c>
      <c r="D558" s="4" t="s">
        <v>1111</v>
      </c>
      <c r="E558" s="3"/>
      <c r="F558" s="3" t="s">
        <v>8</v>
      </c>
      <c r="G558" s="3"/>
      <c r="H558" s="3"/>
      <c r="I558" s="3" t="s">
        <v>8</v>
      </c>
      <c r="J558" s="3"/>
    </row>
    <row r="559" spans="2:10" ht="14.25" customHeight="1" x14ac:dyDescent="0.35">
      <c r="B559" s="2" t="s">
        <v>1153</v>
      </c>
      <c r="C559" s="2" t="s">
        <v>544</v>
      </c>
      <c r="D559" s="4" t="s">
        <v>1112</v>
      </c>
      <c r="E559" s="3" t="s">
        <v>8</v>
      </c>
      <c r="F559" s="3"/>
      <c r="G559" s="3"/>
      <c r="H559" s="3" t="s">
        <v>8</v>
      </c>
      <c r="I559" s="3"/>
      <c r="J559" s="3"/>
    </row>
    <row r="560" spans="2:10" ht="23.25" customHeight="1" x14ac:dyDescent="0.35">
      <c r="B560" s="2" t="s">
        <v>1153</v>
      </c>
      <c r="C560" s="2" t="s">
        <v>545</v>
      </c>
      <c r="D560" s="4" t="s">
        <v>1113</v>
      </c>
      <c r="E560" s="3" t="s">
        <v>8</v>
      </c>
      <c r="F560" s="3"/>
      <c r="G560" s="3"/>
      <c r="H560" s="3"/>
      <c r="I560" s="3"/>
      <c r="J560" s="3"/>
    </row>
    <row r="561" spans="2:10" ht="14.25" customHeight="1" x14ac:dyDescent="0.35">
      <c r="B561" s="2" t="s">
        <v>1153</v>
      </c>
      <c r="C561" s="2" t="s">
        <v>546</v>
      </c>
      <c r="D561" s="4" t="s">
        <v>1114</v>
      </c>
      <c r="E561" s="3"/>
      <c r="F561" s="3"/>
      <c r="G561" s="3" t="s">
        <v>8</v>
      </c>
      <c r="H561" s="3"/>
      <c r="I561" s="3"/>
      <c r="J561" s="3" t="s">
        <v>8</v>
      </c>
    </row>
    <row r="562" spans="2:10" ht="14.25" customHeight="1" x14ac:dyDescent="0.35">
      <c r="B562" s="2" t="s">
        <v>1153</v>
      </c>
      <c r="C562" s="2" t="s">
        <v>547</v>
      </c>
      <c r="D562" s="4" t="s">
        <v>1102</v>
      </c>
      <c r="E562" s="3"/>
      <c r="F562" s="3" t="s">
        <v>8</v>
      </c>
      <c r="G562" s="3"/>
      <c r="H562" s="3"/>
      <c r="I562" s="3" t="s">
        <v>8</v>
      </c>
      <c r="J562" s="3"/>
    </row>
    <row r="563" spans="2:10" ht="14.25" customHeight="1" x14ac:dyDescent="0.35">
      <c r="B563" s="2" t="s">
        <v>1153</v>
      </c>
      <c r="C563" s="2" t="s">
        <v>548</v>
      </c>
      <c r="D563" s="4" t="s">
        <v>1115</v>
      </c>
      <c r="E563" s="3"/>
      <c r="F563" s="3" t="s">
        <v>8</v>
      </c>
      <c r="G563" s="3"/>
      <c r="H563" s="3"/>
      <c r="I563" s="3" t="s">
        <v>8</v>
      </c>
      <c r="J563" s="3"/>
    </row>
    <row r="564" spans="2:10" ht="15" customHeight="1" x14ac:dyDescent="0.35">
      <c r="B564" s="2" t="s">
        <v>1153</v>
      </c>
      <c r="C564" s="2" t="s">
        <v>549</v>
      </c>
      <c r="D564" s="4" t="s">
        <v>1102</v>
      </c>
      <c r="E564" s="3"/>
      <c r="F564" s="3" t="s">
        <v>8</v>
      </c>
      <c r="G564" s="3"/>
      <c r="H564" s="3"/>
      <c r="I564" s="3" t="s">
        <v>8</v>
      </c>
      <c r="J564" s="3"/>
    </row>
    <row r="565" spans="2:10" ht="14.25" customHeight="1" x14ac:dyDescent="0.35">
      <c r="B565" s="2" t="s">
        <v>1153</v>
      </c>
      <c r="C565" s="2" t="s">
        <v>550</v>
      </c>
      <c r="D565" s="4" t="s">
        <v>1116</v>
      </c>
      <c r="E565" s="3"/>
      <c r="F565" s="3"/>
      <c r="G565" s="3" t="s">
        <v>8</v>
      </c>
      <c r="H565" s="3"/>
      <c r="I565" s="3"/>
      <c r="J565" s="3" t="s">
        <v>8</v>
      </c>
    </row>
    <row r="566" spans="2:10" ht="14.25" customHeight="1" x14ac:dyDescent="0.35">
      <c r="B566" s="2" t="s">
        <v>1153</v>
      </c>
      <c r="C566" s="2" t="s">
        <v>551</v>
      </c>
      <c r="D566" s="4" t="s">
        <v>1117</v>
      </c>
      <c r="E566" s="3" t="s">
        <v>8</v>
      </c>
      <c r="F566" s="3"/>
      <c r="G566" s="3"/>
      <c r="H566" s="3" t="s">
        <v>8</v>
      </c>
      <c r="I566" s="3"/>
      <c r="J566" s="3"/>
    </row>
    <row r="567" spans="2:10" ht="14.25" customHeight="1" x14ac:dyDescent="0.35">
      <c r="B567" s="2" t="s">
        <v>1153</v>
      </c>
      <c r="C567" s="2" t="s">
        <v>552</v>
      </c>
      <c r="D567" s="4" t="s">
        <v>1103</v>
      </c>
      <c r="E567" s="3"/>
      <c r="F567" s="3"/>
      <c r="G567" s="3" t="s">
        <v>8</v>
      </c>
      <c r="H567" s="3"/>
      <c r="I567" s="3"/>
      <c r="J567" s="3" t="s">
        <v>8</v>
      </c>
    </row>
    <row r="568" spans="2:10" ht="14.25" customHeight="1" x14ac:dyDescent="0.35">
      <c r="B568" s="2" t="s">
        <v>1153</v>
      </c>
      <c r="C568" s="2" t="s">
        <v>553</v>
      </c>
      <c r="D568" s="4" t="s">
        <v>1118</v>
      </c>
      <c r="E568" s="3" t="s">
        <v>8</v>
      </c>
      <c r="F568" s="3"/>
      <c r="G568" s="3"/>
      <c r="H568" s="3" t="s">
        <v>8</v>
      </c>
      <c r="I568" s="3"/>
      <c r="J568" s="3"/>
    </row>
    <row r="569" spans="2:10" ht="15" customHeight="1" x14ac:dyDescent="0.35">
      <c r="B569" s="2" t="s">
        <v>1153</v>
      </c>
      <c r="C569" s="2" t="s">
        <v>554</v>
      </c>
      <c r="D569" s="4" t="s">
        <v>1119</v>
      </c>
      <c r="E569" s="3"/>
      <c r="F569" s="3" t="s">
        <v>8</v>
      </c>
      <c r="G569" s="3"/>
      <c r="H569" s="3"/>
      <c r="I569" s="3" t="s">
        <v>8</v>
      </c>
      <c r="J569" s="3"/>
    </row>
    <row r="570" spans="2:10" ht="14.25" customHeight="1" x14ac:dyDescent="0.35">
      <c r="B570" s="2" t="s">
        <v>1153</v>
      </c>
      <c r="C570" s="2" t="s">
        <v>555</v>
      </c>
      <c r="D570" s="4" t="s">
        <v>1120</v>
      </c>
      <c r="E570" s="3"/>
      <c r="F570" s="3"/>
      <c r="G570" s="3"/>
      <c r="H570" s="3" t="s">
        <v>8</v>
      </c>
      <c r="I570" s="3"/>
      <c r="J570" s="3"/>
    </row>
    <row r="571" spans="2:10" ht="23.25" customHeight="1" x14ac:dyDescent="0.35">
      <c r="B571" s="2" t="s">
        <v>1153</v>
      </c>
      <c r="C571" s="2" t="s">
        <v>556</v>
      </c>
      <c r="D571" s="4" t="s">
        <v>1121</v>
      </c>
      <c r="E571" s="3"/>
      <c r="F571" s="3"/>
      <c r="G571" s="3"/>
      <c r="H571" s="3"/>
      <c r="I571" s="3" t="s">
        <v>8</v>
      </c>
      <c r="J571" s="3"/>
    </row>
    <row r="572" spans="2:10" ht="23.25" customHeight="1" x14ac:dyDescent="0.35">
      <c r="B572" s="2" t="s">
        <v>1153</v>
      </c>
      <c r="C572" s="2" t="s">
        <v>557</v>
      </c>
      <c r="D572" s="4" t="s">
        <v>1122</v>
      </c>
      <c r="E572" s="3"/>
      <c r="F572" s="3"/>
      <c r="G572" s="3"/>
      <c r="H572" s="3"/>
      <c r="I572" s="3" t="s">
        <v>8</v>
      </c>
      <c r="J572" s="3"/>
    </row>
    <row r="573" spans="2:10" ht="14.25" customHeight="1" x14ac:dyDescent="0.35">
      <c r="B573" s="2" t="s">
        <v>1153</v>
      </c>
      <c r="C573" s="2" t="s">
        <v>558</v>
      </c>
      <c r="D573" s="4" t="s">
        <v>1123</v>
      </c>
      <c r="E573" s="3"/>
      <c r="F573" s="3" t="s">
        <v>8</v>
      </c>
      <c r="G573" s="3"/>
      <c r="H573" s="3"/>
      <c r="I573" s="3" t="s">
        <v>8</v>
      </c>
      <c r="J573" s="3"/>
    </row>
    <row r="574" spans="2:10" ht="14.25" customHeight="1" x14ac:dyDescent="0.35">
      <c r="B574" s="2" t="s">
        <v>1153</v>
      </c>
      <c r="C574" s="2" t="s">
        <v>559</v>
      </c>
      <c r="D574" s="4" t="s">
        <v>1124</v>
      </c>
      <c r="E574" s="3"/>
      <c r="F574" s="3"/>
      <c r="G574" s="3" t="s">
        <v>8</v>
      </c>
      <c r="H574" s="3"/>
      <c r="I574" s="3"/>
      <c r="J574" s="3" t="s">
        <v>8</v>
      </c>
    </row>
    <row r="575" spans="2:10" ht="14.25" customHeight="1" x14ac:dyDescent="0.35">
      <c r="B575" s="2" t="s">
        <v>1153</v>
      </c>
      <c r="C575" s="2" t="s">
        <v>560</v>
      </c>
      <c r="D575" s="4" t="s">
        <v>1125</v>
      </c>
      <c r="E575" s="3" t="s">
        <v>8</v>
      </c>
      <c r="F575" s="3"/>
      <c r="G575" s="3"/>
      <c r="H575" s="3"/>
      <c r="I575" s="3"/>
      <c r="J575" s="3"/>
    </row>
    <row r="576" spans="2:10" ht="15" customHeight="1" x14ac:dyDescent="0.35">
      <c r="B576" s="2" t="s">
        <v>1153</v>
      </c>
      <c r="C576" s="2" t="s">
        <v>561</v>
      </c>
      <c r="D576" s="4" t="s">
        <v>1125</v>
      </c>
      <c r="E576" s="3" t="s">
        <v>8</v>
      </c>
      <c r="F576" s="3"/>
      <c r="G576" s="3"/>
      <c r="H576" s="3" t="s">
        <v>8</v>
      </c>
      <c r="I576" s="3"/>
      <c r="J576" s="3"/>
    </row>
    <row r="577" spans="2:10" ht="14.25" customHeight="1" x14ac:dyDescent="0.35">
      <c r="B577" s="2" t="s">
        <v>1153</v>
      </c>
      <c r="C577" s="2" t="s">
        <v>562</v>
      </c>
      <c r="D577" s="4" t="s">
        <v>1126</v>
      </c>
      <c r="E577" s="3"/>
      <c r="F577" s="3"/>
      <c r="G577" s="3" t="s">
        <v>8</v>
      </c>
      <c r="H577" s="3"/>
      <c r="I577" s="3"/>
      <c r="J577" s="3" t="s">
        <v>8</v>
      </c>
    </row>
    <row r="578" spans="2:10" ht="14.25" customHeight="1" x14ac:dyDescent="0.35">
      <c r="B578" s="2" t="s">
        <v>1153</v>
      </c>
      <c r="C578" s="2" t="s">
        <v>563</v>
      </c>
      <c r="D578" s="4" t="s">
        <v>1127</v>
      </c>
      <c r="E578" s="3" t="s">
        <v>8</v>
      </c>
      <c r="F578" s="3"/>
      <c r="G578" s="3"/>
      <c r="H578" s="3" t="s">
        <v>8</v>
      </c>
      <c r="I578" s="3"/>
      <c r="J578" s="3"/>
    </row>
    <row r="579" spans="2:10" ht="14.25" customHeight="1" x14ac:dyDescent="0.35">
      <c r="B579" s="2" t="s">
        <v>1153</v>
      </c>
      <c r="C579" s="2" t="s">
        <v>564</v>
      </c>
      <c r="D579" s="4" t="s">
        <v>1128</v>
      </c>
      <c r="E579" s="3" t="s">
        <v>8</v>
      </c>
      <c r="F579" s="3"/>
      <c r="G579" s="3"/>
      <c r="H579" s="3" t="s">
        <v>8</v>
      </c>
      <c r="I579" s="3"/>
      <c r="J579" s="3"/>
    </row>
    <row r="580" spans="2:10" ht="14.25" customHeight="1" x14ac:dyDescent="0.35">
      <c r="B580" s="2" t="s">
        <v>1153</v>
      </c>
      <c r="C580" s="2" t="s">
        <v>565</v>
      </c>
      <c r="D580" s="4" t="s">
        <v>1129</v>
      </c>
      <c r="E580" s="3"/>
      <c r="F580" s="3"/>
      <c r="G580" s="3" t="s">
        <v>8</v>
      </c>
      <c r="H580" s="3"/>
      <c r="I580" s="3"/>
      <c r="J580" s="3" t="s">
        <v>8</v>
      </c>
    </row>
    <row r="581" spans="2:10" ht="15" customHeight="1" x14ac:dyDescent="0.35">
      <c r="B581" s="2" t="s">
        <v>1153</v>
      </c>
      <c r="C581" s="2" t="s">
        <v>566</v>
      </c>
      <c r="D581" s="4" t="s">
        <v>1130</v>
      </c>
      <c r="E581" s="3" t="s">
        <v>8</v>
      </c>
      <c r="F581" s="3"/>
      <c r="G581" s="3"/>
      <c r="H581" s="3"/>
      <c r="I581" s="3"/>
      <c r="J581" s="3"/>
    </row>
    <row r="582" spans="2:10" ht="23.25" customHeight="1" x14ac:dyDescent="0.35">
      <c r="B582" s="2" t="s">
        <v>1153</v>
      </c>
      <c r="C582" s="2" t="s">
        <v>567</v>
      </c>
      <c r="D582" s="4" t="s">
        <v>1131</v>
      </c>
      <c r="E582" s="3"/>
      <c r="F582" s="3" t="s">
        <v>8</v>
      </c>
      <c r="G582" s="3"/>
      <c r="H582" s="3"/>
      <c r="I582" s="3" t="s">
        <v>8</v>
      </c>
      <c r="J582" s="3"/>
    </row>
    <row r="583" spans="2:10" ht="14.25" customHeight="1" x14ac:dyDescent="0.35">
      <c r="B583" s="2" t="s">
        <v>1153</v>
      </c>
      <c r="C583" s="2" t="s">
        <v>568</v>
      </c>
      <c r="D583" s="4" t="s">
        <v>1132</v>
      </c>
      <c r="E583" s="3" t="s">
        <v>8</v>
      </c>
      <c r="F583" s="3"/>
      <c r="G583" s="3"/>
      <c r="H583" s="3" t="s">
        <v>8</v>
      </c>
      <c r="I583" s="3"/>
      <c r="J583" s="3"/>
    </row>
    <row r="584" spans="2:10" ht="14.25" customHeight="1" x14ac:dyDescent="0.35">
      <c r="B584" s="2" t="s">
        <v>1153</v>
      </c>
      <c r="C584" s="2" t="s">
        <v>569</v>
      </c>
      <c r="D584" s="4" t="s">
        <v>1133</v>
      </c>
      <c r="E584" s="3"/>
      <c r="F584" s="3"/>
      <c r="G584" s="3" t="s">
        <v>8</v>
      </c>
      <c r="H584" s="3"/>
      <c r="I584" s="3"/>
      <c r="J584" s="3" t="s">
        <v>8</v>
      </c>
    </row>
    <row r="585" spans="2:10" ht="14.25" customHeight="1" x14ac:dyDescent="0.35">
      <c r="B585" s="2" t="s">
        <v>1153</v>
      </c>
      <c r="C585" s="2" t="s">
        <v>570</v>
      </c>
      <c r="D585" s="4" t="s">
        <v>1134</v>
      </c>
      <c r="E585" s="3" t="s">
        <v>8</v>
      </c>
      <c r="F585" s="3"/>
      <c r="G585" s="3"/>
      <c r="H585" s="3" t="s">
        <v>8</v>
      </c>
      <c r="I585" s="3"/>
      <c r="J585" s="3"/>
    </row>
    <row r="586" spans="2:10" ht="14.25" customHeight="1" x14ac:dyDescent="0.35">
      <c r="B586" s="2" t="s">
        <v>1153</v>
      </c>
      <c r="C586" s="2" t="s">
        <v>571</v>
      </c>
      <c r="D586" s="4" t="s">
        <v>1135</v>
      </c>
      <c r="E586" s="3"/>
      <c r="F586" s="3"/>
      <c r="G586" s="3" t="s">
        <v>8</v>
      </c>
      <c r="H586" s="3"/>
      <c r="I586" s="3"/>
      <c r="J586" s="3" t="s">
        <v>8</v>
      </c>
    </row>
    <row r="587" spans="2:10" ht="15" customHeight="1" x14ac:dyDescent="0.35">
      <c r="B587" s="2" t="s">
        <v>1153</v>
      </c>
      <c r="C587" s="2" t="s">
        <v>572</v>
      </c>
      <c r="D587" s="4" t="s">
        <v>1136</v>
      </c>
      <c r="E587" s="3"/>
      <c r="F587" s="3"/>
      <c r="G587" s="3" t="s">
        <v>8</v>
      </c>
      <c r="H587" s="3"/>
      <c r="I587" s="3"/>
      <c r="J587" s="3" t="s">
        <v>8</v>
      </c>
    </row>
    <row r="588" spans="2:10" ht="14.25" customHeight="1" x14ac:dyDescent="0.35">
      <c r="B588" s="2" t="s">
        <v>1153</v>
      </c>
      <c r="C588" s="2" t="s">
        <v>573</v>
      </c>
      <c r="D588" s="4" t="s">
        <v>1137</v>
      </c>
      <c r="E588" s="3"/>
      <c r="F588" s="3" t="s">
        <v>8</v>
      </c>
      <c r="G588" s="3"/>
      <c r="H588" s="3"/>
      <c r="I588" s="3" t="s">
        <v>8</v>
      </c>
      <c r="J588" s="3"/>
    </row>
    <row r="589" spans="2:10" ht="14.25" customHeight="1" x14ac:dyDescent="0.35">
      <c r="B589" s="2" t="s">
        <v>1153</v>
      </c>
      <c r="C589" s="2" t="s">
        <v>574</v>
      </c>
      <c r="D589" s="4" t="s">
        <v>1138</v>
      </c>
      <c r="E589" s="3"/>
      <c r="F589" s="3"/>
      <c r="G589" s="3"/>
      <c r="H589" s="3" t="s">
        <v>8</v>
      </c>
      <c r="I589" s="3"/>
      <c r="J589" s="3"/>
    </row>
    <row r="590" spans="2:10" ht="14.25" customHeight="1" x14ac:dyDescent="0.35">
      <c r="B590" s="2" t="s">
        <v>1153</v>
      </c>
      <c r="C590" s="2" t="s">
        <v>575</v>
      </c>
      <c r="D590" s="4" t="s">
        <v>1139</v>
      </c>
      <c r="E590" s="3"/>
      <c r="F590" s="3" t="s">
        <v>8</v>
      </c>
      <c r="G590" s="3"/>
      <c r="H590" s="3"/>
      <c r="I590" s="3" t="s">
        <v>8</v>
      </c>
      <c r="J590" s="3"/>
    </row>
    <row r="591" spans="2:10" ht="14.25" customHeight="1" x14ac:dyDescent="0.35">
      <c r="B591" s="2" t="s">
        <v>1153</v>
      </c>
      <c r="C591" s="2" t="s">
        <v>576</v>
      </c>
      <c r="D591" s="4" t="s">
        <v>1140</v>
      </c>
      <c r="E591" s="3"/>
      <c r="F591" s="3"/>
      <c r="G591" s="3" t="s">
        <v>8</v>
      </c>
      <c r="H591" s="3"/>
      <c r="I591" s="3"/>
      <c r="J591" s="3" t="s">
        <v>8</v>
      </c>
    </row>
    <row r="592" spans="2:10" ht="15" customHeight="1" x14ac:dyDescent="0.35">
      <c r="B592" s="2" t="s">
        <v>1153</v>
      </c>
      <c r="C592" s="2" t="s">
        <v>577</v>
      </c>
      <c r="D592" s="4" t="s">
        <v>1141</v>
      </c>
      <c r="E592" s="3"/>
      <c r="F592" s="3" t="s">
        <v>8</v>
      </c>
      <c r="G592" s="3"/>
      <c r="H592" s="3"/>
      <c r="I592" s="3"/>
      <c r="J592" s="3"/>
    </row>
    <row r="593" spans="2:10" ht="14.25" customHeight="1" x14ac:dyDescent="0.35">
      <c r="B593" s="2" t="s">
        <v>1153</v>
      </c>
      <c r="C593" s="2" t="s">
        <v>578</v>
      </c>
      <c r="D593" s="4" t="s">
        <v>1142</v>
      </c>
      <c r="E593" s="3"/>
      <c r="F593" s="3" t="s">
        <v>8</v>
      </c>
      <c r="G593" s="3"/>
      <c r="H593" s="3"/>
      <c r="I593" s="3" t="s">
        <v>8</v>
      </c>
      <c r="J593" s="3"/>
    </row>
    <row r="594" spans="2:10" ht="14.25" customHeight="1" x14ac:dyDescent="0.35">
      <c r="B594" s="2" t="s">
        <v>1153</v>
      </c>
      <c r="C594" s="2" t="s">
        <v>579</v>
      </c>
      <c r="D594" s="4" t="s">
        <v>1143</v>
      </c>
      <c r="E594" s="3"/>
      <c r="F594" s="3"/>
      <c r="G594" s="3" t="s">
        <v>8</v>
      </c>
      <c r="H594" s="3"/>
      <c r="I594" s="3"/>
      <c r="J594" s="3" t="s">
        <v>8</v>
      </c>
    </row>
    <row r="595" spans="2:10" ht="14.25" customHeight="1" x14ac:dyDescent="0.35">
      <c r="B595" s="2" t="s">
        <v>1153</v>
      </c>
      <c r="C595" s="2" t="s">
        <v>580</v>
      </c>
      <c r="D595" s="4" t="s">
        <v>1144</v>
      </c>
      <c r="E595" s="3"/>
      <c r="F595" s="3"/>
      <c r="G595" s="3" t="s">
        <v>8</v>
      </c>
      <c r="H595" s="3"/>
      <c r="I595" s="3"/>
      <c r="J595" s="3" t="s">
        <v>8</v>
      </c>
    </row>
    <row r="596" spans="2:10" ht="14.25" customHeight="1" x14ac:dyDescent="0.35">
      <c r="B596" s="2" t="s">
        <v>1153</v>
      </c>
      <c r="C596" s="2" t="s">
        <v>581</v>
      </c>
      <c r="D596" s="4" t="s">
        <v>1145</v>
      </c>
      <c r="E596" s="3"/>
      <c r="F596" s="3" t="s">
        <v>8</v>
      </c>
      <c r="G596" s="3"/>
      <c r="H596" s="3"/>
      <c r="I596" s="3" t="s">
        <v>8</v>
      </c>
      <c r="J596" s="3"/>
    </row>
    <row r="597" spans="2:10" ht="23.25" customHeight="1" x14ac:dyDescent="0.35">
      <c r="B597" s="2" t="s">
        <v>1153</v>
      </c>
      <c r="C597" s="2" t="s">
        <v>582</v>
      </c>
      <c r="D597" s="4" t="s">
        <v>1145</v>
      </c>
      <c r="E597" s="3"/>
      <c r="F597" s="3" t="s">
        <v>8</v>
      </c>
      <c r="G597" s="3"/>
      <c r="H597" s="3"/>
      <c r="I597" s="3"/>
      <c r="J597" s="3"/>
    </row>
    <row r="598" spans="2:10" ht="15" customHeight="1" x14ac:dyDescent="0.35">
      <c r="B598" s="2" t="s">
        <v>1153</v>
      </c>
      <c r="C598" s="2" t="s">
        <v>583</v>
      </c>
      <c r="D598" s="4" t="s">
        <v>1146</v>
      </c>
      <c r="E598" s="3"/>
      <c r="F598" s="3" t="s">
        <v>8</v>
      </c>
      <c r="G598" s="3"/>
      <c r="H598" s="3"/>
      <c r="I598" s="3"/>
      <c r="J598" s="3"/>
    </row>
    <row r="599" spans="2:10" ht="14.25" customHeight="1" x14ac:dyDescent="0.35">
      <c r="B599" s="2" t="s">
        <v>1153</v>
      </c>
      <c r="C599" s="2" t="s">
        <v>584</v>
      </c>
      <c r="D599" s="4" t="s">
        <v>1147</v>
      </c>
      <c r="E599" s="3"/>
      <c r="F599" s="3" t="s">
        <v>8</v>
      </c>
      <c r="G599" s="3"/>
      <c r="H599" s="3"/>
      <c r="I599" s="3"/>
      <c r="J599" s="3"/>
    </row>
    <row r="600" spans="2:10" ht="14.25" customHeight="1" x14ac:dyDescent="0.35">
      <c r="B600" s="2" t="s">
        <v>1153</v>
      </c>
      <c r="C600" s="2" t="s">
        <v>585</v>
      </c>
      <c r="D600" s="4" t="s">
        <v>1148</v>
      </c>
      <c r="E600" s="3" t="s">
        <v>8</v>
      </c>
      <c r="F600" s="3" t="s">
        <v>8</v>
      </c>
      <c r="G600" s="3" t="s">
        <v>8</v>
      </c>
      <c r="H600" s="3" t="s">
        <v>8</v>
      </c>
      <c r="I600" s="3" t="s">
        <v>8</v>
      </c>
      <c r="J600" s="3" t="s">
        <v>8</v>
      </c>
    </row>
    <row r="601" spans="2:10" ht="14.25" customHeight="1" x14ac:dyDescent="0.35">
      <c r="B601" s="2" t="s">
        <v>1153</v>
      </c>
      <c r="C601" s="2" t="s">
        <v>586</v>
      </c>
      <c r="D601" s="4" t="s">
        <v>1149</v>
      </c>
      <c r="E601" s="3" t="s">
        <v>8</v>
      </c>
      <c r="F601" s="3" t="s">
        <v>8</v>
      </c>
      <c r="G601" s="3" t="s">
        <v>8</v>
      </c>
      <c r="H601" s="3" t="s">
        <v>8</v>
      </c>
      <c r="I601" s="3" t="s">
        <v>8</v>
      </c>
      <c r="J601" s="3" t="s">
        <v>8</v>
      </c>
    </row>
    <row r="602" spans="2:10" ht="23.25" customHeight="1" x14ac:dyDescent="0.35">
      <c r="B602" s="2" t="s">
        <v>1153</v>
      </c>
      <c r="C602" s="2" t="s">
        <v>587</v>
      </c>
      <c r="D602" s="4" t="s">
        <v>1150</v>
      </c>
      <c r="E602" s="3"/>
      <c r="F602" s="3"/>
      <c r="G602" s="3"/>
      <c r="H602" s="3" t="s">
        <v>8</v>
      </c>
      <c r="I602" s="3"/>
      <c r="J602" s="3"/>
    </row>
  </sheetData>
  <autoFilter ref="B1:J602" xr:uid="{00000000-0001-0000-0000-000000000000}"/>
  <pageMargins left="0.5" right="0.5" top="0.5" bottom="0.5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225A-0417-44A6-AD52-9103D7FFBD73}">
  <sheetPr>
    <pageSetUpPr fitToPage="1"/>
  </sheetPr>
  <dimension ref="A1:N157"/>
  <sheetViews>
    <sheetView tabSelected="1" workbookViewId="0">
      <selection activeCell="O8" sqref="O8"/>
    </sheetView>
  </sheetViews>
  <sheetFormatPr defaultColWidth="54.81640625" defaultRowHeight="14.5" x14ac:dyDescent="0.35"/>
  <cols>
    <col min="1" max="1" width="4.7265625" style="5" bestFit="1" customWidth="1"/>
    <col min="2" max="2" width="8.26953125" style="5" bestFit="1" customWidth="1"/>
    <col min="3" max="3" width="9" style="5" bestFit="1" customWidth="1"/>
    <col min="4" max="4" width="45.26953125" bestFit="1" customWidth="1"/>
    <col min="5" max="5" width="45.26953125" style="47" bestFit="1" customWidth="1"/>
    <col min="6" max="6" width="4.54296875" style="5" hidden="1" customWidth="1"/>
    <col min="7" max="7" width="5.1796875" hidden="1" customWidth="1"/>
    <col min="8" max="8" width="8.7265625" bestFit="1" customWidth="1"/>
    <col min="9" max="9" width="7.453125" hidden="1" customWidth="1"/>
    <col min="10" max="10" width="10.54296875" hidden="1" customWidth="1"/>
    <col min="11" max="11" width="8" hidden="1" customWidth="1"/>
    <col min="12" max="12" width="9.7265625" hidden="1" customWidth="1"/>
    <col min="13" max="13" width="9.54296875" hidden="1" customWidth="1"/>
    <col min="14" max="14" width="5.453125" hidden="1" customWidth="1"/>
  </cols>
  <sheetData>
    <row r="1" spans="1:14" ht="21" x14ac:dyDescent="0.35">
      <c r="A1" s="50" t="s">
        <v>1174</v>
      </c>
      <c r="B1" s="51"/>
      <c r="C1" s="51"/>
      <c r="D1" s="51"/>
      <c r="E1" s="51"/>
      <c r="F1" s="51"/>
      <c r="G1" s="51"/>
      <c r="H1" s="51"/>
    </row>
    <row r="2" spans="1:14" x14ac:dyDescent="0.35">
      <c r="A2" s="6" t="s">
        <v>1259</v>
      </c>
      <c r="B2" s="39" t="s">
        <v>1157</v>
      </c>
      <c r="C2" s="39" t="s">
        <v>1260</v>
      </c>
      <c r="D2" s="6" t="s">
        <v>0</v>
      </c>
      <c r="E2" s="17" t="s">
        <v>588</v>
      </c>
      <c r="F2" s="39" t="s">
        <v>1258</v>
      </c>
      <c r="G2" s="39" t="s">
        <v>1252</v>
      </c>
      <c r="H2" s="39" t="s">
        <v>1252</v>
      </c>
      <c r="I2" s="39" t="s">
        <v>1253</v>
      </c>
      <c r="J2" s="39" t="s">
        <v>1254</v>
      </c>
      <c r="K2" s="39" t="s">
        <v>1255</v>
      </c>
      <c r="L2" s="39" t="s">
        <v>1256</v>
      </c>
      <c r="M2" s="39" t="s">
        <v>1257</v>
      </c>
      <c r="N2" s="41" t="s">
        <v>1178</v>
      </c>
    </row>
    <row r="3" spans="1:14" x14ac:dyDescent="0.35">
      <c r="A3" s="43">
        <v>1</v>
      </c>
      <c r="B3" s="43">
        <v>1</v>
      </c>
      <c r="C3" s="43" t="s">
        <v>1261</v>
      </c>
      <c r="D3" s="42" t="s">
        <v>1427</v>
      </c>
      <c r="E3" s="44" t="s">
        <v>1456</v>
      </c>
      <c r="F3" s="43"/>
      <c r="G3" s="40"/>
      <c r="H3" s="40">
        <v>5200</v>
      </c>
      <c r="I3" s="40"/>
      <c r="J3" s="40"/>
      <c r="K3" s="40"/>
      <c r="L3" s="40"/>
      <c r="M3" s="40"/>
      <c r="N3" s="7">
        <f>SUM(G3:M3)</f>
        <v>5200</v>
      </c>
    </row>
    <row r="4" spans="1:14" x14ac:dyDescent="0.35">
      <c r="A4" s="43">
        <f>+A3+1</f>
        <v>2</v>
      </c>
      <c r="B4" s="43">
        <v>1</v>
      </c>
      <c r="C4" s="43" t="s">
        <v>1262</v>
      </c>
      <c r="D4" s="42" t="s">
        <v>397</v>
      </c>
      <c r="E4" s="44" t="s">
        <v>1456</v>
      </c>
      <c r="F4" s="43"/>
      <c r="G4" s="40"/>
      <c r="H4" s="40">
        <v>560</v>
      </c>
      <c r="I4" s="40"/>
      <c r="J4" s="40"/>
      <c r="K4" s="40"/>
      <c r="L4" s="40"/>
      <c r="M4" s="40"/>
      <c r="N4" s="7">
        <f t="shared" ref="N4:N67" si="0">SUM(G4:M4)</f>
        <v>560</v>
      </c>
    </row>
    <row r="5" spans="1:14" x14ac:dyDescent="0.35">
      <c r="A5" s="43">
        <f t="shared" ref="A5:A68" si="1">+A4+1</f>
        <v>3</v>
      </c>
      <c r="B5" s="43">
        <v>1</v>
      </c>
      <c r="C5" s="43" t="s">
        <v>1263</v>
      </c>
      <c r="D5" s="42" t="s">
        <v>1428</v>
      </c>
      <c r="E5" s="44" t="s">
        <v>1456</v>
      </c>
      <c r="F5" s="43"/>
      <c r="G5" s="40"/>
      <c r="H5" s="40">
        <v>1470</v>
      </c>
      <c r="I5" s="40"/>
      <c r="J5" s="40"/>
      <c r="K5" s="40"/>
      <c r="L5" s="40"/>
      <c r="M5" s="40"/>
      <c r="N5" s="7">
        <f t="shared" si="0"/>
        <v>1470</v>
      </c>
    </row>
    <row r="6" spans="1:14" x14ac:dyDescent="0.35">
      <c r="A6" s="43">
        <f t="shared" si="1"/>
        <v>4</v>
      </c>
      <c r="B6" s="43">
        <v>1</v>
      </c>
      <c r="C6" s="43" t="s">
        <v>1264</v>
      </c>
      <c r="D6" s="42" t="s">
        <v>1429</v>
      </c>
      <c r="E6" s="44" t="s">
        <v>1457</v>
      </c>
      <c r="F6" s="43"/>
      <c r="G6" s="40"/>
      <c r="H6" s="40">
        <v>2000</v>
      </c>
      <c r="I6" s="40"/>
      <c r="J6" s="40"/>
      <c r="K6" s="40"/>
      <c r="L6" s="40"/>
      <c r="M6" s="40"/>
      <c r="N6" s="7">
        <f t="shared" si="0"/>
        <v>2000</v>
      </c>
    </row>
    <row r="7" spans="1:14" x14ac:dyDescent="0.35">
      <c r="A7" s="43">
        <f t="shared" si="1"/>
        <v>5</v>
      </c>
      <c r="B7" s="43">
        <v>1</v>
      </c>
      <c r="C7" s="43" t="s">
        <v>1265</v>
      </c>
      <c r="D7" s="42" t="s">
        <v>1430</v>
      </c>
      <c r="E7" s="44" t="s">
        <v>1458</v>
      </c>
      <c r="F7" s="43"/>
      <c r="G7" s="40"/>
      <c r="H7" s="40">
        <v>10200</v>
      </c>
      <c r="I7" s="40"/>
      <c r="J7" s="40"/>
      <c r="K7" s="40"/>
      <c r="L7" s="40"/>
      <c r="M7" s="40"/>
      <c r="N7" s="7">
        <f t="shared" si="0"/>
        <v>10200</v>
      </c>
    </row>
    <row r="8" spans="1:14" x14ac:dyDescent="0.35">
      <c r="A8" s="43">
        <f t="shared" si="1"/>
        <v>6</v>
      </c>
      <c r="B8" s="43">
        <v>1</v>
      </c>
      <c r="C8" s="43" t="s">
        <v>1266</v>
      </c>
      <c r="D8" s="42" t="s">
        <v>1431</v>
      </c>
      <c r="E8" s="44" t="s">
        <v>1125</v>
      </c>
      <c r="F8" s="43"/>
      <c r="G8" s="40"/>
      <c r="H8" s="40">
        <v>230</v>
      </c>
      <c r="I8" s="40"/>
      <c r="J8" s="40"/>
      <c r="K8" s="40"/>
      <c r="L8" s="40"/>
      <c r="M8" s="40"/>
      <c r="N8" s="7">
        <f t="shared" si="0"/>
        <v>230</v>
      </c>
    </row>
    <row r="9" spans="1:14" x14ac:dyDescent="0.35">
      <c r="A9" s="43">
        <f t="shared" si="1"/>
        <v>7</v>
      </c>
      <c r="B9" s="43">
        <v>1</v>
      </c>
      <c r="C9" s="43" t="s">
        <v>1267</v>
      </c>
      <c r="D9" s="42" t="s">
        <v>1432</v>
      </c>
      <c r="E9" s="44" t="s">
        <v>1421</v>
      </c>
      <c r="F9" s="43"/>
      <c r="G9" s="40"/>
      <c r="H9" s="40">
        <v>1640</v>
      </c>
      <c r="I9" s="40"/>
      <c r="J9" s="40"/>
      <c r="K9" s="40"/>
      <c r="L9" s="40"/>
      <c r="M9" s="40"/>
      <c r="N9" s="7">
        <f t="shared" si="0"/>
        <v>1640</v>
      </c>
    </row>
    <row r="10" spans="1:14" x14ac:dyDescent="0.35">
      <c r="A10" s="43">
        <f t="shared" si="1"/>
        <v>8</v>
      </c>
      <c r="B10" s="43">
        <v>1</v>
      </c>
      <c r="C10" s="43" t="s">
        <v>1268</v>
      </c>
      <c r="D10" s="42" t="s">
        <v>1407</v>
      </c>
      <c r="E10" s="44" t="s">
        <v>1018</v>
      </c>
      <c r="F10" s="43"/>
      <c r="G10" s="40"/>
      <c r="H10" s="40">
        <v>1640</v>
      </c>
      <c r="I10" s="40"/>
      <c r="J10" s="40"/>
      <c r="K10" s="40"/>
      <c r="L10" s="40"/>
      <c r="M10" s="40"/>
      <c r="N10" s="7">
        <f t="shared" si="0"/>
        <v>1640</v>
      </c>
    </row>
    <row r="11" spans="1:14" x14ac:dyDescent="0.35">
      <c r="A11" s="43">
        <f t="shared" si="1"/>
        <v>9</v>
      </c>
      <c r="B11" s="43">
        <v>1</v>
      </c>
      <c r="C11" s="43" t="s">
        <v>1269</v>
      </c>
      <c r="D11" s="42" t="s">
        <v>1433</v>
      </c>
      <c r="E11" s="44" t="s">
        <v>1423</v>
      </c>
      <c r="F11" s="43"/>
      <c r="G11" s="40"/>
      <c r="H11" s="40">
        <v>320</v>
      </c>
      <c r="I11" s="40"/>
      <c r="J11" s="40"/>
      <c r="K11" s="40"/>
      <c r="L11" s="40"/>
      <c r="M11" s="40"/>
      <c r="N11" s="7">
        <f t="shared" si="0"/>
        <v>320</v>
      </c>
    </row>
    <row r="12" spans="1:14" x14ac:dyDescent="0.35">
      <c r="A12" s="43">
        <f t="shared" si="1"/>
        <v>10</v>
      </c>
      <c r="B12" s="43">
        <v>1</v>
      </c>
      <c r="C12" s="43" t="s">
        <v>1270</v>
      </c>
      <c r="D12" s="42" t="s">
        <v>1434</v>
      </c>
      <c r="E12" s="44" t="s">
        <v>1413</v>
      </c>
      <c r="F12" s="43"/>
      <c r="G12" s="40"/>
      <c r="H12" s="40">
        <v>380</v>
      </c>
      <c r="I12" s="40"/>
      <c r="J12" s="40"/>
      <c r="K12" s="40"/>
      <c r="L12" s="40"/>
      <c r="M12" s="40"/>
      <c r="N12" s="7">
        <f t="shared" si="0"/>
        <v>380</v>
      </c>
    </row>
    <row r="13" spans="1:14" x14ac:dyDescent="0.35">
      <c r="A13" s="43">
        <f t="shared" si="1"/>
        <v>11</v>
      </c>
      <c r="B13" s="43">
        <v>1</v>
      </c>
      <c r="C13" s="43" t="s">
        <v>1271</v>
      </c>
      <c r="D13" s="42" t="s">
        <v>1435</v>
      </c>
      <c r="E13" s="44" t="s">
        <v>1459</v>
      </c>
      <c r="F13" s="43"/>
      <c r="G13" s="40"/>
      <c r="H13" s="40">
        <v>164</v>
      </c>
      <c r="I13" s="40"/>
      <c r="J13" s="40"/>
      <c r="K13" s="40"/>
      <c r="L13" s="40"/>
      <c r="M13" s="40"/>
      <c r="N13" s="7">
        <f t="shared" si="0"/>
        <v>164</v>
      </c>
    </row>
    <row r="14" spans="1:14" x14ac:dyDescent="0.35">
      <c r="A14" s="43">
        <f t="shared" si="1"/>
        <v>12</v>
      </c>
      <c r="B14" s="43">
        <v>1</v>
      </c>
      <c r="C14" s="43" t="s">
        <v>1272</v>
      </c>
      <c r="D14" s="42" t="s">
        <v>1430</v>
      </c>
      <c r="E14" s="44" t="s">
        <v>1460</v>
      </c>
      <c r="F14" s="43"/>
      <c r="G14" s="40"/>
      <c r="H14" s="40">
        <v>5997</v>
      </c>
      <c r="I14" s="40"/>
      <c r="J14" s="40"/>
      <c r="K14" s="40"/>
      <c r="L14" s="40"/>
      <c r="M14" s="40"/>
      <c r="N14" s="7">
        <f t="shared" si="0"/>
        <v>5997</v>
      </c>
    </row>
    <row r="15" spans="1:14" x14ac:dyDescent="0.35">
      <c r="A15" s="43">
        <f t="shared" si="1"/>
        <v>13</v>
      </c>
      <c r="B15" s="43">
        <v>1</v>
      </c>
      <c r="C15" s="43" t="s">
        <v>1273</v>
      </c>
      <c r="D15" s="42" t="s">
        <v>1408</v>
      </c>
      <c r="E15" s="44" t="s">
        <v>1456</v>
      </c>
      <c r="F15" s="43"/>
      <c r="G15" s="40"/>
      <c r="H15" s="40">
        <v>180</v>
      </c>
      <c r="I15" s="40"/>
      <c r="J15" s="40"/>
      <c r="K15" s="40"/>
      <c r="L15" s="40"/>
      <c r="M15" s="40"/>
      <c r="N15" s="7">
        <f t="shared" si="0"/>
        <v>180</v>
      </c>
    </row>
    <row r="16" spans="1:14" x14ac:dyDescent="0.35">
      <c r="A16" s="43">
        <f t="shared" si="1"/>
        <v>14</v>
      </c>
      <c r="B16" s="43">
        <v>1</v>
      </c>
      <c r="C16" s="43" t="s">
        <v>1274</v>
      </c>
      <c r="D16" s="42" t="s">
        <v>1436</v>
      </c>
      <c r="E16" s="44" t="s">
        <v>1456</v>
      </c>
      <c r="F16" s="43"/>
      <c r="G16" s="40"/>
      <c r="H16" s="40">
        <v>240</v>
      </c>
      <c r="I16" s="40"/>
      <c r="J16" s="40"/>
      <c r="K16" s="40"/>
      <c r="L16" s="40"/>
      <c r="M16" s="40"/>
      <c r="N16" s="7">
        <f t="shared" si="0"/>
        <v>240</v>
      </c>
    </row>
    <row r="17" spans="1:14" x14ac:dyDescent="0.35">
      <c r="A17" s="43">
        <f t="shared" si="1"/>
        <v>15</v>
      </c>
      <c r="B17" s="43">
        <v>1</v>
      </c>
      <c r="C17" s="43" t="s">
        <v>1275</v>
      </c>
      <c r="D17" s="42" t="s">
        <v>1409</v>
      </c>
      <c r="E17" s="44" t="s">
        <v>1461</v>
      </c>
      <c r="F17" s="43"/>
      <c r="G17" s="40"/>
      <c r="H17" s="40">
        <v>620</v>
      </c>
      <c r="I17" s="40"/>
      <c r="J17" s="40"/>
      <c r="K17" s="40"/>
      <c r="L17" s="40"/>
      <c r="M17" s="40"/>
      <c r="N17" s="7">
        <f t="shared" si="0"/>
        <v>620</v>
      </c>
    </row>
    <row r="18" spans="1:14" x14ac:dyDescent="0.35">
      <c r="A18" s="43">
        <f t="shared" si="1"/>
        <v>16</v>
      </c>
      <c r="B18" s="43">
        <v>1</v>
      </c>
      <c r="C18" s="43" t="s">
        <v>1276</v>
      </c>
      <c r="D18" s="42" t="s">
        <v>1437</v>
      </c>
      <c r="E18" s="44" t="s">
        <v>1462</v>
      </c>
      <c r="F18" s="43"/>
      <c r="G18" s="40"/>
      <c r="H18" s="40">
        <v>480</v>
      </c>
      <c r="I18" s="40"/>
      <c r="J18" s="40"/>
      <c r="K18" s="40"/>
      <c r="L18" s="40"/>
      <c r="M18" s="40"/>
      <c r="N18" s="7">
        <f t="shared" si="0"/>
        <v>480</v>
      </c>
    </row>
    <row r="19" spans="1:14" x14ac:dyDescent="0.35">
      <c r="A19" s="43">
        <f t="shared" si="1"/>
        <v>17</v>
      </c>
      <c r="B19" s="43">
        <v>1</v>
      </c>
      <c r="C19" s="43" t="s">
        <v>1277</v>
      </c>
      <c r="D19" s="42" t="s">
        <v>1437</v>
      </c>
      <c r="E19" s="42" t="s">
        <v>1463</v>
      </c>
      <c r="F19" s="43"/>
      <c r="G19" s="40"/>
      <c r="H19" s="40">
        <v>120</v>
      </c>
      <c r="I19" s="40"/>
      <c r="J19" s="40"/>
      <c r="K19" s="40"/>
      <c r="L19" s="40"/>
      <c r="M19" s="40"/>
      <c r="N19" s="7">
        <f t="shared" si="0"/>
        <v>120</v>
      </c>
    </row>
    <row r="20" spans="1:14" x14ac:dyDescent="0.35">
      <c r="A20" s="43">
        <f t="shared" si="1"/>
        <v>18</v>
      </c>
      <c r="B20" s="43">
        <v>1</v>
      </c>
      <c r="C20" s="43" t="s">
        <v>1278</v>
      </c>
      <c r="D20" s="42" t="s">
        <v>1437</v>
      </c>
      <c r="E20" s="42" t="s">
        <v>1464</v>
      </c>
      <c r="F20" s="43"/>
      <c r="G20" s="40"/>
      <c r="H20" s="40">
        <v>240</v>
      </c>
      <c r="I20" s="40"/>
      <c r="J20" s="40"/>
      <c r="K20" s="40"/>
      <c r="L20" s="40"/>
      <c r="M20" s="40"/>
      <c r="N20" s="7">
        <f t="shared" si="0"/>
        <v>240</v>
      </c>
    </row>
    <row r="21" spans="1:14" x14ac:dyDescent="0.35">
      <c r="A21" s="43">
        <f t="shared" si="1"/>
        <v>19</v>
      </c>
      <c r="B21" s="43">
        <v>1</v>
      </c>
      <c r="C21" s="43" t="s">
        <v>1279</v>
      </c>
      <c r="D21" s="42" t="s">
        <v>1437</v>
      </c>
      <c r="E21" s="42" t="s">
        <v>1465</v>
      </c>
      <c r="F21" s="43"/>
      <c r="G21" s="40"/>
      <c r="H21" s="40">
        <v>240</v>
      </c>
      <c r="I21" s="40"/>
      <c r="J21" s="40"/>
      <c r="K21" s="40"/>
      <c r="L21" s="40"/>
      <c r="M21" s="40"/>
      <c r="N21" s="7">
        <f t="shared" si="0"/>
        <v>240</v>
      </c>
    </row>
    <row r="22" spans="1:14" x14ac:dyDescent="0.35">
      <c r="A22" s="43">
        <f t="shared" si="1"/>
        <v>20</v>
      </c>
      <c r="B22" s="43">
        <v>1</v>
      </c>
      <c r="C22" s="43" t="s">
        <v>1280</v>
      </c>
      <c r="D22" s="42" t="s">
        <v>1437</v>
      </c>
      <c r="E22" s="42" t="s">
        <v>1466</v>
      </c>
      <c r="F22" s="43"/>
      <c r="G22" s="40"/>
      <c r="H22" s="40">
        <v>480</v>
      </c>
      <c r="I22" s="40"/>
      <c r="J22" s="40"/>
      <c r="K22" s="40"/>
      <c r="L22" s="40"/>
      <c r="M22" s="40"/>
      <c r="N22" s="7">
        <f t="shared" si="0"/>
        <v>480</v>
      </c>
    </row>
    <row r="23" spans="1:14" x14ac:dyDescent="0.35">
      <c r="A23" s="43">
        <f t="shared" si="1"/>
        <v>21</v>
      </c>
      <c r="B23" s="43">
        <v>1</v>
      </c>
      <c r="C23" s="43" t="s">
        <v>1281</v>
      </c>
      <c r="D23" s="42" t="s">
        <v>1437</v>
      </c>
      <c r="E23" s="42" t="s">
        <v>1467</v>
      </c>
      <c r="F23" s="43"/>
      <c r="G23" s="40"/>
      <c r="H23" s="40">
        <v>240</v>
      </c>
      <c r="I23" s="40"/>
      <c r="J23" s="40"/>
      <c r="K23" s="40"/>
      <c r="L23" s="40"/>
      <c r="M23" s="40"/>
      <c r="N23" s="7">
        <f t="shared" si="0"/>
        <v>240</v>
      </c>
    </row>
    <row r="24" spans="1:14" x14ac:dyDescent="0.35">
      <c r="A24" s="43">
        <f t="shared" si="1"/>
        <v>22</v>
      </c>
      <c r="B24" s="43">
        <v>2</v>
      </c>
      <c r="C24" s="43" t="s">
        <v>1282</v>
      </c>
      <c r="D24" s="42" t="s">
        <v>1438</v>
      </c>
      <c r="E24" s="44" t="s">
        <v>1468</v>
      </c>
      <c r="F24" s="43"/>
      <c r="G24" s="40"/>
      <c r="H24" s="40">
        <v>480</v>
      </c>
      <c r="I24" s="40"/>
      <c r="J24" s="40"/>
      <c r="K24" s="40"/>
      <c r="L24" s="40"/>
      <c r="M24" s="40"/>
      <c r="N24" s="7">
        <f t="shared" si="0"/>
        <v>480</v>
      </c>
    </row>
    <row r="25" spans="1:14" x14ac:dyDescent="0.35">
      <c r="A25" s="43">
        <f t="shared" si="1"/>
        <v>23</v>
      </c>
      <c r="B25" s="43">
        <v>2</v>
      </c>
      <c r="C25" s="43" t="s">
        <v>1283</v>
      </c>
      <c r="D25" s="42" t="s">
        <v>1439</v>
      </c>
      <c r="E25" s="44" t="s">
        <v>1469</v>
      </c>
      <c r="F25" s="43"/>
      <c r="G25" s="40"/>
      <c r="H25" s="40">
        <v>480</v>
      </c>
      <c r="I25" s="40"/>
      <c r="J25" s="40"/>
      <c r="K25" s="40"/>
      <c r="L25" s="40"/>
      <c r="M25" s="40"/>
      <c r="N25" s="7">
        <f t="shared" si="0"/>
        <v>480</v>
      </c>
    </row>
    <row r="26" spans="1:14" x14ac:dyDescent="0.35">
      <c r="A26" s="43">
        <f t="shared" si="1"/>
        <v>24</v>
      </c>
      <c r="B26" s="43">
        <v>2</v>
      </c>
      <c r="C26" s="43" t="s">
        <v>1284</v>
      </c>
      <c r="D26" s="42" t="s">
        <v>1440</v>
      </c>
      <c r="E26" s="44" t="s">
        <v>1470</v>
      </c>
      <c r="F26" s="43"/>
      <c r="G26" s="40"/>
      <c r="H26" s="40">
        <v>480</v>
      </c>
      <c r="I26" s="40"/>
      <c r="J26" s="40"/>
      <c r="K26" s="40"/>
      <c r="L26" s="40"/>
      <c r="M26" s="40"/>
      <c r="N26" s="7">
        <f t="shared" si="0"/>
        <v>480</v>
      </c>
    </row>
    <row r="27" spans="1:14" x14ac:dyDescent="0.35">
      <c r="A27" s="43">
        <f t="shared" si="1"/>
        <v>25</v>
      </c>
      <c r="B27" s="43">
        <v>2</v>
      </c>
      <c r="C27" s="43" t="s">
        <v>1285</v>
      </c>
      <c r="D27" s="42" t="s">
        <v>1441</v>
      </c>
      <c r="E27" s="44" t="s">
        <v>1471</v>
      </c>
      <c r="F27" s="43"/>
      <c r="G27" s="40"/>
      <c r="H27" s="40">
        <v>240</v>
      </c>
      <c r="I27" s="40"/>
      <c r="J27" s="40"/>
      <c r="K27" s="40"/>
      <c r="L27" s="40"/>
      <c r="M27" s="40"/>
      <c r="N27" s="7">
        <f t="shared" si="0"/>
        <v>240</v>
      </c>
    </row>
    <row r="28" spans="1:14" x14ac:dyDescent="0.35">
      <c r="A28" s="43">
        <f t="shared" si="1"/>
        <v>26</v>
      </c>
      <c r="B28" s="43">
        <v>2</v>
      </c>
      <c r="C28" s="43" t="s">
        <v>1286</v>
      </c>
      <c r="D28" s="42" t="s">
        <v>163</v>
      </c>
      <c r="E28" s="44" t="s">
        <v>1472</v>
      </c>
      <c r="F28" s="43"/>
      <c r="G28" s="40"/>
      <c r="H28" s="40">
        <v>560</v>
      </c>
      <c r="I28" s="40"/>
      <c r="J28" s="40"/>
      <c r="K28" s="40"/>
      <c r="L28" s="40"/>
      <c r="M28" s="40"/>
      <c r="N28" s="7">
        <f t="shared" si="0"/>
        <v>560</v>
      </c>
    </row>
    <row r="29" spans="1:14" x14ac:dyDescent="0.35">
      <c r="A29" s="43">
        <f t="shared" si="1"/>
        <v>27</v>
      </c>
      <c r="B29" s="43">
        <v>2</v>
      </c>
      <c r="C29" s="43" t="s">
        <v>1287</v>
      </c>
      <c r="D29" s="42" t="s">
        <v>1442</v>
      </c>
      <c r="E29" s="44" t="s">
        <v>1472</v>
      </c>
      <c r="F29" s="43"/>
      <c r="G29" s="40"/>
      <c r="H29" s="40">
        <v>800</v>
      </c>
      <c r="I29" s="40"/>
      <c r="J29" s="40"/>
      <c r="K29" s="40"/>
      <c r="L29" s="40"/>
      <c r="M29" s="40"/>
      <c r="N29" s="7">
        <f t="shared" si="0"/>
        <v>800</v>
      </c>
    </row>
    <row r="30" spans="1:14" x14ac:dyDescent="0.35">
      <c r="A30" s="43">
        <f t="shared" si="1"/>
        <v>28</v>
      </c>
      <c r="B30" s="43">
        <v>2</v>
      </c>
      <c r="C30" s="43" t="s">
        <v>1288</v>
      </c>
      <c r="D30" s="42" t="s">
        <v>257</v>
      </c>
      <c r="E30" s="44" t="s">
        <v>1411</v>
      </c>
      <c r="F30" s="43"/>
      <c r="G30" s="40"/>
      <c r="H30" s="40">
        <v>280</v>
      </c>
      <c r="I30" s="40"/>
      <c r="J30" s="40"/>
      <c r="K30" s="40"/>
      <c r="L30" s="40"/>
      <c r="M30" s="40"/>
      <c r="N30" s="7">
        <f t="shared" si="0"/>
        <v>280</v>
      </c>
    </row>
    <row r="31" spans="1:14" x14ac:dyDescent="0.35">
      <c r="A31" s="43">
        <f t="shared" si="1"/>
        <v>29</v>
      </c>
      <c r="B31" s="43">
        <v>2</v>
      </c>
      <c r="C31" s="43" t="s">
        <v>1289</v>
      </c>
      <c r="D31" s="42" t="s">
        <v>397</v>
      </c>
      <c r="E31" s="44" t="s">
        <v>1473</v>
      </c>
      <c r="F31" s="43"/>
      <c r="G31" s="40"/>
      <c r="H31" s="40">
        <v>560</v>
      </c>
      <c r="I31" s="40"/>
      <c r="J31" s="40"/>
      <c r="K31" s="40"/>
      <c r="L31" s="40"/>
      <c r="M31" s="40"/>
      <c r="N31" s="7">
        <f t="shared" si="0"/>
        <v>560</v>
      </c>
    </row>
    <row r="32" spans="1:14" x14ac:dyDescent="0.35">
      <c r="A32" s="43">
        <f t="shared" si="1"/>
        <v>30</v>
      </c>
      <c r="B32" s="43">
        <v>2</v>
      </c>
      <c r="C32" s="43" t="s">
        <v>1290</v>
      </c>
      <c r="D32" s="42" t="s">
        <v>1416</v>
      </c>
      <c r="E32" s="44" t="s">
        <v>1474</v>
      </c>
      <c r="F32" s="43"/>
      <c r="G32" s="40"/>
      <c r="H32" s="40">
        <v>480</v>
      </c>
      <c r="I32" s="40"/>
      <c r="J32" s="40"/>
      <c r="K32" s="40"/>
      <c r="L32" s="40"/>
      <c r="M32" s="40"/>
      <c r="N32" s="7">
        <f t="shared" si="0"/>
        <v>480</v>
      </c>
    </row>
    <row r="33" spans="1:14" x14ac:dyDescent="0.35">
      <c r="A33" s="43">
        <f t="shared" si="1"/>
        <v>31</v>
      </c>
      <c r="B33" s="43">
        <v>2</v>
      </c>
      <c r="C33" s="43" t="s">
        <v>1291</v>
      </c>
      <c r="D33" s="42" t="s">
        <v>1443</v>
      </c>
      <c r="E33" s="44" t="s">
        <v>1412</v>
      </c>
      <c r="F33" s="43"/>
      <c r="G33" s="40"/>
      <c r="H33" s="40">
        <v>400</v>
      </c>
      <c r="I33" s="40"/>
      <c r="J33" s="40"/>
      <c r="K33" s="40"/>
      <c r="L33" s="40"/>
      <c r="M33" s="40"/>
      <c r="N33" s="7">
        <f t="shared" si="0"/>
        <v>400</v>
      </c>
    </row>
    <row r="34" spans="1:14" x14ac:dyDescent="0.35">
      <c r="A34" s="43">
        <f t="shared" si="1"/>
        <v>32</v>
      </c>
      <c r="B34" s="43">
        <v>2</v>
      </c>
      <c r="C34" s="43" t="s">
        <v>1292</v>
      </c>
      <c r="D34" s="42" t="s">
        <v>1406</v>
      </c>
      <c r="E34" s="44" t="s">
        <v>1475</v>
      </c>
      <c r="F34" s="43"/>
      <c r="G34" s="40"/>
      <c r="H34" s="40">
        <v>240</v>
      </c>
      <c r="I34" s="40"/>
      <c r="J34" s="40"/>
      <c r="K34" s="40"/>
      <c r="L34" s="40"/>
      <c r="M34" s="40"/>
      <c r="N34" s="7">
        <f t="shared" si="0"/>
        <v>240</v>
      </c>
    </row>
    <row r="35" spans="1:14" x14ac:dyDescent="0.35">
      <c r="A35" s="43">
        <f t="shared" si="1"/>
        <v>33</v>
      </c>
      <c r="B35" s="43">
        <v>2</v>
      </c>
      <c r="C35" s="43" t="s">
        <v>1293</v>
      </c>
      <c r="D35" s="42" t="s">
        <v>1406</v>
      </c>
      <c r="E35" s="44" t="s">
        <v>937</v>
      </c>
      <c r="F35" s="43"/>
      <c r="G35" s="40"/>
      <c r="H35" s="40">
        <v>240</v>
      </c>
      <c r="I35" s="40"/>
      <c r="J35" s="40"/>
      <c r="K35" s="40"/>
      <c r="L35" s="40"/>
      <c r="M35" s="40"/>
      <c r="N35" s="7">
        <f t="shared" si="0"/>
        <v>240</v>
      </c>
    </row>
    <row r="36" spans="1:14" x14ac:dyDescent="0.35">
      <c r="A36" s="43">
        <f t="shared" si="1"/>
        <v>34</v>
      </c>
      <c r="B36" s="43">
        <v>2</v>
      </c>
      <c r="C36" s="43" t="s">
        <v>1294</v>
      </c>
      <c r="D36" s="42" t="s">
        <v>1406</v>
      </c>
      <c r="E36" s="44" t="s">
        <v>1476</v>
      </c>
      <c r="F36" s="43"/>
      <c r="G36" s="40"/>
      <c r="H36" s="40">
        <v>240</v>
      </c>
      <c r="I36" s="40"/>
      <c r="J36" s="40"/>
      <c r="K36" s="40"/>
      <c r="L36" s="40"/>
      <c r="M36" s="40"/>
      <c r="N36" s="7">
        <f t="shared" si="0"/>
        <v>240</v>
      </c>
    </row>
    <row r="37" spans="1:14" x14ac:dyDescent="0.35">
      <c r="A37" s="43">
        <f t="shared" si="1"/>
        <v>35</v>
      </c>
      <c r="B37" s="43">
        <v>2</v>
      </c>
      <c r="C37" s="43" t="s">
        <v>1295</v>
      </c>
      <c r="D37" s="42" t="s">
        <v>1406</v>
      </c>
      <c r="E37" s="44" t="s">
        <v>1477</v>
      </c>
      <c r="F37" s="43"/>
      <c r="G37" s="40"/>
      <c r="H37" s="40">
        <v>240</v>
      </c>
      <c r="I37" s="40"/>
      <c r="J37" s="40"/>
      <c r="K37" s="40"/>
      <c r="L37" s="40"/>
      <c r="M37" s="40"/>
      <c r="N37" s="7">
        <f t="shared" si="0"/>
        <v>240</v>
      </c>
    </row>
    <row r="38" spans="1:14" x14ac:dyDescent="0.35">
      <c r="A38" s="43">
        <f t="shared" si="1"/>
        <v>36</v>
      </c>
      <c r="B38" s="43">
        <v>2</v>
      </c>
      <c r="C38" s="43" t="s">
        <v>1296</v>
      </c>
      <c r="D38" s="42" t="s">
        <v>1406</v>
      </c>
      <c r="E38" s="42" t="s">
        <v>1478</v>
      </c>
      <c r="F38" s="43"/>
      <c r="G38" s="40"/>
      <c r="H38" s="40">
        <v>480</v>
      </c>
      <c r="I38" s="40"/>
      <c r="J38" s="40"/>
      <c r="K38" s="40"/>
      <c r="L38" s="40"/>
      <c r="M38" s="40"/>
      <c r="N38" s="7">
        <f t="shared" si="0"/>
        <v>480</v>
      </c>
    </row>
    <row r="39" spans="1:14" x14ac:dyDescent="0.35">
      <c r="A39" s="43">
        <f t="shared" si="1"/>
        <v>37</v>
      </c>
      <c r="B39" s="43">
        <v>2</v>
      </c>
      <c r="C39" s="43" t="s">
        <v>1297</v>
      </c>
      <c r="D39" s="42" t="s">
        <v>1406</v>
      </c>
      <c r="E39" s="42" t="s">
        <v>1479</v>
      </c>
      <c r="F39" s="43"/>
      <c r="G39" s="40"/>
      <c r="H39" s="40">
        <v>240</v>
      </c>
      <c r="I39" s="40"/>
      <c r="J39" s="40"/>
      <c r="K39" s="40"/>
      <c r="L39" s="40"/>
      <c r="M39" s="40"/>
      <c r="N39" s="7">
        <f t="shared" si="0"/>
        <v>240</v>
      </c>
    </row>
    <row r="40" spans="1:14" x14ac:dyDescent="0.35">
      <c r="A40" s="43">
        <f t="shared" si="1"/>
        <v>38</v>
      </c>
      <c r="B40" s="43">
        <v>2</v>
      </c>
      <c r="C40" s="43" t="s">
        <v>1298</v>
      </c>
      <c r="D40" s="42" t="s">
        <v>1406</v>
      </c>
      <c r="E40" s="42" t="s">
        <v>1102</v>
      </c>
      <c r="F40" s="43"/>
      <c r="G40" s="40"/>
      <c r="H40" s="40">
        <v>480</v>
      </c>
      <c r="I40" s="40"/>
      <c r="J40" s="40"/>
      <c r="K40" s="40"/>
      <c r="L40" s="40"/>
      <c r="M40" s="40"/>
      <c r="N40" s="7">
        <f t="shared" si="0"/>
        <v>480</v>
      </c>
    </row>
    <row r="41" spans="1:14" x14ac:dyDescent="0.35">
      <c r="A41" s="43">
        <f t="shared" si="1"/>
        <v>39</v>
      </c>
      <c r="B41" s="43">
        <v>2</v>
      </c>
      <c r="C41" s="43" t="s">
        <v>1299</v>
      </c>
      <c r="D41" s="42" t="s">
        <v>1406</v>
      </c>
      <c r="E41" s="42" t="s">
        <v>1119</v>
      </c>
      <c r="F41" s="43"/>
      <c r="G41" s="40"/>
      <c r="H41" s="40">
        <v>480</v>
      </c>
      <c r="I41" s="40"/>
      <c r="J41" s="40"/>
      <c r="K41" s="40"/>
      <c r="L41" s="40"/>
      <c r="M41" s="40"/>
      <c r="N41" s="7">
        <f t="shared" si="0"/>
        <v>480</v>
      </c>
    </row>
    <row r="42" spans="1:14" x14ac:dyDescent="0.35">
      <c r="A42" s="43">
        <f t="shared" si="1"/>
        <v>40</v>
      </c>
      <c r="B42" s="43">
        <v>2</v>
      </c>
      <c r="C42" s="43" t="s">
        <v>1300</v>
      </c>
      <c r="D42" s="42" t="s">
        <v>1406</v>
      </c>
      <c r="E42" s="42" t="s">
        <v>1480</v>
      </c>
      <c r="F42" s="43"/>
      <c r="G42" s="40"/>
      <c r="H42" s="40">
        <v>240</v>
      </c>
      <c r="I42" s="40"/>
      <c r="J42" s="40"/>
      <c r="K42" s="40"/>
      <c r="L42" s="40"/>
      <c r="M42" s="40"/>
      <c r="N42" s="7">
        <f t="shared" si="0"/>
        <v>240</v>
      </c>
    </row>
    <row r="43" spans="1:14" x14ac:dyDescent="0.35">
      <c r="A43" s="43">
        <f t="shared" si="1"/>
        <v>41</v>
      </c>
      <c r="B43" s="43">
        <v>2</v>
      </c>
      <c r="C43" s="43" t="s">
        <v>1301</v>
      </c>
      <c r="D43" s="42" t="s">
        <v>1406</v>
      </c>
      <c r="E43" s="42" t="s">
        <v>954</v>
      </c>
      <c r="F43" s="43"/>
      <c r="G43" s="40"/>
      <c r="H43" s="40">
        <v>240</v>
      </c>
      <c r="I43" s="40"/>
      <c r="J43" s="40"/>
      <c r="K43" s="40"/>
      <c r="L43" s="40"/>
      <c r="M43" s="40"/>
      <c r="N43" s="7">
        <f t="shared" si="0"/>
        <v>240</v>
      </c>
    </row>
    <row r="44" spans="1:14" x14ac:dyDescent="0.35">
      <c r="A44" s="43">
        <f t="shared" si="1"/>
        <v>42</v>
      </c>
      <c r="B44" s="43">
        <v>2</v>
      </c>
      <c r="C44" s="43" t="s">
        <v>1302</v>
      </c>
      <c r="D44" s="42" t="s">
        <v>1406</v>
      </c>
      <c r="E44" s="42" t="s">
        <v>927</v>
      </c>
      <c r="F44" s="43"/>
      <c r="G44" s="40"/>
      <c r="H44" s="40">
        <v>240</v>
      </c>
      <c r="I44" s="40"/>
      <c r="J44" s="40"/>
      <c r="K44" s="40"/>
      <c r="L44" s="40"/>
      <c r="M44" s="40"/>
      <c r="N44" s="7">
        <f t="shared" si="0"/>
        <v>240</v>
      </c>
    </row>
    <row r="45" spans="1:14" x14ac:dyDescent="0.35">
      <c r="A45" s="43">
        <f t="shared" si="1"/>
        <v>43</v>
      </c>
      <c r="B45" s="43">
        <v>2</v>
      </c>
      <c r="C45" s="43" t="s">
        <v>1303</v>
      </c>
      <c r="D45" s="42" t="s">
        <v>1406</v>
      </c>
      <c r="E45" s="42" t="s">
        <v>1481</v>
      </c>
      <c r="F45" s="43"/>
      <c r="G45" s="40"/>
      <c r="H45" s="40">
        <v>480</v>
      </c>
      <c r="I45" s="40"/>
      <c r="J45" s="40"/>
      <c r="K45" s="40"/>
      <c r="L45" s="40"/>
      <c r="M45" s="40"/>
      <c r="N45" s="7">
        <f t="shared" si="0"/>
        <v>480</v>
      </c>
    </row>
    <row r="46" spans="1:14" x14ac:dyDescent="0.35">
      <c r="A46" s="43">
        <f t="shared" si="1"/>
        <v>44</v>
      </c>
      <c r="B46" s="43">
        <v>2</v>
      </c>
      <c r="C46" s="43" t="s">
        <v>1304</v>
      </c>
      <c r="D46" s="42" t="s">
        <v>1444</v>
      </c>
      <c r="E46" s="42" t="s">
        <v>1236</v>
      </c>
      <c r="F46" s="43"/>
      <c r="G46" s="40"/>
      <c r="H46" s="40">
        <v>80</v>
      </c>
      <c r="I46" s="40"/>
      <c r="J46" s="40"/>
      <c r="K46" s="40"/>
      <c r="L46" s="40"/>
      <c r="M46" s="40"/>
      <c r="N46" s="7">
        <f t="shared" si="0"/>
        <v>80</v>
      </c>
    </row>
    <row r="47" spans="1:14" x14ac:dyDescent="0.35">
      <c r="A47" s="43">
        <f t="shared" si="1"/>
        <v>45</v>
      </c>
      <c r="B47" s="43">
        <v>2</v>
      </c>
      <c r="C47" s="43" t="s">
        <v>1305</v>
      </c>
      <c r="D47" s="42" t="s">
        <v>1444</v>
      </c>
      <c r="E47" s="42" t="s">
        <v>1482</v>
      </c>
      <c r="F47" s="43"/>
      <c r="G47" s="40"/>
      <c r="H47" s="40">
        <v>1370</v>
      </c>
      <c r="I47" s="40"/>
      <c r="J47" s="40"/>
      <c r="K47" s="40"/>
      <c r="L47" s="40"/>
      <c r="M47" s="40"/>
      <c r="N47" s="7">
        <f t="shared" si="0"/>
        <v>1370</v>
      </c>
    </row>
    <row r="48" spans="1:14" x14ac:dyDescent="0.35">
      <c r="A48" s="43">
        <f t="shared" si="1"/>
        <v>46</v>
      </c>
      <c r="B48" s="43">
        <v>3</v>
      </c>
      <c r="C48" s="43" t="s">
        <v>1306</v>
      </c>
      <c r="D48" s="42" t="s">
        <v>1444</v>
      </c>
      <c r="E48" s="44" t="s">
        <v>1483</v>
      </c>
      <c r="F48" s="43"/>
      <c r="G48" s="40"/>
      <c r="H48" s="40">
        <v>1066</v>
      </c>
      <c r="I48" s="40"/>
      <c r="J48" s="40"/>
      <c r="K48" s="40"/>
      <c r="L48" s="40"/>
      <c r="M48" s="40"/>
      <c r="N48" s="7">
        <f t="shared" si="0"/>
        <v>1066</v>
      </c>
    </row>
    <row r="49" spans="1:14" x14ac:dyDescent="0.35">
      <c r="A49" s="43">
        <f t="shared" si="1"/>
        <v>47</v>
      </c>
      <c r="B49" s="43">
        <v>3</v>
      </c>
      <c r="C49" s="43" t="s">
        <v>1307</v>
      </c>
      <c r="D49" s="42" t="s">
        <v>1444</v>
      </c>
      <c r="E49" s="44" t="s">
        <v>1410</v>
      </c>
      <c r="F49" s="43"/>
      <c r="G49" s="40"/>
      <c r="H49" s="40">
        <v>480</v>
      </c>
      <c r="I49" s="40"/>
      <c r="J49" s="40"/>
      <c r="K49" s="40"/>
      <c r="L49" s="40"/>
      <c r="M49" s="40"/>
      <c r="N49" s="7">
        <f t="shared" si="0"/>
        <v>480</v>
      </c>
    </row>
    <row r="50" spans="1:14" x14ac:dyDescent="0.35">
      <c r="A50" s="43">
        <f t="shared" si="1"/>
        <v>48</v>
      </c>
      <c r="B50" s="43">
        <v>3</v>
      </c>
      <c r="C50" s="43" t="s">
        <v>1308</v>
      </c>
      <c r="D50" s="42" t="s">
        <v>1444</v>
      </c>
      <c r="E50" s="44" t="s">
        <v>1418</v>
      </c>
      <c r="F50" s="43"/>
      <c r="G50" s="40"/>
      <c r="H50" s="40">
        <v>480</v>
      </c>
      <c r="I50" s="40"/>
      <c r="J50" s="40"/>
      <c r="K50" s="40"/>
      <c r="L50" s="40"/>
      <c r="M50" s="40"/>
      <c r="N50" s="7">
        <f t="shared" si="0"/>
        <v>480</v>
      </c>
    </row>
    <row r="51" spans="1:14" x14ac:dyDescent="0.35">
      <c r="A51" s="43">
        <f t="shared" si="1"/>
        <v>49</v>
      </c>
      <c r="B51" s="43">
        <v>3</v>
      </c>
      <c r="C51" s="43" t="s">
        <v>1309</v>
      </c>
      <c r="D51" s="42" t="s">
        <v>1406</v>
      </c>
      <c r="E51" s="44" t="s">
        <v>1484</v>
      </c>
      <c r="F51" s="43"/>
      <c r="G51" s="40"/>
      <c r="H51" s="40">
        <v>240</v>
      </c>
      <c r="I51" s="40"/>
      <c r="J51" s="40"/>
      <c r="K51" s="40"/>
      <c r="L51" s="40"/>
      <c r="M51" s="40"/>
      <c r="N51" s="7">
        <f t="shared" si="0"/>
        <v>240</v>
      </c>
    </row>
    <row r="52" spans="1:14" x14ac:dyDescent="0.35">
      <c r="A52" s="43">
        <f t="shared" si="1"/>
        <v>50</v>
      </c>
      <c r="B52" s="43">
        <v>3</v>
      </c>
      <c r="C52" s="43" t="s">
        <v>1310</v>
      </c>
      <c r="D52" s="42" t="s">
        <v>1406</v>
      </c>
      <c r="E52" s="44" t="s">
        <v>980</v>
      </c>
      <c r="F52" s="43"/>
      <c r="G52" s="40"/>
      <c r="H52" s="40">
        <v>240</v>
      </c>
      <c r="I52" s="40"/>
      <c r="J52" s="40"/>
      <c r="K52" s="40"/>
      <c r="L52" s="40"/>
      <c r="M52" s="40"/>
      <c r="N52" s="7">
        <f t="shared" si="0"/>
        <v>240</v>
      </c>
    </row>
    <row r="53" spans="1:14" x14ac:dyDescent="0.35">
      <c r="A53" s="43">
        <f t="shared" si="1"/>
        <v>51</v>
      </c>
      <c r="B53" s="43">
        <v>3</v>
      </c>
      <c r="C53" s="43" t="s">
        <v>1311</v>
      </c>
      <c r="D53" s="42" t="s">
        <v>1406</v>
      </c>
      <c r="E53" s="44" t="s">
        <v>968</v>
      </c>
      <c r="F53" s="43"/>
      <c r="G53" s="40"/>
      <c r="H53" s="40">
        <v>240</v>
      </c>
      <c r="I53" s="40"/>
      <c r="J53" s="40"/>
      <c r="K53" s="40"/>
      <c r="L53" s="40"/>
      <c r="M53" s="40"/>
      <c r="N53" s="7">
        <f t="shared" si="0"/>
        <v>240</v>
      </c>
    </row>
    <row r="54" spans="1:14" x14ac:dyDescent="0.35">
      <c r="A54" s="43">
        <f t="shared" si="1"/>
        <v>52</v>
      </c>
      <c r="B54" s="43">
        <v>3</v>
      </c>
      <c r="C54" s="43" t="s">
        <v>1312</v>
      </c>
      <c r="D54" s="42" t="s">
        <v>1406</v>
      </c>
      <c r="E54" s="44" t="s">
        <v>951</v>
      </c>
      <c r="F54" s="43"/>
      <c r="G54" s="40"/>
      <c r="H54" s="40">
        <v>240</v>
      </c>
      <c r="I54" s="40"/>
      <c r="J54" s="40"/>
      <c r="K54" s="40"/>
      <c r="L54" s="40"/>
      <c r="M54" s="40"/>
      <c r="N54" s="7">
        <f t="shared" si="0"/>
        <v>240</v>
      </c>
    </row>
    <row r="55" spans="1:14" x14ac:dyDescent="0.35">
      <c r="A55" s="43">
        <f t="shared" si="1"/>
        <v>53</v>
      </c>
      <c r="B55" s="43">
        <v>3</v>
      </c>
      <c r="C55" s="43" t="s">
        <v>1313</v>
      </c>
      <c r="D55" s="42" t="s">
        <v>1406</v>
      </c>
      <c r="E55" s="44" t="s">
        <v>1485</v>
      </c>
      <c r="F55" s="43"/>
      <c r="G55" s="40"/>
      <c r="H55" s="40">
        <v>240</v>
      </c>
      <c r="I55" s="40"/>
      <c r="J55" s="40"/>
      <c r="K55" s="40"/>
      <c r="L55" s="40"/>
      <c r="M55" s="40"/>
      <c r="N55" s="7">
        <f t="shared" si="0"/>
        <v>240</v>
      </c>
    </row>
    <row r="56" spans="1:14" x14ac:dyDescent="0.35">
      <c r="A56" s="43">
        <f t="shared" si="1"/>
        <v>54</v>
      </c>
      <c r="B56" s="43">
        <v>3</v>
      </c>
      <c r="C56" s="43" t="s">
        <v>1314</v>
      </c>
      <c r="D56" s="42" t="s">
        <v>1406</v>
      </c>
      <c r="E56" s="44" t="s">
        <v>1486</v>
      </c>
      <c r="F56" s="43"/>
      <c r="G56" s="40"/>
      <c r="H56" s="40">
        <v>240</v>
      </c>
      <c r="I56" s="40"/>
      <c r="J56" s="40"/>
      <c r="K56" s="40"/>
      <c r="L56" s="40"/>
      <c r="M56" s="40"/>
      <c r="N56" s="7">
        <f t="shared" si="0"/>
        <v>240</v>
      </c>
    </row>
    <row r="57" spans="1:14" x14ac:dyDescent="0.35">
      <c r="A57" s="43">
        <f t="shared" si="1"/>
        <v>55</v>
      </c>
      <c r="B57" s="43">
        <v>3</v>
      </c>
      <c r="C57" s="43" t="s">
        <v>1315</v>
      </c>
      <c r="D57" s="42" t="s">
        <v>1406</v>
      </c>
      <c r="E57" s="44" t="s">
        <v>1487</v>
      </c>
      <c r="F57" s="43"/>
      <c r="G57" s="40"/>
      <c r="H57" s="40">
        <v>240</v>
      </c>
      <c r="I57" s="40"/>
      <c r="J57" s="40"/>
      <c r="K57" s="40"/>
      <c r="L57" s="40"/>
      <c r="M57" s="40"/>
      <c r="N57" s="7">
        <f t="shared" si="0"/>
        <v>240</v>
      </c>
    </row>
    <row r="58" spans="1:14" x14ac:dyDescent="0.35">
      <c r="A58" s="43">
        <f t="shared" si="1"/>
        <v>56</v>
      </c>
      <c r="B58" s="43">
        <v>3</v>
      </c>
      <c r="C58" s="43" t="s">
        <v>1316</v>
      </c>
      <c r="D58" s="42" t="s">
        <v>1406</v>
      </c>
      <c r="E58" s="44" t="s">
        <v>1488</v>
      </c>
      <c r="F58" s="43"/>
      <c r="G58" s="40"/>
      <c r="H58" s="40">
        <v>240</v>
      </c>
      <c r="I58" s="40"/>
      <c r="J58" s="40"/>
      <c r="K58" s="40"/>
      <c r="L58" s="40"/>
      <c r="M58" s="40"/>
      <c r="N58" s="7">
        <f t="shared" si="0"/>
        <v>240</v>
      </c>
    </row>
    <row r="59" spans="1:14" x14ac:dyDescent="0.35">
      <c r="A59" s="43">
        <f t="shared" si="1"/>
        <v>57</v>
      </c>
      <c r="B59" s="43">
        <v>3</v>
      </c>
      <c r="C59" s="43" t="s">
        <v>1317</v>
      </c>
      <c r="D59" s="42" t="s">
        <v>1406</v>
      </c>
      <c r="E59" s="44" t="s">
        <v>1489</v>
      </c>
      <c r="F59" s="43"/>
      <c r="G59" s="40"/>
      <c r="H59" s="40">
        <v>240</v>
      </c>
      <c r="I59" s="40"/>
      <c r="J59" s="40"/>
      <c r="K59" s="40"/>
      <c r="L59" s="40"/>
      <c r="M59" s="40"/>
      <c r="N59" s="7">
        <f t="shared" si="0"/>
        <v>240</v>
      </c>
    </row>
    <row r="60" spans="1:14" x14ac:dyDescent="0.35">
      <c r="A60" s="43">
        <f t="shared" si="1"/>
        <v>58</v>
      </c>
      <c r="B60" s="43">
        <v>3</v>
      </c>
      <c r="C60" s="43" t="s">
        <v>1318</v>
      </c>
      <c r="D60" s="42" t="s">
        <v>1406</v>
      </c>
      <c r="E60" s="44" t="s">
        <v>1490</v>
      </c>
      <c r="F60" s="43"/>
      <c r="G60" s="40"/>
      <c r="H60" s="40">
        <v>240</v>
      </c>
      <c r="I60" s="40"/>
      <c r="J60" s="40"/>
      <c r="K60" s="40"/>
      <c r="L60" s="40"/>
      <c r="M60" s="40"/>
      <c r="N60" s="7">
        <f t="shared" si="0"/>
        <v>240</v>
      </c>
    </row>
    <row r="61" spans="1:14" x14ac:dyDescent="0.35">
      <c r="A61" s="43">
        <f t="shared" si="1"/>
        <v>59</v>
      </c>
      <c r="B61" s="43">
        <v>3</v>
      </c>
      <c r="C61" s="43" t="s">
        <v>1319</v>
      </c>
      <c r="D61" s="42" t="s">
        <v>1406</v>
      </c>
      <c r="E61" s="44" t="s">
        <v>1491</v>
      </c>
      <c r="F61" s="43"/>
      <c r="G61" s="40"/>
      <c r="H61" s="40">
        <v>240</v>
      </c>
      <c r="I61" s="40"/>
      <c r="J61" s="40"/>
      <c r="K61" s="40"/>
      <c r="L61" s="40"/>
      <c r="M61" s="40"/>
      <c r="N61" s="7">
        <f t="shared" si="0"/>
        <v>240</v>
      </c>
    </row>
    <row r="62" spans="1:14" x14ac:dyDescent="0.35">
      <c r="A62" s="43">
        <f t="shared" si="1"/>
        <v>60</v>
      </c>
      <c r="B62" s="43">
        <v>3</v>
      </c>
      <c r="C62" s="43" t="s">
        <v>1320</v>
      </c>
      <c r="D62" s="42" t="s">
        <v>1406</v>
      </c>
      <c r="E62" s="44" t="s">
        <v>1492</v>
      </c>
      <c r="F62" s="43"/>
      <c r="G62" s="40"/>
      <c r="H62" s="40">
        <v>240</v>
      </c>
      <c r="I62" s="40"/>
      <c r="J62" s="40"/>
      <c r="K62" s="40"/>
      <c r="L62" s="40"/>
      <c r="M62" s="40"/>
      <c r="N62" s="7">
        <f t="shared" si="0"/>
        <v>240</v>
      </c>
    </row>
    <row r="63" spans="1:14" x14ac:dyDescent="0.35">
      <c r="A63" s="43">
        <f t="shared" si="1"/>
        <v>61</v>
      </c>
      <c r="B63" s="43">
        <v>3</v>
      </c>
      <c r="C63" s="43" t="s">
        <v>1321</v>
      </c>
      <c r="D63" s="42" t="s">
        <v>1406</v>
      </c>
      <c r="E63" s="44" t="s">
        <v>1493</v>
      </c>
      <c r="F63" s="43"/>
      <c r="G63" s="40"/>
      <c r="H63" s="40">
        <v>240</v>
      </c>
      <c r="I63" s="40"/>
      <c r="J63" s="40"/>
      <c r="K63" s="40"/>
      <c r="L63" s="40"/>
      <c r="M63" s="40"/>
      <c r="N63" s="7">
        <f t="shared" si="0"/>
        <v>240</v>
      </c>
    </row>
    <row r="64" spans="1:14" x14ac:dyDescent="0.35">
      <c r="A64" s="43">
        <f t="shared" si="1"/>
        <v>62</v>
      </c>
      <c r="B64" s="43">
        <v>3</v>
      </c>
      <c r="C64" s="43" t="s">
        <v>1322</v>
      </c>
      <c r="D64" s="42" t="s">
        <v>1406</v>
      </c>
      <c r="E64" s="44" t="s">
        <v>1494</v>
      </c>
      <c r="F64" s="43"/>
      <c r="G64" s="40"/>
      <c r="H64" s="40">
        <v>240</v>
      </c>
      <c r="I64" s="40"/>
      <c r="J64" s="40"/>
      <c r="K64" s="40"/>
      <c r="L64" s="40"/>
      <c r="M64" s="40"/>
      <c r="N64" s="7">
        <f t="shared" si="0"/>
        <v>240</v>
      </c>
    </row>
    <row r="65" spans="1:14" x14ac:dyDescent="0.35">
      <c r="A65" s="43">
        <f t="shared" si="1"/>
        <v>63</v>
      </c>
      <c r="B65" s="43">
        <v>3</v>
      </c>
      <c r="C65" s="43" t="s">
        <v>1323</v>
      </c>
      <c r="D65" s="42" t="s">
        <v>236</v>
      </c>
      <c r="E65" s="44" t="s">
        <v>1458</v>
      </c>
      <c r="F65" s="43"/>
      <c r="G65" s="40"/>
      <c r="H65" s="40">
        <v>11400</v>
      </c>
      <c r="I65" s="40"/>
      <c r="J65" s="40"/>
      <c r="K65" s="40"/>
      <c r="L65" s="40"/>
      <c r="M65" s="40"/>
      <c r="N65" s="7">
        <f t="shared" si="0"/>
        <v>11400</v>
      </c>
    </row>
    <row r="66" spans="1:14" x14ac:dyDescent="0.35">
      <c r="A66" s="43">
        <f t="shared" si="1"/>
        <v>64</v>
      </c>
      <c r="B66" s="43">
        <v>3</v>
      </c>
      <c r="C66" s="43" t="s">
        <v>1324</v>
      </c>
      <c r="D66" s="42" t="s">
        <v>1406</v>
      </c>
      <c r="E66" s="44" t="s">
        <v>1495</v>
      </c>
      <c r="F66" s="43"/>
      <c r="G66" s="40"/>
      <c r="H66" s="40">
        <v>240</v>
      </c>
      <c r="I66" s="40"/>
      <c r="J66" s="40"/>
      <c r="K66" s="40"/>
      <c r="L66" s="40"/>
      <c r="M66" s="40"/>
      <c r="N66" s="7">
        <f t="shared" si="0"/>
        <v>240</v>
      </c>
    </row>
    <row r="67" spans="1:14" x14ac:dyDescent="0.35">
      <c r="A67" s="43">
        <f t="shared" si="1"/>
        <v>65</v>
      </c>
      <c r="B67" s="43">
        <v>3</v>
      </c>
      <c r="C67" s="43" t="s">
        <v>1325</v>
      </c>
      <c r="D67" s="42" t="s">
        <v>1406</v>
      </c>
      <c r="E67" s="44" t="s">
        <v>1496</v>
      </c>
      <c r="F67" s="43"/>
      <c r="G67" s="40"/>
      <c r="H67" s="40">
        <v>280</v>
      </c>
      <c r="I67" s="40"/>
      <c r="J67" s="40"/>
      <c r="K67" s="40"/>
      <c r="L67" s="40"/>
      <c r="M67" s="40"/>
      <c r="N67" s="7">
        <f t="shared" si="0"/>
        <v>280</v>
      </c>
    </row>
    <row r="68" spans="1:14" x14ac:dyDescent="0.35">
      <c r="A68" s="43">
        <f t="shared" si="1"/>
        <v>66</v>
      </c>
      <c r="B68" s="43">
        <v>3</v>
      </c>
      <c r="C68" s="43" t="s">
        <v>1326</v>
      </c>
      <c r="D68" s="42" t="s">
        <v>1406</v>
      </c>
      <c r="E68" s="44" t="s">
        <v>1497</v>
      </c>
      <c r="F68" s="43"/>
      <c r="G68" s="40"/>
      <c r="H68" s="40">
        <v>280</v>
      </c>
      <c r="I68" s="40"/>
      <c r="J68" s="40"/>
      <c r="K68" s="40"/>
      <c r="L68" s="40"/>
      <c r="M68" s="40"/>
      <c r="N68" s="7">
        <f t="shared" ref="N68:N130" si="2">SUM(G68:M68)</f>
        <v>280</v>
      </c>
    </row>
    <row r="69" spans="1:14" x14ac:dyDescent="0.35">
      <c r="A69" s="43">
        <f t="shared" ref="A69:A132" si="3">+A68+1</f>
        <v>67</v>
      </c>
      <c r="B69" s="43">
        <v>3</v>
      </c>
      <c r="C69" s="43" t="s">
        <v>1327</v>
      </c>
      <c r="D69" s="42" t="s">
        <v>1406</v>
      </c>
      <c r="E69" s="44" t="s">
        <v>1498</v>
      </c>
      <c r="F69" s="43"/>
      <c r="G69" s="40"/>
      <c r="H69" s="40">
        <v>480</v>
      </c>
      <c r="I69" s="40"/>
      <c r="J69" s="40"/>
      <c r="K69" s="40"/>
      <c r="L69" s="40"/>
      <c r="M69" s="40"/>
      <c r="N69" s="7">
        <f t="shared" si="2"/>
        <v>480</v>
      </c>
    </row>
    <row r="70" spans="1:14" x14ac:dyDescent="0.35">
      <c r="A70" s="43">
        <f t="shared" si="3"/>
        <v>68</v>
      </c>
      <c r="B70" s="43">
        <v>3</v>
      </c>
      <c r="C70" s="43" t="s">
        <v>1328</v>
      </c>
      <c r="D70" s="42" t="s">
        <v>1406</v>
      </c>
      <c r="E70" s="44" t="s">
        <v>1499</v>
      </c>
      <c r="F70" s="43"/>
      <c r="G70" s="40"/>
      <c r="H70" s="40">
        <v>280</v>
      </c>
      <c r="I70" s="40"/>
      <c r="J70" s="40"/>
      <c r="K70" s="40"/>
      <c r="L70" s="40"/>
      <c r="M70" s="40"/>
      <c r="N70" s="7">
        <f t="shared" si="2"/>
        <v>280</v>
      </c>
    </row>
    <row r="71" spans="1:14" x14ac:dyDescent="0.35">
      <c r="A71" s="43">
        <f t="shared" si="3"/>
        <v>69</v>
      </c>
      <c r="B71" s="43">
        <v>3</v>
      </c>
      <c r="C71" s="43" t="s">
        <v>1329</v>
      </c>
      <c r="D71" s="42" t="s">
        <v>1406</v>
      </c>
      <c r="E71" s="44" t="s">
        <v>1500</v>
      </c>
      <c r="F71" s="43"/>
      <c r="G71" s="40"/>
      <c r="H71" s="40">
        <v>280</v>
      </c>
      <c r="I71" s="40"/>
      <c r="J71" s="40"/>
      <c r="K71" s="40"/>
      <c r="L71" s="40"/>
      <c r="M71" s="40"/>
      <c r="N71" s="7">
        <f t="shared" si="2"/>
        <v>280</v>
      </c>
    </row>
    <row r="72" spans="1:14" x14ac:dyDescent="0.35">
      <c r="A72" s="43">
        <f t="shared" si="3"/>
        <v>70</v>
      </c>
      <c r="B72" s="43">
        <v>3</v>
      </c>
      <c r="C72" s="43" t="s">
        <v>1330</v>
      </c>
      <c r="D72" s="42" t="s">
        <v>1406</v>
      </c>
      <c r="E72" s="44" t="s">
        <v>1501</v>
      </c>
      <c r="F72" s="43"/>
      <c r="G72" s="40"/>
      <c r="H72" s="40">
        <v>480</v>
      </c>
      <c r="I72" s="40"/>
      <c r="J72" s="40"/>
      <c r="K72" s="40"/>
      <c r="L72" s="40"/>
      <c r="M72" s="40"/>
      <c r="N72" s="7">
        <f t="shared" si="2"/>
        <v>480</v>
      </c>
    </row>
    <row r="73" spans="1:14" x14ac:dyDescent="0.35">
      <c r="A73" s="43">
        <f t="shared" si="3"/>
        <v>71</v>
      </c>
      <c r="B73" s="43">
        <v>3</v>
      </c>
      <c r="C73" s="43" t="s">
        <v>1331</v>
      </c>
      <c r="D73" s="42" t="s">
        <v>1406</v>
      </c>
      <c r="E73" s="44" t="s">
        <v>1502</v>
      </c>
      <c r="F73" s="43"/>
      <c r="G73" s="40"/>
      <c r="H73" s="40">
        <v>240</v>
      </c>
      <c r="I73" s="40"/>
      <c r="J73" s="40"/>
      <c r="K73" s="40"/>
      <c r="L73" s="40"/>
      <c r="M73" s="40"/>
      <c r="N73" s="7">
        <f t="shared" si="2"/>
        <v>240</v>
      </c>
    </row>
    <row r="74" spans="1:14" x14ac:dyDescent="0.35">
      <c r="A74" s="43">
        <f t="shared" si="3"/>
        <v>72</v>
      </c>
      <c r="B74" s="43">
        <v>3</v>
      </c>
      <c r="C74" s="43" t="s">
        <v>1332</v>
      </c>
      <c r="D74" s="42" t="s">
        <v>1406</v>
      </c>
      <c r="E74" s="44" t="s">
        <v>1503</v>
      </c>
      <c r="F74" s="43"/>
      <c r="G74" s="40"/>
      <c r="H74" s="40">
        <v>280</v>
      </c>
      <c r="I74" s="40"/>
      <c r="J74" s="40"/>
      <c r="K74" s="40"/>
      <c r="L74" s="40"/>
      <c r="M74" s="40"/>
      <c r="N74" s="7">
        <f t="shared" si="2"/>
        <v>280</v>
      </c>
    </row>
    <row r="75" spans="1:14" x14ac:dyDescent="0.35">
      <c r="A75" s="43">
        <f t="shared" si="3"/>
        <v>73</v>
      </c>
      <c r="B75" s="43">
        <v>3</v>
      </c>
      <c r="C75" s="43" t="s">
        <v>1333</v>
      </c>
      <c r="D75" s="42" t="s">
        <v>1406</v>
      </c>
      <c r="E75" s="44" t="s">
        <v>1504</v>
      </c>
      <c r="F75" s="43"/>
      <c r="G75" s="40"/>
      <c r="H75" s="40">
        <v>290</v>
      </c>
      <c r="I75" s="40"/>
      <c r="J75" s="40"/>
      <c r="K75" s="40"/>
      <c r="L75" s="40"/>
      <c r="M75" s="40"/>
      <c r="N75" s="7">
        <f t="shared" si="2"/>
        <v>290</v>
      </c>
    </row>
    <row r="76" spans="1:14" x14ac:dyDescent="0.35">
      <c r="A76" s="43">
        <f t="shared" si="3"/>
        <v>74</v>
      </c>
      <c r="B76" s="43">
        <v>4</v>
      </c>
      <c r="C76" s="43" t="s">
        <v>1334</v>
      </c>
      <c r="D76" s="42" t="s">
        <v>1406</v>
      </c>
      <c r="E76" s="44" t="s">
        <v>1420</v>
      </c>
      <c r="F76" s="43"/>
      <c r="G76" s="40"/>
      <c r="H76" s="40">
        <v>290</v>
      </c>
      <c r="I76" s="40"/>
      <c r="J76" s="40"/>
      <c r="K76" s="40"/>
      <c r="L76" s="40"/>
      <c r="M76" s="40"/>
      <c r="N76" s="7">
        <f t="shared" si="2"/>
        <v>290</v>
      </c>
    </row>
    <row r="77" spans="1:14" x14ac:dyDescent="0.35">
      <c r="A77" s="43">
        <f t="shared" si="3"/>
        <v>75</v>
      </c>
      <c r="B77" s="43">
        <v>4</v>
      </c>
      <c r="C77" s="43" t="s">
        <v>1335</v>
      </c>
      <c r="D77" s="42" t="s">
        <v>1406</v>
      </c>
      <c r="E77" s="44" t="s">
        <v>1483</v>
      </c>
      <c r="F77" s="43"/>
      <c r="G77" s="40"/>
      <c r="H77" s="40">
        <v>290</v>
      </c>
      <c r="I77" s="40"/>
      <c r="J77" s="40"/>
      <c r="K77" s="40"/>
      <c r="L77" s="40"/>
      <c r="M77" s="40"/>
      <c r="N77" s="7">
        <f t="shared" si="2"/>
        <v>290</v>
      </c>
    </row>
    <row r="78" spans="1:14" x14ac:dyDescent="0.35">
      <c r="A78" s="43">
        <f t="shared" si="3"/>
        <v>76</v>
      </c>
      <c r="B78" s="43">
        <v>4</v>
      </c>
      <c r="C78" s="43" t="s">
        <v>1336</v>
      </c>
      <c r="D78" s="42" t="s">
        <v>1406</v>
      </c>
      <c r="E78" s="44" t="s">
        <v>1505</v>
      </c>
      <c r="F78" s="43"/>
      <c r="G78" s="40"/>
      <c r="H78" s="40">
        <v>290</v>
      </c>
      <c r="I78" s="40"/>
      <c r="J78" s="40"/>
      <c r="K78" s="40"/>
      <c r="L78" s="40"/>
      <c r="M78" s="40"/>
      <c r="N78" s="7">
        <f t="shared" si="2"/>
        <v>290</v>
      </c>
    </row>
    <row r="79" spans="1:14" x14ac:dyDescent="0.35">
      <c r="A79" s="43">
        <f t="shared" si="3"/>
        <v>77</v>
      </c>
      <c r="B79" s="43">
        <v>4</v>
      </c>
      <c r="C79" s="43" t="s">
        <v>1337</v>
      </c>
      <c r="D79" s="42" t="s">
        <v>1445</v>
      </c>
      <c r="E79" s="44" t="s">
        <v>1506</v>
      </c>
      <c r="F79" s="43"/>
      <c r="G79" s="40"/>
      <c r="H79" s="40">
        <v>650</v>
      </c>
      <c r="I79" s="40"/>
      <c r="J79" s="40"/>
      <c r="K79" s="40"/>
      <c r="L79" s="40"/>
      <c r="M79" s="40"/>
      <c r="N79" s="7">
        <f t="shared" si="2"/>
        <v>650</v>
      </c>
    </row>
    <row r="80" spans="1:14" x14ac:dyDescent="0.35">
      <c r="A80" s="43">
        <f t="shared" si="3"/>
        <v>78</v>
      </c>
      <c r="B80" s="43">
        <v>4</v>
      </c>
      <c r="C80" s="43" t="s">
        <v>1338</v>
      </c>
      <c r="D80" s="42" t="s">
        <v>1446</v>
      </c>
      <c r="E80" s="44" t="s">
        <v>1506</v>
      </c>
      <c r="F80" s="43"/>
      <c r="G80" s="40"/>
      <c r="H80" s="40">
        <v>650</v>
      </c>
      <c r="I80" s="40"/>
      <c r="J80" s="40"/>
      <c r="K80" s="40"/>
      <c r="L80" s="40"/>
      <c r="M80" s="40"/>
      <c r="N80" s="7">
        <f t="shared" si="2"/>
        <v>650</v>
      </c>
    </row>
    <row r="81" spans="1:14" x14ac:dyDescent="0.35">
      <c r="A81" s="43">
        <f t="shared" si="3"/>
        <v>79</v>
      </c>
      <c r="B81" s="43">
        <v>4</v>
      </c>
      <c r="C81" s="43" t="s">
        <v>1339</v>
      </c>
      <c r="D81" s="42" t="s">
        <v>1447</v>
      </c>
      <c r="E81" s="44" t="s">
        <v>1507</v>
      </c>
      <c r="F81" s="43"/>
      <c r="G81" s="40"/>
      <c r="H81" s="40">
        <v>2112</v>
      </c>
      <c r="I81" s="40"/>
      <c r="J81" s="40"/>
      <c r="K81" s="40"/>
      <c r="L81" s="40"/>
      <c r="M81" s="40"/>
      <c r="N81" s="7">
        <f t="shared" si="2"/>
        <v>2112</v>
      </c>
    </row>
    <row r="82" spans="1:14" x14ac:dyDescent="0.35">
      <c r="A82" s="43">
        <f t="shared" si="3"/>
        <v>80</v>
      </c>
      <c r="B82" s="43">
        <v>4</v>
      </c>
      <c r="C82" s="43" t="s">
        <v>1340</v>
      </c>
      <c r="D82" s="42" t="s">
        <v>1448</v>
      </c>
      <c r="E82" s="44" t="s">
        <v>1508</v>
      </c>
      <c r="F82" s="43"/>
      <c r="G82" s="40"/>
      <c r="H82" s="40">
        <v>600</v>
      </c>
      <c r="I82" s="40"/>
      <c r="J82" s="40"/>
      <c r="K82" s="40"/>
      <c r="L82" s="40"/>
      <c r="M82" s="40"/>
      <c r="N82" s="7">
        <f t="shared" si="2"/>
        <v>600</v>
      </c>
    </row>
    <row r="83" spans="1:14" x14ac:dyDescent="0.35">
      <c r="A83" s="43">
        <f t="shared" si="3"/>
        <v>81</v>
      </c>
      <c r="B83" s="43">
        <v>4</v>
      </c>
      <c r="C83" s="43" t="s">
        <v>1341</v>
      </c>
      <c r="D83" s="42" t="s">
        <v>1449</v>
      </c>
      <c r="E83" s="44" t="s">
        <v>1509</v>
      </c>
      <c r="F83" s="43"/>
      <c r="G83" s="40"/>
      <c r="H83" s="40">
        <v>570</v>
      </c>
      <c r="I83" s="40"/>
      <c r="J83" s="40"/>
      <c r="K83" s="40"/>
      <c r="L83" s="40"/>
      <c r="M83" s="40"/>
      <c r="N83" s="7">
        <f t="shared" si="2"/>
        <v>570</v>
      </c>
    </row>
    <row r="84" spans="1:14" x14ac:dyDescent="0.35">
      <c r="A84" s="43">
        <f t="shared" si="3"/>
        <v>82</v>
      </c>
      <c r="B84" s="43">
        <v>4</v>
      </c>
      <c r="C84" s="43" t="s">
        <v>1342</v>
      </c>
      <c r="D84" s="42" t="s">
        <v>1406</v>
      </c>
      <c r="E84" s="44" t="s">
        <v>1510</v>
      </c>
      <c r="F84" s="43"/>
      <c r="G84" s="40"/>
      <c r="H84" s="40">
        <v>200</v>
      </c>
      <c r="I84" s="40"/>
      <c r="J84" s="40"/>
      <c r="K84" s="40"/>
      <c r="L84" s="40"/>
      <c r="M84" s="40"/>
      <c r="N84" s="7">
        <f t="shared" si="2"/>
        <v>200</v>
      </c>
    </row>
    <row r="85" spans="1:14" x14ac:dyDescent="0.35">
      <c r="A85" s="43">
        <f t="shared" si="3"/>
        <v>83</v>
      </c>
      <c r="B85" s="43">
        <v>4</v>
      </c>
      <c r="C85" s="43" t="s">
        <v>1343</v>
      </c>
      <c r="D85" s="42" t="s">
        <v>1406</v>
      </c>
      <c r="E85" s="44" t="s">
        <v>1511</v>
      </c>
      <c r="F85" s="43"/>
      <c r="G85" s="40"/>
      <c r="H85" s="40">
        <v>400</v>
      </c>
      <c r="I85" s="40"/>
      <c r="J85" s="40"/>
      <c r="K85" s="40"/>
      <c r="L85" s="40"/>
      <c r="M85" s="40"/>
      <c r="N85" s="7">
        <f t="shared" si="2"/>
        <v>400</v>
      </c>
    </row>
    <row r="86" spans="1:14" x14ac:dyDescent="0.35">
      <c r="A86" s="43">
        <f t="shared" si="3"/>
        <v>84</v>
      </c>
      <c r="B86" s="43">
        <v>4</v>
      </c>
      <c r="C86" s="43" t="s">
        <v>1344</v>
      </c>
      <c r="D86" s="42" t="s">
        <v>1406</v>
      </c>
      <c r="E86" s="44" t="s">
        <v>1512</v>
      </c>
      <c r="F86" s="43"/>
      <c r="G86" s="40"/>
      <c r="H86" s="40">
        <v>200</v>
      </c>
      <c r="I86" s="40"/>
      <c r="J86" s="40"/>
      <c r="K86" s="40"/>
      <c r="L86" s="40"/>
      <c r="M86" s="40"/>
      <c r="N86" s="7">
        <f t="shared" si="2"/>
        <v>200</v>
      </c>
    </row>
    <row r="87" spans="1:14" x14ac:dyDescent="0.35">
      <c r="A87" s="43">
        <f t="shared" si="3"/>
        <v>85</v>
      </c>
      <c r="B87" s="43">
        <v>4</v>
      </c>
      <c r="C87" s="43" t="s">
        <v>1345</v>
      </c>
      <c r="D87" s="42" t="s">
        <v>1406</v>
      </c>
      <c r="E87" s="44" t="s">
        <v>1513</v>
      </c>
      <c r="F87" s="43"/>
      <c r="G87" s="40"/>
      <c r="H87" s="40">
        <v>400</v>
      </c>
      <c r="I87" s="40"/>
      <c r="J87" s="40"/>
      <c r="K87" s="40"/>
      <c r="L87" s="40"/>
      <c r="M87" s="40"/>
      <c r="N87" s="7">
        <f t="shared" si="2"/>
        <v>400</v>
      </c>
    </row>
    <row r="88" spans="1:14" x14ac:dyDescent="0.35">
      <c r="A88" s="43">
        <f t="shared" si="3"/>
        <v>86</v>
      </c>
      <c r="B88" s="43">
        <v>4</v>
      </c>
      <c r="C88" s="43" t="s">
        <v>1346</v>
      </c>
      <c r="D88" s="42" t="s">
        <v>1406</v>
      </c>
      <c r="E88" s="44" t="s">
        <v>1176</v>
      </c>
      <c r="F88" s="43"/>
      <c r="G88" s="40"/>
      <c r="H88" s="40">
        <v>200</v>
      </c>
      <c r="I88" s="40"/>
      <c r="J88" s="40"/>
      <c r="K88" s="40"/>
      <c r="L88" s="40"/>
      <c r="M88" s="40"/>
      <c r="N88" s="7">
        <f t="shared" si="2"/>
        <v>200</v>
      </c>
    </row>
    <row r="89" spans="1:14" x14ac:dyDescent="0.35">
      <c r="A89" s="43">
        <f t="shared" si="3"/>
        <v>87</v>
      </c>
      <c r="B89" s="43">
        <v>4</v>
      </c>
      <c r="C89" s="43" t="s">
        <v>1347</v>
      </c>
      <c r="D89" s="42" t="s">
        <v>1406</v>
      </c>
      <c r="E89" s="44" t="s">
        <v>995</v>
      </c>
      <c r="F89" s="43"/>
      <c r="G89" s="40"/>
      <c r="H89" s="40">
        <v>200</v>
      </c>
      <c r="I89" s="40"/>
      <c r="J89" s="40"/>
      <c r="K89" s="40"/>
      <c r="L89" s="40"/>
      <c r="M89" s="40"/>
      <c r="N89" s="7">
        <f t="shared" si="2"/>
        <v>200</v>
      </c>
    </row>
    <row r="90" spans="1:14" x14ac:dyDescent="0.35">
      <c r="A90" s="43">
        <f t="shared" si="3"/>
        <v>88</v>
      </c>
      <c r="B90" s="43">
        <v>4</v>
      </c>
      <c r="C90" s="43" t="s">
        <v>1348</v>
      </c>
      <c r="D90" s="42" t="s">
        <v>1406</v>
      </c>
      <c r="E90" s="44" t="s">
        <v>1514</v>
      </c>
      <c r="F90" s="43"/>
      <c r="G90" s="40"/>
      <c r="H90" s="40">
        <v>200</v>
      </c>
      <c r="I90" s="40"/>
      <c r="J90" s="40"/>
      <c r="K90" s="40"/>
      <c r="L90" s="40"/>
      <c r="M90" s="40"/>
      <c r="N90" s="7">
        <f t="shared" si="2"/>
        <v>200</v>
      </c>
    </row>
    <row r="91" spans="1:14" x14ac:dyDescent="0.35">
      <c r="A91" s="43">
        <f t="shared" si="3"/>
        <v>89</v>
      </c>
      <c r="B91" s="43">
        <v>4</v>
      </c>
      <c r="C91" s="43" t="s">
        <v>1349</v>
      </c>
      <c r="D91" s="42" t="s">
        <v>1406</v>
      </c>
      <c r="E91" s="44" t="s">
        <v>1515</v>
      </c>
      <c r="F91" s="43"/>
      <c r="G91" s="40"/>
      <c r="H91" s="40">
        <v>200</v>
      </c>
      <c r="I91" s="40"/>
      <c r="J91" s="40"/>
      <c r="K91" s="40"/>
      <c r="L91" s="40"/>
      <c r="M91" s="40"/>
      <c r="N91" s="7">
        <f t="shared" si="2"/>
        <v>200</v>
      </c>
    </row>
    <row r="92" spans="1:14" x14ac:dyDescent="0.35">
      <c r="A92" s="43">
        <f t="shared" si="3"/>
        <v>90</v>
      </c>
      <c r="B92" s="43">
        <v>4</v>
      </c>
      <c r="C92" s="43" t="s">
        <v>1350</v>
      </c>
      <c r="D92" s="42" t="s">
        <v>1406</v>
      </c>
      <c r="E92" s="44" t="s">
        <v>1516</v>
      </c>
      <c r="F92" s="43"/>
      <c r="G92" s="40"/>
      <c r="H92" s="40">
        <v>200</v>
      </c>
      <c r="I92" s="40"/>
      <c r="J92" s="40"/>
      <c r="K92" s="40"/>
      <c r="L92" s="40"/>
      <c r="M92" s="40"/>
      <c r="N92" s="7">
        <f t="shared" si="2"/>
        <v>200</v>
      </c>
    </row>
    <row r="93" spans="1:14" x14ac:dyDescent="0.35">
      <c r="A93" s="43">
        <f t="shared" si="3"/>
        <v>91</v>
      </c>
      <c r="B93" s="43">
        <v>4</v>
      </c>
      <c r="C93" s="43" t="s">
        <v>1351</v>
      </c>
      <c r="D93" s="42" t="s">
        <v>1406</v>
      </c>
      <c r="E93" s="44" t="s">
        <v>1419</v>
      </c>
      <c r="F93" s="43"/>
      <c r="G93" s="40"/>
      <c r="H93" s="40">
        <v>200</v>
      </c>
      <c r="I93" s="40"/>
      <c r="J93" s="40"/>
      <c r="K93" s="40"/>
      <c r="L93" s="40"/>
      <c r="M93" s="40"/>
      <c r="N93" s="7">
        <f t="shared" si="2"/>
        <v>200</v>
      </c>
    </row>
    <row r="94" spans="1:14" x14ac:dyDescent="0.35">
      <c r="A94" s="43">
        <f t="shared" si="3"/>
        <v>92</v>
      </c>
      <c r="B94" s="43">
        <v>4</v>
      </c>
      <c r="C94" s="43" t="s">
        <v>1352</v>
      </c>
      <c r="D94" s="42" t="s">
        <v>1444</v>
      </c>
      <c r="E94" s="44" t="s">
        <v>1419</v>
      </c>
      <c r="F94" s="43"/>
      <c r="G94" s="40"/>
      <c r="H94" s="40">
        <v>714</v>
      </c>
      <c r="I94" s="40"/>
      <c r="J94" s="40"/>
      <c r="K94" s="40"/>
      <c r="L94" s="40"/>
      <c r="M94" s="40"/>
      <c r="N94" s="7">
        <f t="shared" si="2"/>
        <v>714</v>
      </c>
    </row>
    <row r="95" spans="1:14" x14ac:dyDescent="0.35">
      <c r="A95" s="43">
        <f t="shared" si="3"/>
        <v>93</v>
      </c>
      <c r="B95" s="43">
        <v>4</v>
      </c>
      <c r="C95" s="43" t="s">
        <v>1353</v>
      </c>
      <c r="D95" s="42" t="s">
        <v>1415</v>
      </c>
      <c r="E95" s="44" t="s">
        <v>1422</v>
      </c>
      <c r="F95" s="43"/>
      <c r="G95" s="40"/>
      <c r="H95" s="40">
        <v>480</v>
      </c>
      <c r="I95" s="40"/>
      <c r="J95" s="40"/>
      <c r="K95" s="40"/>
      <c r="L95" s="40"/>
      <c r="M95" s="40"/>
      <c r="N95" s="7">
        <f t="shared" si="2"/>
        <v>480</v>
      </c>
    </row>
    <row r="96" spans="1:14" x14ac:dyDescent="0.35">
      <c r="A96" s="43">
        <f t="shared" si="3"/>
        <v>94</v>
      </c>
      <c r="B96" s="43">
        <v>4</v>
      </c>
      <c r="C96" s="43" t="s">
        <v>1354</v>
      </c>
      <c r="D96" s="42" t="s">
        <v>1450</v>
      </c>
      <c r="E96" s="44" t="s">
        <v>1517</v>
      </c>
      <c r="F96" s="43"/>
      <c r="G96" s="40"/>
      <c r="H96" s="40">
        <v>400</v>
      </c>
      <c r="I96" s="40"/>
      <c r="J96" s="40"/>
      <c r="K96" s="40"/>
      <c r="L96" s="40"/>
      <c r="M96" s="40"/>
      <c r="N96" s="7">
        <f t="shared" si="2"/>
        <v>400</v>
      </c>
    </row>
    <row r="97" spans="1:14" x14ac:dyDescent="0.35">
      <c r="A97" s="43">
        <f t="shared" si="3"/>
        <v>95</v>
      </c>
      <c r="B97" s="43">
        <v>4</v>
      </c>
      <c r="C97" s="43" t="s">
        <v>1355</v>
      </c>
      <c r="D97" s="42" t="s">
        <v>1451</v>
      </c>
      <c r="E97" s="44" t="s">
        <v>1518</v>
      </c>
      <c r="F97" s="43"/>
      <c r="G97" s="40"/>
      <c r="H97" s="40">
        <v>400</v>
      </c>
      <c r="I97" s="40"/>
      <c r="J97" s="40"/>
      <c r="K97" s="40"/>
      <c r="L97" s="40"/>
      <c r="M97" s="40"/>
      <c r="N97" s="7">
        <f t="shared" si="2"/>
        <v>400</v>
      </c>
    </row>
    <row r="98" spans="1:14" x14ac:dyDescent="0.35">
      <c r="A98" s="43">
        <f t="shared" si="3"/>
        <v>96</v>
      </c>
      <c r="B98" s="43">
        <v>4</v>
      </c>
      <c r="C98" s="43" t="s">
        <v>1356</v>
      </c>
      <c r="D98" s="42" t="s">
        <v>1452</v>
      </c>
      <c r="E98" s="44" t="s">
        <v>1519</v>
      </c>
      <c r="F98" s="43"/>
      <c r="G98" s="40"/>
      <c r="H98" s="40">
        <v>120</v>
      </c>
      <c r="I98" s="40"/>
      <c r="J98" s="40"/>
      <c r="K98" s="40"/>
      <c r="L98" s="40"/>
      <c r="M98" s="40"/>
      <c r="N98" s="7">
        <f t="shared" si="2"/>
        <v>120</v>
      </c>
    </row>
    <row r="99" spans="1:14" x14ac:dyDescent="0.35">
      <c r="A99" s="43">
        <f t="shared" si="3"/>
        <v>97</v>
      </c>
      <c r="B99" s="43">
        <v>4</v>
      </c>
      <c r="C99" s="43" t="s">
        <v>1357</v>
      </c>
      <c r="D99" s="42" t="s">
        <v>1453</v>
      </c>
      <c r="E99" s="44" t="s">
        <v>1414</v>
      </c>
      <c r="F99" s="43"/>
      <c r="G99" s="40"/>
      <c r="H99" s="40">
        <v>400</v>
      </c>
      <c r="I99" s="40"/>
      <c r="J99" s="40"/>
      <c r="K99" s="40"/>
      <c r="L99" s="40"/>
      <c r="M99" s="40"/>
      <c r="N99" s="7">
        <f t="shared" si="2"/>
        <v>400</v>
      </c>
    </row>
    <row r="100" spans="1:14" x14ac:dyDescent="0.35">
      <c r="A100" s="43">
        <f t="shared" si="3"/>
        <v>98</v>
      </c>
      <c r="B100" s="43">
        <v>4</v>
      </c>
      <c r="C100" s="43" t="s">
        <v>1358</v>
      </c>
      <c r="D100" s="42" t="s">
        <v>1454</v>
      </c>
      <c r="E100" s="44" t="s">
        <v>1520</v>
      </c>
      <c r="F100" s="43"/>
      <c r="G100" s="40"/>
      <c r="H100" s="40">
        <v>440</v>
      </c>
      <c r="I100" s="40"/>
      <c r="J100" s="40"/>
      <c r="K100" s="40"/>
      <c r="L100" s="40"/>
      <c r="M100" s="40"/>
      <c r="N100" s="7">
        <f t="shared" si="2"/>
        <v>440</v>
      </c>
    </row>
    <row r="101" spans="1:14" x14ac:dyDescent="0.35">
      <c r="A101" s="43">
        <f t="shared" si="3"/>
        <v>99</v>
      </c>
      <c r="B101" s="43">
        <v>4</v>
      </c>
      <c r="C101" s="43" t="s">
        <v>1358</v>
      </c>
      <c r="D101" s="42" t="s">
        <v>1406</v>
      </c>
      <c r="E101" s="44" t="s">
        <v>1521</v>
      </c>
      <c r="F101" s="43"/>
      <c r="G101" s="40"/>
      <c r="H101" s="40">
        <v>200</v>
      </c>
      <c r="I101" s="40"/>
      <c r="J101" s="40"/>
      <c r="K101" s="40"/>
      <c r="L101" s="40"/>
      <c r="M101" s="40"/>
      <c r="N101" s="7">
        <f t="shared" si="2"/>
        <v>200</v>
      </c>
    </row>
    <row r="102" spans="1:14" x14ac:dyDescent="0.35">
      <c r="A102" s="43">
        <f t="shared" si="3"/>
        <v>100</v>
      </c>
      <c r="B102" s="43">
        <v>4</v>
      </c>
      <c r="C102" s="43" t="s">
        <v>1358</v>
      </c>
      <c r="D102" s="42" t="s">
        <v>1406</v>
      </c>
      <c r="E102" s="44" t="s">
        <v>1522</v>
      </c>
      <c r="F102" s="43"/>
      <c r="G102" s="40"/>
      <c r="H102" s="40">
        <v>400</v>
      </c>
      <c r="I102" s="40"/>
      <c r="J102" s="40"/>
      <c r="K102" s="40"/>
      <c r="L102" s="40"/>
      <c r="M102" s="40"/>
      <c r="N102" s="7">
        <f t="shared" si="2"/>
        <v>400</v>
      </c>
    </row>
    <row r="103" spans="1:14" x14ac:dyDescent="0.35">
      <c r="A103" s="43">
        <f t="shared" si="3"/>
        <v>101</v>
      </c>
      <c r="B103" s="43">
        <v>4</v>
      </c>
      <c r="C103" s="43" t="s">
        <v>1358</v>
      </c>
      <c r="D103" s="42" t="s">
        <v>1406</v>
      </c>
      <c r="E103" s="44" t="s">
        <v>1523</v>
      </c>
      <c r="F103" s="43"/>
      <c r="G103" s="40"/>
      <c r="H103" s="40">
        <v>200</v>
      </c>
      <c r="I103" s="40"/>
      <c r="J103" s="40"/>
      <c r="K103" s="40"/>
      <c r="L103" s="40"/>
      <c r="M103" s="40"/>
      <c r="N103" s="7">
        <f t="shared" si="2"/>
        <v>200</v>
      </c>
    </row>
    <row r="104" spans="1:14" x14ac:dyDescent="0.35">
      <c r="A104" s="43">
        <f t="shared" si="3"/>
        <v>102</v>
      </c>
      <c r="B104" s="43">
        <v>4</v>
      </c>
      <c r="C104" s="43" t="s">
        <v>1358</v>
      </c>
      <c r="D104" s="42" t="s">
        <v>1406</v>
      </c>
      <c r="E104" s="44" t="s">
        <v>1524</v>
      </c>
      <c r="F104" s="43"/>
      <c r="G104" s="40"/>
      <c r="H104" s="40">
        <v>400</v>
      </c>
      <c r="I104" s="40"/>
      <c r="J104" s="40"/>
      <c r="K104" s="40"/>
      <c r="L104" s="40"/>
      <c r="M104" s="40"/>
      <c r="N104" s="7">
        <f t="shared" si="2"/>
        <v>400</v>
      </c>
    </row>
    <row r="105" spans="1:14" x14ac:dyDescent="0.35">
      <c r="A105" s="43">
        <f t="shared" si="3"/>
        <v>103</v>
      </c>
      <c r="B105" s="43">
        <v>4</v>
      </c>
      <c r="C105" s="43" t="s">
        <v>1358</v>
      </c>
      <c r="D105" s="42" t="s">
        <v>1406</v>
      </c>
      <c r="E105" s="44" t="s">
        <v>1525</v>
      </c>
      <c r="F105" s="43"/>
      <c r="G105" s="40"/>
      <c r="H105" s="40">
        <v>280</v>
      </c>
      <c r="I105" s="40"/>
      <c r="J105" s="40"/>
      <c r="K105" s="40"/>
      <c r="L105" s="40"/>
      <c r="M105" s="40"/>
      <c r="N105" s="7">
        <f t="shared" si="2"/>
        <v>280</v>
      </c>
    </row>
    <row r="106" spans="1:14" x14ac:dyDescent="0.35">
      <c r="A106" s="43">
        <f t="shared" si="3"/>
        <v>104</v>
      </c>
      <c r="B106" s="43">
        <v>4</v>
      </c>
      <c r="C106" s="43" t="s">
        <v>1358</v>
      </c>
      <c r="D106" s="42" t="s">
        <v>1406</v>
      </c>
      <c r="E106" s="44" t="s">
        <v>1526</v>
      </c>
      <c r="F106" s="43"/>
      <c r="G106" s="40"/>
      <c r="H106" s="40">
        <v>280</v>
      </c>
      <c r="I106" s="40"/>
      <c r="J106" s="40"/>
      <c r="K106" s="40"/>
      <c r="L106" s="40"/>
      <c r="M106" s="40"/>
      <c r="N106" s="7">
        <f t="shared" si="2"/>
        <v>280</v>
      </c>
    </row>
    <row r="107" spans="1:14" x14ac:dyDescent="0.35">
      <c r="A107" s="43">
        <f t="shared" si="3"/>
        <v>105</v>
      </c>
      <c r="B107" s="43">
        <v>5</v>
      </c>
      <c r="C107" s="43" t="s">
        <v>1359</v>
      </c>
      <c r="D107" s="42" t="s">
        <v>1406</v>
      </c>
      <c r="E107" s="42" t="s">
        <v>1527</v>
      </c>
      <c r="F107" s="43"/>
      <c r="G107" s="40"/>
      <c r="H107" s="40">
        <v>280</v>
      </c>
      <c r="I107" s="40"/>
      <c r="J107" s="40"/>
      <c r="K107" s="40"/>
      <c r="L107" s="40"/>
      <c r="M107" s="40"/>
      <c r="N107" s="7">
        <f t="shared" si="2"/>
        <v>280</v>
      </c>
    </row>
    <row r="108" spans="1:14" x14ac:dyDescent="0.35">
      <c r="A108" s="43">
        <f t="shared" si="3"/>
        <v>106</v>
      </c>
      <c r="B108" s="43">
        <v>5</v>
      </c>
      <c r="C108" s="43" t="s">
        <v>1360</v>
      </c>
      <c r="D108" s="42" t="s">
        <v>1406</v>
      </c>
      <c r="E108" s="42" t="s">
        <v>1528</v>
      </c>
      <c r="F108" s="43"/>
      <c r="G108" s="40"/>
      <c r="H108" s="40">
        <v>280</v>
      </c>
      <c r="I108" s="40"/>
      <c r="J108" s="40"/>
      <c r="K108" s="40"/>
      <c r="L108" s="40"/>
      <c r="M108" s="40"/>
      <c r="N108" s="7">
        <f t="shared" si="2"/>
        <v>280</v>
      </c>
    </row>
    <row r="109" spans="1:14" x14ac:dyDescent="0.35">
      <c r="A109" s="43">
        <f t="shared" si="3"/>
        <v>107</v>
      </c>
      <c r="B109" s="43">
        <v>5</v>
      </c>
      <c r="C109" s="43" t="s">
        <v>1361</v>
      </c>
      <c r="D109" s="42" t="s">
        <v>1406</v>
      </c>
      <c r="E109" s="42" t="s">
        <v>1529</v>
      </c>
      <c r="F109" s="43"/>
      <c r="G109" s="40"/>
      <c r="H109" s="40">
        <v>280</v>
      </c>
      <c r="I109" s="40"/>
      <c r="J109" s="40"/>
      <c r="K109" s="40"/>
      <c r="L109" s="40"/>
      <c r="M109" s="40"/>
      <c r="N109" s="7">
        <f t="shared" si="2"/>
        <v>280</v>
      </c>
    </row>
    <row r="110" spans="1:14" x14ac:dyDescent="0.35">
      <c r="A110" s="43">
        <f t="shared" si="3"/>
        <v>108</v>
      </c>
      <c r="B110" s="43">
        <v>5</v>
      </c>
      <c r="C110" s="43" t="s">
        <v>1362</v>
      </c>
      <c r="D110" s="42" t="s">
        <v>1406</v>
      </c>
      <c r="E110" s="42" t="s">
        <v>1530</v>
      </c>
      <c r="F110" s="43"/>
      <c r="G110" s="40"/>
      <c r="H110" s="40">
        <v>280</v>
      </c>
      <c r="I110" s="40"/>
      <c r="J110" s="40"/>
      <c r="K110" s="40"/>
      <c r="L110" s="40"/>
      <c r="M110" s="40"/>
      <c r="N110" s="7">
        <f t="shared" si="2"/>
        <v>280</v>
      </c>
    </row>
    <row r="111" spans="1:14" x14ac:dyDescent="0.35">
      <c r="A111" s="43">
        <f t="shared" si="3"/>
        <v>109</v>
      </c>
      <c r="B111" s="43">
        <v>5</v>
      </c>
      <c r="C111" s="43" t="s">
        <v>1363</v>
      </c>
      <c r="D111" s="42" t="s">
        <v>1406</v>
      </c>
      <c r="E111" s="42" t="s">
        <v>1531</v>
      </c>
      <c r="F111" s="43"/>
      <c r="G111" s="40"/>
      <c r="H111" s="40">
        <v>400</v>
      </c>
      <c r="I111" s="40"/>
      <c r="J111" s="40"/>
      <c r="K111" s="40"/>
      <c r="L111" s="40"/>
      <c r="M111" s="40"/>
      <c r="N111" s="7">
        <f t="shared" si="2"/>
        <v>400</v>
      </c>
    </row>
    <row r="112" spans="1:14" x14ac:dyDescent="0.35">
      <c r="A112" s="43">
        <f t="shared" si="3"/>
        <v>110</v>
      </c>
      <c r="B112" s="43">
        <v>5</v>
      </c>
      <c r="C112" s="43" t="s">
        <v>1364</v>
      </c>
      <c r="D112" s="42" t="s">
        <v>1407</v>
      </c>
      <c r="E112" s="42" t="s">
        <v>1018</v>
      </c>
      <c r="F112" s="43"/>
      <c r="G112" s="40"/>
      <c r="H112" s="40">
        <v>1520</v>
      </c>
      <c r="I112" s="40"/>
      <c r="J112" s="40"/>
      <c r="K112" s="40"/>
      <c r="L112" s="40"/>
      <c r="M112" s="40"/>
      <c r="N112" s="7">
        <f t="shared" si="2"/>
        <v>1520</v>
      </c>
    </row>
    <row r="113" spans="1:14" x14ac:dyDescent="0.35">
      <c r="A113" s="43">
        <f t="shared" si="3"/>
        <v>111</v>
      </c>
      <c r="B113" s="43">
        <v>5</v>
      </c>
      <c r="C113" s="43" t="s">
        <v>1365</v>
      </c>
      <c r="D113" s="42" t="s">
        <v>1455</v>
      </c>
      <c r="E113" s="42" t="s">
        <v>1519</v>
      </c>
      <c r="F113" s="43"/>
      <c r="G113" s="40"/>
      <c r="H113" s="40">
        <v>200</v>
      </c>
      <c r="I113" s="40"/>
      <c r="J113" s="40"/>
      <c r="K113" s="40"/>
      <c r="L113" s="40"/>
      <c r="M113" s="40"/>
      <c r="N113" s="7">
        <f t="shared" si="2"/>
        <v>200</v>
      </c>
    </row>
    <row r="114" spans="1:14" x14ac:dyDescent="0.35">
      <c r="A114" s="43">
        <f t="shared" si="3"/>
        <v>112</v>
      </c>
      <c r="B114" s="43">
        <v>5</v>
      </c>
      <c r="C114" s="43" t="s">
        <v>1366</v>
      </c>
      <c r="D114" s="42" t="s">
        <v>1417</v>
      </c>
      <c r="E114" s="42" t="s">
        <v>1532</v>
      </c>
      <c r="F114" s="43"/>
      <c r="G114" s="40"/>
      <c r="H114" s="40">
        <v>320</v>
      </c>
      <c r="I114" s="40"/>
      <c r="J114" s="40"/>
      <c r="K114" s="40"/>
      <c r="L114" s="40"/>
      <c r="M114" s="40"/>
      <c r="N114" s="7">
        <f t="shared" si="2"/>
        <v>320</v>
      </c>
    </row>
    <row r="115" spans="1:14" x14ac:dyDescent="0.35">
      <c r="A115" s="43">
        <f t="shared" si="3"/>
        <v>113</v>
      </c>
      <c r="B115" s="43">
        <v>5</v>
      </c>
      <c r="C115" s="43" t="s">
        <v>1367</v>
      </c>
      <c r="D115" s="42" t="s">
        <v>1406</v>
      </c>
      <c r="E115" s="42" t="s">
        <v>1189</v>
      </c>
      <c r="F115" s="43"/>
      <c r="G115" s="40"/>
      <c r="H115" s="40">
        <v>200</v>
      </c>
      <c r="I115" s="40"/>
      <c r="J115" s="40"/>
      <c r="K115" s="40"/>
      <c r="L115" s="40"/>
      <c r="M115" s="40"/>
      <c r="N115" s="7">
        <f t="shared" si="2"/>
        <v>200</v>
      </c>
    </row>
    <row r="116" spans="1:14" x14ac:dyDescent="0.35">
      <c r="A116" s="43">
        <f t="shared" si="3"/>
        <v>114</v>
      </c>
      <c r="B116" s="43">
        <v>5</v>
      </c>
      <c r="C116" s="43" t="s">
        <v>1368</v>
      </c>
      <c r="D116" s="42" t="s">
        <v>1406</v>
      </c>
      <c r="E116" s="42" t="s">
        <v>1533</v>
      </c>
      <c r="F116" s="43"/>
      <c r="G116" s="40"/>
      <c r="H116" s="40">
        <v>330</v>
      </c>
      <c r="I116" s="40"/>
      <c r="J116" s="40"/>
      <c r="K116" s="40"/>
      <c r="L116" s="40"/>
      <c r="M116" s="40"/>
      <c r="N116" s="7">
        <f t="shared" si="2"/>
        <v>330</v>
      </c>
    </row>
    <row r="117" spans="1:14" x14ac:dyDescent="0.35">
      <c r="A117" s="43">
        <f t="shared" si="3"/>
        <v>115</v>
      </c>
      <c r="B117" s="43">
        <v>5</v>
      </c>
      <c r="C117" s="43" t="s">
        <v>1369</v>
      </c>
      <c r="D117" s="42" t="s">
        <v>1406</v>
      </c>
      <c r="E117" s="42" t="s">
        <v>1534</v>
      </c>
      <c r="F117" s="43"/>
      <c r="G117" s="40"/>
      <c r="H117" s="40">
        <v>172</v>
      </c>
      <c r="I117" s="40"/>
      <c r="J117" s="40"/>
      <c r="K117" s="40"/>
      <c r="L117" s="40"/>
      <c r="M117" s="40"/>
      <c r="N117" s="7">
        <f t="shared" si="2"/>
        <v>172</v>
      </c>
    </row>
    <row r="118" spans="1:14" x14ac:dyDescent="0.35">
      <c r="A118" s="43">
        <f t="shared" si="3"/>
        <v>116</v>
      </c>
      <c r="B118" s="43">
        <v>5</v>
      </c>
      <c r="C118" s="43" t="s">
        <v>1370</v>
      </c>
      <c r="D118" s="42" t="s">
        <v>1406</v>
      </c>
      <c r="E118" s="42" t="s">
        <v>1535</v>
      </c>
      <c r="F118" s="43"/>
      <c r="G118" s="40"/>
      <c r="H118" s="40">
        <v>200</v>
      </c>
      <c r="I118" s="40"/>
      <c r="J118" s="40"/>
      <c r="K118" s="40"/>
      <c r="L118" s="40"/>
      <c r="M118" s="40"/>
      <c r="N118" s="7">
        <f t="shared" si="2"/>
        <v>200</v>
      </c>
    </row>
    <row r="119" spans="1:14" x14ac:dyDescent="0.35">
      <c r="A119" s="43">
        <f t="shared" si="3"/>
        <v>117</v>
      </c>
      <c r="B119" s="43">
        <v>5</v>
      </c>
      <c r="C119" s="43" t="s">
        <v>1371</v>
      </c>
      <c r="D119" s="42" t="s">
        <v>1406</v>
      </c>
      <c r="E119" s="42" t="s">
        <v>1536</v>
      </c>
      <c r="F119" s="43"/>
      <c r="G119" s="40"/>
      <c r="H119" s="40">
        <v>200</v>
      </c>
      <c r="I119" s="40"/>
      <c r="J119" s="40"/>
      <c r="K119" s="40"/>
      <c r="L119" s="40"/>
      <c r="M119" s="40"/>
      <c r="N119" s="7">
        <f t="shared" si="2"/>
        <v>200</v>
      </c>
    </row>
    <row r="120" spans="1:14" x14ac:dyDescent="0.35">
      <c r="A120" s="43">
        <f t="shared" si="3"/>
        <v>118</v>
      </c>
      <c r="B120" s="43">
        <v>5</v>
      </c>
      <c r="C120" s="43" t="s">
        <v>1372</v>
      </c>
      <c r="D120" s="42" t="s">
        <v>1406</v>
      </c>
      <c r="E120" s="42" t="s">
        <v>1537</v>
      </c>
      <c r="F120" s="43"/>
      <c r="G120" s="40"/>
      <c r="H120" s="40">
        <v>200</v>
      </c>
      <c r="I120" s="40"/>
      <c r="J120" s="40"/>
      <c r="K120" s="40"/>
      <c r="L120" s="40"/>
      <c r="M120" s="40"/>
      <c r="N120" s="7">
        <f t="shared" si="2"/>
        <v>200</v>
      </c>
    </row>
    <row r="121" spans="1:14" x14ac:dyDescent="0.35">
      <c r="A121" s="43">
        <f t="shared" si="3"/>
        <v>119</v>
      </c>
      <c r="B121" s="43">
        <v>5</v>
      </c>
      <c r="C121" s="43" t="s">
        <v>1373</v>
      </c>
      <c r="D121" s="42" t="s">
        <v>1406</v>
      </c>
      <c r="E121" s="42" t="s">
        <v>1538</v>
      </c>
      <c r="F121" s="43"/>
      <c r="G121" s="40"/>
      <c r="H121" s="40">
        <v>200</v>
      </c>
      <c r="I121" s="40"/>
      <c r="J121" s="40"/>
      <c r="K121" s="40"/>
      <c r="L121" s="40"/>
      <c r="M121" s="40"/>
      <c r="N121" s="7">
        <f t="shared" si="2"/>
        <v>200</v>
      </c>
    </row>
    <row r="122" spans="1:14" x14ac:dyDescent="0.35">
      <c r="A122" s="43">
        <f t="shared" si="3"/>
        <v>120</v>
      </c>
      <c r="B122" s="43">
        <v>5</v>
      </c>
      <c r="C122" s="43" t="s">
        <v>1374</v>
      </c>
      <c r="D122" s="42" t="s">
        <v>1406</v>
      </c>
      <c r="E122" s="42" t="s">
        <v>1539</v>
      </c>
      <c r="F122" s="43"/>
      <c r="G122" s="40"/>
      <c r="H122" s="40">
        <v>200</v>
      </c>
      <c r="I122" s="40"/>
      <c r="J122" s="40"/>
      <c r="K122" s="40"/>
      <c r="L122" s="40"/>
      <c r="M122" s="40"/>
      <c r="N122" s="7">
        <f t="shared" si="2"/>
        <v>200</v>
      </c>
    </row>
    <row r="123" spans="1:14" x14ac:dyDescent="0.35">
      <c r="A123" s="43">
        <f t="shared" si="3"/>
        <v>121</v>
      </c>
      <c r="B123" s="43">
        <v>5</v>
      </c>
      <c r="C123" s="43" t="s">
        <v>1375</v>
      </c>
      <c r="D123" s="42" t="s">
        <v>1406</v>
      </c>
      <c r="E123" s="42" t="s">
        <v>1540</v>
      </c>
      <c r="F123" s="43"/>
      <c r="G123" s="40"/>
      <c r="H123" s="40">
        <v>400</v>
      </c>
      <c r="I123" s="40"/>
      <c r="J123" s="40"/>
      <c r="K123" s="40"/>
      <c r="L123" s="40"/>
      <c r="M123" s="40"/>
      <c r="N123" s="7">
        <f t="shared" si="2"/>
        <v>400</v>
      </c>
    </row>
    <row r="124" spans="1:14" x14ac:dyDescent="0.35">
      <c r="A124" s="43">
        <f t="shared" si="3"/>
        <v>122</v>
      </c>
      <c r="B124" s="43">
        <v>5</v>
      </c>
      <c r="C124" s="43" t="s">
        <v>1376</v>
      </c>
      <c r="D124" s="42" t="s">
        <v>1406</v>
      </c>
      <c r="E124" s="42" t="s">
        <v>1541</v>
      </c>
      <c r="F124" s="43"/>
      <c r="G124" s="40"/>
      <c r="H124" s="40">
        <v>200</v>
      </c>
      <c r="I124" s="40"/>
      <c r="J124" s="40"/>
      <c r="K124" s="40"/>
      <c r="L124" s="40"/>
      <c r="M124" s="40"/>
      <c r="N124" s="7">
        <f t="shared" si="2"/>
        <v>200</v>
      </c>
    </row>
    <row r="125" spans="1:14" x14ac:dyDescent="0.35">
      <c r="A125" s="43">
        <f t="shared" si="3"/>
        <v>123</v>
      </c>
      <c r="B125" s="43">
        <v>5</v>
      </c>
      <c r="C125" s="43" t="s">
        <v>1377</v>
      </c>
      <c r="D125" s="42" t="s">
        <v>1406</v>
      </c>
      <c r="E125" s="42" t="s">
        <v>1542</v>
      </c>
      <c r="F125" s="43"/>
      <c r="G125" s="40"/>
      <c r="H125" s="40">
        <v>200</v>
      </c>
      <c r="I125" s="40"/>
      <c r="J125" s="40"/>
      <c r="K125" s="40"/>
      <c r="L125" s="40"/>
      <c r="M125" s="40"/>
      <c r="N125" s="7">
        <f t="shared" si="2"/>
        <v>200</v>
      </c>
    </row>
    <row r="126" spans="1:14" x14ac:dyDescent="0.35">
      <c r="A126" s="43">
        <f t="shared" si="3"/>
        <v>124</v>
      </c>
      <c r="B126" s="43">
        <v>5</v>
      </c>
      <c r="C126" s="43"/>
      <c r="D126" s="42"/>
      <c r="E126" s="42"/>
      <c r="F126" s="43"/>
      <c r="G126" s="40"/>
      <c r="H126" s="40"/>
      <c r="I126" s="40"/>
      <c r="J126" s="40"/>
      <c r="K126" s="40"/>
      <c r="L126" s="40"/>
      <c r="M126" s="40"/>
      <c r="N126" s="7">
        <f t="shared" si="2"/>
        <v>0</v>
      </c>
    </row>
    <row r="127" spans="1:14" x14ac:dyDescent="0.35">
      <c r="A127" s="43">
        <f t="shared" si="3"/>
        <v>125</v>
      </c>
      <c r="B127" s="56" t="s">
        <v>1425</v>
      </c>
      <c r="C127" s="56" t="s">
        <v>1424</v>
      </c>
      <c r="D127" s="42"/>
      <c r="E127" s="42"/>
      <c r="F127" s="43"/>
      <c r="G127" s="40"/>
      <c r="H127" s="48">
        <f>SUM(H3:H125)</f>
        <v>81235</v>
      </c>
      <c r="I127" s="40"/>
      <c r="J127" s="40"/>
      <c r="K127" s="40"/>
      <c r="L127" s="40"/>
      <c r="M127" s="40"/>
      <c r="N127" s="7">
        <f t="shared" si="2"/>
        <v>81235</v>
      </c>
    </row>
    <row r="128" spans="1:14" x14ac:dyDescent="0.35">
      <c r="A128" s="43">
        <f t="shared" si="3"/>
        <v>126</v>
      </c>
      <c r="B128" s="56" t="s">
        <v>1426</v>
      </c>
      <c r="C128" s="56" t="s">
        <v>1424</v>
      </c>
      <c r="D128" s="42"/>
      <c r="E128" s="42"/>
      <c r="F128" s="43"/>
      <c r="G128" s="40"/>
      <c r="H128" s="49">
        <f>H127/40</f>
        <v>2030.875</v>
      </c>
      <c r="I128" s="40"/>
      <c r="J128" s="40"/>
      <c r="K128" s="40"/>
      <c r="L128" s="40"/>
      <c r="M128" s="40"/>
      <c r="N128" s="7">
        <f t="shared" si="2"/>
        <v>2030.875</v>
      </c>
    </row>
    <row r="129" spans="1:14" x14ac:dyDescent="0.35">
      <c r="A129" s="43">
        <f t="shared" si="3"/>
        <v>127</v>
      </c>
      <c r="B129" s="43">
        <v>5</v>
      </c>
      <c r="C129" s="43" t="s">
        <v>1378</v>
      </c>
      <c r="D129" s="42"/>
      <c r="E129" s="42"/>
      <c r="F129" s="43"/>
      <c r="G129" s="40"/>
      <c r="H129" s="40"/>
      <c r="I129" s="40"/>
      <c r="J129" s="40"/>
      <c r="K129" s="40"/>
      <c r="L129" s="40"/>
      <c r="M129" s="40"/>
      <c r="N129" s="7">
        <f t="shared" si="2"/>
        <v>0</v>
      </c>
    </row>
    <row r="130" spans="1:14" x14ac:dyDescent="0.35">
      <c r="A130" s="43">
        <f t="shared" si="3"/>
        <v>128</v>
      </c>
      <c r="B130" s="43">
        <v>5</v>
      </c>
      <c r="C130" s="43" t="s">
        <v>1379</v>
      </c>
      <c r="D130" s="42"/>
      <c r="E130" s="42"/>
      <c r="F130" s="43"/>
      <c r="G130" s="40"/>
      <c r="H130" s="40"/>
      <c r="I130" s="40"/>
      <c r="J130" s="40"/>
      <c r="K130" s="40"/>
      <c r="L130" s="40"/>
      <c r="M130" s="40"/>
      <c r="N130" s="7">
        <f t="shared" si="2"/>
        <v>0</v>
      </c>
    </row>
    <row r="131" spans="1:14" x14ac:dyDescent="0.35">
      <c r="A131" s="43">
        <f t="shared" si="3"/>
        <v>129</v>
      </c>
      <c r="B131" s="43">
        <v>5</v>
      </c>
      <c r="C131" s="43" t="s">
        <v>1380</v>
      </c>
      <c r="D131" s="42"/>
      <c r="E131" s="42"/>
      <c r="F131" s="43"/>
      <c r="G131" s="40"/>
      <c r="H131" s="40"/>
      <c r="I131" s="40"/>
      <c r="J131" s="40"/>
      <c r="K131" s="40"/>
      <c r="L131" s="40"/>
      <c r="M131" s="40"/>
      <c r="N131" s="7">
        <f t="shared" ref="N131:N156" si="4">SUM(G131:M131)</f>
        <v>0</v>
      </c>
    </row>
    <row r="132" spans="1:14" x14ac:dyDescent="0.35">
      <c r="A132" s="43">
        <f t="shared" si="3"/>
        <v>130</v>
      </c>
      <c r="B132" s="43">
        <v>5</v>
      </c>
      <c r="C132" s="43" t="s">
        <v>1381</v>
      </c>
      <c r="D132" s="42"/>
      <c r="E132" s="42"/>
      <c r="F132" s="43"/>
      <c r="G132" s="40"/>
      <c r="H132" s="40"/>
      <c r="I132" s="40"/>
      <c r="J132" s="40"/>
      <c r="K132" s="40"/>
      <c r="L132" s="40"/>
      <c r="M132" s="40"/>
      <c r="N132" s="7">
        <f t="shared" si="4"/>
        <v>0</v>
      </c>
    </row>
    <row r="133" spans="1:14" x14ac:dyDescent="0.35">
      <c r="A133" s="43">
        <f t="shared" ref="A133:A156" si="5">+A132+1</f>
        <v>131</v>
      </c>
      <c r="B133" s="43">
        <v>5</v>
      </c>
      <c r="C133" s="43" t="s">
        <v>1382</v>
      </c>
      <c r="D133" s="42"/>
      <c r="E133" s="42"/>
      <c r="F133" s="43"/>
      <c r="G133" s="40"/>
      <c r="H133" s="40"/>
      <c r="I133" s="40"/>
      <c r="J133" s="40"/>
      <c r="K133" s="40"/>
      <c r="L133" s="40"/>
      <c r="M133" s="40"/>
      <c r="N133" s="7">
        <f t="shared" si="4"/>
        <v>0</v>
      </c>
    </row>
    <row r="134" spans="1:14" x14ac:dyDescent="0.35">
      <c r="A134" s="43">
        <f t="shared" si="5"/>
        <v>132</v>
      </c>
      <c r="B134" s="43">
        <v>5</v>
      </c>
      <c r="C134" s="43" t="s">
        <v>1383</v>
      </c>
      <c r="D134" s="42"/>
      <c r="E134" s="42"/>
      <c r="F134" s="43"/>
      <c r="G134" s="40"/>
      <c r="H134" s="40"/>
      <c r="I134" s="40"/>
      <c r="J134" s="40"/>
      <c r="K134" s="40"/>
      <c r="L134" s="40"/>
      <c r="M134" s="40"/>
      <c r="N134" s="7">
        <f t="shared" si="4"/>
        <v>0</v>
      </c>
    </row>
    <row r="135" spans="1:14" x14ac:dyDescent="0.35">
      <c r="A135" s="43">
        <f t="shared" si="5"/>
        <v>133</v>
      </c>
      <c r="B135" s="43">
        <v>5</v>
      </c>
      <c r="C135" s="43" t="s">
        <v>1384</v>
      </c>
      <c r="D135" s="42"/>
      <c r="E135" s="42"/>
      <c r="F135" s="43"/>
      <c r="G135" s="40"/>
      <c r="H135" s="40"/>
      <c r="I135" s="40"/>
      <c r="J135" s="40"/>
      <c r="K135" s="40"/>
      <c r="L135" s="40"/>
      <c r="M135" s="40"/>
      <c r="N135" s="7">
        <f t="shared" si="4"/>
        <v>0</v>
      </c>
    </row>
    <row r="136" spans="1:14" x14ac:dyDescent="0.35">
      <c r="A136" s="43">
        <f t="shared" si="5"/>
        <v>134</v>
      </c>
      <c r="B136" s="43">
        <v>5</v>
      </c>
      <c r="C136" s="43" t="s">
        <v>1385</v>
      </c>
      <c r="D136" s="42"/>
      <c r="E136" s="42"/>
      <c r="F136" s="43"/>
      <c r="G136" s="40"/>
      <c r="H136" s="40"/>
      <c r="I136" s="40"/>
      <c r="J136" s="40"/>
      <c r="K136" s="40"/>
      <c r="L136" s="40"/>
      <c r="M136" s="40"/>
      <c r="N136" s="7">
        <f t="shared" si="4"/>
        <v>0</v>
      </c>
    </row>
    <row r="137" spans="1:14" x14ac:dyDescent="0.35">
      <c r="A137" s="43">
        <f t="shared" si="5"/>
        <v>135</v>
      </c>
      <c r="B137" s="43">
        <v>5</v>
      </c>
      <c r="C137" s="43" t="s">
        <v>1386</v>
      </c>
      <c r="D137" s="42"/>
      <c r="E137" s="42"/>
      <c r="F137" s="43"/>
      <c r="G137" s="40"/>
      <c r="H137" s="40"/>
      <c r="I137" s="40"/>
      <c r="J137" s="40"/>
      <c r="K137" s="40"/>
      <c r="L137" s="40"/>
      <c r="M137" s="40"/>
      <c r="N137" s="7">
        <f t="shared" si="4"/>
        <v>0</v>
      </c>
    </row>
    <row r="138" spans="1:14" x14ac:dyDescent="0.35">
      <c r="A138" s="43">
        <f t="shared" si="5"/>
        <v>136</v>
      </c>
      <c r="B138" s="43">
        <v>5</v>
      </c>
      <c r="C138" s="43" t="s">
        <v>1387</v>
      </c>
      <c r="D138" s="42"/>
      <c r="E138" s="42"/>
      <c r="F138" s="43"/>
      <c r="G138" s="40"/>
      <c r="H138" s="40"/>
      <c r="I138" s="40"/>
      <c r="J138" s="40"/>
      <c r="K138" s="40"/>
      <c r="L138" s="40"/>
      <c r="M138" s="40"/>
      <c r="N138" s="7">
        <f t="shared" si="4"/>
        <v>0</v>
      </c>
    </row>
    <row r="139" spans="1:14" x14ac:dyDescent="0.35">
      <c r="A139" s="43">
        <f t="shared" si="5"/>
        <v>137</v>
      </c>
      <c r="B139" s="43">
        <v>6</v>
      </c>
      <c r="C139" s="43" t="s">
        <v>1388</v>
      </c>
      <c r="D139" s="42"/>
      <c r="E139" s="44"/>
      <c r="F139" s="43"/>
      <c r="G139" s="40"/>
      <c r="H139" s="40"/>
      <c r="I139" s="40"/>
      <c r="J139" s="40"/>
      <c r="K139" s="40"/>
      <c r="L139" s="40"/>
      <c r="M139" s="40"/>
      <c r="N139" s="7">
        <f t="shared" si="4"/>
        <v>0</v>
      </c>
    </row>
    <row r="140" spans="1:14" x14ac:dyDescent="0.35">
      <c r="A140" s="43">
        <f t="shared" si="5"/>
        <v>138</v>
      </c>
      <c r="B140" s="43">
        <v>6</v>
      </c>
      <c r="C140" s="43" t="s">
        <v>1389</v>
      </c>
      <c r="D140" s="42"/>
      <c r="E140" s="42"/>
      <c r="F140" s="43"/>
      <c r="G140" s="40"/>
      <c r="H140" s="40"/>
      <c r="I140" s="40"/>
      <c r="J140" s="40"/>
      <c r="K140" s="40"/>
      <c r="L140" s="40"/>
      <c r="M140" s="40"/>
      <c r="N140" s="7">
        <f t="shared" si="4"/>
        <v>0</v>
      </c>
    </row>
    <row r="141" spans="1:14" x14ac:dyDescent="0.35">
      <c r="A141" s="43">
        <f t="shared" si="5"/>
        <v>139</v>
      </c>
      <c r="B141" s="43">
        <v>6</v>
      </c>
      <c r="C141" s="43" t="s">
        <v>1390</v>
      </c>
      <c r="D141" s="42"/>
      <c r="E141" s="42"/>
      <c r="F141" s="43"/>
      <c r="G141" s="40"/>
      <c r="H141" s="40"/>
      <c r="I141" s="40"/>
      <c r="J141" s="40"/>
      <c r="K141" s="40"/>
      <c r="L141" s="40"/>
      <c r="M141" s="40"/>
      <c r="N141" s="7">
        <f t="shared" si="4"/>
        <v>0</v>
      </c>
    </row>
    <row r="142" spans="1:14" x14ac:dyDescent="0.35">
      <c r="A142" s="43">
        <f t="shared" si="5"/>
        <v>140</v>
      </c>
      <c r="B142" s="43">
        <v>6</v>
      </c>
      <c r="C142" s="43" t="s">
        <v>1391</v>
      </c>
      <c r="D142" s="42"/>
      <c r="E142" s="42"/>
      <c r="F142" s="43"/>
      <c r="G142" s="40"/>
      <c r="H142" s="40"/>
      <c r="I142" s="40"/>
      <c r="J142" s="40"/>
      <c r="K142" s="40"/>
      <c r="L142" s="40"/>
      <c r="M142" s="40"/>
      <c r="N142" s="7">
        <f t="shared" si="4"/>
        <v>0</v>
      </c>
    </row>
    <row r="143" spans="1:14" x14ac:dyDescent="0.35">
      <c r="A143" s="43">
        <f t="shared" si="5"/>
        <v>141</v>
      </c>
      <c r="B143" s="43">
        <v>6</v>
      </c>
      <c r="C143" s="43" t="s">
        <v>1392</v>
      </c>
      <c r="D143" s="42"/>
      <c r="E143" s="42"/>
      <c r="F143" s="43"/>
      <c r="G143" s="40"/>
      <c r="H143" s="40"/>
      <c r="I143" s="40"/>
      <c r="J143" s="40"/>
      <c r="K143" s="40"/>
      <c r="L143" s="40"/>
      <c r="M143" s="40"/>
      <c r="N143" s="7">
        <f t="shared" si="4"/>
        <v>0</v>
      </c>
    </row>
    <row r="144" spans="1:14" x14ac:dyDescent="0.35">
      <c r="A144" s="43">
        <f t="shared" si="5"/>
        <v>142</v>
      </c>
      <c r="B144" s="43">
        <v>6</v>
      </c>
      <c r="C144" s="43" t="s">
        <v>1393</v>
      </c>
      <c r="D144" s="42"/>
      <c r="E144" s="42"/>
      <c r="F144" s="43"/>
      <c r="G144" s="40"/>
      <c r="H144" s="40"/>
      <c r="I144" s="40"/>
      <c r="J144" s="40"/>
      <c r="K144" s="40"/>
      <c r="L144" s="40"/>
      <c r="M144" s="40"/>
      <c r="N144" s="7">
        <f t="shared" si="4"/>
        <v>0</v>
      </c>
    </row>
    <row r="145" spans="1:14" x14ac:dyDescent="0.35">
      <c r="A145" s="43">
        <f t="shared" si="5"/>
        <v>143</v>
      </c>
      <c r="B145" s="43">
        <v>6</v>
      </c>
      <c r="C145" s="43" t="s">
        <v>1394</v>
      </c>
      <c r="D145" s="42"/>
      <c r="E145" s="42"/>
      <c r="F145" s="43"/>
      <c r="G145" s="40"/>
      <c r="H145" s="40"/>
      <c r="I145" s="40"/>
      <c r="J145" s="40"/>
      <c r="K145" s="40"/>
      <c r="L145" s="40"/>
      <c r="M145" s="40"/>
      <c r="N145" s="7">
        <f t="shared" si="4"/>
        <v>0</v>
      </c>
    </row>
    <row r="146" spans="1:14" x14ac:dyDescent="0.35">
      <c r="A146" s="43">
        <f t="shared" si="5"/>
        <v>144</v>
      </c>
      <c r="B146" s="43">
        <v>6</v>
      </c>
      <c r="C146" s="43" t="s">
        <v>1395</v>
      </c>
      <c r="D146" s="42"/>
      <c r="E146" s="42"/>
      <c r="F146" s="43"/>
      <c r="G146" s="40"/>
      <c r="H146" s="40"/>
      <c r="I146" s="40"/>
      <c r="J146" s="40"/>
      <c r="K146" s="40"/>
      <c r="L146" s="40"/>
      <c r="M146" s="40"/>
      <c r="N146" s="7">
        <f t="shared" si="4"/>
        <v>0</v>
      </c>
    </row>
    <row r="147" spans="1:14" x14ac:dyDescent="0.35">
      <c r="A147" s="43">
        <f t="shared" si="5"/>
        <v>145</v>
      </c>
      <c r="B147" s="43">
        <v>6</v>
      </c>
      <c r="C147" s="43" t="s">
        <v>1396</v>
      </c>
      <c r="D147" s="42"/>
      <c r="E147" s="42"/>
      <c r="F147" s="43"/>
      <c r="G147" s="40"/>
      <c r="H147" s="40"/>
      <c r="I147" s="40"/>
      <c r="J147" s="40"/>
      <c r="K147" s="40"/>
      <c r="L147" s="40"/>
      <c r="M147" s="40"/>
      <c r="N147" s="7">
        <f t="shared" si="4"/>
        <v>0</v>
      </c>
    </row>
    <row r="148" spans="1:14" x14ac:dyDescent="0.35">
      <c r="A148" s="43">
        <f t="shared" si="5"/>
        <v>146</v>
      </c>
      <c r="B148" s="43">
        <v>6</v>
      </c>
      <c r="C148" s="43" t="s">
        <v>1397</v>
      </c>
      <c r="D148" s="42"/>
      <c r="E148" s="42"/>
      <c r="F148" s="43"/>
      <c r="G148" s="40"/>
      <c r="H148" s="40"/>
      <c r="I148" s="40"/>
      <c r="J148" s="40"/>
      <c r="K148" s="40"/>
      <c r="L148" s="40"/>
      <c r="M148" s="40"/>
      <c r="N148" s="7">
        <f t="shared" si="4"/>
        <v>0</v>
      </c>
    </row>
    <row r="149" spans="1:14" x14ac:dyDescent="0.35">
      <c r="A149" s="43">
        <f t="shared" si="5"/>
        <v>147</v>
      </c>
      <c r="B149" s="43">
        <v>6</v>
      </c>
      <c r="C149" s="43" t="s">
        <v>1398</v>
      </c>
      <c r="D149" s="42"/>
      <c r="E149" s="42"/>
      <c r="F149" s="43"/>
      <c r="G149" s="40"/>
      <c r="H149" s="40"/>
      <c r="I149" s="40"/>
      <c r="J149" s="40"/>
      <c r="K149" s="40"/>
      <c r="L149" s="40"/>
      <c r="M149" s="40"/>
      <c r="N149" s="7">
        <f t="shared" si="4"/>
        <v>0</v>
      </c>
    </row>
    <row r="150" spans="1:14" x14ac:dyDescent="0.35">
      <c r="A150" s="43">
        <f t="shared" si="5"/>
        <v>148</v>
      </c>
      <c r="B150" s="43">
        <v>6</v>
      </c>
      <c r="C150" s="43" t="s">
        <v>1399</v>
      </c>
      <c r="D150" s="42"/>
      <c r="E150" s="42"/>
      <c r="F150" s="43"/>
      <c r="G150" s="40"/>
      <c r="H150" s="40"/>
      <c r="I150" s="40"/>
      <c r="J150" s="40"/>
      <c r="K150" s="40"/>
      <c r="L150" s="40"/>
      <c r="M150" s="40"/>
      <c r="N150" s="7">
        <f t="shared" si="4"/>
        <v>0</v>
      </c>
    </row>
    <row r="151" spans="1:14" x14ac:dyDescent="0.35">
      <c r="A151" s="43">
        <f t="shared" si="5"/>
        <v>149</v>
      </c>
      <c r="B151" s="43">
        <v>6</v>
      </c>
      <c r="C151" s="43" t="s">
        <v>1400</v>
      </c>
      <c r="D151" s="42"/>
      <c r="E151" s="42"/>
      <c r="F151" s="43"/>
      <c r="G151" s="40"/>
      <c r="H151" s="40"/>
      <c r="I151" s="40"/>
      <c r="J151" s="40"/>
      <c r="K151" s="40"/>
      <c r="L151" s="40"/>
      <c r="M151" s="40"/>
      <c r="N151" s="7">
        <f t="shared" si="4"/>
        <v>0</v>
      </c>
    </row>
    <row r="152" spans="1:14" x14ac:dyDescent="0.35">
      <c r="A152" s="43">
        <f t="shared" si="5"/>
        <v>150</v>
      </c>
      <c r="B152" s="43">
        <v>6</v>
      </c>
      <c r="C152" s="43" t="s">
        <v>1401</v>
      </c>
      <c r="D152" s="42"/>
      <c r="E152" s="42"/>
      <c r="F152" s="43"/>
      <c r="G152" s="40"/>
      <c r="H152" s="40"/>
      <c r="I152" s="40"/>
      <c r="J152" s="40"/>
      <c r="K152" s="40"/>
      <c r="L152" s="40"/>
      <c r="M152" s="40"/>
      <c r="N152" s="7">
        <f t="shared" si="4"/>
        <v>0</v>
      </c>
    </row>
    <row r="153" spans="1:14" x14ac:dyDescent="0.35">
      <c r="A153" s="43">
        <f t="shared" si="5"/>
        <v>151</v>
      </c>
      <c r="B153" s="43">
        <v>6</v>
      </c>
      <c r="C153" s="43" t="s">
        <v>1402</v>
      </c>
      <c r="D153" s="42"/>
      <c r="E153" s="42"/>
      <c r="F153" s="43"/>
      <c r="G153" s="40"/>
      <c r="H153" s="40"/>
      <c r="I153" s="40"/>
      <c r="J153" s="40"/>
      <c r="K153" s="40"/>
      <c r="L153" s="40"/>
      <c r="M153" s="40"/>
      <c r="N153" s="7">
        <f t="shared" si="4"/>
        <v>0</v>
      </c>
    </row>
    <row r="154" spans="1:14" x14ac:dyDescent="0.35">
      <c r="A154" s="43">
        <f t="shared" si="5"/>
        <v>152</v>
      </c>
      <c r="B154" s="43">
        <v>6</v>
      </c>
      <c r="C154" s="43" t="s">
        <v>1403</v>
      </c>
      <c r="D154" s="42"/>
      <c r="E154" s="42"/>
      <c r="F154" s="43"/>
      <c r="G154" s="40"/>
      <c r="H154" s="40"/>
      <c r="I154" s="40"/>
      <c r="J154" s="40"/>
      <c r="K154" s="40"/>
      <c r="L154" s="40"/>
      <c r="M154" s="40"/>
      <c r="N154" s="7">
        <f t="shared" si="4"/>
        <v>0</v>
      </c>
    </row>
    <row r="155" spans="1:14" x14ac:dyDescent="0.35">
      <c r="A155" s="43">
        <f t="shared" si="5"/>
        <v>153</v>
      </c>
      <c r="B155" s="43">
        <v>6</v>
      </c>
      <c r="C155" s="43" t="s">
        <v>1404</v>
      </c>
      <c r="D155" s="42"/>
      <c r="E155" s="42"/>
      <c r="F155" s="43"/>
      <c r="G155" s="40"/>
      <c r="H155" s="40"/>
      <c r="I155" s="40"/>
      <c r="J155" s="40"/>
      <c r="K155" s="40"/>
      <c r="L155" s="40"/>
      <c r="M155" s="40"/>
      <c r="N155" s="7">
        <f t="shared" si="4"/>
        <v>0</v>
      </c>
    </row>
    <row r="156" spans="1:14" x14ac:dyDescent="0.35">
      <c r="A156" s="43">
        <f t="shared" si="5"/>
        <v>154</v>
      </c>
      <c r="B156" s="43">
        <v>6</v>
      </c>
      <c r="C156" s="43" t="s">
        <v>1405</v>
      </c>
      <c r="D156" s="42"/>
      <c r="E156" s="42"/>
      <c r="F156" s="43"/>
      <c r="G156" s="40"/>
      <c r="H156" s="40"/>
      <c r="I156" s="40"/>
      <c r="J156" s="40"/>
      <c r="K156" s="40"/>
      <c r="L156" s="40"/>
      <c r="M156" s="40"/>
      <c r="N156" s="7">
        <f t="shared" si="4"/>
        <v>0</v>
      </c>
    </row>
    <row r="157" spans="1:14" x14ac:dyDescent="0.35">
      <c r="A157" s="43"/>
      <c r="B157" s="43"/>
      <c r="C157" s="43"/>
      <c r="D157" s="45"/>
      <c r="E157" s="46" t="s">
        <v>1158</v>
      </c>
      <c r="F157" s="43"/>
      <c r="G157" s="40"/>
      <c r="H157" s="40"/>
      <c r="I157" s="40"/>
      <c r="J157" s="40"/>
      <c r="K157" s="40"/>
      <c r="L157" s="40"/>
      <c r="M157" s="40"/>
      <c r="N157" s="40"/>
    </row>
  </sheetData>
  <sortState xmlns:xlrd2="http://schemas.microsoft.com/office/spreadsheetml/2017/richdata2" ref="B3:E156">
    <sortCondition ref="B3:B156"/>
  </sortState>
  <mergeCells count="1">
    <mergeCell ref="A1:H1"/>
  </mergeCells>
  <phoneticPr fontId="9" type="noConversion"/>
  <pageMargins left="0.7" right="0.7" top="0.75" bottom="0.75" header="0.3" footer="0.3"/>
  <pageSetup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D765-913F-41BC-8A8D-C4F689EBC3FD}">
  <sheetPr filterMode="1"/>
  <dimension ref="A1:K168"/>
  <sheetViews>
    <sheetView topLeftCell="A116" workbookViewId="0">
      <selection activeCell="A2" sqref="A2:K125"/>
    </sheetView>
  </sheetViews>
  <sheetFormatPr defaultRowHeight="26.25" customHeight="1" x14ac:dyDescent="0.35"/>
  <cols>
    <col min="1" max="1" width="7.26953125" style="5" customWidth="1"/>
    <col min="2" max="2" width="12.453125" style="5" customWidth="1"/>
    <col min="3" max="3" width="33.26953125" customWidth="1"/>
    <col min="4" max="4" width="38.81640625" customWidth="1"/>
    <col min="5" max="5" width="11.54296875" style="5" customWidth="1"/>
    <col min="6" max="6" width="10.7265625" style="5" bestFit="1" customWidth="1"/>
    <col min="7" max="7" width="9.1796875" style="5"/>
    <col min="8" max="8" width="10.81640625" style="5" customWidth="1"/>
    <col min="9" max="11" width="9.1796875" style="5"/>
  </cols>
  <sheetData>
    <row r="1" spans="1:11" ht="26.25" customHeight="1" x14ac:dyDescent="0.35">
      <c r="C1" t="s">
        <v>1237</v>
      </c>
      <c r="G1" s="7">
        <v>2</v>
      </c>
    </row>
    <row r="2" spans="1:11" ht="26.25" customHeight="1" x14ac:dyDescent="0.35">
      <c r="A2" s="9" t="s">
        <v>1157</v>
      </c>
      <c r="B2" s="9" t="s">
        <v>1179</v>
      </c>
      <c r="C2" s="6" t="s">
        <v>0</v>
      </c>
      <c r="D2" s="10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15.75" hidden="1" customHeight="1" x14ac:dyDescent="0.35">
      <c r="A3" s="7">
        <v>1</v>
      </c>
      <c r="B3" s="11" t="s">
        <v>1198</v>
      </c>
      <c r="C3" s="8" t="s">
        <v>12</v>
      </c>
      <c r="D3" s="13" t="s">
        <v>593</v>
      </c>
      <c r="E3" s="14">
        <v>1</v>
      </c>
      <c r="F3" s="11">
        <v>1</v>
      </c>
      <c r="G3" s="7"/>
      <c r="H3" s="7">
        <v>1</v>
      </c>
      <c r="I3" s="7"/>
      <c r="J3" s="7">
        <v>1</v>
      </c>
      <c r="K3" s="7"/>
    </row>
    <row r="4" spans="1:11" ht="15.75" hidden="1" customHeight="1" x14ac:dyDescent="0.35">
      <c r="A4" s="7">
        <v>1</v>
      </c>
      <c r="B4" s="11" t="s">
        <v>1198</v>
      </c>
      <c r="C4" s="8" t="s">
        <v>15</v>
      </c>
      <c r="D4" s="13" t="s">
        <v>596</v>
      </c>
      <c r="E4" s="14">
        <v>1</v>
      </c>
      <c r="F4" s="11">
        <v>1</v>
      </c>
      <c r="G4" s="7"/>
      <c r="H4" s="7">
        <v>1</v>
      </c>
      <c r="I4" s="7"/>
      <c r="J4" s="7">
        <v>1</v>
      </c>
      <c r="K4" s="7"/>
    </row>
    <row r="5" spans="1:11" ht="15.75" hidden="1" customHeight="1" x14ac:dyDescent="0.35">
      <c r="A5" s="7">
        <v>1</v>
      </c>
      <c r="B5" s="11" t="s">
        <v>1198</v>
      </c>
      <c r="C5" s="8" t="s">
        <v>20</v>
      </c>
      <c r="D5" s="13" t="s">
        <v>599</v>
      </c>
      <c r="E5" s="14">
        <v>1</v>
      </c>
      <c r="F5" s="11">
        <v>1</v>
      </c>
      <c r="G5" s="7"/>
      <c r="H5" s="7">
        <v>1</v>
      </c>
      <c r="I5" s="7"/>
      <c r="J5" s="7">
        <v>1</v>
      </c>
      <c r="K5" s="7"/>
    </row>
    <row r="6" spans="1:11" ht="15.75" hidden="1" customHeight="1" x14ac:dyDescent="0.35">
      <c r="A6" s="7">
        <v>1</v>
      </c>
      <c r="B6" s="11" t="s">
        <v>1198</v>
      </c>
      <c r="C6" s="8" t="s">
        <v>21</v>
      </c>
      <c r="D6" s="13" t="s">
        <v>600</v>
      </c>
      <c r="E6" s="14">
        <v>1</v>
      </c>
      <c r="F6" s="11">
        <v>1</v>
      </c>
      <c r="G6" s="7"/>
      <c r="H6" s="7">
        <v>1</v>
      </c>
      <c r="I6" s="7"/>
      <c r="J6" s="7">
        <v>1</v>
      </c>
      <c r="K6" s="7"/>
    </row>
    <row r="7" spans="1:11" ht="15.75" hidden="1" customHeight="1" x14ac:dyDescent="0.35">
      <c r="A7" s="7">
        <v>1</v>
      </c>
      <c r="B7" s="11" t="s">
        <v>1198</v>
      </c>
      <c r="C7" s="8" t="s">
        <v>22</v>
      </c>
      <c r="D7" s="13" t="s">
        <v>601</v>
      </c>
      <c r="E7" s="14">
        <v>1</v>
      </c>
      <c r="F7" s="11">
        <v>1</v>
      </c>
      <c r="G7" s="7"/>
      <c r="H7" s="7">
        <v>1</v>
      </c>
      <c r="I7" s="7"/>
      <c r="J7" s="7">
        <v>1</v>
      </c>
      <c r="K7" s="7"/>
    </row>
    <row r="8" spans="1:11" ht="15.75" hidden="1" customHeight="1" x14ac:dyDescent="0.35">
      <c r="A8" s="7">
        <v>1</v>
      </c>
      <c r="B8" s="11" t="s">
        <v>1198</v>
      </c>
      <c r="C8" s="8" t="s">
        <v>23</v>
      </c>
      <c r="D8" s="13" t="s">
        <v>602</v>
      </c>
      <c r="E8" s="14">
        <v>1</v>
      </c>
      <c r="F8" s="11">
        <v>1</v>
      </c>
      <c r="G8" s="7"/>
      <c r="H8" s="7">
        <v>1</v>
      </c>
      <c r="I8" s="7"/>
      <c r="J8" s="7">
        <v>1</v>
      </c>
      <c r="K8" s="7"/>
    </row>
    <row r="9" spans="1:11" ht="15.75" hidden="1" customHeight="1" x14ac:dyDescent="0.35">
      <c r="A9" s="7">
        <v>1</v>
      </c>
      <c r="B9" s="11" t="s">
        <v>1198</v>
      </c>
      <c r="C9" s="8" t="s">
        <v>26</v>
      </c>
      <c r="D9" s="13" t="s">
        <v>605</v>
      </c>
      <c r="E9" s="14">
        <v>2</v>
      </c>
      <c r="F9" s="11"/>
      <c r="G9" s="7">
        <v>2</v>
      </c>
      <c r="H9" s="7"/>
      <c r="I9" s="7">
        <v>2</v>
      </c>
      <c r="J9" s="7"/>
      <c r="K9" s="7">
        <v>2</v>
      </c>
    </row>
    <row r="10" spans="1:11" ht="15.75" hidden="1" customHeight="1" x14ac:dyDescent="0.35">
      <c r="A10" s="7">
        <v>1</v>
      </c>
      <c r="B10" s="11" t="s">
        <v>1198</v>
      </c>
      <c r="C10" s="8" t="s">
        <v>40</v>
      </c>
      <c r="D10" s="13" t="s">
        <v>618</v>
      </c>
      <c r="E10" s="14">
        <v>2</v>
      </c>
      <c r="F10" s="11"/>
      <c r="G10" s="7">
        <v>2</v>
      </c>
      <c r="H10" s="7"/>
      <c r="I10" s="7">
        <v>2</v>
      </c>
      <c r="J10" s="7"/>
      <c r="K10" s="7">
        <v>2</v>
      </c>
    </row>
    <row r="11" spans="1:11" ht="15.75" hidden="1" customHeight="1" x14ac:dyDescent="0.35">
      <c r="A11" s="7">
        <v>1</v>
      </c>
      <c r="B11" s="11" t="s">
        <v>1198</v>
      </c>
      <c r="C11" s="8" t="s">
        <v>59</v>
      </c>
      <c r="D11" s="13" t="s">
        <v>640</v>
      </c>
      <c r="E11" s="14">
        <v>2</v>
      </c>
      <c r="F11" s="11"/>
      <c r="G11" s="7">
        <v>2</v>
      </c>
      <c r="H11" s="7"/>
      <c r="I11" s="7">
        <v>2</v>
      </c>
      <c r="J11" s="7"/>
      <c r="K11" s="7">
        <v>2</v>
      </c>
    </row>
    <row r="12" spans="1:11" ht="15.75" hidden="1" customHeight="1" x14ac:dyDescent="0.35">
      <c r="A12" s="7">
        <v>1</v>
      </c>
      <c r="B12" s="11" t="s">
        <v>1198</v>
      </c>
      <c r="C12" s="8" t="s">
        <v>66</v>
      </c>
      <c r="D12" s="13" t="s">
        <v>647</v>
      </c>
      <c r="E12" s="14">
        <v>2</v>
      </c>
      <c r="F12" s="11"/>
      <c r="G12" s="7">
        <v>2</v>
      </c>
      <c r="H12" s="7"/>
      <c r="I12" s="7">
        <v>2</v>
      </c>
      <c r="J12" s="7"/>
      <c r="K12" s="7">
        <v>2</v>
      </c>
    </row>
    <row r="13" spans="1:11" ht="15.75" hidden="1" customHeight="1" x14ac:dyDescent="0.35">
      <c r="A13" s="7">
        <v>1</v>
      </c>
      <c r="B13" s="11" t="s">
        <v>1198</v>
      </c>
      <c r="C13" s="8" t="s">
        <v>73</v>
      </c>
      <c r="D13" s="13" t="s">
        <v>654</v>
      </c>
      <c r="E13" s="14">
        <v>2</v>
      </c>
      <c r="F13" s="11"/>
      <c r="G13" s="7">
        <v>2</v>
      </c>
      <c r="H13" s="7"/>
      <c r="I13" s="7">
        <v>2</v>
      </c>
      <c r="J13" s="7"/>
      <c r="K13" s="7">
        <v>2</v>
      </c>
    </row>
    <row r="14" spans="1:11" ht="15.75" hidden="1" customHeight="1" x14ac:dyDescent="0.35">
      <c r="A14" s="7">
        <v>1</v>
      </c>
      <c r="B14" s="11" t="s">
        <v>1198</v>
      </c>
      <c r="C14" s="8" t="s">
        <v>256</v>
      </c>
      <c r="D14" s="13" t="s">
        <v>832</v>
      </c>
      <c r="E14" s="14">
        <v>1</v>
      </c>
      <c r="F14" s="11">
        <v>1</v>
      </c>
      <c r="G14" s="7"/>
      <c r="H14" s="7">
        <v>1</v>
      </c>
      <c r="I14" s="7"/>
      <c r="J14" s="7">
        <v>1</v>
      </c>
      <c r="K14" s="7"/>
    </row>
    <row r="15" spans="1:11" ht="15.75" hidden="1" customHeight="1" x14ac:dyDescent="0.35">
      <c r="A15" s="7">
        <v>1</v>
      </c>
      <c r="B15" s="11" t="s">
        <v>1198</v>
      </c>
      <c r="C15" s="8" t="s">
        <v>1162</v>
      </c>
      <c r="D15" s="13" t="s">
        <v>833</v>
      </c>
      <c r="E15" s="14">
        <v>1</v>
      </c>
      <c r="F15" s="11">
        <v>1</v>
      </c>
      <c r="G15" s="7"/>
      <c r="H15" s="7">
        <v>1</v>
      </c>
      <c r="I15" s="7"/>
      <c r="J15" s="7">
        <v>1</v>
      </c>
      <c r="K15" s="7"/>
    </row>
    <row r="16" spans="1:11" ht="15.75" hidden="1" customHeight="1" x14ac:dyDescent="0.35">
      <c r="A16" s="7">
        <v>1</v>
      </c>
      <c r="B16" s="11" t="s">
        <v>1198</v>
      </c>
      <c r="C16" s="8" t="s">
        <v>272</v>
      </c>
      <c r="D16" s="13" t="s">
        <v>849</v>
      </c>
      <c r="E16" s="14">
        <v>1</v>
      </c>
      <c r="F16" s="11">
        <v>1</v>
      </c>
      <c r="G16" s="7"/>
      <c r="H16" s="7">
        <v>1</v>
      </c>
      <c r="I16" s="7"/>
      <c r="J16" s="7">
        <v>1</v>
      </c>
      <c r="K16" s="7"/>
    </row>
    <row r="17" spans="1:11" ht="15.75" hidden="1" customHeight="1" x14ac:dyDescent="0.35">
      <c r="A17" s="7">
        <v>1</v>
      </c>
      <c r="B17" s="11" t="s">
        <v>1198</v>
      </c>
      <c r="C17" s="8" t="s">
        <v>273</v>
      </c>
      <c r="D17" s="13" t="s">
        <v>850</v>
      </c>
      <c r="E17" s="14">
        <v>2</v>
      </c>
      <c r="F17" s="11"/>
      <c r="G17" s="7">
        <v>2</v>
      </c>
      <c r="H17" s="7"/>
      <c r="I17" s="7">
        <v>2</v>
      </c>
      <c r="J17" s="7"/>
      <c r="K17" s="7">
        <v>2</v>
      </c>
    </row>
    <row r="18" spans="1:11" ht="15.75" hidden="1" customHeight="1" x14ac:dyDescent="0.35">
      <c r="A18" s="7">
        <v>1</v>
      </c>
      <c r="B18" s="11" t="s">
        <v>1198</v>
      </c>
      <c r="C18" s="19" t="s">
        <v>274</v>
      </c>
      <c r="D18" s="13" t="s">
        <v>851</v>
      </c>
      <c r="E18" s="14">
        <v>1</v>
      </c>
      <c r="F18" s="11">
        <v>1</v>
      </c>
      <c r="G18" s="7"/>
      <c r="H18" s="7">
        <v>1</v>
      </c>
      <c r="I18" s="7"/>
      <c r="J18" s="7">
        <v>1</v>
      </c>
      <c r="K18" s="7"/>
    </row>
    <row r="19" spans="1:11" ht="15.75" hidden="1" customHeight="1" x14ac:dyDescent="0.35">
      <c r="A19" s="7">
        <v>1</v>
      </c>
      <c r="B19" s="11" t="s">
        <v>1198</v>
      </c>
      <c r="C19" s="8" t="s">
        <v>275</v>
      </c>
      <c r="D19" s="13" t="s">
        <v>852</v>
      </c>
      <c r="E19" s="14">
        <v>1</v>
      </c>
      <c r="F19" s="11">
        <v>1</v>
      </c>
      <c r="G19" s="7"/>
      <c r="H19" s="7">
        <v>1</v>
      </c>
      <c r="I19" s="7"/>
      <c r="J19" s="7">
        <v>1</v>
      </c>
      <c r="K19" s="7"/>
    </row>
    <row r="20" spans="1:11" ht="15.75" hidden="1" customHeight="1" x14ac:dyDescent="0.35">
      <c r="A20" s="7">
        <v>1</v>
      </c>
      <c r="B20" s="11" t="s">
        <v>1198</v>
      </c>
      <c r="C20" s="19" t="s">
        <v>318</v>
      </c>
      <c r="D20" s="15" t="s">
        <v>1180</v>
      </c>
      <c r="E20" s="16" t="s">
        <v>1206</v>
      </c>
      <c r="F20" s="11">
        <v>1</v>
      </c>
      <c r="G20" s="7"/>
      <c r="H20" s="7">
        <v>1</v>
      </c>
      <c r="I20" s="7"/>
      <c r="J20" s="7">
        <v>1</v>
      </c>
      <c r="K20" s="7"/>
    </row>
    <row r="21" spans="1:11" ht="15.75" hidden="1" customHeight="1" x14ac:dyDescent="0.35">
      <c r="A21" s="7">
        <v>1</v>
      </c>
      <c r="B21" s="11" t="s">
        <v>1198</v>
      </c>
      <c r="C21" s="8" t="s">
        <v>567</v>
      </c>
      <c r="D21" s="15" t="s">
        <v>1181</v>
      </c>
      <c r="E21" s="16" t="s">
        <v>1206</v>
      </c>
      <c r="F21" s="11">
        <v>1</v>
      </c>
      <c r="G21" s="7"/>
      <c r="H21" s="7">
        <v>1</v>
      </c>
      <c r="I21" s="7"/>
      <c r="J21" s="7">
        <v>1</v>
      </c>
      <c r="K21" s="7"/>
    </row>
    <row r="22" spans="1:11" ht="15.75" hidden="1" customHeight="1" x14ac:dyDescent="0.35">
      <c r="A22" s="7">
        <v>1</v>
      </c>
      <c r="B22" s="11" t="s">
        <v>1198</v>
      </c>
      <c r="C22" s="8" t="s">
        <v>575</v>
      </c>
      <c r="D22" s="15" t="s">
        <v>1181</v>
      </c>
      <c r="E22" s="16" t="s">
        <v>1206</v>
      </c>
      <c r="F22" s="11">
        <v>1</v>
      </c>
      <c r="G22" s="7"/>
      <c r="H22" s="7">
        <v>1</v>
      </c>
      <c r="I22" s="7"/>
      <c r="J22" s="7">
        <v>1</v>
      </c>
      <c r="K22" s="7"/>
    </row>
    <row r="23" spans="1:11" ht="15.75" hidden="1" customHeight="1" x14ac:dyDescent="0.35">
      <c r="A23" s="7">
        <v>1</v>
      </c>
      <c r="B23" s="11" t="s">
        <v>1198</v>
      </c>
      <c r="C23" s="8" t="s">
        <v>578</v>
      </c>
      <c r="D23" s="15" t="s">
        <v>1182</v>
      </c>
      <c r="E23" s="16" t="s">
        <v>1206</v>
      </c>
      <c r="F23" s="11">
        <v>1</v>
      </c>
      <c r="G23" s="7"/>
      <c r="H23" s="7">
        <v>1</v>
      </c>
      <c r="I23" s="7"/>
      <c r="J23" s="7">
        <v>1</v>
      </c>
      <c r="K23" s="7"/>
    </row>
    <row r="24" spans="1:11" ht="15.75" hidden="1" customHeight="1" x14ac:dyDescent="0.35">
      <c r="A24" s="7">
        <v>1</v>
      </c>
      <c r="B24" s="11" t="s">
        <v>1198</v>
      </c>
      <c r="C24" s="8" t="s">
        <v>581</v>
      </c>
      <c r="D24" s="15" t="s">
        <v>1183</v>
      </c>
      <c r="E24" s="16" t="s">
        <v>1206</v>
      </c>
      <c r="F24" s="11">
        <v>1</v>
      </c>
      <c r="G24" s="7"/>
      <c r="H24" s="7">
        <v>1</v>
      </c>
      <c r="I24" s="7"/>
      <c r="J24" s="7">
        <v>1</v>
      </c>
      <c r="K24" s="7"/>
    </row>
    <row r="25" spans="1:11" ht="15.75" hidden="1" customHeight="1" x14ac:dyDescent="0.35">
      <c r="A25" s="7">
        <v>1</v>
      </c>
      <c r="B25" s="11" t="s">
        <v>1198</v>
      </c>
      <c r="C25" s="8" t="s">
        <v>14</v>
      </c>
      <c r="D25" s="13" t="s">
        <v>595</v>
      </c>
      <c r="E25" s="14">
        <v>1</v>
      </c>
      <c r="F25" s="11">
        <v>1</v>
      </c>
      <c r="G25" s="7"/>
      <c r="H25" s="7">
        <v>1</v>
      </c>
      <c r="I25" s="7"/>
      <c r="J25" s="7">
        <v>1</v>
      </c>
      <c r="K25" s="7"/>
    </row>
    <row r="26" spans="1:11" ht="15.75" hidden="1" customHeight="1" x14ac:dyDescent="0.35">
      <c r="A26" s="7">
        <v>1</v>
      </c>
      <c r="B26" s="11" t="s">
        <v>1198</v>
      </c>
      <c r="C26" s="8" t="s">
        <v>41</v>
      </c>
      <c r="D26" s="13" t="s">
        <v>619</v>
      </c>
      <c r="E26" s="14">
        <v>2</v>
      </c>
      <c r="F26" s="11"/>
      <c r="G26" s="7">
        <v>2</v>
      </c>
      <c r="H26" s="7"/>
      <c r="I26" s="7">
        <v>2</v>
      </c>
      <c r="J26" s="7"/>
      <c r="K26" s="7">
        <v>2</v>
      </c>
    </row>
    <row r="27" spans="1:11" ht="15.75" hidden="1" customHeight="1" x14ac:dyDescent="0.35">
      <c r="A27" s="7">
        <v>1</v>
      </c>
      <c r="B27" s="11" t="s">
        <v>1198</v>
      </c>
      <c r="C27" s="8" t="s">
        <v>47</v>
      </c>
      <c r="D27" s="13" t="s">
        <v>628</v>
      </c>
      <c r="E27" s="14">
        <v>2</v>
      </c>
      <c r="F27" s="11"/>
      <c r="G27" s="7">
        <v>2</v>
      </c>
      <c r="H27" s="7"/>
      <c r="I27" s="7">
        <v>2</v>
      </c>
      <c r="J27" s="7"/>
      <c r="K27" s="7">
        <v>2</v>
      </c>
    </row>
    <row r="28" spans="1:11" ht="15.75" hidden="1" customHeight="1" x14ac:dyDescent="0.35">
      <c r="A28" s="7">
        <v>1</v>
      </c>
      <c r="B28" s="11" t="s">
        <v>1198</v>
      </c>
      <c r="C28" s="8" t="s">
        <v>49</v>
      </c>
      <c r="D28" s="13" t="s">
        <v>630</v>
      </c>
      <c r="E28" s="14">
        <v>2</v>
      </c>
      <c r="F28" s="11"/>
      <c r="G28" s="7">
        <v>2</v>
      </c>
      <c r="H28" s="7"/>
      <c r="I28" s="7">
        <v>2</v>
      </c>
      <c r="J28" s="7"/>
      <c r="K28" s="7">
        <v>2</v>
      </c>
    </row>
    <row r="29" spans="1:11" ht="15.75" hidden="1" customHeight="1" x14ac:dyDescent="0.35">
      <c r="A29" s="7">
        <v>1</v>
      </c>
      <c r="B29" s="11" t="s">
        <v>1198</v>
      </c>
      <c r="C29" s="19" t="s">
        <v>65</v>
      </c>
      <c r="D29" s="13" t="s">
        <v>646</v>
      </c>
      <c r="E29" s="14">
        <v>2</v>
      </c>
      <c r="F29" s="11"/>
      <c r="G29" s="7">
        <v>2</v>
      </c>
      <c r="H29" s="7"/>
      <c r="I29" s="7">
        <v>2</v>
      </c>
      <c r="J29" s="7"/>
      <c r="K29" s="7">
        <v>2</v>
      </c>
    </row>
    <row r="30" spans="1:11" ht="15.75" hidden="1" customHeight="1" x14ac:dyDescent="0.35">
      <c r="A30" s="7">
        <v>1</v>
      </c>
      <c r="B30" s="11" t="s">
        <v>1198</v>
      </c>
      <c r="C30" s="8" t="s">
        <v>1163</v>
      </c>
      <c r="D30" s="13" t="s">
        <v>646</v>
      </c>
      <c r="E30" s="14">
        <v>2</v>
      </c>
      <c r="F30" s="11"/>
      <c r="G30" s="7">
        <v>2</v>
      </c>
      <c r="H30" s="7"/>
      <c r="I30" s="7">
        <v>2</v>
      </c>
      <c r="J30" s="7"/>
      <c r="K30" s="7">
        <v>2</v>
      </c>
    </row>
    <row r="31" spans="1:11" ht="15.75" hidden="1" customHeight="1" x14ac:dyDescent="0.35">
      <c r="A31" s="7">
        <v>1</v>
      </c>
      <c r="B31" s="11" t="s">
        <v>1198</v>
      </c>
      <c r="C31" s="8" t="s">
        <v>67</v>
      </c>
      <c r="D31" s="13" t="s">
        <v>648</v>
      </c>
      <c r="E31" s="14">
        <v>2</v>
      </c>
      <c r="F31" s="11"/>
      <c r="G31" s="7">
        <v>2</v>
      </c>
      <c r="H31" s="7"/>
      <c r="I31" s="7">
        <v>2</v>
      </c>
      <c r="J31" s="7"/>
      <c r="K31" s="7">
        <v>2</v>
      </c>
    </row>
    <row r="32" spans="1:11" ht="15.75" hidden="1" customHeight="1" x14ac:dyDescent="0.35">
      <c r="A32" s="11">
        <v>2</v>
      </c>
      <c r="B32" s="11" t="s">
        <v>1201</v>
      </c>
      <c r="C32" s="8" t="s">
        <v>89</v>
      </c>
      <c r="D32" s="13" t="s">
        <v>670</v>
      </c>
      <c r="E32" s="14">
        <v>3</v>
      </c>
      <c r="F32" s="7">
        <v>3</v>
      </c>
      <c r="G32" s="7"/>
      <c r="H32" s="7">
        <v>3</v>
      </c>
      <c r="I32" s="7"/>
      <c r="J32" s="7">
        <v>3</v>
      </c>
      <c r="K32" s="7"/>
    </row>
    <row r="33" spans="1:11" ht="15.75" hidden="1" customHeight="1" x14ac:dyDescent="0.35">
      <c r="A33" s="11">
        <v>2</v>
      </c>
      <c r="B33" s="11" t="s">
        <v>1201</v>
      </c>
      <c r="C33" s="8" t="s">
        <v>91</v>
      </c>
      <c r="D33" s="13" t="s">
        <v>672</v>
      </c>
      <c r="E33" s="14">
        <v>3</v>
      </c>
      <c r="F33" s="7">
        <v>3</v>
      </c>
      <c r="G33" s="7"/>
      <c r="H33" s="7">
        <v>3</v>
      </c>
      <c r="I33" s="7"/>
      <c r="J33" s="7">
        <v>3</v>
      </c>
      <c r="K33" s="7"/>
    </row>
    <row r="34" spans="1:11" ht="15.75" hidden="1" customHeight="1" x14ac:dyDescent="0.35">
      <c r="A34" s="11">
        <v>2</v>
      </c>
      <c r="B34" s="11" t="s">
        <v>1201</v>
      </c>
      <c r="C34" s="8" t="s">
        <v>93</v>
      </c>
      <c r="D34" s="13" t="s">
        <v>671</v>
      </c>
      <c r="E34" s="14">
        <v>3</v>
      </c>
      <c r="F34" s="7">
        <v>3</v>
      </c>
      <c r="G34" s="7"/>
      <c r="H34" s="7">
        <v>3</v>
      </c>
      <c r="I34" s="7"/>
      <c r="J34" s="7">
        <v>3</v>
      </c>
      <c r="K34" s="7"/>
    </row>
    <row r="35" spans="1:11" ht="15.75" hidden="1" customHeight="1" x14ac:dyDescent="0.35">
      <c r="A35" s="11">
        <v>2</v>
      </c>
      <c r="B35" s="11" t="s">
        <v>1201</v>
      </c>
      <c r="C35" s="8" t="s">
        <v>94</v>
      </c>
      <c r="D35" s="13" t="s">
        <v>675</v>
      </c>
      <c r="E35" s="14">
        <v>3</v>
      </c>
      <c r="F35" s="7">
        <v>3</v>
      </c>
      <c r="G35" s="7"/>
      <c r="H35" s="7">
        <v>3</v>
      </c>
      <c r="I35" s="7"/>
      <c r="J35" s="7">
        <v>3</v>
      </c>
      <c r="K35" s="7"/>
    </row>
    <row r="36" spans="1:11" ht="15.75" hidden="1" customHeight="1" x14ac:dyDescent="0.35">
      <c r="A36" s="11">
        <v>2</v>
      </c>
      <c r="B36" s="11" t="s">
        <v>1201</v>
      </c>
      <c r="C36" s="8" t="s">
        <v>95</v>
      </c>
      <c r="D36" s="13" t="s">
        <v>676</v>
      </c>
      <c r="E36" s="14">
        <v>3</v>
      </c>
      <c r="F36" s="7">
        <v>3</v>
      </c>
      <c r="G36" s="7"/>
      <c r="H36" s="7">
        <v>3</v>
      </c>
      <c r="I36" s="7"/>
      <c r="J36" s="7">
        <v>3</v>
      </c>
      <c r="K36" s="7"/>
    </row>
    <row r="37" spans="1:11" ht="15.75" hidden="1" customHeight="1" x14ac:dyDescent="0.35">
      <c r="A37" s="11">
        <v>2</v>
      </c>
      <c r="B37" s="11" t="s">
        <v>1201</v>
      </c>
      <c r="C37" s="8" t="s">
        <v>103</v>
      </c>
      <c r="D37" s="13" t="s">
        <v>684</v>
      </c>
      <c r="E37" s="14">
        <v>3</v>
      </c>
      <c r="F37" s="7">
        <v>3</v>
      </c>
      <c r="G37" s="7"/>
      <c r="H37" s="7">
        <v>3</v>
      </c>
      <c r="I37" s="7"/>
      <c r="J37" s="7">
        <v>3</v>
      </c>
      <c r="K37" s="7"/>
    </row>
    <row r="38" spans="1:11" ht="15.75" hidden="1" customHeight="1" x14ac:dyDescent="0.35">
      <c r="A38" s="11">
        <v>2</v>
      </c>
      <c r="B38" s="11" t="s">
        <v>1201</v>
      </c>
      <c r="C38" s="8" t="s">
        <v>104</v>
      </c>
      <c r="D38" s="13" t="s">
        <v>685</v>
      </c>
      <c r="E38" s="14">
        <v>3</v>
      </c>
      <c r="F38" s="7">
        <v>3</v>
      </c>
      <c r="G38" s="7"/>
      <c r="H38" s="7">
        <v>3</v>
      </c>
      <c r="I38" s="7"/>
      <c r="J38" s="7">
        <v>3</v>
      </c>
      <c r="K38" s="7"/>
    </row>
    <row r="39" spans="1:11" ht="15.75" hidden="1" customHeight="1" x14ac:dyDescent="0.35">
      <c r="A39" s="11">
        <v>2</v>
      </c>
      <c r="B39" s="11" t="s">
        <v>1201</v>
      </c>
      <c r="C39" s="8" t="s">
        <v>105</v>
      </c>
      <c r="D39" s="13" t="s">
        <v>686</v>
      </c>
      <c r="E39" s="14">
        <v>3</v>
      </c>
      <c r="F39" s="7">
        <v>3</v>
      </c>
      <c r="G39" s="7"/>
      <c r="H39" s="7">
        <v>3</v>
      </c>
      <c r="I39" s="7"/>
      <c r="J39" s="7">
        <v>3</v>
      </c>
      <c r="K39" s="7"/>
    </row>
    <row r="40" spans="1:11" ht="15.75" hidden="1" customHeight="1" x14ac:dyDescent="0.35">
      <c r="A40" s="7">
        <v>1</v>
      </c>
      <c r="B40" s="11" t="s">
        <v>1198</v>
      </c>
      <c r="C40" s="8" t="s">
        <v>1159</v>
      </c>
      <c r="D40" s="15" t="s">
        <v>1184</v>
      </c>
      <c r="E40" s="16" t="s">
        <v>1207</v>
      </c>
      <c r="F40" s="11"/>
      <c r="G40" s="7">
        <v>2</v>
      </c>
      <c r="H40" s="7"/>
      <c r="I40" s="7">
        <v>2</v>
      </c>
      <c r="J40" s="7"/>
      <c r="K40" s="7">
        <v>2</v>
      </c>
    </row>
    <row r="41" spans="1:11" ht="15.75" hidden="1" customHeight="1" x14ac:dyDescent="0.35">
      <c r="A41" s="7">
        <v>1</v>
      </c>
      <c r="B41" s="11" t="s">
        <v>1198</v>
      </c>
      <c r="C41" s="8" t="s">
        <v>404</v>
      </c>
      <c r="D41" s="15" t="s">
        <v>1184</v>
      </c>
      <c r="E41" s="16" t="s">
        <v>1207</v>
      </c>
      <c r="F41" s="11"/>
      <c r="G41" s="7">
        <v>2</v>
      </c>
      <c r="H41" s="7"/>
      <c r="I41" s="7">
        <v>2</v>
      </c>
      <c r="J41" s="7"/>
      <c r="K41" s="7">
        <v>2</v>
      </c>
    </row>
    <row r="42" spans="1:11" ht="15.75" hidden="1" customHeight="1" x14ac:dyDescent="0.35">
      <c r="A42" s="7">
        <v>1</v>
      </c>
      <c r="B42" s="11" t="s">
        <v>1198</v>
      </c>
      <c r="C42" s="8" t="s">
        <v>451</v>
      </c>
      <c r="D42" s="15" t="s">
        <v>1185</v>
      </c>
      <c r="E42" s="16" t="s">
        <v>1207</v>
      </c>
      <c r="F42" s="11"/>
      <c r="G42" s="7">
        <v>2</v>
      </c>
      <c r="H42" s="7"/>
      <c r="I42" s="7">
        <v>2</v>
      </c>
      <c r="J42" s="7"/>
      <c r="K42" s="7">
        <v>2</v>
      </c>
    </row>
    <row r="43" spans="1:11" ht="15.75" hidden="1" customHeight="1" x14ac:dyDescent="0.35">
      <c r="A43" s="11">
        <v>2</v>
      </c>
      <c r="B43" s="11" t="s">
        <v>1201</v>
      </c>
      <c r="C43" s="8" t="s">
        <v>452</v>
      </c>
      <c r="D43" s="15" t="s">
        <v>1186</v>
      </c>
      <c r="E43" s="16" t="s">
        <v>1208</v>
      </c>
      <c r="F43" s="7"/>
      <c r="G43" s="7">
        <v>4</v>
      </c>
      <c r="H43" s="7"/>
      <c r="I43" s="7">
        <v>4</v>
      </c>
      <c r="J43" s="7"/>
      <c r="K43" s="7">
        <v>4</v>
      </c>
    </row>
    <row r="44" spans="1:11" ht="15.75" hidden="1" customHeight="1" x14ac:dyDescent="0.35">
      <c r="A44" s="11">
        <v>2</v>
      </c>
      <c r="B44" s="11" t="s">
        <v>1201</v>
      </c>
      <c r="C44" s="8" t="s">
        <v>453</v>
      </c>
      <c r="D44" s="15" t="s">
        <v>1187</v>
      </c>
      <c r="E44" s="16" t="s">
        <v>1208</v>
      </c>
      <c r="F44" s="7"/>
      <c r="G44" s="7">
        <v>4</v>
      </c>
      <c r="H44" s="7"/>
      <c r="I44" s="7">
        <v>4</v>
      </c>
      <c r="J44" s="7"/>
      <c r="K44" s="7">
        <v>4</v>
      </c>
    </row>
    <row r="45" spans="1:11" ht="15.75" hidden="1" customHeight="1" x14ac:dyDescent="0.35">
      <c r="A45" s="11">
        <v>2</v>
      </c>
      <c r="B45" s="11" t="s">
        <v>1201</v>
      </c>
      <c r="C45" s="8" t="s">
        <v>455</v>
      </c>
      <c r="D45" s="15" t="s">
        <v>1188</v>
      </c>
      <c r="E45" s="16" t="s">
        <v>1208</v>
      </c>
      <c r="F45" s="7"/>
      <c r="G45" s="7">
        <v>4</v>
      </c>
      <c r="H45" s="7"/>
      <c r="I45" s="7">
        <v>4</v>
      </c>
      <c r="J45" s="7"/>
      <c r="K45" s="7">
        <v>4</v>
      </c>
    </row>
    <row r="46" spans="1:11" ht="15.75" hidden="1" customHeight="1" x14ac:dyDescent="0.35">
      <c r="A46" s="11">
        <v>2</v>
      </c>
      <c r="B46" s="11" t="s">
        <v>1201</v>
      </c>
      <c r="C46" s="19" t="s">
        <v>1190</v>
      </c>
      <c r="D46" s="15" t="s">
        <v>1189</v>
      </c>
      <c r="E46" s="16" t="s">
        <v>1208</v>
      </c>
      <c r="F46" s="7"/>
      <c r="G46" s="7">
        <v>4</v>
      </c>
      <c r="H46" s="7"/>
      <c r="I46" s="7">
        <v>4</v>
      </c>
      <c r="J46" s="7"/>
      <c r="K46" s="7">
        <v>4</v>
      </c>
    </row>
    <row r="47" spans="1:11" ht="15.75" hidden="1" customHeight="1" x14ac:dyDescent="0.35">
      <c r="A47" s="11">
        <v>2</v>
      </c>
      <c r="B47" s="11" t="s">
        <v>1201</v>
      </c>
      <c r="C47" s="8" t="s">
        <v>457</v>
      </c>
      <c r="D47" s="15" t="s">
        <v>1191</v>
      </c>
      <c r="E47" s="16" t="s">
        <v>1208</v>
      </c>
      <c r="F47" s="7"/>
      <c r="G47" s="7">
        <v>4</v>
      </c>
      <c r="H47" s="7"/>
      <c r="I47" s="7">
        <v>4</v>
      </c>
      <c r="J47" s="7"/>
      <c r="K47" s="7">
        <v>4</v>
      </c>
    </row>
    <row r="48" spans="1:11" ht="15.75" hidden="1" customHeight="1" x14ac:dyDescent="0.35">
      <c r="A48" s="11">
        <v>2</v>
      </c>
      <c r="B48" s="11" t="s">
        <v>1201</v>
      </c>
      <c r="C48" s="8" t="s">
        <v>461</v>
      </c>
      <c r="D48" s="15" t="s">
        <v>1024</v>
      </c>
      <c r="E48" s="16" t="s">
        <v>1208</v>
      </c>
      <c r="F48" s="7"/>
      <c r="G48" s="7">
        <v>4</v>
      </c>
      <c r="H48" s="7"/>
      <c r="I48" s="7">
        <v>4</v>
      </c>
      <c r="J48" s="7"/>
      <c r="K48" s="7">
        <v>4</v>
      </c>
    </row>
    <row r="49" spans="1:11" ht="15.75" hidden="1" customHeight="1" x14ac:dyDescent="0.35">
      <c r="A49" s="11">
        <v>2</v>
      </c>
      <c r="B49" s="11" t="s">
        <v>1201</v>
      </c>
      <c r="C49" s="8" t="s">
        <v>462</v>
      </c>
      <c r="D49" s="15" t="s">
        <v>1192</v>
      </c>
      <c r="E49" s="16" t="s">
        <v>1208</v>
      </c>
      <c r="F49" s="7"/>
      <c r="G49" s="7">
        <v>4</v>
      </c>
      <c r="H49" s="7"/>
      <c r="I49" s="7">
        <v>4</v>
      </c>
      <c r="J49" s="7"/>
      <c r="K49" s="7">
        <v>4</v>
      </c>
    </row>
    <row r="50" spans="1:11" ht="15.75" hidden="1" customHeight="1" x14ac:dyDescent="0.35">
      <c r="A50" s="11">
        <v>2</v>
      </c>
      <c r="B50" s="11" t="s">
        <v>1201</v>
      </c>
      <c r="C50" s="8" t="s">
        <v>251</v>
      </c>
      <c r="D50" s="13" t="s">
        <v>827</v>
      </c>
      <c r="E50" s="14">
        <v>4</v>
      </c>
      <c r="F50" s="7"/>
      <c r="G50" s="7">
        <v>4</v>
      </c>
      <c r="H50" s="7"/>
      <c r="I50" s="7">
        <v>4</v>
      </c>
      <c r="J50" s="7"/>
      <c r="K50" s="7">
        <v>4</v>
      </c>
    </row>
    <row r="51" spans="1:11" ht="15.75" hidden="1" customHeight="1" x14ac:dyDescent="0.35">
      <c r="A51" s="11">
        <v>2</v>
      </c>
      <c r="B51" s="11" t="s">
        <v>1201</v>
      </c>
      <c r="C51" s="8" t="s">
        <v>1160</v>
      </c>
      <c r="D51" s="15" t="s">
        <v>1226</v>
      </c>
      <c r="E51" s="16" t="s">
        <v>1208</v>
      </c>
      <c r="F51" s="7"/>
      <c r="G51" s="7">
        <v>4</v>
      </c>
      <c r="H51" s="7"/>
      <c r="I51" s="7">
        <v>4</v>
      </c>
      <c r="J51" s="7"/>
      <c r="K51" s="7">
        <v>4</v>
      </c>
    </row>
    <row r="52" spans="1:11" ht="15.75" hidden="1" customHeight="1" x14ac:dyDescent="0.35">
      <c r="A52" s="11">
        <v>2</v>
      </c>
      <c r="B52" s="11" t="s">
        <v>1201</v>
      </c>
      <c r="C52" s="8" t="s">
        <v>398</v>
      </c>
      <c r="D52" s="15" t="s">
        <v>1176</v>
      </c>
      <c r="E52" s="16" t="s">
        <v>1208</v>
      </c>
      <c r="F52" s="7"/>
      <c r="G52" s="7">
        <v>4</v>
      </c>
      <c r="H52" s="7"/>
      <c r="I52" s="7">
        <v>4</v>
      </c>
      <c r="J52" s="7"/>
      <c r="K52" s="7">
        <v>4</v>
      </c>
    </row>
    <row r="53" spans="1:11" ht="15.75" customHeight="1" x14ac:dyDescent="0.35">
      <c r="A53" s="11">
        <v>5</v>
      </c>
      <c r="B53" s="11" t="s">
        <v>1202</v>
      </c>
      <c r="C53" s="8" t="s">
        <v>405</v>
      </c>
      <c r="D53" s="15" t="s">
        <v>979</v>
      </c>
      <c r="E53" s="16" t="s">
        <v>1205</v>
      </c>
      <c r="F53" s="7">
        <v>9</v>
      </c>
      <c r="G53" s="7"/>
      <c r="H53" s="7">
        <v>9</v>
      </c>
      <c r="I53" s="7"/>
      <c r="J53" s="7">
        <v>9</v>
      </c>
      <c r="K53" s="7"/>
    </row>
    <row r="54" spans="1:11" ht="15.75" customHeight="1" x14ac:dyDescent="0.35">
      <c r="A54" s="11">
        <v>5</v>
      </c>
      <c r="B54" s="11" t="s">
        <v>1202</v>
      </c>
      <c r="C54" s="8" t="s">
        <v>1175</v>
      </c>
      <c r="D54" s="15" t="s">
        <v>1227</v>
      </c>
      <c r="E54" s="16" t="s">
        <v>1205</v>
      </c>
      <c r="F54" s="7">
        <v>9</v>
      </c>
      <c r="G54" s="7"/>
      <c r="H54" s="7">
        <v>9</v>
      </c>
      <c r="I54" s="7"/>
      <c r="J54" s="7">
        <v>9</v>
      </c>
      <c r="K54" s="7"/>
    </row>
    <row r="55" spans="1:11" ht="15.75" customHeight="1" x14ac:dyDescent="0.35">
      <c r="A55" s="11">
        <v>5</v>
      </c>
      <c r="B55" s="11" t="s">
        <v>1202</v>
      </c>
      <c r="C55" s="8" t="s">
        <v>416</v>
      </c>
      <c r="D55" s="15" t="s">
        <v>1228</v>
      </c>
      <c r="E55" s="16" t="s">
        <v>1205</v>
      </c>
      <c r="F55" s="7">
        <v>9</v>
      </c>
      <c r="G55" s="7"/>
      <c r="H55" s="7">
        <v>9</v>
      </c>
      <c r="I55" s="7"/>
      <c r="J55" s="7">
        <v>9</v>
      </c>
      <c r="K55" s="7"/>
    </row>
    <row r="56" spans="1:11" ht="15.75" customHeight="1" x14ac:dyDescent="0.35">
      <c r="A56" s="11">
        <v>5</v>
      </c>
      <c r="B56" s="11" t="s">
        <v>1202</v>
      </c>
      <c r="C56" s="8" t="s">
        <v>417</v>
      </c>
      <c r="D56" s="15" t="s">
        <v>1229</v>
      </c>
      <c r="E56" s="16" t="s">
        <v>1205</v>
      </c>
      <c r="F56" s="7">
        <v>9</v>
      </c>
      <c r="G56" s="7"/>
      <c r="H56" s="7">
        <v>9</v>
      </c>
      <c r="I56" s="7"/>
      <c r="J56" s="7">
        <v>9</v>
      </c>
      <c r="K56" s="7"/>
    </row>
    <row r="57" spans="1:11" ht="15.75" customHeight="1" x14ac:dyDescent="0.35">
      <c r="A57" s="11">
        <v>5</v>
      </c>
      <c r="B57" s="11" t="s">
        <v>1202</v>
      </c>
      <c r="C57" s="8" t="s">
        <v>1167</v>
      </c>
      <c r="D57" s="15" t="s">
        <v>1229</v>
      </c>
      <c r="E57" s="16" t="s">
        <v>1205</v>
      </c>
      <c r="F57" s="7">
        <v>9</v>
      </c>
      <c r="G57" s="7"/>
      <c r="H57" s="7">
        <v>9</v>
      </c>
      <c r="I57" s="7"/>
      <c r="J57" s="7">
        <v>9</v>
      </c>
      <c r="K57" s="7"/>
    </row>
    <row r="58" spans="1:11" ht="15.75" customHeight="1" x14ac:dyDescent="0.35">
      <c r="A58" s="11">
        <v>5</v>
      </c>
      <c r="B58" s="11" t="s">
        <v>1202</v>
      </c>
      <c r="C58" s="8" t="s">
        <v>475</v>
      </c>
      <c r="D58" s="15" t="s">
        <v>1018</v>
      </c>
      <c r="E58" s="16" t="s">
        <v>1205</v>
      </c>
      <c r="F58" s="7">
        <v>9</v>
      </c>
      <c r="G58" s="7"/>
      <c r="H58" s="7">
        <v>9</v>
      </c>
      <c r="I58" s="7"/>
      <c r="J58" s="7">
        <v>9</v>
      </c>
      <c r="K58" s="7"/>
    </row>
    <row r="59" spans="1:11" ht="15.75" customHeight="1" x14ac:dyDescent="0.35">
      <c r="A59" s="11">
        <v>5</v>
      </c>
      <c r="B59" s="11" t="s">
        <v>1202</v>
      </c>
      <c r="C59" s="8" t="s">
        <v>1168</v>
      </c>
      <c r="D59" s="15" t="s">
        <v>1056</v>
      </c>
      <c r="E59" s="16" t="s">
        <v>1205</v>
      </c>
      <c r="F59" s="7">
        <v>9</v>
      </c>
      <c r="G59" s="7"/>
      <c r="H59" s="7">
        <v>9</v>
      </c>
      <c r="I59" s="7"/>
      <c r="J59" s="7">
        <v>9</v>
      </c>
      <c r="K59" s="7"/>
    </row>
    <row r="60" spans="1:11" ht="15.75" customHeight="1" x14ac:dyDescent="0.35">
      <c r="A60" s="11">
        <v>5</v>
      </c>
      <c r="B60" s="11" t="s">
        <v>1202</v>
      </c>
      <c r="C60" s="8" t="s">
        <v>1156</v>
      </c>
      <c r="D60" s="15" t="s">
        <v>1018</v>
      </c>
      <c r="E60" s="16" t="s">
        <v>1205</v>
      </c>
      <c r="F60" s="7">
        <v>9</v>
      </c>
      <c r="G60" s="7"/>
      <c r="H60" s="7">
        <v>9</v>
      </c>
      <c r="I60" s="7"/>
      <c r="J60" s="7">
        <v>9</v>
      </c>
      <c r="K60" s="7"/>
    </row>
    <row r="61" spans="1:11" ht="15.75" hidden="1" customHeight="1" x14ac:dyDescent="0.35">
      <c r="A61" s="11">
        <v>2</v>
      </c>
      <c r="B61" s="11" t="s">
        <v>1201</v>
      </c>
      <c r="C61" s="8" t="s">
        <v>508</v>
      </c>
      <c r="D61" s="15" t="s">
        <v>1088</v>
      </c>
      <c r="E61" s="16" t="s">
        <v>1208</v>
      </c>
      <c r="F61" s="7"/>
      <c r="G61" s="7">
        <v>4</v>
      </c>
      <c r="H61" s="7"/>
      <c r="I61" s="7">
        <v>4</v>
      </c>
      <c r="J61" s="7"/>
      <c r="K61" s="7">
        <v>4</v>
      </c>
    </row>
    <row r="62" spans="1:11" ht="15.75" hidden="1" customHeight="1" x14ac:dyDescent="0.35">
      <c r="A62" s="11">
        <v>2</v>
      </c>
      <c r="B62" s="11" t="s">
        <v>1201</v>
      </c>
      <c r="C62" s="8" t="s">
        <v>510</v>
      </c>
      <c r="D62" s="15" t="s">
        <v>1176</v>
      </c>
      <c r="E62" s="16" t="s">
        <v>1208</v>
      </c>
      <c r="F62" s="7"/>
      <c r="G62" s="7">
        <v>4</v>
      </c>
      <c r="H62" s="7"/>
      <c r="I62" s="7">
        <v>4</v>
      </c>
      <c r="J62" s="7"/>
      <c r="K62" s="7">
        <v>4</v>
      </c>
    </row>
    <row r="63" spans="1:11" ht="15.75" hidden="1" customHeight="1" x14ac:dyDescent="0.35">
      <c r="A63" s="11">
        <v>2</v>
      </c>
      <c r="B63" s="11" t="s">
        <v>1201</v>
      </c>
      <c r="C63" s="8" t="s">
        <v>1177</v>
      </c>
      <c r="D63" s="12" t="s">
        <v>1090</v>
      </c>
      <c r="E63" s="16" t="s">
        <v>1208</v>
      </c>
      <c r="F63" s="7"/>
      <c r="G63" s="7">
        <v>4</v>
      </c>
      <c r="H63" s="7"/>
      <c r="I63" s="7">
        <v>4</v>
      </c>
      <c r="J63" s="7"/>
      <c r="K63" s="7">
        <v>4</v>
      </c>
    </row>
    <row r="64" spans="1:11" ht="15.75" hidden="1" customHeight="1" x14ac:dyDescent="0.35">
      <c r="A64" s="11">
        <v>2</v>
      </c>
      <c r="B64" s="11" t="s">
        <v>1201</v>
      </c>
      <c r="C64" s="8" t="s">
        <v>511</v>
      </c>
      <c r="D64" s="15" t="s">
        <v>1088</v>
      </c>
      <c r="E64" s="16" t="s">
        <v>1208</v>
      </c>
      <c r="F64" s="7"/>
      <c r="G64" s="7">
        <v>4</v>
      </c>
      <c r="H64" s="7"/>
      <c r="I64" s="7">
        <v>4</v>
      </c>
      <c r="J64" s="7"/>
      <c r="K64" s="7">
        <v>4</v>
      </c>
    </row>
    <row r="65" spans="1:11" ht="15.75" customHeight="1" x14ac:dyDescent="0.35">
      <c r="A65" s="11">
        <v>5</v>
      </c>
      <c r="B65" s="11" t="s">
        <v>1202</v>
      </c>
      <c r="C65" s="8" t="s">
        <v>533</v>
      </c>
      <c r="D65" s="15" t="s">
        <v>1018</v>
      </c>
      <c r="E65" s="16" t="s">
        <v>1205</v>
      </c>
      <c r="F65" s="7">
        <v>9</v>
      </c>
      <c r="G65" s="7"/>
      <c r="H65" s="7">
        <v>9</v>
      </c>
      <c r="I65" s="7"/>
      <c r="J65" s="7">
        <v>9</v>
      </c>
      <c r="K65" s="7"/>
    </row>
    <row r="66" spans="1:11" ht="15.75" hidden="1" customHeight="1" x14ac:dyDescent="0.35">
      <c r="A66" s="11">
        <v>2</v>
      </c>
      <c r="B66" s="11" t="s">
        <v>1201</v>
      </c>
      <c r="C66" s="8" t="s">
        <v>118</v>
      </c>
      <c r="D66" s="13" t="s">
        <v>697</v>
      </c>
      <c r="E66" s="14">
        <v>3</v>
      </c>
      <c r="F66" s="7">
        <v>3</v>
      </c>
      <c r="G66" s="7"/>
      <c r="H66" s="7">
        <v>3</v>
      </c>
      <c r="I66" s="7"/>
      <c r="J66" s="7">
        <v>3</v>
      </c>
      <c r="K66" s="7"/>
    </row>
    <row r="67" spans="1:11" ht="26.25" hidden="1" customHeight="1" x14ac:dyDescent="0.35">
      <c r="A67" s="11">
        <v>3</v>
      </c>
      <c r="B67" s="11" t="s">
        <v>1200</v>
      </c>
      <c r="C67" s="8" t="s">
        <v>121</v>
      </c>
      <c r="D67" s="13" t="s">
        <v>700</v>
      </c>
      <c r="E67" s="14">
        <v>5</v>
      </c>
      <c r="F67" s="11">
        <v>5</v>
      </c>
      <c r="G67" s="7"/>
      <c r="H67" s="7">
        <v>5</v>
      </c>
      <c r="I67" s="7"/>
      <c r="J67" s="7">
        <v>5</v>
      </c>
      <c r="K67" s="7"/>
    </row>
    <row r="68" spans="1:11" ht="26.25" hidden="1" customHeight="1" x14ac:dyDescent="0.35">
      <c r="A68" s="11">
        <v>3</v>
      </c>
      <c r="B68" s="11" t="s">
        <v>1200</v>
      </c>
      <c r="C68" s="8" t="s">
        <v>122</v>
      </c>
      <c r="D68" s="13" t="s">
        <v>701</v>
      </c>
      <c r="E68" s="14">
        <v>5</v>
      </c>
      <c r="F68" s="11">
        <v>5</v>
      </c>
      <c r="G68" s="7"/>
      <c r="H68" s="7">
        <v>5</v>
      </c>
      <c r="I68" s="7"/>
      <c r="J68" s="7">
        <v>5</v>
      </c>
      <c r="K68" s="7"/>
    </row>
    <row r="69" spans="1:11" ht="26.25" hidden="1" customHeight="1" x14ac:dyDescent="0.35">
      <c r="A69" s="11">
        <v>3</v>
      </c>
      <c r="B69" s="11" t="s">
        <v>1200</v>
      </c>
      <c r="C69" s="8" t="s">
        <v>123</v>
      </c>
      <c r="D69" s="13" t="s">
        <v>702</v>
      </c>
      <c r="E69" s="14">
        <v>5</v>
      </c>
      <c r="F69" s="11">
        <v>5</v>
      </c>
      <c r="G69" s="7"/>
      <c r="H69" s="7">
        <v>5</v>
      </c>
      <c r="I69" s="7"/>
      <c r="J69" s="7">
        <v>5</v>
      </c>
      <c r="K69" s="7"/>
    </row>
    <row r="70" spans="1:11" ht="26.25" hidden="1" customHeight="1" x14ac:dyDescent="0.35">
      <c r="A70" s="11">
        <v>3</v>
      </c>
      <c r="B70" s="11" t="s">
        <v>1200</v>
      </c>
      <c r="C70" s="8" t="s">
        <v>125</v>
      </c>
      <c r="D70" s="13" t="s">
        <v>704</v>
      </c>
      <c r="E70" s="14">
        <v>5</v>
      </c>
      <c r="F70" s="11">
        <v>5</v>
      </c>
      <c r="G70" s="7"/>
      <c r="H70" s="7">
        <v>5</v>
      </c>
      <c r="I70" s="7"/>
      <c r="J70" s="7">
        <v>5</v>
      </c>
      <c r="K70" s="7"/>
    </row>
    <row r="71" spans="1:11" ht="15.75" hidden="1" customHeight="1" x14ac:dyDescent="0.35">
      <c r="A71" s="11">
        <v>2</v>
      </c>
      <c r="B71" s="11" t="s">
        <v>1201</v>
      </c>
      <c r="C71" s="8" t="s">
        <v>128</v>
      </c>
      <c r="D71" s="13" t="s">
        <v>707</v>
      </c>
      <c r="E71" s="14">
        <v>3</v>
      </c>
      <c r="F71" s="7">
        <v>3</v>
      </c>
      <c r="G71" s="7"/>
      <c r="H71" s="7">
        <v>3</v>
      </c>
      <c r="I71" s="7"/>
      <c r="J71" s="7">
        <v>3</v>
      </c>
      <c r="K71" s="7"/>
    </row>
    <row r="72" spans="1:11" ht="26.25" hidden="1" customHeight="1" x14ac:dyDescent="0.35">
      <c r="A72" s="11">
        <v>3</v>
      </c>
      <c r="B72" s="11" t="s">
        <v>1200</v>
      </c>
      <c r="C72" s="8" t="s">
        <v>137</v>
      </c>
      <c r="D72" s="13" t="s">
        <v>715</v>
      </c>
      <c r="E72" s="14">
        <v>5</v>
      </c>
      <c r="F72" s="11">
        <v>5</v>
      </c>
      <c r="G72" s="7"/>
      <c r="H72" s="7">
        <v>5</v>
      </c>
      <c r="I72" s="7"/>
      <c r="J72" s="7">
        <v>5</v>
      </c>
      <c r="K72" s="7"/>
    </row>
    <row r="73" spans="1:11" ht="26.25" hidden="1" customHeight="1" x14ac:dyDescent="0.35">
      <c r="A73" s="11">
        <v>3</v>
      </c>
      <c r="B73" s="11" t="s">
        <v>1200</v>
      </c>
      <c r="C73" s="8" t="s">
        <v>138</v>
      </c>
      <c r="D73" s="13" t="s">
        <v>716</v>
      </c>
      <c r="E73" s="14">
        <v>5</v>
      </c>
      <c r="F73" s="11">
        <v>5</v>
      </c>
      <c r="G73" s="7"/>
      <c r="H73" s="7">
        <v>5</v>
      </c>
      <c r="I73" s="7"/>
      <c r="J73" s="7">
        <v>5</v>
      </c>
      <c r="K73" s="7"/>
    </row>
    <row r="74" spans="1:11" ht="26.25" hidden="1" customHeight="1" x14ac:dyDescent="0.35">
      <c r="A74" s="11">
        <v>3</v>
      </c>
      <c r="B74" s="11" t="s">
        <v>1200</v>
      </c>
      <c r="C74" s="8" t="s">
        <v>139</v>
      </c>
      <c r="D74" s="13" t="s">
        <v>717</v>
      </c>
      <c r="E74" s="14">
        <v>6</v>
      </c>
      <c r="F74" s="11"/>
      <c r="G74" s="7">
        <v>6</v>
      </c>
      <c r="H74" s="7"/>
      <c r="I74" s="7">
        <v>6</v>
      </c>
      <c r="J74" s="7"/>
      <c r="K74" s="7">
        <v>6</v>
      </c>
    </row>
    <row r="75" spans="1:11" ht="26.25" hidden="1" customHeight="1" x14ac:dyDescent="0.35">
      <c r="A75" s="11">
        <v>3</v>
      </c>
      <c r="B75" s="11" t="s">
        <v>1200</v>
      </c>
      <c r="C75" s="8" t="s">
        <v>141</v>
      </c>
      <c r="D75" s="13" t="s">
        <v>719</v>
      </c>
      <c r="E75" s="14">
        <v>5</v>
      </c>
      <c r="F75" s="11">
        <v>5</v>
      </c>
      <c r="G75" s="7"/>
      <c r="H75" s="7">
        <v>5</v>
      </c>
      <c r="I75" s="7"/>
      <c r="J75" s="7">
        <v>5</v>
      </c>
      <c r="K75" s="7"/>
    </row>
    <row r="76" spans="1:11" ht="26.25" hidden="1" customHeight="1" x14ac:dyDescent="0.35">
      <c r="A76" s="11">
        <v>3</v>
      </c>
      <c r="B76" s="11" t="s">
        <v>1200</v>
      </c>
      <c r="C76" s="8" t="s">
        <v>142</v>
      </c>
      <c r="D76" s="13" t="s">
        <v>720</v>
      </c>
      <c r="E76" s="14">
        <v>6</v>
      </c>
      <c r="F76" s="11"/>
      <c r="G76" s="7">
        <v>6</v>
      </c>
      <c r="H76" s="7"/>
      <c r="I76" s="7">
        <v>6</v>
      </c>
      <c r="J76" s="7"/>
      <c r="K76" s="7">
        <v>6</v>
      </c>
    </row>
    <row r="77" spans="1:11" ht="26.25" hidden="1" customHeight="1" x14ac:dyDescent="0.35">
      <c r="A77" s="11">
        <v>3</v>
      </c>
      <c r="B77" s="11" t="s">
        <v>1200</v>
      </c>
      <c r="C77" s="8" t="s">
        <v>143</v>
      </c>
      <c r="D77" s="13" t="s">
        <v>721</v>
      </c>
      <c r="E77" s="14">
        <v>5</v>
      </c>
      <c r="F77" s="11">
        <v>5</v>
      </c>
      <c r="G77" s="7"/>
      <c r="H77" s="7">
        <v>5</v>
      </c>
      <c r="I77" s="7"/>
      <c r="J77" s="7">
        <v>5</v>
      </c>
      <c r="K77" s="7"/>
    </row>
    <row r="78" spans="1:11" ht="26.25" hidden="1" customHeight="1" x14ac:dyDescent="0.35">
      <c r="A78" s="11">
        <v>3</v>
      </c>
      <c r="B78" s="11" t="s">
        <v>1200</v>
      </c>
      <c r="C78" s="19" t="s">
        <v>1209</v>
      </c>
      <c r="D78" s="29" t="s">
        <v>1210</v>
      </c>
      <c r="E78" s="14">
        <v>5</v>
      </c>
      <c r="F78" s="11">
        <v>5</v>
      </c>
      <c r="G78" s="7"/>
      <c r="H78" s="7">
        <v>5</v>
      </c>
      <c r="I78" s="7"/>
      <c r="J78" s="7">
        <v>5</v>
      </c>
      <c r="K78" s="7"/>
    </row>
    <row r="79" spans="1:11" ht="26.25" hidden="1" customHeight="1" x14ac:dyDescent="0.35">
      <c r="A79" s="11">
        <v>3</v>
      </c>
      <c r="B79" s="11" t="s">
        <v>1200</v>
      </c>
      <c r="C79" s="8" t="s">
        <v>144</v>
      </c>
      <c r="D79" s="29" t="s">
        <v>1211</v>
      </c>
      <c r="E79" s="14">
        <v>6</v>
      </c>
      <c r="F79" s="11"/>
      <c r="G79" s="7">
        <v>6</v>
      </c>
      <c r="H79" s="7"/>
      <c r="I79" s="7">
        <v>6</v>
      </c>
      <c r="J79" s="7"/>
      <c r="K79" s="7">
        <v>6</v>
      </c>
    </row>
    <row r="80" spans="1:11" ht="26.25" hidden="1" customHeight="1" x14ac:dyDescent="0.35">
      <c r="A80" s="11">
        <v>3</v>
      </c>
      <c r="B80" s="11" t="s">
        <v>1200</v>
      </c>
      <c r="C80" s="8" t="s">
        <v>145</v>
      </c>
      <c r="D80" s="13" t="s">
        <v>1154</v>
      </c>
      <c r="E80" s="14">
        <v>5</v>
      </c>
      <c r="F80" s="11">
        <v>5</v>
      </c>
      <c r="G80" s="7"/>
      <c r="H80" s="7">
        <v>5</v>
      </c>
      <c r="I80" s="7"/>
      <c r="J80" s="7">
        <v>5</v>
      </c>
      <c r="K80" s="7"/>
    </row>
    <row r="81" spans="1:11" ht="26.25" hidden="1" customHeight="1" x14ac:dyDescent="0.35">
      <c r="A81" s="11">
        <v>3</v>
      </c>
      <c r="B81" s="11" t="s">
        <v>1200</v>
      </c>
      <c r="C81" s="8" t="s">
        <v>146</v>
      </c>
      <c r="D81" s="13" t="s">
        <v>724</v>
      </c>
      <c r="E81" s="14">
        <v>6</v>
      </c>
      <c r="F81" s="11"/>
      <c r="G81" s="7">
        <v>6</v>
      </c>
      <c r="H81" s="7"/>
      <c r="I81" s="7">
        <v>6</v>
      </c>
      <c r="J81" s="7"/>
      <c r="K81" s="7">
        <v>6</v>
      </c>
    </row>
    <row r="82" spans="1:11" ht="26.25" hidden="1" customHeight="1" x14ac:dyDescent="0.35">
      <c r="A82" s="11">
        <v>3</v>
      </c>
      <c r="B82" s="11" t="s">
        <v>1200</v>
      </c>
      <c r="C82" s="8" t="s">
        <v>145</v>
      </c>
      <c r="D82" s="13" t="s">
        <v>725</v>
      </c>
      <c r="E82" s="14">
        <v>5</v>
      </c>
      <c r="F82" s="11">
        <v>5</v>
      </c>
      <c r="G82" s="7"/>
      <c r="H82" s="7">
        <v>5</v>
      </c>
      <c r="I82" s="7"/>
      <c r="J82" s="7">
        <v>5</v>
      </c>
      <c r="K82" s="7"/>
    </row>
    <row r="83" spans="1:11" ht="26.25" hidden="1" customHeight="1" x14ac:dyDescent="0.35">
      <c r="A83" s="11">
        <v>3</v>
      </c>
      <c r="B83" s="11" t="s">
        <v>1200</v>
      </c>
      <c r="C83" s="8" t="s">
        <v>147</v>
      </c>
      <c r="D83" s="13" t="s">
        <v>726</v>
      </c>
      <c r="E83" s="14">
        <v>6</v>
      </c>
      <c r="F83" s="11"/>
      <c r="G83" s="7">
        <v>6</v>
      </c>
      <c r="H83" s="7"/>
      <c r="I83" s="7">
        <v>6</v>
      </c>
      <c r="J83" s="7"/>
      <c r="K83" s="7">
        <v>6</v>
      </c>
    </row>
    <row r="84" spans="1:11" ht="26.25" hidden="1" customHeight="1" x14ac:dyDescent="0.35">
      <c r="A84" s="11">
        <v>3</v>
      </c>
      <c r="B84" s="11" t="s">
        <v>1200</v>
      </c>
      <c r="C84" s="8" t="s">
        <v>148</v>
      </c>
      <c r="D84" s="13" t="s">
        <v>727</v>
      </c>
      <c r="E84" s="14">
        <v>6</v>
      </c>
      <c r="F84" s="11"/>
      <c r="G84" s="7">
        <v>6</v>
      </c>
      <c r="H84" s="7"/>
      <c r="I84" s="7">
        <v>6</v>
      </c>
      <c r="J84" s="7"/>
      <c r="K84" s="7">
        <v>6</v>
      </c>
    </row>
    <row r="85" spans="1:11" ht="26.25" hidden="1" customHeight="1" x14ac:dyDescent="0.35">
      <c r="A85" s="11">
        <v>3</v>
      </c>
      <c r="B85" s="11" t="s">
        <v>1200</v>
      </c>
      <c r="C85" s="8" t="s">
        <v>150</v>
      </c>
      <c r="D85" s="13" t="s">
        <v>729</v>
      </c>
      <c r="E85" s="14">
        <v>5</v>
      </c>
      <c r="F85" s="11">
        <v>5</v>
      </c>
      <c r="G85" s="7"/>
      <c r="H85" s="7">
        <v>5</v>
      </c>
      <c r="I85" s="7"/>
      <c r="J85" s="7">
        <v>5</v>
      </c>
      <c r="K85" s="7"/>
    </row>
    <row r="86" spans="1:11" ht="26.25" hidden="1" customHeight="1" x14ac:dyDescent="0.35">
      <c r="A86" s="11">
        <v>3</v>
      </c>
      <c r="B86" s="11" t="s">
        <v>1200</v>
      </c>
      <c r="C86" s="8" t="s">
        <v>151</v>
      </c>
      <c r="D86" s="13" t="s">
        <v>730</v>
      </c>
      <c r="E86" s="14">
        <v>6</v>
      </c>
      <c r="F86" s="11"/>
      <c r="G86" s="7">
        <v>6</v>
      </c>
      <c r="H86" s="7"/>
      <c r="I86" s="7">
        <v>6</v>
      </c>
      <c r="J86" s="7"/>
      <c r="K86" s="7">
        <v>6</v>
      </c>
    </row>
    <row r="87" spans="1:11" ht="26.25" hidden="1" customHeight="1" x14ac:dyDescent="0.35">
      <c r="A87" s="11">
        <v>3</v>
      </c>
      <c r="B87" s="11" t="s">
        <v>1200</v>
      </c>
      <c r="C87" s="8" t="s">
        <v>166</v>
      </c>
      <c r="D87" s="13" t="s">
        <v>744</v>
      </c>
      <c r="E87" s="14">
        <v>6</v>
      </c>
      <c r="F87" s="11"/>
      <c r="G87" s="7">
        <v>6</v>
      </c>
      <c r="H87" s="7"/>
      <c r="I87" s="7">
        <v>6</v>
      </c>
      <c r="J87" s="7"/>
      <c r="K87" s="7">
        <v>6</v>
      </c>
    </row>
    <row r="88" spans="1:11" ht="26.25" hidden="1" customHeight="1" x14ac:dyDescent="0.35">
      <c r="A88" s="11">
        <v>3</v>
      </c>
      <c r="B88" s="11" t="s">
        <v>1200</v>
      </c>
      <c r="C88" s="8" t="s">
        <v>186</v>
      </c>
      <c r="D88" s="13" t="s">
        <v>765</v>
      </c>
      <c r="E88" s="14">
        <v>5</v>
      </c>
      <c r="F88" s="11">
        <v>5</v>
      </c>
      <c r="G88" s="7"/>
      <c r="H88" s="7">
        <v>5</v>
      </c>
      <c r="I88" s="7"/>
      <c r="J88" s="7">
        <v>5</v>
      </c>
      <c r="K88" s="7"/>
    </row>
    <row r="89" spans="1:11" ht="26.25" hidden="1" customHeight="1" x14ac:dyDescent="0.35">
      <c r="A89" s="11">
        <v>3</v>
      </c>
      <c r="B89" s="11" t="s">
        <v>1200</v>
      </c>
      <c r="C89" s="8" t="s">
        <v>219</v>
      </c>
      <c r="D89" s="13" t="s">
        <v>799</v>
      </c>
      <c r="E89" s="14">
        <v>5</v>
      </c>
      <c r="F89" s="11">
        <v>5</v>
      </c>
      <c r="G89" s="7"/>
      <c r="H89" s="7">
        <v>5</v>
      </c>
      <c r="I89" s="7"/>
      <c r="J89" s="7">
        <v>5</v>
      </c>
      <c r="K89" s="7"/>
    </row>
    <row r="90" spans="1:11" ht="26.25" hidden="1" customHeight="1" x14ac:dyDescent="0.35">
      <c r="A90" s="11">
        <v>3</v>
      </c>
      <c r="B90" s="11" t="s">
        <v>1200</v>
      </c>
      <c r="C90" s="8" t="s">
        <v>220</v>
      </c>
      <c r="D90" s="13" t="s">
        <v>799</v>
      </c>
      <c r="E90" s="14">
        <v>5</v>
      </c>
      <c r="F90" s="11">
        <v>5</v>
      </c>
      <c r="G90" s="7"/>
      <c r="H90" s="7">
        <v>5</v>
      </c>
      <c r="I90" s="7"/>
      <c r="J90" s="7">
        <v>5</v>
      </c>
      <c r="K90" s="7"/>
    </row>
    <row r="91" spans="1:11" ht="26.25" hidden="1" customHeight="1" x14ac:dyDescent="0.35">
      <c r="A91" s="11">
        <v>3</v>
      </c>
      <c r="B91" s="11" t="s">
        <v>1200</v>
      </c>
      <c r="C91" s="8" t="s">
        <v>221</v>
      </c>
      <c r="D91" s="13" t="s">
        <v>800</v>
      </c>
      <c r="E91" s="14">
        <v>5</v>
      </c>
      <c r="F91" s="11">
        <v>5</v>
      </c>
      <c r="G91" s="7"/>
      <c r="H91" s="7">
        <v>5</v>
      </c>
      <c r="I91" s="7"/>
      <c r="J91" s="7">
        <v>5</v>
      </c>
      <c r="K91" s="7"/>
    </row>
    <row r="92" spans="1:11" ht="15.75" hidden="1" customHeight="1" x14ac:dyDescent="0.35">
      <c r="A92" s="11">
        <v>2</v>
      </c>
      <c r="B92" s="11" t="s">
        <v>1201</v>
      </c>
      <c r="C92" s="8" t="s">
        <v>222</v>
      </c>
      <c r="D92" s="13" t="s">
        <v>801</v>
      </c>
      <c r="E92" s="14">
        <v>3</v>
      </c>
      <c r="F92" s="7">
        <v>3</v>
      </c>
      <c r="G92" s="7"/>
      <c r="H92" s="7">
        <v>3</v>
      </c>
      <c r="I92" s="7"/>
      <c r="J92" s="7">
        <v>3</v>
      </c>
      <c r="K92" s="7"/>
    </row>
    <row r="93" spans="1:11" ht="26.25" hidden="1" customHeight="1" x14ac:dyDescent="0.35">
      <c r="A93" s="11">
        <v>3</v>
      </c>
      <c r="B93" s="11" t="s">
        <v>1200</v>
      </c>
      <c r="C93" s="8" t="s">
        <v>223</v>
      </c>
      <c r="D93" s="13" t="s">
        <v>802</v>
      </c>
      <c r="E93" s="14">
        <v>5</v>
      </c>
      <c r="F93" s="11">
        <v>5</v>
      </c>
      <c r="G93" s="7"/>
      <c r="H93" s="7">
        <v>5</v>
      </c>
      <c r="I93" s="7"/>
      <c r="J93" s="7">
        <v>5</v>
      </c>
      <c r="K93" s="7"/>
    </row>
    <row r="94" spans="1:11" ht="15.75" hidden="1" customHeight="1" x14ac:dyDescent="0.35">
      <c r="A94" s="11">
        <v>2</v>
      </c>
      <c r="B94" s="11" t="s">
        <v>1201</v>
      </c>
      <c r="C94" s="8" t="s">
        <v>227</v>
      </c>
      <c r="D94" s="13" t="s">
        <v>806</v>
      </c>
      <c r="E94" s="14">
        <v>3</v>
      </c>
      <c r="F94" s="7">
        <v>3</v>
      </c>
      <c r="G94" s="7"/>
      <c r="H94" s="7">
        <v>3</v>
      </c>
      <c r="I94" s="7"/>
      <c r="J94" s="7">
        <v>3</v>
      </c>
      <c r="K94" s="7"/>
    </row>
    <row r="95" spans="1:11" ht="15.75" customHeight="1" x14ac:dyDescent="0.35">
      <c r="A95" s="11">
        <v>5</v>
      </c>
      <c r="B95" s="11" t="s">
        <v>1202</v>
      </c>
      <c r="C95" s="8" t="s">
        <v>117</v>
      </c>
      <c r="D95" s="13" t="s">
        <v>696</v>
      </c>
      <c r="E95" s="14">
        <v>10</v>
      </c>
      <c r="F95" s="7"/>
      <c r="G95" s="7">
        <v>10</v>
      </c>
      <c r="H95" s="7"/>
      <c r="I95" s="7">
        <v>10</v>
      </c>
      <c r="J95" s="7"/>
      <c r="K95" s="7">
        <v>10</v>
      </c>
    </row>
    <row r="96" spans="1:11" ht="15.75" hidden="1" customHeight="1" x14ac:dyDescent="0.35">
      <c r="A96" s="11">
        <v>2</v>
      </c>
      <c r="B96" s="11" t="s">
        <v>1201</v>
      </c>
      <c r="C96" s="8" t="s">
        <v>119</v>
      </c>
      <c r="D96" s="13" t="s">
        <v>698</v>
      </c>
      <c r="E96" s="14">
        <v>3</v>
      </c>
      <c r="F96" s="7">
        <v>3</v>
      </c>
      <c r="G96" s="7"/>
      <c r="H96" s="7">
        <v>3</v>
      </c>
      <c r="I96" s="7"/>
      <c r="J96" s="7">
        <v>3</v>
      </c>
      <c r="K96" s="7"/>
    </row>
    <row r="97" spans="1:11" ht="15.75" hidden="1" customHeight="1" x14ac:dyDescent="0.35">
      <c r="A97" s="11">
        <v>2</v>
      </c>
      <c r="B97" s="11" t="s">
        <v>1201</v>
      </c>
      <c r="C97" s="8" t="s">
        <v>120</v>
      </c>
      <c r="D97" s="13" t="s">
        <v>699</v>
      </c>
      <c r="E97" s="14">
        <v>3</v>
      </c>
      <c r="F97" s="7">
        <v>3</v>
      </c>
      <c r="G97" s="7"/>
      <c r="H97" s="7">
        <v>3</v>
      </c>
      <c r="I97" s="7"/>
      <c r="J97" s="7">
        <v>3</v>
      </c>
      <c r="K97" s="7"/>
    </row>
    <row r="98" spans="1:11" ht="15.75" hidden="1" customHeight="1" x14ac:dyDescent="0.35">
      <c r="A98" s="11">
        <v>2</v>
      </c>
      <c r="B98" s="11" t="s">
        <v>1201</v>
      </c>
      <c r="C98" s="8" t="s">
        <v>124</v>
      </c>
      <c r="D98" s="13" t="s">
        <v>703</v>
      </c>
      <c r="E98" s="14">
        <v>3</v>
      </c>
      <c r="F98" s="7">
        <v>3</v>
      </c>
      <c r="G98" s="7"/>
      <c r="H98" s="7">
        <v>3</v>
      </c>
      <c r="I98" s="7"/>
      <c r="J98" s="7">
        <v>3</v>
      </c>
      <c r="K98" s="7"/>
    </row>
    <row r="99" spans="1:11" ht="15.75" hidden="1" customHeight="1" x14ac:dyDescent="0.35">
      <c r="A99" s="11">
        <v>2</v>
      </c>
      <c r="B99" s="11" t="s">
        <v>1201</v>
      </c>
      <c r="C99" s="8" t="s">
        <v>127</v>
      </c>
      <c r="D99" s="13" t="s">
        <v>706</v>
      </c>
      <c r="E99" s="14">
        <v>3</v>
      </c>
      <c r="F99" s="7">
        <v>3</v>
      </c>
      <c r="G99" s="7"/>
      <c r="H99" s="7">
        <v>3</v>
      </c>
      <c r="I99" s="7"/>
      <c r="J99" s="7">
        <v>3</v>
      </c>
      <c r="K99" s="7"/>
    </row>
    <row r="100" spans="1:11" ht="26.25" hidden="1" customHeight="1" x14ac:dyDescent="0.35">
      <c r="A100" s="11">
        <v>3</v>
      </c>
      <c r="B100" s="11" t="s">
        <v>1200</v>
      </c>
      <c r="C100" s="8" t="s">
        <v>162</v>
      </c>
      <c r="D100" s="13" t="s">
        <v>740</v>
      </c>
      <c r="E100" s="14">
        <v>6</v>
      </c>
      <c r="F100" s="11"/>
      <c r="G100" s="7">
        <v>6</v>
      </c>
      <c r="H100" s="7"/>
      <c r="I100" s="7">
        <v>6</v>
      </c>
      <c r="J100" s="7"/>
      <c r="K100" s="7">
        <v>6</v>
      </c>
    </row>
    <row r="101" spans="1:11" ht="26.25" hidden="1" customHeight="1" x14ac:dyDescent="0.35">
      <c r="A101" s="11">
        <v>3</v>
      </c>
      <c r="B101" s="11" t="s">
        <v>1200</v>
      </c>
      <c r="C101" s="8" t="s">
        <v>163</v>
      </c>
      <c r="D101" s="13" t="s">
        <v>741</v>
      </c>
      <c r="E101" s="14">
        <v>6</v>
      </c>
      <c r="F101" s="11"/>
      <c r="G101" s="7">
        <v>6</v>
      </c>
      <c r="H101" s="7"/>
      <c r="I101" s="7">
        <v>6</v>
      </c>
      <c r="J101" s="7"/>
      <c r="K101" s="7">
        <v>6</v>
      </c>
    </row>
    <row r="102" spans="1:11" ht="26.25" hidden="1" customHeight="1" x14ac:dyDescent="0.35">
      <c r="A102" s="11">
        <v>3</v>
      </c>
      <c r="B102" s="11" t="s">
        <v>1200</v>
      </c>
      <c r="C102" s="8" t="s">
        <v>164</v>
      </c>
      <c r="D102" s="13" t="s">
        <v>742</v>
      </c>
      <c r="E102" s="14">
        <v>6</v>
      </c>
      <c r="F102" s="11"/>
      <c r="G102" s="7">
        <v>6</v>
      </c>
      <c r="H102" s="7"/>
      <c r="I102" s="7">
        <v>6</v>
      </c>
      <c r="J102" s="7"/>
      <c r="K102" s="7">
        <v>6</v>
      </c>
    </row>
    <row r="103" spans="1:11" ht="26.25" hidden="1" customHeight="1" x14ac:dyDescent="0.35">
      <c r="A103" s="11">
        <v>3</v>
      </c>
      <c r="B103" s="11" t="s">
        <v>1200</v>
      </c>
      <c r="C103" s="8" t="s">
        <v>165</v>
      </c>
      <c r="D103" s="13" t="s">
        <v>743</v>
      </c>
      <c r="E103" s="14">
        <v>6</v>
      </c>
      <c r="F103" s="11"/>
      <c r="G103" s="7">
        <v>6</v>
      </c>
      <c r="H103" s="7"/>
      <c r="I103" s="7">
        <v>6</v>
      </c>
      <c r="J103" s="7"/>
      <c r="K103" s="7">
        <v>6</v>
      </c>
    </row>
    <row r="104" spans="1:11" ht="26.25" hidden="1" customHeight="1" x14ac:dyDescent="0.35">
      <c r="A104" s="11">
        <v>3</v>
      </c>
      <c r="B104" s="11" t="s">
        <v>1200</v>
      </c>
      <c r="C104" s="8" t="s">
        <v>168</v>
      </c>
      <c r="D104" s="13" t="s">
        <v>746</v>
      </c>
      <c r="E104" s="14">
        <v>6</v>
      </c>
      <c r="F104" s="11"/>
      <c r="G104" s="7">
        <v>6</v>
      </c>
      <c r="H104" s="7"/>
      <c r="I104" s="7">
        <v>6</v>
      </c>
      <c r="J104" s="7"/>
      <c r="K104" s="7">
        <v>6</v>
      </c>
    </row>
    <row r="105" spans="1:11" ht="26.25" hidden="1" customHeight="1" x14ac:dyDescent="0.35">
      <c r="A105" s="11">
        <v>3</v>
      </c>
      <c r="B105" s="11" t="s">
        <v>1200</v>
      </c>
      <c r="C105" s="8" t="s">
        <v>170</v>
      </c>
      <c r="D105" s="13" t="s">
        <v>748</v>
      </c>
      <c r="E105" s="14">
        <v>6</v>
      </c>
      <c r="F105" s="11"/>
      <c r="G105" s="7">
        <v>6</v>
      </c>
      <c r="H105" s="7"/>
      <c r="I105" s="7">
        <v>6</v>
      </c>
      <c r="J105" s="7"/>
      <c r="K105" s="7">
        <v>6</v>
      </c>
    </row>
    <row r="106" spans="1:11" ht="26.25" hidden="1" customHeight="1" x14ac:dyDescent="0.35">
      <c r="A106" s="11">
        <v>3</v>
      </c>
      <c r="B106" s="11" t="s">
        <v>1200</v>
      </c>
      <c r="C106" s="8" t="s">
        <v>171</v>
      </c>
      <c r="D106" s="13" t="s">
        <v>749</v>
      </c>
      <c r="E106" s="14">
        <v>6</v>
      </c>
      <c r="F106" s="11"/>
      <c r="G106" s="7">
        <v>6</v>
      </c>
      <c r="H106" s="7"/>
      <c r="I106" s="7">
        <v>6</v>
      </c>
      <c r="J106" s="7"/>
      <c r="K106" s="7">
        <v>6</v>
      </c>
    </row>
    <row r="107" spans="1:11" ht="26.25" hidden="1" customHeight="1" x14ac:dyDescent="0.35">
      <c r="A107" s="11">
        <v>3</v>
      </c>
      <c r="B107" s="11" t="s">
        <v>1200</v>
      </c>
      <c r="C107" s="8" t="s">
        <v>173</v>
      </c>
      <c r="D107" s="13" t="s">
        <v>751</v>
      </c>
      <c r="E107" s="14">
        <v>6</v>
      </c>
      <c r="F107" s="11"/>
      <c r="G107" s="7">
        <v>6</v>
      </c>
      <c r="H107" s="7"/>
      <c r="I107" s="7">
        <v>6</v>
      </c>
      <c r="J107" s="7"/>
      <c r="K107" s="7">
        <v>6</v>
      </c>
    </row>
    <row r="108" spans="1:11" ht="15.75" customHeight="1" x14ac:dyDescent="0.35">
      <c r="A108" s="11">
        <v>5</v>
      </c>
      <c r="B108" s="11" t="s">
        <v>1202</v>
      </c>
      <c r="C108" s="8" t="s">
        <v>193</v>
      </c>
      <c r="D108" s="13" t="s">
        <v>772</v>
      </c>
      <c r="E108" s="14">
        <v>10</v>
      </c>
      <c r="F108" s="7"/>
      <c r="G108" s="7">
        <v>10</v>
      </c>
      <c r="H108" s="7"/>
      <c r="I108" s="7">
        <v>10</v>
      </c>
      <c r="J108" s="7"/>
      <c r="K108" s="7">
        <v>10</v>
      </c>
    </row>
    <row r="109" spans="1:11" ht="15.75" customHeight="1" x14ac:dyDescent="0.35">
      <c r="A109" s="11">
        <v>5</v>
      </c>
      <c r="B109" s="11" t="s">
        <v>1202</v>
      </c>
      <c r="C109" s="8" t="s">
        <v>195</v>
      </c>
      <c r="D109" s="13" t="s">
        <v>774</v>
      </c>
      <c r="E109" s="14">
        <v>10</v>
      </c>
      <c r="F109" s="7"/>
      <c r="G109" s="7">
        <v>10</v>
      </c>
      <c r="H109" s="7"/>
      <c r="I109" s="7">
        <v>10</v>
      </c>
      <c r="J109" s="7"/>
      <c r="K109" s="7">
        <v>10</v>
      </c>
    </row>
    <row r="110" spans="1:11" ht="15.75" customHeight="1" x14ac:dyDescent="0.35">
      <c r="A110" s="11">
        <v>5</v>
      </c>
      <c r="B110" s="11" t="s">
        <v>1202</v>
      </c>
      <c r="C110" s="8" t="s">
        <v>196</v>
      </c>
      <c r="D110" s="13" t="s">
        <v>775</v>
      </c>
      <c r="E110" s="14">
        <v>10</v>
      </c>
      <c r="F110" s="7"/>
      <c r="G110" s="7">
        <v>10</v>
      </c>
      <c r="H110" s="7"/>
      <c r="I110" s="7">
        <v>10</v>
      </c>
      <c r="J110" s="7"/>
      <c r="K110" s="7">
        <v>10</v>
      </c>
    </row>
    <row r="111" spans="1:11" ht="15.75" customHeight="1" x14ac:dyDescent="0.35">
      <c r="A111" s="11">
        <v>5</v>
      </c>
      <c r="B111" s="11" t="s">
        <v>1202</v>
      </c>
      <c r="C111" s="8" t="s">
        <v>197</v>
      </c>
      <c r="D111" s="13" t="s">
        <v>776</v>
      </c>
      <c r="E111" s="14">
        <v>10</v>
      </c>
      <c r="F111" s="7"/>
      <c r="G111" s="7">
        <v>10</v>
      </c>
      <c r="H111" s="7"/>
      <c r="I111" s="7">
        <v>10</v>
      </c>
      <c r="J111" s="7"/>
      <c r="K111" s="7">
        <v>10</v>
      </c>
    </row>
    <row r="112" spans="1:11" ht="15.75" customHeight="1" x14ac:dyDescent="0.35">
      <c r="A112" s="11">
        <v>5</v>
      </c>
      <c r="B112" s="11" t="s">
        <v>1202</v>
      </c>
      <c r="C112" s="8" t="s">
        <v>198</v>
      </c>
      <c r="D112" s="13" t="s">
        <v>777</v>
      </c>
      <c r="E112" s="14">
        <v>10</v>
      </c>
      <c r="F112" s="7"/>
      <c r="G112" s="7">
        <v>10</v>
      </c>
      <c r="H112" s="7"/>
      <c r="I112" s="7">
        <v>10</v>
      </c>
      <c r="J112" s="7"/>
      <c r="K112" s="7">
        <v>10</v>
      </c>
    </row>
    <row r="113" spans="1:11" ht="15.75" customHeight="1" x14ac:dyDescent="0.35">
      <c r="A113" s="11">
        <v>5</v>
      </c>
      <c r="B113" s="11" t="s">
        <v>1202</v>
      </c>
      <c r="C113" s="8" t="s">
        <v>199</v>
      </c>
      <c r="D113" s="13" t="s">
        <v>778</v>
      </c>
      <c r="E113" s="14">
        <v>10</v>
      </c>
      <c r="F113" s="7"/>
      <c r="G113" s="7">
        <v>10</v>
      </c>
      <c r="H113" s="7"/>
      <c r="I113" s="7">
        <v>10</v>
      </c>
      <c r="J113" s="7"/>
      <c r="K113" s="7">
        <v>10</v>
      </c>
    </row>
    <row r="114" spans="1:11" ht="15.75" customHeight="1" x14ac:dyDescent="0.35">
      <c r="A114" s="11">
        <v>5</v>
      </c>
      <c r="B114" s="11" t="s">
        <v>1202</v>
      </c>
      <c r="C114" s="8" t="s">
        <v>200</v>
      </c>
      <c r="D114" s="13" t="s">
        <v>779</v>
      </c>
      <c r="E114" s="14">
        <v>10</v>
      </c>
      <c r="F114" s="7"/>
      <c r="G114" s="7">
        <v>10</v>
      </c>
      <c r="H114" s="7"/>
      <c r="I114" s="7">
        <v>10</v>
      </c>
      <c r="J114" s="7"/>
      <c r="K114" s="7">
        <v>10</v>
      </c>
    </row>
    <row r="115" spans="1:11" ht="15.75" customHeight="1" x14ac:dyDescent="0.35">
      <c r="A115" s="11">
        <v>5</v>
      </c>
      <c r="B115" s="11" t="s">
        <v>1202</v>
      </c>
      <c r="C115" s="8" t="s">
        <v>201</v>
      </c>
      <c r="D115" s="13" t="s">
        <v>779</v>
      </c>
      <c r="E115" s="14">
        <v>10</v>
      </c>
      <c r="F115" s="7"/>
      <c r="G115" s="7">
        <v>10</v>
      </c>
      <c r="H115" s="7"/>
      <c r="I115" s="7">
        <v>10</v>
      </c>
      <c r="J115" s="7"/>
      <c r="K115" s="7">
        <v>10</v>
      </c>
    </row>
    <row r="116" spans="1:11" ht="15.75" customHeight="1" x14ac:dyDescent="0.35">
      <c r="A116" s="11">
        <v>5</v>
      </c>
      <c r="B116" s="11" t="s">
        <v>1202</v>
      </c>
      <c r="C116" s="8" t="s">
        <v>202</v>
      </c>
      <c r="D116" s="13" t="s">
        <v>780</v>
      </c>
      <c r="E116" s="14">
        <v>10</v>
      </c>
      <c r="F116" s="7"/>
      <c r="G116" s="7">
        <v>10</v>
      </c>
      <c r="H116" s="7"/>
      <c r="I116" s="7">
        <v>10</v>
      </c>
      <c r="J116" s="7"/>
      <c r="K116" s="7">
        <v>10</v>
      </c>
    </row>
    <row r="117" spans="1:11" ht="15.75" customHeight="1" x14ac:dyDescent="0.35">
      <c r="A117" s="11">
        <v>5</v>
      </c>
      <c r="B117" s="11" t="s">
        <v>1202</v>
      </c>
      <c r="C117" s="8" t="s">
        <v>204</v>
      </c>
      <c r="D117" s="13" t="s">
        <v>782</v>
      </c>
      <c r="E117" s="14">
        <v>10</v>
      </c>
      <c r="F117" s="7"/>
      <c r="G117" s="7">
        <v>10</v>
      </c>
      <c r="H117" s="7"/>
      <c r="I117" s="7">
        <v>10</v>
      </c>
      <c r="J117" s="7"/>
      <c r="K117" s="7">
        <v>10</v>
      </c>
    </row>
    <row r="118" spans="1:11" ht="15.75" customHeight="1" x14ac:dyDescent="0.35">
      <c r="A118" s="11">
        <v>5</v>
      </c>
      <c r="B118" s="11" t="s">
        <v>1202</v>
      </c>
      <c r="C118" s="8" t="s">
        <v>205</v>
      </c>
      <c r="D118" s="13" t="s">
        <v>783</v>
      </c>
      <c r="E118" s="14">
        <v>10</v>
      </c>
      <c r="F118" s="7"/>
      <c r="G118" s="7">
        <v>10</v>
      </c>
      <c r="H118" s="7"/>
      <c r="I118" s="7">
        <v>10</v>
      </c>
      <c r="J118" s="7"/>
      <c r="K118" s="7">
        <v>10</v>
      </c>
    </row>
    <row r="119" spans="1:11" ht="15.75" customHeight="1" x14ac:dyDescent="0.35">
      <c r="A119" s="11">
        <v>5</v>
      </c>
      <c r="B119" s="11" t="s">
        <v>1202</v>
      </c>
      <c r="C119" s="8" t="s">
        <v>240</v>
      </c>
      <c r="D119" s="13" t="s">
        <v>816</v>
      </c>
      <c r="E119" s="14">
        <v>10</v>
      </c>
      <c r="F119" s="7"/>
      <c r="G119" s="7">
        <v>10</v>
      </c>
      <c r="H119" s="7"/>
      <c r="I119" s="7">
        <v>10</v>
      </c>
      <c r="J119" s="7"/>
      <c r="K119" s="7">
        <v>10</v>
      </c>
    </row>
    <row r="120" spans="1:11" ht="15.75" customHeight="1" x14ac:dyDescent="0.35">
      <c r="A120" s="11">
        <v>5</v>
      </c>
      <c r="B120" s="11" t="s">
        <v>1202</v>
      </c>
      <c r="C120" s="8" t="s">
        <v>288</v>
      </c>
      <c r="D120" s="13" t="s">
        <v>865</v>
      </c>
      <c r="E120" s="14">
        <v>9</v>
      </c>
      <c r="F120" s="7">
        <v>9</v>
      </c>
      <c r="G120" s="7"/>
      <c r="H120" s="7">
        <v>9</v>
      </c>
      <c r="I120" s="7"/>
      <c r="J120" s="7">
        <v>9</v>
      </c>
      <c r="K120" s="7"/>
    </row>
    <row r="121" spans="1:11" ht="15.75" customHeight="1" x14ac:dyDescent="0.35">
      <c r="A121" s="11">
        <v>5</v>
      </c>
      <c r="B121" s="11" t="s">
        <v>1202</v>
      </c>
      <c r="C121" s="8" t="s">
        <v>289</v>
      </c>
      <c r="D121" s="13" t="s">
        <v>866</v>
      </c>
      <c r="E121" s="14">
        <v>10</v>
      </c>
      <c r="F121" s="7"/>
      <c r="G121" s="7">
        <v>10</v>
      </c>
      <c r="H121" s="7"/>
      <c r="I121" s="7">
        <v>10</v>
      </c>
      <c r="J121" s="7"/>
      <c r="K121" s="7">
        <v>10</v>
      </c>
    </row>
    <row r="122" spans="1:11" ht="15.75" customHeight="1" x14ac:dyDescent="0.35">
      <c r="A122" s="11">
        <v>5</v>
      </c>
      <c r="B122" s="11" t="s">
        <v>1202</v>
      </c>
      <c r="C122" s="8" t="s">
        <v>290</v>
      </c>
      <c r="D122" s="13" t="s">
        <v>867</v>
      </c>
      <c r="E122" s="14">
        <v>10</v>
      </c>
      <c r="F122" s="7"/>
      <c r="G122" s="7">
        <v>10</v>
      </c>
      <c r="H122" s="7"/>
      <c r="I122" s="7">
        <v>10</v>
      </c>
      <c r="J122" s="7"/>
      <c r="K122" s="7">
        <v>10</v>
      </c>
    </row>
    <row r="123" spans="1:11" ht="15.75" customHeight="1" x14ac:dyDescent="0.35">
      <c r="A123" s="11">
        <v>5</v>
      </c>
      <c r="B123" s="11" t="s">
        <v>1202</v>
      </c>
      <c r="C123" s="8" t="s">
        <v>1165</v>
      </c>
      <c r="D123" s="13" t="s">
        <v>869</v>
      </c>
      <c r="E123" s="14">
        <v>10</v>
      </c>
      <c r="F123" s="7"/>
      <c r="G123" s="7">
        <v>10</v>
      </c>
      <c r="H123" s="7"/>
      <c r="I123" s="7">
        <v>10</v>
      </c>
      <c r="J123" s="7"/>
      <c r="K123" s="7">
        <v>10</v>
      </c>
    </row>
    <row r="124" spans="1:11" ht="15.75" customHeight="1" x14ac:dyDescent="0.35">
      <c r="A124" s="11">
        <v>5</v>
      </c>
      <c r="B124" s="11" t="s">
        <v>1202</v>
      </c>
      <c r="C124" s="8" t="s">
        <v>295</v>
      </c>
      <c r="D124" s="13" t="s">
        <v>872</v>
      </c>
      <c r="E124" s="14">
        <v>10</v>
      </c>
      <c r="F124" s="7"/>
      <c r="G124" s="7">
        <v>10</v>
      </c>
      <c r="H124" s="7"/>
      <c r="I124" s="7">
        <v>10</v>
      </c>
      <c r="J124" s="7"/>
      <c r="K124" s="7">
        <v>10</v>
      </c>
    </row>
    <row r="125" spans="1:11" ht="15.75" customHeight="1" x14ac:dyDescent="0.35">
      <c r="A125" s="11">
        <v>5</v>
      </c>
      <c r="B125" s="11" t="s">
        <v>1202</v>
      </c>
      <c r="C125" s="8" t="s">
        <v>300</v>
      </c>
      <c r="D125" s="13" t="s">
        <v>877</v>
      </c>
      <c r="E125" s="14">
        <v>10</v>
      </c>
      <c r="F125" s="7"/>
      <c r="G125" s="7">
        <v>10</v>
      </c>
      <c r="H125" s="7"/>
      <c r="I125" s="7">
        <v>10</v>
      </c>
      <c r="J125" s="7"/>
      <c r="K125" s="7">
        <v>10</v>
      </c>
    </row>
    <row r="126" spans="1:11" ht="15.75" hidden="1" customHeight="1" x14ac:dyDescent="0.35">
      <c r="A126" s="11">
        <v>4</v>
      </c>
      <c r="B126" s="11" t="s">
        <v>1199</v>
      </c>
      <c r="C126" s="8" t="s">
        <v>308</v>
      </c>
      <c r="D126" s="15" t="s">
        <v>1193</v>
      </c>
      <c r="E126" s="16" t="s">
        <v>1204</v>
      </c>
      <c r="F126" s="7">
        <v>7</v>
      </c>
      <c r="G126" s="7"/>
      <c r="H126" s="7">
        <v>7</v>
      </c>
      <c r="I126" s="7"/>
      <c r="J126" s="7">
        <v>7</v>
      </c>
      <c r="K126" s="7"/>
    </row>
    <row r="127" spans="1:11" ht="15.75" hidden="1" customHeight="1" x14ac:dyDescent="0.35">
      <c r="A127" s="11">
        <v>4</v>
      </c>
      <c r="B127" s="11" t="s">
        <v>1199</v>
      </c>
      <c r="C127" s="8" t="s">
        <v>315</v>
      </c>
      <c r="D127" s="15" t="s">
        <v>891</v>
      </c>
      <c r="E127" s="16" t="s">
        <v>1204</v>
      </c>
      <c r="F127" s="7">
        <v>7</v>
      </c>
      <c r="G127" s="7"/>
      <c r="H127" s="7">
        <v>7</v>
      </c>
      <c r="I127" s="7"/>
      <c r="J127" s="7">
        <v>7</v>
      </c>
      <c r="K127" s="7"/>
    </row>
    <row r="128" spans="1:11" ht="15.75" hidden="1" customHeight="1" x14ac:dyDescent="0.35">
      <c r="A128" s="11">
        <v>4</v>
      </c>
      <c r="B128" s="11" t="s">
        <v>1199</v>
      </c>
      <c r="C128" s="8" t="s">
        <v>316</v>
      </c>
      <c r="D128" s="15" t="s">
        <v>1194</v>
      </c>
      <c r="E128" s="16" t="s">
        <v>1204</v>
      </c>
      <c r="F128" s="7">
        <v>7</v>
      </c>
      <c r="G128" s="7"/>
      <c r="H128" s="7">
        <v>7</v>
      </c>
      <c r="I128" s="7"/>
      <c r="J128" s="7">
        <v>7</v>
      </c>
      <c r="K128" s="7"/>
    </row>
    <row r="129" spans="1:11" ht="15.75" hidden="1" customHeight="1" x14ac:dyDescent="0.35">
      <c r="A129" s="11">
        <v>4</v>
      </c>
      <c r="B129" s="11" t="s">
        <v>1199</v>
      </c>
      <c r="C129" s="8" t="s">
        <v>317</v>
      </c>
      <c r="D129" s="15" t="s">
        <v>1195</v>
      </c>
      <c r="E129" s="16" t="s">
        <v>1204</v>
      </c>
      <c r="F129" s="7">
        <v>7</v>
      </c>
      <c r="G129" s="7"/>
      <c r="H129" s="7">
        <v>7</v>
      </c>
      <c r="I129" s="7"/>
      <c r="J129" s="7">
        <v>7</v>
      </c>
      <c r="K129" s="7"/>
    </row>
    <row r="130" spans="1:11" ht="15.75" hidden="1" customHeight="1" x14ac:dyDescent="0.35">
      <c r="A130" s="11">
        <v>4</v>
      </c>
      <c r="B130" s="11" t="s">
        <v>1199</v>
      </c>
      <c r="C130" s="8" t="s">
        <v>320</v>
      </c>
      <c r="D130" s="12" t="s">
        <v>1170</v>
      </c>
      <c r="E130" s="16" t="s">
        <v>1204</v>
      </c>
      <c r="F130" s="7">
        <v>7</v>
      </c>
      <c r="G130" s="7"/>
      <c r="H130" s="7">
        <v>7</v>
      </c>
      <c r="I130" s="7"/>
      <c r="J130" s="7">
        <v>7</v>
      </c>
      <c r="K130" s="7"/>
    </row>
    <row r="131" spans="1:11" ht="15.75" hidden="1" customHeight="1" x14ac:dyDescent="0.35">
      <c r="A131" s="11">
        <v>4</v>
      </c>
      <c r="B131" s="11" t="s">
        <v>1199</v>
      </c>
      <c r="C131" s="8" t="s">
        <v>327</v>
      </c>
      <c r="D131" s="15" t="s">
        <v>1195</v>
      </c>
      <c r="E131" s="16" t="s">
        <v>1204</v>
      </c>
      <c r="F131" s="7">
        <v>7</v>
      </c>
      <c r="G131" s="7"/>
      <c r="H131" s="7">
        <v>7</v>
      </c>
      <c r="I131" s="7"/>
      <c r="J131" s="7">
        <v>7</v>
      </c>
      <c r="K131" s="7"/>
    </row>
    <row r="132" spans="1:11" ht="15.75" hidden="1" customHeight="1" x14ac:dyDescent="0.35">
      <c r="A132" s="11">
        <v>4</v>
      </c>
      <c r="B132" s="11" t="s">
        <v>1199</v>
      </c>
      <c r="C132" s="8" t="s">
        <v>330</v>
      </c>
      <c r="D132" s="15" t="s">
        <v>1196</v>
      </c>
      <c r="E132" s="16" t="s">
        <v>1212</v>
      </c>
      <c r="F132" s="7"/>
      <c r="G132" s="7">
        <v>8</v>
      </c>
      <c r="H132" s="7"/>
      <c r="I132" s="7">
        <v>8</v>
      </c>
      <c r="J132" s="7"/>
      <c r="K132" s="7">
        <v>8</v>
      </c>
    </row>
    <row r="133" spans="1:11" ht="15.75" hidden="1" customHeight="1" x14ac:dyDescent="0.35">
      <c r="A133" s="11">
        <v>4</v>
      </c>
      <c r="B133" s="11" t="s">
        <v>1199</v>
      </c>
      <c r="C133" s="8" t="s">
        <v>333</v>
      </c>
      <c r="D133" s="15" t="s">
        <v>1197</v>
      </c>
      <c r="E133" s="16" t="s">
        <v>1212</v>
      </c>
      <c r="F133" s="7"/>
      <c r="G133" s="7">
        <v>8</v>
      </c>
      <c r="H133" s="7"/>
      <c r="I133" s="7">
        <v>8</v>
      </c>
      <c r="J133" s="7"/>
      <c r="K133" s="7">
        <v>8</v>
      </c>
    </row>
    <row r="134" spans="1:11" ht="15.75" hidden="1" customHeight="1" x14ac:dyDescent="0.35">
      <c r="A134" s="11">
        <v>4</v>
      </c>
      <c r="B134" s="11" t="s">
        <v>1199</v>
      </c>
      <c r="C134" s="8" t="s">
        <v>1173</v>
      </c>
      <c r="D134" s="15" t="s">
        <v>937</v>
      </c>
      <c r="E134" s="16" t="s">
        <v>1212</v>
      </c>
      <c r="F134" s="7"/>
      <c r="G134" s="7">
        <v>8</v>
      </c>
      <c r="H134" s="7"/>
      <c r="I134" s="7">
        <v>8</v>
      </c>
      <c r="J134" s="7"/>
      <c r="K134" s="7">
        <v>8</v>
      </c>
    </row>
    <row r="135" spans="1:11" ht="15.75" hidden="1" customHeight="1" x14ac:dyDescent="0.35">
      <c r="A135" s="11">
        <v>4</v>
      </c>
      <c r="B135" s="11" t="s">
        <v>1199</v>
      </c>
      <c r="C135" s="8" t="s">
        <v>337</v>
      </c>
      <c r="D135" s="15" t="s">
        <v>1213</v>
      </c>
      <c r="E135" s="16" t="s">
        <v>1212</v>
      </c>
      <c r="F135" s="7"/>
      <c r="G135" s="7">
        <v>8</v>
      </c>
      <c r="H135" s="7"/>
      <c r="I135" s="7">
        <v>8</v>
      </c>
      <c r="J135" s="7"/>
      <c r="K135" s="7">
        <v>8</v>
      </c>
    </row>
    <row r="136" spans="1:11" ht="15.75" hidden="1" customHeight="1" x14ac:dyDescent="0.35">
      <c r="A136" s="11">
        <v>4</v>
      </c>
      <c r="B136" s="11" t="s">
        <v>1199</v>
      </c>
      <c r="C136" s="8" t="s">
        <v>338</v>
      </c>
      <c r="D136" s="15" t="s">
        <v>1213</v>
      </c>
      <c r="E136" s="16" t="s">
        <v>1212</v>
      </c>
      <c r="F136" s="7"/>
      <c r="G136" s="7">
        <v>8</v>
      </c>
      <c r="H136" s="7"/>
      <c r="I136" s="7">
        <v>8</v>
      </c>
      <c r="J136" s="7"/>
      <c r="K136" s="7">
        <v>8</v>
      </c>
    </row>
    <row r="137" spans="1:11" ht="15.75" hidden="1" customHeight="1" x14ac:dyDescent="0.35">
      <c r="A137" s="11">
        <v>4</v>
      </c>
      <c r="B137" s="11" t="s">
        <v>1199</v>
      </c>
      <c r="C137" s="8" t="s">
        <v>1155</v>
      </c>
      <c r="D137" s="15" t="s">
        <v>1214</v>
      </c>
      <c r="E137" s="16" t="s">
        <v>1212</v>
      </c>
      <c r="F137" s="7"/>
      <c r="G137" s="7">
        <v>8</v>
      </c>
      <c r="H137" s="7"/>
      <c r="I137" s="7">
        <v>8</v>
      </c>
      <c r="J137" s="7"/>
      <c r="K137" s="7">
        <v>8</v>
      </c>
    </row>
    <row r="138" spans="1:11" ht="15.75" hidden="1" customHeight="1" x14ac:dyDescent="0.35">
      <c r="A138" s="11">
        <v>4</v>
      </c>
      <c r="B138" s="11" t="s">
        <v>1199</v>
      </c>
      <c r="C138" s="8" t="s">
        <v>1161</v>
      </c>
      <c r="D138" s="15" t="s">
        <v>1215</v>
      </c>
      <c r="E138" s="16" t="s">
        <v>1212</v>
      </c>
      <c r="F138" s="7"/>
      <c r="G138" s="7">
        <v>8</v>
      </c>
      <c r="H138" s="7"/>
      <c r="I138" s="7">
        <v>8</v>
      </c>
      <c r="J138" s="7"/>
      <c r="K138" s="7">
        <v>8</v>
      </c>
    </row>
    <row r="139" spans="1:11" ht="15.75" hidden="1" customHeight="1" x14ac:dyDescent="0.35">
      <c r="A139" s="11">
        <v>4</v>
      </c>
      <c r="B139" s="11" t="s">
        <v>1199</v>
      </c>
      <c r="C139" s="8" t="s">
        <v>1166</v>
      </c>
      <c r="D139" s="15" t="s">
        <v>1216</v>
      </c>
      <c r="E139" s="16" t="s">
        <v>1212</v>
      </c>
      <c r="F139" s="7"/>
      <c r="G139" s="7">
        <v>8</v>
      </c>
      <c r="H139" s="7"/>
      <c r="I139" s="7">
        <v>8</v>
      </c>
      <c r="J139" s="7"/>
      <c r="K139" s="7">
        <v>8</v>
      </c>
    </row>
    <row r="140" spans="1:11" ht="15.75" hidden="1" customHeight="1" x14ac:dyDescent="0.35">
      <c r="A140" s="11">
        <v>4</v>
      </c>
      <c r="B140" s="11" t="s">
        <v>1199</v>
      </c>
      <c r="C140" s="8" t="s">
        <v>365</v>
      </c>
      <c r="D140" s="15" t="s">
        <v>952</v>
      </c>
      <c r="E140" s="16" t="s">
        <v>1212</v>
      </c>
      <c r="F140" s="7"/>
      <c r="G140" s="7">
        <v>8</v>
      </c>
      <c r="H140" s="7"/>
      <c r="I140" s="7">
        <v>8</v>
      </c>
      <c r="J140" s="7"/>
      <c r="K140" s="7">
        <v>8</v>
      </c>
    </row>
    <row r="141" spans="1:11" ht="15.75" hidden="1" customHeight="1" x14ac:dyDescent="0.35">
      <c r="A141" s="11">
        <v>4</v>
      </c>
      <c r="B141" s="11" t="s">
        <v>1199</v>
      </c>
      <c r="C141" s="8" t="s">
        <v>366</v>
      </c>
      <c r="D141" s="15" t="s">
        <v>1217</v>
      </c>
      <c r="E141" s="16" t="s">
        <v>1212</v>
      </c>
      <c r="F141" s="7"/>
      <c r="G141" s="7">
        <v>8</v>
      </c>
      <c r="H141" s="7"/>
      <c r="I141" s="7">
        <v>8</v>
      </c>
      <c r="J141" s="7"/>
      <c r="K141" s="7">
        <v>8</v>
      </c>
    </row>
    <row r="142" spans="1:11" ht="15.75" hidden="1" customHeight="1" x14ac:dyDescent="0.35">
      <c r="A142" s="11">
        <v>4</v>
      </c>
      <c r="B142" s="11" t="s">
        <v>1199</v>
      </c>
      <c r="C142" s="8" t="s">
        <v>368</v>
      </c>
      <c r="D142" s="15" t="s">
        <v>937</v>
      </c>
      <c r="E142" s="16" t="s">
        <v>1212</v>
      </c>
      <c r="F142" s="7"/>
      <c r="G142" s="7">
        <v>8</v>
      </c>
      <c r="H142" s="7"/>
      <c r="I142" s="7">
        <v>8</v>
      </c>
      <c r="J142" s="7"/>
      <c r="K142" s="7">
        <v>8</v>
      </c>
    </row>
    <row r="143" spans="1:11" ht="15.75" hidden="1" customHeight="1" x14ac:dyDescent="0.35">
      <c r="A143" s="11">
        <v>4</v>
      </c>
      <c r="B143" s="11" t="s">
        <v>1199</v>
      </c>
      <c r="C143" s="8" t="s">
        <v>369</v>
      </c>
      <c r="D143" s="15" t="s">
        <v>937</v>
      </c>
      <c r="E143" s="16" t="s">
        <v>1212</v>
      </c>
      <c r="F143" s="7"/>
      <c r="G143" s="7">
        <v>8</v>
      </c>
      <c r="H143" s="7"/>
      <c r="I143" s="7">
        <v>8</v>
      </c>
      <c r="J143" s="7"/>
      <c r="K143" s="7">
        <v>8</v>
      </c>
    </row>
    <row r="144" spans="1:11" ht="15.75" hidden="1" customHeight="1" x14ac:dyDescent="0.35">
      <c r="A144" s="11">
        <v>4</v>
      </c>
      <c r="B144" s="11" t="s">
        <v>1199</v>
      </c>
      <c r="C144" s="8" t="s">
        <v>538</v>
      </c>
      <c r="D144" s="15" t="s">
        <v>1218</v>
      </c>
      <c r="E144" s="16" t="s">
        <v>1212</v>
      </c>
      <c r="F144" s="7"/>
      <c r="G144" s="7">
        <v>8</v>
      </c>
      <c r="H144" s="7"/>
      <c r="I144" s="7">
        <v>8</v>
      </c>
      <c r="J144" s="7"/>
      <c r="K144" s="7">
        <v>8</v>
      </c>
    </row>
    <row r="145" spans="1:11" ht="15.75" hidden="1" customHeight="1" x14ac:dyDescent="0.35">
      <c r="A145" s="11">
        <v>4</v>
      </c>
      <c r="B145" s="11" t="s">
        <v>1199</v>
      </c>
      <c r="C145" s="8" t="s">
        <v>1169</v>
      </c>
      <c r="D145" s="15" t="s">
        <v>1219</v>
      </c>
      <c r="E145" s="16" t="s">
        <v>1212</v>
      </c>
      <c r="F145" s="7"/>
      <c r="G145" s="7">
        <v>8</v>
      </c>
      <c r="H145" s="7"/>
      <c r="I145" s="7">
        <v>8</v>
      </c>
      <c r="J145" s="7"/>
      <c r="K145" s="7">
        <v>8</v>
      </c>
    </row>
    <row r="146" spans="1:11" ht="15.75" hidden="1" customHeight="1" x14ac:dyDescent="0.35">
      <c r="A146" s="11">
        <v>4</v>
      </c>
      <c r="B146" s="11" t="s">
        <v>1199</v>
      </c>
      <c r="C146" s="8" t="s">
        <v>540</v>
      </c>
      <c r="D146" s="15" t="s">
        <v>1220</v>
      </c>
      <c r="E146" s="16" t="s">
        <v>1212</v>
      </c>
      <c r="F146" s="7"/>
      <c r="G146" s="7">
        <v>8</v>
      </c>
      <c r="H146" s="7"/>
      <c r="I146" s="7">
        <v>8</v>
      </c>
      <c r="J146" s="7"/>
      <c r="K146" s="7">
        <v>8</v>
      </c>
    </row>
    <row r="147" spans="1:11" ht="15.75" hidden="1" customHeight="1" x14ac:dyDescent="0.35">
      <c r="A147" s="11">
        <v>4</v>
      </c>
      <c r="B147" s="11" t="s">
        <v>1199</v>
      </c>
      <c r="C147" s="8" t="s">
        <v>541</v>
      </c>
      <c r="D147" s="15" t="s">
        <v>1102</v>
      </c>
      <c r="E147" s="16" t="s">
        <v>1212</v>
      </c>
      <c r="F147" s="7"/>
      <c r="G147" s="7">
        <v>8</v>
      </c>
      <c r="H147" s="7"/>
      <c r="I147" s="7">
        <v>8</v>
      </c>
      <c r="J147" s="7"/>
      <c r="K147" s="7">
        <v>8</v>
      </c>
    </row>
    <row r="148" spans="1:11" ht="15.75" hidden="1" customHeight="1" x14ac:dyDescent="0.35">
      <c r="A148" s="11">
        <v>4</v>
      </c>
      <c r="B148" s="11" t="s">
        <v>1199</v>
      </c>
      <c r="C148" s="8" t="s">
        <v>542</v>
      </c>
      <c r="D148" s="15" t="s">
        <v>1230</v>
      </c>
      <c r="E148" s="16" t="s">
        <v>1204</v>
      </c>
      <c r="F148" s="7">
        <v>7</v>
      </c>
      <c r="G148" s="7"/>
      <c r="H148" s="7">
        <v>7</v>
      </c>
      <c r="I148" s="7"/>
      <c r="J148" s="7">
        <v>7</v>
      </c>
      <c r="K148" s="7"/>
    </row>
    <row r="149" spans="1:11" ht="15.75" hidden="1" customHeight="1" x14ac:dyDescent="0.35">
      <c r="A149" s="11">
        <v>4</v>
      </c>
      <c r="B149" s="11" t="s">
        <v>1199</v>
      </c>
      <c r="C149" s="8" t="s">
        <v>559</v>
      </c>
      <c r="D149" s="15" t="s">
        <v>1231</v>
      </c>
      <c r="E149" s="16" t="s">
        <v>1204</v>
      </c>
      <c r="F149" s="7">
        <v>7</v>
      </c>
      <c r="G149" s="7"/>
      <c r="H149" s="7">
        <v>7</v>
      </c>
      <c r="I149" s="7"/>
      <c r="J149" s="7">
        <v>7</v>
      </c>
      <c r="K149" s="7"/>
    </row>
    <row r="150" spans="1:11" ht="15.75" hidden="1" customHeight="1" x14ac:dyDescent="0.35">
      <c r="A150" s="11">
        <v>4</v>
      </c>
      <c r="B150" s="11" t="s">
        <v>1199</v>
      </c>
      <c r="C150" s="8" t="s">
        <v>563</v>
      </c>
      <c r="D150" s="15" t="s">
        <v>1232</v>
      </c>
      <c r="E150" s="16" t="s">
        <v>1204</v>
      </c>
      <c r="F150" s="7">
        <v>7</v>
      </c>
      <c r="G150" s="7"/>
      <c r="H150" s="7">
        <v>7</v>
      </c>
      <c r="I150" s="7"/>
      <c r="J150" s="7">
        <v>7</v>
      </c>
      <c r="K150" s="7"/>
    </row>
    <row r="151" spans="1:11" ht="15.75" hidden="1" customHeight="1" x14ac:dyDescent="0.35">
      <c r="A151" s="11">
        <v>4</v>
      </c>
      <c r="B151" s="11" t="s">
        <v>1199</v>
      </c>
      <c r="C151" s="8" t="s">
        <v>564</v>
      </c>
      <c r="D151" s="12" t="s">
        <v>1171</v>
      </c>
      <c r="E151" s="16" t="s">
        <v>1204</v>
      </c>
      <c r="F151" s="7">
        <v>7</v>
      </c>
      <c r="G151" s="7"/>
      <c r="H151" s="7">
        <v>7</v>
      </c>
      <c r="I151" s="7"/>
      <c r="J151" s="7">
        <v>7</v>
      </c>
      <c r="K151" s="7"/>
    </row>
    <row r="152" spans="1:11" ht="15.75" hidden="1" customHeight="1" x14ac:dyDescent="0.35">
      <c r="A152" s="11">
        <v>4</v>
      </c>
      <c r="B152" s="11" t="s">
        <v>1199</v>
      </c>
      <c r="C152" s="8" t="s">
        <v>565</v>
      </c>
      <c r="D152" s="15" t="s">
        <v>1233</v>
      </c>
      <c r="E152" s="16" t="s">
        <v>1204</v>
      </c>
      <c r="F152" s="7">
        <v>7</v>
      </c>
      <c r="G152" s="7"/>
      <c r="H152" s="7">
        <v>7</v>
      </c>
      <c r="I152" s="7"/>
      <c r="J152" s="7">
        <v>7</v>
      </c>
      <c r="K152" s="7"/>
    </row>
    <row r="153" spans="1:11" ht="15.75" hidden="1" customHeight="1" x14ac:dyDescent="0.35">
      <c r="A153" s="11">
        <v>4</v>
      </c>
      <c r="B153" s="11" t="s">
        <v>1199</v>
      </c>
      <c r="C153" s="8" t="s">
        <v>566</v>
      </c>
      <c r="D153" s="15" t="s">
        <v>1234</v>
      </c>
      <c r="E153" s="16" t="s">
        <v>1204</v>
      </c>
      <c r="F153" s="7">
        <v>7</v>
      </c>
      <c r="G153" s="7"/>
      <c r="H153" s="7">
        <v>7</v>
      </c>
      <c r="I153" s="7"/>
      <c r="J153" s="7">
        <v>7</v>
      </c>
      <c r="K153" s="7"/>
    </row>
    <row r="154" spans="1:11" ht="15.75" hidden="1" customHeight="1" x14ac:dyDescent="0.35">
      <c r="A154" s="11">
        <v>4</v>
      </c>
      <c r="B154" s="11" t="s">
        <v>1199</v>
      </c>
      <c r="C154" s="8" t="s">
        <v>568</v>
      </c>
      <c r="D154" s="12" t="s">
        <v>1172</v>
      </c>
      <c r="E154" s="16" t="s">
        <v>1204</v>
      </c>
      <c r="F154" s="7">
        <v>7</v>
      </c>
      <c r="G154" s="7"/>
      <c r="H154" s="7">
        <v>7</v>
      </c>
      <c r="I154" s="7"/>
      <c r="J154" s="7">
        <v>7</v>
      </c>
      <c r="K154" s="7"/>
    </row>
    <row r="155" spans="1:11" ht="15.75" hidden="1" customHeight="1" x14ac:dyDescent="0.35">
      <c r="A155" s="11">
        <v>4</v>
      </c>
      <c r="B155" s="11" t="s">
        <v>1199</v>
      </c>
      <c r="C155" s="8" t="s">
        <v>569</v>
      </c>
      <c r="D155" s="15" t="s">
        <v>1231</v>
      </c>
      <c r="E155" s="16" t="s">
        <v>1204</v>
      </c>
      <c r="F155" s="7">
        <v>7</v>
      </c>
      <c r="G155" s="7"/>
      <c r="H155" s="7">
        <v>7</v>
      </c>
      <c r="I155" s="7"/>
      <c r="J155" s="7">
        <v>7</v>
      </c>
      <c r="K155" s="7"/>
    </row>
    <row r="156" spans="1:11" ht="15.75" hidden="1" customHeight="1" x14ac:dyDescent="0.35">
      <c r="A156" s="11">
        <v>4</v>
      </c>
      <c r="B156" s="11" t="s">
        <v>1199</v>
      </c>
      <c r="C156" s="8" t="s">
        <v>570</v>
      </c>
      <c r="D156" s="15" t="s">
        <v>1232</v>
      </c>
      <c r="E156" s="16" t="s">
        <v>1204</v>
      </c>
      <c r="F156" s="7">
        <v>7</v>
      </c>
      <c r="G156" s="7"/>
      <c r="H156" s="7">
        <v>7</v>
      </c>
      <c r="I156" s="7"/>
      <c r="J156" s="7">
        <v>7</v>
      </c>
      <c r="K156" s="7"/>
    </row>
    <row r="157" spans="1:11" ht="15.75" hidden="1" customHeight="1" x14ac:dyDescent="0.35">
      <c r="A157" s="11">
        <v>4</v>
      </c>
      <c r="B157" s="11" t="s">
        <v>1199</v>
      </c>
      <c r="C157" s="8" t="s">
        <v>574</v>
      </c>
      <c r="D157" s="15" t="s">
        <v>1234</v>
      </c>
      <c r="E157" s="16" t="s">
        <v>1204</v>
      </c>
      <c r="F157" s="7">
        <v>7</v>
      </c>
      <c r="G157" s="7"/>
      <c r="H157" s="7">
        <v>7</v>
      </c>
      <c r="I157" s="7"/>
      <c r="J157" s="7">
        <v>7</v>
      </c>
      <c r="K157" s="7"/>
    </row>
    <row r="158" spans="1:11" ht="15.75" hidden="1" customHeight="1" x14ac:dyDescent="0.35">
      <c r="A158" s="11">
        <v>4</v>
      </c>
      <c r="B158" s="11" t="s">
        <v>1199</v>
      </c>
      <c r="C158" s="8" t="s">
        <v>579</v>
      </c>
      <c r="D158" s="15" t="s">
        <v>1231</v>
      </c>
      <c r="E158" s="16" t="s">
        <v>1204</v>
      </c>
      <c r="F158" s="7">
        <v>7</v>
      </c>
      <c r="G158" s="7"/>
      <c r="H158" s="7">
        <v>7</v>
      </c>
      <c r="I158" s="7"/>
      <c r="J158" s="7">
        <v>7</v>
      </c>
      <c r="K158" s="7"/>
    </row>
    <row r="159" spans="1:11" ht="15.75" hidden="1" customHeight="1" x14ac:dyDescent="0.35">
      <c r="A159" s="11">
        <v>4</v>
      </c>
      <c r="B159" s="11" t="s">
        <v>1199</v>
      </c>
      <c r="C159" s="8" t="s">
        <v>580</v>
      </c>
      <c r="D159" s="19" t="s">
        <v>1235</v>
      </c>
      <c r="E159" s="16" t="s">
        <v>1204</v>
      </c>
      <c r="F159" s="7">
        <v>7</v>
      </c>
      <c r="G159" s="7"/>
      <c r="H159" s="7">
        <v>7</v>
      </c>
      <c r="I159" s="7"/>
      <c r="J159" s="7">
        <v>7</v>
      </c>
      <c r="K159" s="7"/>
    </row>
    <row r="160" spans="1:11" ht="15.75" hidden="1" customHeight="1" x14ac:dyDescent="0.35">
      <c r="A160" s="11">
        <v>4</v>
      </c>
      <c r="B160" s="11" t="s">
        <v>1199</v>
      </c>
      <c r="C160" s="8" t="s">
        <v>583</v>
      </c>
      <c r="D160" s="15" t="s">
        <v>1236</v>
      </c>
      <c r="E160" s="16" t="s">
        <v>1204</v>
      </c>
      <c r="F160" s="7">
        <v>7</v>
      </c>
      <c r="G160" s="7"/>
      <c r="H160" s="7">
        <v>7</v>
      </c>
      <c r="I160" s="7"/>
      <c r="J160" s="7">
        <v>7</v>
      </c>
      <c r="K160" s="7"/>
    </row>
    <row r="161" spans="1:11" ht="27" hidden="1" customHeight="1" x14ac:dyDescent="0.45">
      <c r="A161" s="52" t="s">
        <v>1178</v>
      </c>
      <c r="B161" s="52"/>
      <c r="C161" s="52"/>
      <c r="D161" s="52"/>
      <c r="E161" s="20">
        <v>28</v>
      </c>
      <c r="F161" s="7">
        <v>10</v>
      </c>
      <c r="G161" s="7">
        <v>18</v>
      </c>
      <c r="H161" s="7">
        <v>10</v>
      </c>
      <c r="I161" s="7">
        <v>18</v>
      </c>
      <c r="J161" s="7">
        <v>10</v>
      </c>
      <c r="K161" s="7">
        <v>18</v>
      </c>
    </row>
    <row r="163" spans="1:11" ht="26.25" customHeight="1" x14ac:dyDescent="0.35">
      <c r="A163" s="22">
        <v>6</v>
      </c>
      <c r="B163" s="30" t="s">
        <v>1158</v>
      </c>
      <c r="C163" s="30" t="s">
        <v>1179</v>
      </c>
      <c r="D163" s="31" t="s">
        <v>1157</v>
      </c>
    </row>
    <row r="164" spans="1:11" ht="26.25" customHeight="1" x14ac:dyDescent="0.35">
      <c r="A164" s="22">
        <v>6</v>
      </c>
      <c r="B164" s="23">
        <v>1</v>
      </c>
      <c r="C164" s="23" t="s">
        <v>1198</v>
      </c>
      <c r="D164" s="28" t="s">
        <v>1221</v>
      </c>
    </row>
    <row r="165" spans="1:11" ht="26.25" customHeight="1" x14ac:dyDescent="0.35">
      <c r="A165" s="22">
        <v>6</v>
      </c>
      <c r="B165" s="24">
        <v>2</v>
      </c>
      <c r="C165" s="24" t="s">
        <v>1201</v>
      </c>
      <c r="D165" s="28" t="s">
        <v>1222</v>
      </c>
    </row>
    <row r="166" spans="1:11" ht="26.25" customHeight="1" x14ac:dyDescent="0.35">
      <c r="A166" s="22">
        <v>6</v>
      </c>
      <c r="B166" s="25">
        <v>3</v>
      </c>
      <c r="C166" s="25" t="s">
        <v>1200</v>
      </c>
      <c r="D166" s="28" t="s">
        <v>1223</v>
      </c>
    </row>
    <row r="167" spans="1:11" ht="26.25" customHeight="1" x14ac:dyDescent="0.35">
      <c r="A167" s="22">
        <v>6</v>
      </c>
      <c r="B167" s="26">
        <v>4</v>
      </c>
      <c r="C167" s="26" t="s">
        <v>1199</v>
      </c>
      <c r="D167" s="28" t="s">
        <v>1224</v>
      </c>
    </row>
    <row r="168" spans="1:11" ht="26.25" customHeight="1" x14ac:dyDescent="0.35">
      <c r="A168" s="22">
        <v>6</v>
      </c>
      <c r="B168" s="27">
        <v>5</v>
      </c>
      <c r="C168" s="27" t="s">
        <v>1202</v>
      </c>
      <c r="D168" s="28" t="s">
        <v>1225</v>
      </c>
    </row>
  </sheetData>
  <autoFilter ref="A2:K161" xr:uid="{15D9D765-913F-41BC-8A8D-C4F689EBC3FD}">
    <filterColumn colId="4">
      <filters>
        <filter val="10"/>
        <filter val="9"/>
      </filters>
    </filterColumn>
  </autoFilter>
  <mergeCells count="1">
    <mergeCell ref="A161:D161"/>
  </mergeCells>
  <pageMargins left="0.7" right="0.7" top="0.75" bottom="0.75" header="0.3" footer="0.3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68A9-0FD8-4D39-A73B-3E47E7290687}">
  <sheetPr>
    <pageSetUpPr fitToPage="1"/>
  </sheetPr>
  <dimension ref="A1:K35"/>
  <sheetViews>
    <sheetView workbookViewId="0">
      <selection activeCell="A2" sqref="A2:K125"/>
    </sheetView>
  </sheetViews>
  <sheetFormatPr defaultRowHeight="19.5" customHeight="1" x14ac:dyDescent="0.35"/>
  <cols>
    <col min="2" max="2" width="16.54296875" customWidth="1"/>
    <col min="3" max="3" width="31.54296875" customWidth="1"/>
    <col min="4" max="4" width="45.7265625" customWidth="1"/>
  </cols>
  <sheetData>
    <row r="1" spans="1:11" ht="19.5" customHeight="1" x14ac:dyDescent="0.35">
      <c r="C1" t="s">
        <v>1164</v>
      </c>
    </row>
    <row r="2" spans="1:11" ht="19.5" customHeight="1" x14ac:dyDescent="0.35">
      <c r="A2" s="9" t="s">
        <v>1157</v>
      </c>
      <c r="B2" s="9" t="s">
        <v>1179</v>
      </c>
      <c r="C2" s="10" t="s">
        <v>0</v>
      </c>
      <c r="D2" s="10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19.5" customHeight="1" x14ac:dyDescent="0.35">
      <c r="A3" s="7">
        <v>1</v>
      </c>
      <c r="B3" s="11" t="s">
        <v>1201</v>
      </c>
      <c r="C3" s="12" t="s">
        <v>12</v>
      </c>
      <c r="D3" s="13" t="s">
        <v>593</v>
      </c>
      <c r="E3" s="14">
        <v>1</v>
      </c>
      <c r="F3" s="11">
        <v>1</v>
      </c>
      <c r="G3" s="7"/>
      <c r="H3" s="7">
        <v>1</v>
      </c>
      <c r="I3" s="7"/>
      <c r="J3" s="7">
        <v>1</v>
      </c>
      <c r="K3" s="7"/>
    </row>
    <row r="4" spans="1:11" ht="19.5" customHeight="1" x14ac:dyDescent="0.35">
      <c r="A4" s="7">
        <v>1</v>
      </c>
      <c r="B4" s="11" t="s">
        <v>1201</v>
      </c>
      <c r="C4" s="12" t="s">
        <v>15</v>
      </c>
      <c r="D4" s="13" t="s">
        <v>596</v>
      </c>
      <c r="E4" s="14">
        <v>1</v>
      </c>
      <c r="F4" s="11">
        <v>1</v>
      </c>
      <c r="G4" s="7"/>
      <c r="H4" s="7">
        <v>1</v>
      </c>
      <c r="I4" s="7"/>
      <c r="J4" s="7">
        <v>1</v>
      </c>
      <c r="K4" s="7"/>
    </row>
    <row r="5" spans="1:11" ht="19.5" customHeight="1" x14ac:dyDescent="0.35">
      <c r="A5" s="7">
        <v>1</v>
      </c>
      <c r="B5" s="11" t="s">
        <v>1201</v>
      </c>
      <c r="C5" s="12" t="s">
        <v>20</v>
      </c>
      <c r="D5" s="13" t="s">
        <v>599</v>
      </c>
      <c r="E5" s="14">
        <v>1</v>
      </c>
      <c r="F5" s="11">
        <v>1</v>
      </c>
      <c r="G5" s="7"/>
      <c r="H5" s="7">
        <v>1</v>
      </c>
      <c r="I5" s="7"/>
      <c r="J5" s="7">
        <v>1</v>
      </c>
      <c r="K5" s="7"/>
    </row>
    <row r="6" spans="1:11" ht="19.5" customHeight="1" x14ac:dyDescent="0.35">
      <c r="A6" s="7">
        <v>1</v>
      </c>
      <c r="B6" s="11" t="s">
        <v>1201</v>
      </c>
      <c r="C6" s="12" t="s">
        <v>21</v>
      </c>
      <c r="D6" s="13" t="s">
        <v>600</v>
      </c>
      <c r="E6" s="14">
        <v>1</v>
      </c>
      <c r="F6" s="11">
        <v>1</v>
      </c>
      <c r="G6" s="7"/>
      <c r="H6" s="7">
        <v>1</v>
      </c>
      <c r="I6" s="7"/>
      <c r="J6" s="7">
        <v>1</v>
      </c>
      <c r="K6" s="7"/>
    </row>
    <row r="7" spans="1:11" ht="19.5" customHeight="1" x14ac:dyDescent="0.35">
      <c r="A7" s="7">
        <v>1</v>
      </c>
      <c r="B7" s="11" t="s">
        <v>1201</v>
      </c>
      <c r="C7" s="12" t="s">
        <v>22</v>
      </c>
      <c r="D7" s="13" t="s">
        <v>601</v>
      </c>
      <c r="E7" s="14">
        <v>1</v>
      </c>
      <c r="F7" s="11">
        <v>1</v>
      </c>
      <c r="G7" s="7"/>
      <c r="H7" s="7">
        <v>1</v>
      </c>
      <c r="I7" s="7"/>
      <c r="J7" s="7">
        <v>1</v>
      </c>
      <c r="K7" s="7"/>
    </row>
    <row r="8" spans="1:11" ht="19.5" customHeight="1" x14ac:dyDescent="0.35">
      <c r="A8" s="7">
        <v>1</v>
      </c>
      <c r="B8" s="11" t="s">
        <v>1201</v>
      </c>
      <c r="C8" s="12" t="s">
        <v>23</v>
      </c>
      <c r="D8" s="13" t="s">
        <v>602</v>
      </c>
      <c r="E8" s="14">
        <v>1</v>
      </c>
      <c r="F8" s="11">
        <v>1</v>
      </c>
      <c r="G8" s="7"/>
      <c r="H8" s="7">
        <v>1</v>
      </c>
      <c r="I8" s="7"/>
      <c r="J8" s="7">
        <v>1</v>
      </c>
      <c r="K8" s="7"/>
    </row>
    <row r="9" spans="1:11" ht="19.5" customHeight="1" x14ac:dyDescent="0.35">
      <c r="A9" s="7">
        <v>1</v>
      </c>
      <c r="B9" s="11" t="s">
        <v>1201</v>
      </c>
      <c r="C9" s="12" t="s">
        <v>26</v>
      </c>
      <c r="D9" s="13" t="s">
        <v>605</v>
      </c>
      <c r="E9" s="14">
        <v>2</v>
      </c>
      <c r="F9" s="11"/>
      <c r="G9" s="7">
        <v>2</v>
      </c>
      <c r="H9" s="7"/>
      <c r="I9" s="7">
        <v>2</v>
      </c>
      <c r="J9" s="7"/>
      <c r="K9" s="7">
        <v>2</v>
      </c>
    </row>
    <row r="10" spans="1:11" ht="19.5" customHeight="1" x14ac:dyDescent="0.35">
      <c r="A10" s="7">
        <v>1</v>
      </c>
      <c r="B10" s="11" t="s">
        <v>1201</v>
      </c>
      <c r="C10" s="12" t="s">
        <v>40</v>
      </c>
      <c r="D10" s="13" t="s">
        <v>618</v>
      </c>
      <c r="E10" s="14">
        <v>2</v>
      </c>
      <c r="F10" s="11"/>
      <c r="G10" s="7">
        <v>2</v>
      </c>
      <c r="H10" s="7"/>
      <c r="I10" s="7">
        <v>2</v>
      </c>
      <c r="J10" s="7"/>
      <c r="K10" s="7">
        <v>2</v>
      </c>
    </row>
    <row r="11" spans="1:11" ht="19.5" customHeight="1" x14ac:dyDescent="0.35">
      <c r="A11" s="7">
        <v>1</v>
      </c>
      <c r="B11" s="11" t="s">
        <v>1201</v>
      </c>
      <c r="C11" s="12" t="s">
        <v>59</v>
      </c>
      <c r="D11" s="13" t="s">
        <v>640</v>
      </c>
      <c r="E11" s="14">
        <v>2</v>
      </c>
      <c r="F11" s="11"/>
      <c r="G11" s="7">
        <v>2</v>
      </c>
      <c r="H11" s="7"/>
      <c r="I11" s="7">
        <v>2</v>
      </c>
      <c r="J11" s="7"/>
      <c r="K11" s="7">
        <v>2</v>
      </c>
    </row>
    <row r="12" spans="1:11" ht="19.5" customHeight="1" x14ac:dyDescent="0.35">
      <c r="A12" s="7">
        <v>1</v>
      </c>
      <c r="B12" s="11" t="s">
        <v>1201</v>
      </c>
      <c r="C12" s="12" t="s">
        <v>66</v>
      </c>
      <c r="D12" s="13" t="s">
        <v>647</v>
      </c>
      <c r="E12" s="14">
        <v>2</v>
      </c>
      <c r="F12" s="11"/>
      <c r="G12" s="7">
        <v>2</v>
      </c>
      <c r="H12" s="7"/>
      <c r="I12" s="7">
        <v>2</v>
      </c>
      <c r="J12" s="7"/>
      <c r="K12" s="7">
        <v>2</v>
      </c>
    </row>
    <row r="13" spans="1:11" ht="19.5" customHeight="1" x14ac:dyDescent="0.35">
      <c r="A13" s="7">
        <v>1</v>
      </c>
      <c r="B13" s="11" t="s">
        <v>1201</v>
      </c>
      <c r="C13" s="12" t="s">
        <v>73</v>
      </c>
      <c r="D13" s="13" t="s">
        <v>654</v>
      </c>
      <c r="E13" s="14">
        <v>2</v>
      </c>
      <c r="F13" s="11"/>
      <c r="G13" s="7">
        <v>2</v>
      </c>
      <c r="H13" s="7"/>
      <c r="I13" s="7">
        <v>2</v>
      </c>
      <c r="J13" s="7"/>
      <c r="K13" s="7">
        <v>2</v>
      </c>
    </row>
    <row r="14" spans="1:11" ht="19.5" customHeight="1" x14ac:dyDescent="0.35">
      <c r="A14" s="7">
        <v>1</v>
      </c>
      <c r="B14" s="11" t="s">
        <v>1201</v>
      </c>
      <c r="C14" s="12" t="s">
        <v>256</v>
      </c>
      <c r="D14" s="13" t="s">
        <v>832</v>
      </c>
      <c r="E14" s="14">
        <v>1</v>
      </c>
      <c r="F14" s="11">
        <v>1</v>
      </c>
      <c r="G14" s="7"/>
      <c r="H14" s="7">
        <v>1</v>
      </c>
      <c r="I14" s="7"/>
      <c r="J14" s="7">
        <v>1</v>
      </c>
      <c r="K14" s="7"/>
    </row>
    <row r="15" spans="1:11" ht="19.5" customHeight="1" x14ac:dyDescent="0.35">
      <c r="A15" s="7">
        <v>1</v>
      </c>
      <c r="B15" s="11" t="s">
        <v>1201</v>
      </c>
      <c r="C15" s="12" t="s">
        <v>1162</v>
      </c>
      <c r="D15" s="13" t="s">
        <v>833</v>
      </c>
      <c r="E15" s="14">
        <v>1</v>
      </c>
      <c r="F15" s="11">
        <v>1</v>
      </c>
      <c r="G15" s="7"/>
      <c r="H15" s="7">
        <v>1</v>
      </c>
      <c r="I15" s="7"/>
      <c r="J15" s="7">
        <v>1</v>
      </c>
      <c r="K15" s="7"/>
    </row>
    <row r="16" spans="1:11" ht="19.5" customHeight="1" x14ac:dyDescent="0.35">
      <c r="A16" s="7">
        <v>1</v>
      </c>
      <c r="B16" s="11" t="s">
        <v>1201</v>
      </c>
      <c r="C16" s="12" t="s">
        <v>272</v>
      </c>
      <c r="D16" s="13" t="s">
        <v>849</v>
      </c>
      <c r="E16" s="14">
        <v>1</v>
      </c>
      <c r="F16" s="11">
        <v>1</v>
      </c>
      <c r="G16" s="7"/>
      <c r="H16" s="7">
        <v>1</v>
      </c>
      <c r="I16" s="7"/>
      <c r="J16" s="7">
        <v>1</v>
      </c>
      <c r="K16" s="7"/>
    </row>
    <row r="17" spans="1:11" ht="19.5" customHeight="1" x14ac:dyDescent="0.35">
      <c r="A17" s="7">
        <v>1</v>
      </c>
      <c r="B17" s="11" t="s">
        <v>1201</v>
      </c>
      <c r="C17" s="12" t="s">
        <v>273</v>
      </c>
      <c r="D17" s="13" t="s">
        <v>850</v>
      </c>
      <c r="E17" s="14">
        <v>2</v>
      </c>
      <c r="F17" s="11"/>
      <c r="G17" s="7">
        <v>2</v>
      </c>
      <c r="H17" s="7"/>
      <c r="I17" s="7">
        <v>2</v>
      </c>
      <c r="J17" s="7"/>
      <c r="K17" s="7">
        <v>2</v>
      </c>
    </row>
    <row r="18" spans="1:11" ht="19.5" customHeight="1" x14ac:dyDescent="0.35">
      <c r="A18" s="7">
        <v>1</v>
      </c>
      <c r="B18" s="11" t="s">
        <v>1201</v>
      </c>
      <c r="C18" s="12" t="s">
        <v>274</v>
      </c>
      <c r="D18" s="13" t="s">
        <v>851</v>
      </c>
      <c r="E18" s="14">
        <v>1</v>
      </c>
      <c r="F18" s="11">
        <v>1</v>
      </c>
      <c r="G18" s="7"/>
      <c r="H18" s="7">
        <v>1</v>
      </c>
      <c r="I18" s="7"/>
      <c r="J18" s="7">
        <v>1</v>
      </c>
      <c r="K18" s="7"/>
    </row>
    <row r="19" spans="1:11" ht="19.5" customHeight="1" x14ac:dyDescent="0.35">
      <c r="A19" s="7">
        <v>1</v>
      </c>
      <c r="B19" s="11" t="s">
        <v>1201</v>
      </c>
      <c r="C19" s="12" t="s">
        <v>275</v>
      </c>
      <c r="D19" s="13" t="s">
        <v>852</v>
      </c>
      <c r="E19" s="14">
        <v>1</v>
      </c>
      <c r="F19" s="11">
        <v>1</v>
      </c>
      <c r="G19" s="7"/>
      <c r="H19" s="7">
        <v>1</v>
      </c>
      <c r="I19" s="7"/>
      <c r="J19" s="7">
        <v>1</v>
      </c>
      <c r="K19" s="7"/>
    </row>
    <row r="20" spans="1:11" ht="19.5" customHeight="1" x14ac:dyDescent="0.35">
      <c r="A20" s="7">
        <v>1</v>
      </c>
      <c r="B20" s="11" t="s">
        <v>1201</v>
      </c>
      <c r="C20" s="12" t="s">
        <v>318</v>
      </c>
      <c r="D20" s="15" t="s">
        <v>1180</v>
      </c>
      <c r="E20" s="16" t="s">
        <v>1206</v>
      </c>
      <c r="F20" s="11">
        <v>1</v>
      </c>
      <c r="G20" s="7"/>
      <c r="H20" s="7">
        <v>1</v>
      </c>
      <c r="I20" s="7"/>
      <c r="J20" s="7">
        <v>1</v>
      </c>
      <c r="K20" s="7"/>
    </row>
    <row r="21" spans="1:11" ht="19.5" customHeight="1" x14ac:dyDescent="0.35">
      <c r="A21" s="7">
        <v>1</v>
      </c>
      <c r="B21" s="11" t="s">
        <v>1201</v>
      </c>
      <c r="C21" s="12" t="s">
        <v>567</v>
      </c>
      <c r="D21" s="15" t="s">
        <v>1181</v>
      </c>
      <c r="E21" s="16" t="s">
        <v>1206</v>
      </c>
      <c r="F21" s="11">
        <v>1</v>
      </c>
      <c r="G21" s="7"/>
      <c r="H21" s="7">
        <v>1</v>
      </c>
      <c r="I21" s="7"/>
      <c r="J21" s="7">
        <v>1</v>
      </c>
      <c r="K21" s="7"/>
    </row>
    <row r="22" spans="1:11" ht="19.5" customHeight="1" x14ac:dyDescent="0.35">
      <c r="A22" s="7">
        <v>1</v>
      </c>
      <c r="B22" s="11" t="s">
        <v>1201</v>
      </c>
      <c r="C22" s="12" t="s">
        <v>575</v>
      </c>
      <c r="D22" s="15" t="s">
        <v>1181</v>
      </c>
      <c r="E22" s="16" t="s">
        <v>1206</v>
      </c>
      <c r="F22" s="11">
        <v>1</v>
      </c>
      <c r="G22" s="7"/>
      <c r="H22" s="7">
        <v>1</v>
      </c>
      <c r="I22" s="7"/>
      <c r="J22" s="7">
        <v>1</v>
      </c>
      <c r="K22" s="7"/>
    </row>
    <row r="23" spans="1:11" ht="19.5" customHeight="1" x14ac:dyDescent="0.35">
      <c r="A23" s="7">
        <v>1</v>
      </c>
      <c r="B23" s="11" t="s">
        <v>1201</v>
      </c>
      <c r="C23" s="12" t="s">
        <v>578</v>
      </c>
      <c r="D23" s="15" t="s">
        <v>1182</v>
      </c>
      <c r="E23" s="16" t="s">
        <v>1206</v>
      </c>
      <c r="F23" s="11">
        <v>1</v>
      </c>
      <c r="G23" s="7"/>
      <c r="H23" s="7">
        <v>1</v>
      </c>
      <c r="I23" s="7"/>
      <c r="J23" s="7">
        <v>1</v>
      </c>
      <c r="K23" s="7"/>
    </row>
    <row r="24" spans="1:11" ht="19.5" customHeight="1" x14ac:dyDescent="0.35">
      <c r="A24" s="7">
        <v>1</v>
      </c>
      <c r="B24" s="11" t="s">
        <v>1201</v>
      </c>
      <c r="C24" s="12" t="s">
        <v>581</v>
      </c>
      <c r="D24" s="15" t="s">
        <v>1183</v>
      </c>
      <c r="E24" s="16" t="s">
        <v>1206</v>
      </c>
      <c r="F24" s="11">
        <v>1</v>
      </c>
      <c r="G24" s="7"/>
      <c r="H24" s="7">
        <v>1</v>
      </c>
      <c r="I24" s="7"/>
      <c r="J24" s="7">
        <v>1</v>
      </c>
      <c r="K24" s="7"/>
    </row>
    <row r="25" spans="1:11" ht="19.5" customHeight="1" x14ac:dyDescent="0.35">
      <c r="A25" s="7">
        <v>1</v>
      </c>
      <c r="B25" s="11" t="s">
        <v>1201</v>
      </c>
      <c r="C25" s="12" t="s">
        <v>14</v>
      </c>
      <c r="D25" s="13" t="s">
        <v>595</v>
      </c>
      <c r="E25" s="14">
        <v>1</v>
      </c>
      <c r="F25" s="11">
        <v>1</v>
      </c>
      <c r="G25" s="7"/>
      <c r="H25" s="7">
        <v>1</v>
      </c>
      <c r="I25" s="7"/>
      <c r="J25" s="7">
        <v>1</v>
      </c>
      <c r="K25" s="7"/>
    </row>
    <row r="26" spans="1:11" ht="19.5" customHeight="1" x14ac:dyDescent="0.35">
      <c r="A26" s="7">
        <v>1</v>
      </c>
      <c r="B26" s="11" t="s">
        <v>1198</v>
      </c>
      <c r="C26" s="12" t="s">
        <v>41</v>
      </c>
      <c r="D26" s="13" t="s">
        <v>619</v>
      </c>
      <c r="E26" s="14">
        <v>2</v>
      </c>
      <c r="F26" s="11"/>
      <c r="G26" s="7">
        <v>2</v>
      </c>
      <c r="H26" s="7"/>
      <c r="I26" s="7">
        <v>2</v>
      </c>
      <c r="J26" s="7"/>
      <c r="K26" s="7">
        <v>2</v>
      </c>
    </row>
    <row r="27" spans="1:11" ht="19.5" customHeight="1" x14ac:dyDescent="0.35">
      <c r="A27" s="7">
        <v>1</v>
      </c>
      <c r="B27" s="11" t="s">
        <v>1198</v>
      </c>
      <c r="C27" s="12" t="s">
        <v>47</v>
      </c>
      <c r="D27" s="13" t="s">
        <v>628</v>
      </c>
      <c r="E27" s="14">
        <v>2</v>
      </c>
      <c r="F27" s="11"/>
      <c r="G27" s="7">
        <v>2</v>
      </c>
      <c r="H27" s="7"/>
      <c r="I27" s="7">
        <v>2</v>
      </c>
      <c r="J27" s="7"/>
      <c r="K27" s="7">
        <v>2</v>
      </c>
    </row>
    <row r="28" spans="1:11" ht="19.5" customHeight="1" x14ac:dyDescent="0.35">
      <c r="A28" s="7">
        <v>1</v>
      </c>
      <c r="B28" s="11" t="s">
        <v>1198</v>
      </c>
      <c r="C28" s="12" t="s">
        <v>49</v>
      </c>
      <c r="D28" s="13" t="s">
        <v>630</v>
      </c>
      <c r="E28" s="14">
        <v>2</v>
      </c>
      <c r="F28" s="11"/>
      <c r="G28" s="7">
        <v>2</v>
      </c>
      <c r="H28" s="7"/>
      <c r="I28" s="7">
        <v>2</v>
      </c>
      <c r="J28" s="7"/>
      <c r="K28" s="7">
        <v>2</v>
      </c>
    </row>
    <row r="29" spans="1:11" ht="19.5" customHeight="1" x14ac:dyDescent="0.35">
      <c r="A29" s="7">
        <v>1</v>
      </c>
      <c r="B29" s="11" t="s">
        <v>1198</v>
      </c>
      <c r="C29" s="15" t="s">
        <v>65</v>
      </c>
      <c r="D29" s="13" t="s">
        <v>646</v>
      </c>
      <c r="E29" s="14">
        <v>2</v>
      </c>
      <c r="F29" s="11"/>
      <c r="G29" s="7">
        <v>2</v>
      </c>
      <c r="H29" s="7"/>
      <c r="I29" s="7">
        <v>2</v>
      </c>
      <c r="J29" s="7"/>
      <c r="K29" s="7">
        <v>2</v>
      </c>
    </row>
    <row r="30" spans="1:11" ht="19.5" customHeight="1" x14ac:dyDescent="0.35">
      <c r="A30" s="7">
        <v>1</v>
      </c>
      <c r="B30" s="11" t="s">
        <v>1198</v>
      </c>
      <c r="C30" s="12" t="s">
        <v>1163</v>
      </c>
      <c r="D30" s="13" t="s">
        <v>646</v>
      </c>
      <c r="E30" s="14">
        <v>2</v>
      </c>
      <c r="F30" s="11"/>
      <c r="G30" s="7">
        <v>2</v>
      </c>
      <c r="H30" s="7"/>
      <c r="I30" s="7">
        <v>2</v>
      </c>
      <c r="J30" s="7"/>
      <c r="K30" s="7">
        <v>2</v>
      </c>
    </row>
    <row r="31" spans="1:11" ht="19.5" customHeight="1" x14ac:dyDescent="0.35">
      <c r="A31" s="7">
        <v>1</v>
      </c>
      <c r="B31" s="11" t="s">
        <v>1198</v>
      </c>
      <c r="C31" s="12" t="s">
        <v>67</v>
      </c>
      <c r="D31" s="13" t="s">
        <v>648</v>
      </c>
      <c r="E31" s="14">
        <v>2</v>
      </c>
      <c r="F31" s="11"/>
      <c r="G31" s="7">
        <v>2</v>
      </c>
      <c r="H31" s="7"/>
      <c r="I31" s="7">
        <v>2</v>
      </c>
      <c r="J31" s="7"/>
      <c r="K31" s="7">
        <v>2</v>
      </c>
    </row>
    <row r="32" spans="1:11" ht="19.5" customHeight="1" x14ac:dyDescent="0.35">
      <c r="A32" s="7">
        <v>1</v>
      </c>
      <c r="B32" s="11" t="s">
        <v>1198</v>
      </c>
      <c r="C32" s="12" t="s">
        <v>1159</v>
      </c>
      <c r="D32" s="15" t="s">
        <v>1184</v>
      </c>
      <c r="E32" s="16" t="s">
        <v>1207</v>
      </c>
      <c r="F32" s="11"/>
      <c r="G32" s="7">
        <v>2</v>
      </c>
      <c r="H32" s="7"/>
      <c r="I32" s="7">
        <v>2</v>
      </c>
      <c r="J32" s="7"/>
      <c r="K32" s="7">
        <v>2</v>
      </c>
    </row>
    <row r="33" spans="1:11" ht="19.5" customHeight="1" x14ac:dyDescent="0.35">
      <c r="A33" s="7">
        <v>1</v>
      </c>
      <c r="B33" s="11" t="s">
        <v>1198</v>
      </c>
      <c r="C33" s="12" t="s">
        <v>404</v>
      </c>
      <c r="D33" s="15" t="s">
        <v>1184</v>
      </c>
      <c r="E33" s="16" t="s">
        <v>1207</v>
      </c>
      <c r="F33" s="11"/>
      <c r="G33" s="7">
        <v>2</v>
      </c>
      <c r="H33" s="7"/>
      <c r="I33" s="7">
        <v>2</v>
      </c>
      <c r="J33" s="7"/>
      <c r="K33" s="7">
        <v>2</v>
      </c>
    </row>
    <row r="34" spans="1:11" ht="19.5" customHeight="1" x14ac:dyDescent="0.35">
      <c r="A34" s="7">
        <v>1</v>
      </c>
      <c r="B34" s="11" t="s">
        <v>1198</v>
      </c>
      <c r="C34" s="12" t="s">
        <v>451</v>
      </c>
      <c r="D34" s="15" t="s">
        <v>1185</v>
      </c>
      <c r="E34" s="16" t="s">
        <v>1207</v>
      </c>
      <c r="F34" s="11"/>
      <c r="G34" s="7">
        <v>2</v>
      </c>
      <c r="H34" s="7"/>
      <c r="I34" s="7">
        <v>2</v>
      </c>
      <c r="J34" s="7"/>
      <c r="K34" s="7">
        <v>2</v>
      </c>
    </row>
    <row r="35" spans="1:11" ht="19.5" customHeight="1" x14ac:dyDescent="0.45">
      <c r="A35" s="52" t="s">
        <v>1178</v>
      </c>
      <c r="B35" s="52"/>
      <c r="C35" s="52"/>
      <c r="D35" s="52"/>
      <c r="E35" s="20">
        <v>32</v>
      </c>
      <c r="F35" s="11">
        <v>17</v>
      </c>
      <c r="G35" s="7">
        <v>15</v>
      </c>
      <c r="H35" s="11">
        <v>17</v>
      </c>
      <c r="I35" s="7">
        <v>15</v>
      </c>
      <c r="J35" s="11">
        <v>17</v>
      </c>
      <c r="K35" s="7">
        <v>15</v>
      </c>
    </row>
  </sheetData>
  <autoFilter ref="A2:K35" xr:uid="{AE2568A9-0FD8-4D39-A73B-3E47E7290687}"/>
  <mergeCells count="1">
    <mergeCell ref="A35:D35"/>
  </mergeCells>
  <pageMargins left="0.7" right="0.7" top="0.75" bottom="0.75" header="0.3" footer="0.3"/>
  <pageSetup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504B-3F98-4ACD-9C4A-95A69ED85DEA}">
  <dimension ref="A2:K33"/>
  <sheetViews>
    <sheetView workbookViewId="0">
      <selection activeCell="A2" sqref="A2:K125"/>
    </sheetView>
  </sheetViews>
  <sheetFormatPr defaultRowHeight="20.25" customHeight="1" x14ac:dyDescent="0.35"/>
  <cols>
    <col min="2" max="2" width="14.1796875" customWidth="1"/>
    <col min="3" max="3" width="32.453125" customWidth="1"/>
    <col min="4" max="4" width="45" customWidth="1"/>
    <col min="5" max="6" width="10.54296875" customWidth="1"/>
    <col min="7" max="7" width="10.81640625" customWidth="1"/>
    <col min="8" max="8" width="12.453125" customWidth="1"/>
    <col min="9" max="9" width="11.1796875" customWidth="1"/>
    <col min="11" max="11" width="10.7265625" customWidth="1"/>
  </cols>
  <sheetData>
    <row r="2" spans="1:11" ht="20.25" customHeight="1" x14ac:dyDescent="0.35">
      <c r="A2" s="9" t="s">
        <v>1157</v>
      </c>
      <c r="B2" s="9" t="s">
        <v>1179</v>
      </c>
      <c r="C2" s="6" t="s">
        <v>0</v>
      </c>
      <c r="D2" s="17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20.25" customHeight="1" x14ac:dyDescent="0.35">
      <c r="A3" s="7">
        <v>2</v>
      </c>
      <c r="B3" s="11" t="s">
        <v>1198</v>
      </c>
      <c r="C3" s="8" t="s">
        <v>89</v>
      </c>
      <c r="D3" s="18" t="s">
        <v>670</v>
      </c>
      <c r="E3" s="14">
        <v>1</v>
      </c>
      <c r="F3" s="14">
        <v>1</v>
      </c>
      <c r="G3" s="7"/>
      <c r="H3" s="14">
        <v>1</v>
      </c>
      <c r="I3" s="7"/>
      <c r="J3" s="14">
        <v>1</v>
      </c>
      <c r="K3" s="7"/>
    </row>
    <row r="4" spans="1:11" ht="20.25" customHeight="1" x14ac:dyDescent="0.35">
      <c r="A4" s="7">
        <v>2</v>
      </c>
      <c r="B4" s="11" t="s">
        <v>1198</v>
      </c>
      <c r="C4" s="8" t="s">
        <v>91</v>
      </c>
      <c r="D4" s="18" t="s">
        <v>672</v>
      </c>
      <c r="E4" s="14">
        <v>1</v>
      </c>
      <c r="F4" s="14">
        <v>1</v>
      </c>
      <c r="G4" s="7"/>
      <c r="H4" s="14">
        <v>1</v>
      </c>
      <c r="I4" s="7"/>
      <c r="J4" s="14">
        <v>1</v>
      </c>
      <c r="K4" s="7"/>
    </row>
    <row r="5" spans="1:11" ht="20.25" customHeight="1" x14ac:dyDescent="0.35">
      <c r="A5" s="7">
        <v>2</v>
      </c>
      <c r="B5" s="11" t="s">
        <v>1198</v>
      </c>
      <c r="C5" s="8" t="s">
        <v>93</v>
      </c>
      <c r="D5" s="18" t="s">
        <v>671</v>
      </c>
      <c r="E5" s="14">
        <v>1</v>
      </c>
      <c r="F5" s="14">
        <v>1</v>
      </c>
      <c r="G5" s="7"/>
      <c r="H5" s="14">
        <v>1</v>
      </c>
      <c r="I5" s="7"/>
      <c r="J5" s="14">
        <v>1</v>
      </c>
      <c r="K5" s="7"/>
    </row>
    <row r="6" spans="1:11" ht="20.25" customHeight="1" x14ac:dyDescent="0.35">
      <c r="A6" s="7">
        <v>2</v>
      </c>
      <c r="B6" s="11" t="s">
        <v>1198</v>
      </c>
      <c r="C6" s="8" t="s">
        <v>94</v>
      </c>
      <c r="D6" s="18" t="s">
        <v>675</v>
      </c>
      <c r="E6" s="14">
        <v>1</v>
      </c>
      <c r="F6" s="14">
        <v>1</v>
      </c>
      <c r="G6" s="7"/>
      <c r="H6" s="14">
        <v>1</v>
      </c>
      <c r="I6" s="7"/>
      <c r="J6" s="14">
        <v>1</v>
      </c>
      <c r="K6" s="7"/>
    </row>
    <row r="7" spans="1:11" ht="20.25" customHeight="1" x14ac:dyDescent="0.35">
      <c r="A7" s="7">
        <v>2</v>
      </c>
      <c r="B7" s="11" t="s">
        <v>1198</v>
      </c>
      <c r="C7" s="8" t="s">
        <v>95</v>
      </c>
      <c r="D7" s="18" t="s">
        <v>676</v>
      </c>
      <c r="E7" s="14">
        <v>1</v>
      </c>
      <c r="F7" s="14">
        <v>1</v>
      </c>
      <c r="G7" s="7"/>
      <c r="H7" s="14">
        <v>1</v>
      </c>
      <c r="I7" s="7"/>
      <c r="J7" s="14">
        <v>1</v>
      </c>
      <c r="K7" s="7"/>
    </row>
    <row r="8" spans="1:11" ht="20.25" customHeight="1" x14ac:dyDescent="0.35">
      <c r="A8" s="7">
        <v>2</v>
      </c>
      <c r="B8" s="11" t="s">
        <v>1198</v>
      </c>
      <c r="C8" s="8" t="s">
        <v>103</v>
      </c>
      <c r="D8" s="18" t="s">
        <v>684</v>
      </c>
      <c r="E8" s="14">
        <v>1</v>
      </c>
      <c r="F8" s="14">
        <v>1</v>
      </c>
      <c r="G8" s="7"/>
      <c r="H8" s="14">
        <v>1</v>
      </c>
      <c r="I8" s="7"/>
      <c r="J8" s="14">
        <v>1</v>
      </c>
      <c r="K8" s="7"/>
    </row>
    <row r="9" spans="1:11" ht="20.25" customHeight="1" x14ac:dyDescent="0.35">
      <c r="A9" s="7">
        <v>2</v>
      </c>
      <c r="B9" s="11" t="s">
        <v>1198</v>
      </c>
      <c r="C9" s="8" t="s">
        <v>104</v>
      </c>
      <c r="D9" s="18" t="s">
        <v>685</v>
      </c>
      <c r="E9" s="14">
        <v>1</v>
      </c>
      <c r="F9" s="14">
        <v>1</v>
      </c>
      <c r="G9" s="7"/>
      <c r="H9" s="14">
        <v>1</v>
      </c>
      <c r="I9" s="7"/>
      <c r="J9" s="14">
        <v>1</v>
      </c>
      <c r="K9" s="7"/>
    </row>
    <row r="10" spans="1:11" ht="20.25" customHeight="1" x14ac:dyDescent="0.35">
      <c r="A10" s="7">
        <v>2</v>
      </c>
      <c r="B10" s="11" t="s">
        <v>1198</v>
      </c>
      <c r="C10" s="8" t="s">
        <v>105</v>
      </c>
      <c r="D10" s="18" t="s">
        <v>686</v>
      </c>
      <c r="E10" s="14">
        <v>1</v>
      </c>
      <c r="F10" s="14">
        <v>1</v>
      </c>
      <c r="G10" s="7"/>
      <c r="H10" s="14">
        <v>1</v>
      </c>
      <c r="I10" s="7"/>
      <c r="J10" s="14">
        <v>1</v>
      </c>
      <c r="K10" s="7"/>
    </row>
    <row r="11" spans="1:11" ht="20.25" customHeight="1" x14ac:dyDescent="0.35">
      <c r="A11" s="7">
        <v>2</v>
      </c>
      <c r="B11" s="11" t="s">
        <v>1198</v>
      </c>
      <c r="C11" s="8" t="s">
        <v>452</v>
      </c>
      <c r="D11" s="19" t="s">
        <v>1186</v>
      </c>
      <c r="E11" s="16" t="s">
        <v>1207</v>
      </c>
      <c r="F11" s="11"/>
      <c r="G11" s="16" t="s">
        <v>1207</v>
      </c>
      <c r="H11" s="7"/>
      <c r="I11" s="16" t="s">
        <v>1207</v>
      </c>
      <c r="J11" s="7"/>
      <c r="K11" s="16" t="s">
        <v>1207</v>
      </c>
    </row>
    <row r="12" spans="1:11" ht="20.25" customHeight="1" x14ac:dyDescent="0.35">
      <c r="A12" s="7">
        <v>2</v>
      </c>
      <c r="B12" s="11" t="s">
        <v>1198</v>
      </c>
      <c r="C12" s="8" t="s">
        <v>453</v>
      </c>
      <c r="D12" s="19" t="s">
        <v>1187</v>
      </c>
      <c r="E12" s="16" t="s">
        <v>1207</v>
      </c>
      <c r="F12" s="11"/>
      <c r="G12" s="16" t="s">
        <v>1207</v>
      </c>
      <c r="H12" s="7"/>
      <c r="I12" s="16" t="s">
        <v>1207</v>
      </c>
      <c r="J12" s="7"/>
      <c r="K12" s="16" t="s">
        <v>1207</v>
      </c>
    </row>
    <row r="13" spans="1:11" ht="20.25" customHeight="1" x14ac:dyDescent="0.35">
      <c r="A13" s="7">
        <v>2</v>
      </c>
      <c r="B13" s="11" t="s">
        <v>1198</v>
      </c>
      <c r="C13" s="8" t="s">
        <v>455</v>
      </c>
      <c r="D13" s="19" t="s">
        <v>1188</v>
      </c>
      <c r="E13" s="16" t="s">
        <v>1207</v>
      </c>
      <c r="F13" s="11"/>
      <c r="G13" s="16" t="s">
        <v>1207</v>
      </c>
      <c r="H13" s="7"/>
      <c r="I13" s="16" t="s">
        <v>1207</v>
      </c>
      <c r="J13" s="7"/>
      <c r="K13" s="16" t="s">
        <v>1207</v>
      </c>
    </row>
    <row r="14" spans="1:11" ht="20.25" customHeight="1" x14ac:dyDescent="0.35">
      <c r="A14" s="7">
        <v>2</v>
      </c>
      <c r="B14" s="11" t="s">
        <v>1198</v>
      </c>
      <c r="C14" s="19" t="s">
        <v>1190</v>
      </c>
      <c r="D14" s="19" t="s">
        <v>1189</v>
      </c>
      <c r="E14" s="16" t="s">
        <v>1207</v>
      </c>
      <c r="F14" s="11"/>
      <c r="G14" s="16" t="s">
        <v>1207</v>
      </c>
      <c r="H14" s="7"/>
      <c r="I14" s="16" t="s">
        <v>1207</v>
      </c>
      <c r="J14" s="7"/>
      <c r="K14" s="16" t="s">
        <v>1207</v>
      </c>
    </row>
    <row r="15" spans="1:11" ht="20.25" customHeight="1" x14ac:dyDescent="0.35">
      <c r="A15" s="7">
        <v>2</v>
      </c>
      <c r="B15" s="11" t="s">
        <v>1198</v>
      </c>
      <c r="C15" s="8" t="s">
        <v>457</v>
      </c>
      <c r="D15" s="19" t="s">
        <v>1191</v>
      </c>
      <c r="E15" s="16" t="s">
        <v>1207</v>
      </c>
      <c r="F15" s="11"/>
      <c r="G15" s="16" t="s">
        <v>1207</v>
      </c>
      <c r="H15" s="7"/>
      <c r="I15" s="16" t="s">
        <v>1207</v>
      </c>
      <c r="J15" s="7"/>
      <c r="K15" s="16" t="s">
        <v>1207</v>
      </c>
    </row>
    <row r="16" spans="1:11" ht="20.25" customHeight="1" x14ac:dyDescent="0.35">
      <c r="A16" s="7">
        <v>2</v>
      </c>
      <c r="B16" s="11" t="s">
        <v>1198</v>
      </c>
      <c r="C16" s="8" t="s">
        <v>461</v>
      </c>
      <c r="D16" s="19" t="s">
        <v>1024</v>
      </c>
      <c r="E16" s="16" t="s">
        <v>1207</v>
      </c>
      <c r="F16" s="11"/>
      <c r="G16" s="16" t="s">
        <v>1207</v>
      </c>
      <c r="H16" s="7"/>
      <c r="I16" s="16" t="s">
        <v>1207</v>
      </c>
      <c r="J16" s="7"/>
      <c r="K16" s="16" t="s">
        <v>1207</v>
      </c>
    </row>
    <row r="17" spans="1:11" ht="20.25" customHeight="1" x14ac:dyDescent="0.35">
      <c r="A17" s="7">
        <v>2</v>
      </c>
      <c r="B17" s="11" t="s">
        <v>1198</v>
      </c>
      <c r="C17" s="8" t="s">
        <v>462</v>
      </c>
      <c r="D17" s="19" t="s">
        <v>1192</v>
      </c>
      <c r="E17" s="16" t="s">
        <v>1207</v>
      </c>
      <c r="F17" s="11"/>
      <c r="G17" s="16" t="s">
        <v>1207</v>
      </c>
      <c r="H17" s="7"/>
      <c r="I17" s="16" t="s">
        <v>1207</v>
      </c>
      <c r="J17" s="7"/>
      <c r="K17" s="16" t="s">
        <v>1207</v>
      </c>
    </row>
    <row r="18" spans="1:11" ht="20.25" customHeight="1" x14ac:dyDescent="0.35">
      <c r="A18" s="7">
        <v>2</v>
      </c>
      <c r="B18" s="11" t="s">
        <v>1198</v>
      </c>
      <c r="C18" s="8" t="s">
        <v>251</v>
      </c>
      <c r="D18" s="18" t="s">
        <v>827</v>
      </c>
      <c r="E18" s="16" t="s">
        <v>1207</v>
      </c>
      <c r="F18" s="11"/>
      <c r="G18" s="16" t="s">
        <v>1207</v>
      </c>
      <c r="H18" s="7"/>
      <c r="I18" s="16" t="s">
        <v>1207</v>
      </c>
      <c r="J18" s="7"/>
      <c r="K18" s="16" t="s">
        <v>1207</v>
      </c>
    </row>
    <row r="19" spans="1:11" ht="20.25" customHeight="1" x14ac:dyDescent="0.35">
      <c r="A19" s="7">
        <v>2</v>
      </c>
      <c r="B19" s="11" t="s">
        <v>1198</v>
      </c>
      <c r="C19" s="8" t="s">
        <v>1160</v>
      </c>
      <c r="D19" s="8"/>
      <c r="E19" s="16" t="s">
        <v>1207</v>
      </c>
      <c r="F19" s="11"/>
      <c r="G19" s="16" t="s">
        <v>1207</v>
      </c>
      <c r="H19" s="7"/>
      <c r="I19" s="16" t="s">
        <v>1207</v>
      </c>
      <c r="J19" s="7"/>
      <c r="K19" s="16" t="s">
        <v>1207</v>
      </c>
    </row>
    <row r="20" spans="1:11" ht="20.25" customHeight="1" x14ac:dyDescent="0.35">
      <c r="A20" s="7">
        <v>2</v>
      </c>
      <c r="B20" s="11" t="s">
        <v>1198</v>
      </c>
      <c r="C20" s="8" t="s">
        <v>398</v>
      </c>
      <c r="D20" s="8"/>
      <c r="E20" s="16" t="s">
        <v>1207</v>
      </c>
      <c r="F20" s="11"/>
      <c r="G20" s="16" t="s">
        <v>1207</v>
      </c>
      <c r="H20" s="7"/>
      <c r="I20" s="16" t="s">
        <v>1207</v>
      </c>
      <c r="J20" s="7"/>
      <c r="K20" s="16" t="s">
        <v>1207</v>
      </c>
    </row>
    <row r="21" spans="1:11" ht="20.25" customHeight="1" x14ac:dyDescent="0.35">
      <c r="A21" s="7">
        <v>2</v>
      </c>
      <c r="B21" s="11" t="s">
        <v>1198</v>
      </c>
      <c r="C21" s="8" t="s">
        <v>508</v>
      </c>
      <c r="D21" s="8"/>
      <c r="E21" s="16" t="s">
        <v>1207</v>
      </c>
      <c r="F21" s="11"/>
      <c r="G21" s="16" t="s">
        <v>1207</v>
      </c>
      <c r="H21" s="7"/>
      <c r="I21" s="16" t="s">
        <v>1207</v>
      </c>
      <c r="J21" s="7"/>
      <c r="K21" s="16" t="s">
        <v>1207</v>
      </c>
    </row>
    <row r="22" spans="1:11" ht="20.25" customHeight="1" x14ac:dyDescent="0.35">
      <c r="A22" s="7">
        <v>2</v>
      </c>
      <c r="B22" s="11" t="s">
        <v>1198</v>
      </c>
      <c r="C22" s="8" t="s">
        <v>510</v>
      </c>
      <c r="D22" s="8"/>
      <c r="E22" s="16" t="s">
        <v>1207</v>
      </c>
      <c r="F22" s="11"/>
      <c r="G22" s="16" t="s">
        <v>1207</v>
      </c>
      <c r="H22" s="7"/>
      <c r="I22" s="16" t="s">
        <v>1207</v>
      </c>
      <c r="J22" s="7"/>
      <c r="K22" s="16" t="s">
        <v>1207</v>
      </c>
    </row>
    <row r="23" spans="1:11" ht="20.25" customHeight="1" x14ac:dyDescent="0.35">
      <c r="A23" s="7">
        <v>2</v>
      </c>
      <c r="B23" s="11" t="s">
        <v>1198</v>
      </c>
      <c r="C23" s="8" t="s">
        <v>1177</v>
      </c>
      <c r="D23" s="8" t="s">
        <v>1090</v>
      </c>
      <c r="E23" s="16" t="s">
        <v>1207</v>
      </c>
      <c r="F23" s="11"/>
      <c r="G23" s="16" t="s">
        <v>1207</v>
      </c>
      <c r="H23" s="7"/>
      <c r="I23" s="16" t="s">
        <v>1207</v>
      </c>
      <c r="J23" s="7"/>
      <c r="K23" s="16" t="s">
        <v>1207</v>
      </c>
    </row>
    <row r="24" spans="1:11" ht="20.25" customHeight="1" x14ac:dyDescent="0.35">
      <c r="A24" s="7">
        <v>2</v>
      </c>
      <c r="B24" s="11" t="s">
        <v>1198</v>
      </c>
      <c r="C24" s="8" t="s">
        <v>511</v>
      </c>
      <c r="D24" s="19" t="s">
        <v>1088</v>
      </c>
      <c r="E24" s="16" t="s">
        <v>1207</v>
      </c>
      <c r="F24" s="11"/>
      <c r="G24" s="16" t="s">
        <v>1207</v>
      </c>
      <c r="H24" s="7"/>
      <c r="I24" s="16" t="s">
        <v>1207</v>
      </c>
      <c r="J24" s="7"/>
      <c r="K24" s="16" t="s">
        <v>1207</v>
      </c>
    </row>
    <row r="25" spans="1:11" ht="20.25" customHeight="1" x14ac:dyDescent="0.35">
      <c r="A25" s="7">
        <v>2</v>
      </c>
      <c r="B25" s="11" t="s">
        <v>1198</v>
      </c>
      <c r="C25" s="8" t="s">
        <v>118</v>
      </c>
      <c r="D25" s="18" t="s">
        <v>697</v>
      </c>
      <c r="E25" s="14">
        <v>1</v>
      </c>
      <c r="F25" s="14">
        <v>1</v>
      </c>
      <c r="G25" s="7"/>
      <c r="H25" s="14">
        <v>1</v>
      </c>
      <c r="I25" s="7"/>
      <c r="J25" s="14">
        <v>1</v>
      </c>
      <c r="K25" s="7"/>
    </row>
    <row r="26" spans="1:11" ht="20.25" customHeight="1" x14ac:dyDescent="0.35">
      <c r="A26" s="7">
        <v>2</v>
      </c>
      <c r="B26" s="11" t="s">
        <v>1198</v>
      </c>
      <c r="C26" s="8" t="s">
        <v>128</v>
      </c>
      <c r="D26" s="18" t="s">
        <v>707</v>
      </c>
      <c r="E26" s="14">
        <v>1</v>
      </c>
      <c r="F26" s="14">
        <v>1</v>
      </c>
      <c r="G26" s="7"/>
      <c r="H26" s="14">
        <v>1</v>
      </c>
      <c r="I26" s="7"/>
      <c r="J26" s="14">
        <v>1</v>
      </c>
      <c r="K26" s="7"/>
    </row>
    <row r="27" spans="1:11" ht="20.25" customHeight="1" x14ac:dyDescent="0.35">
      <c r="A27" s="7">
        <v>2</v>
      </c>
      <c r="B27" s="11" t="s">
        <v>1198</v>
      </c>
      <c r="C27" s="8" t="s">
        <v>222</v>
      </c>
      <c r="D27" s="18" t="s">
        <v>801</v>
      </c>
      <c r="E27" s="14">
        <v>1</v>
      </c>
      <c r="F27" s="14">
        <v>1</v>
      </c>
      <c r="G27" s="7"/>
      <c r="H27" s="14">
        <v>1</v>
      </c>
      <c r="I27" s="7"/>
      <c r="J27" s="14">
        <v>1</v>
      </c>
      <c r="K27" s="7"/>
    </row>
    <row r="28" spans="1:11" ht="20.25" customHeight="1" x14ac:dyDescent="0.35">
      <c r="A28" s="7">
        <v>2</v>
      </c>
      <c r="B28" s="11" t="s">
        <v>1198</v>
      </c>
      <c r="C28" s="8" t="s">
        <v>227</v>
      </c>
      <c r="D28" s="18" t="s">
        <v>806</v>
      </c>
      <c r="E28" s="14">
        <v>1</v>
      </c>
      <c r="F28" s="14">
        <v>1</v>
      </c>
      <c r="G28" s="7"/>
      <c r="H28" s="14">
        <v>1</v>
      </c>
      <c r="I28" s="7"/>
      <c r="J28" s="14">
        <v>1</v>
      </c>
      <c r="K28" s="7"/>
    </row>
    <row r="29" spans="1:11" ht="20.25" customHeight="1" x14ac:dyDescent="0.35">
      <c r="A29" s="7">
        <v>2</v>
      </c>
      <c r="B29" s="11" t="s">
        <v>1198</v>
      </c>
      <c r="C29" s="8" t="s">
        <v>119</v>
      </c>
      <c r="D29" s="18" t="s">
        <v>698</v>
      </c>
      <c r="E29" s="14">
        <v>1</v>
      </c>
      <c r="F29" s="14">
        <v>1</v>
      </c>
      <c r="G29" s="7"/>
      <c r="H29" s="14">
        <v>1</v>
      </c>
      <c r="I29" s="7"/>
      <c r="J29" s="14">
        <v>1</v>
      </c>
      <c r="K29" s="7"/>
    </row>
    <row r="30" spans="1:11" ht="20.25" customHeight="1" x14ac:dyDescent="0.35">
      <c r="A30" s="7">
        <v>2</v>
      </c>
      <c r="B30" s="11" t="s">
        <v>1198</v>
      </c>
      <c r="C30" s="8" t="s">
        <v>120</v>
      </c>
      <c r="D30" s="18" t="s">
        <v>699</v>
      </c>
      <c r="E30" s="14">
        <v>1</v>
      </c>
      <c r="F30" s="14">
        <v>1</v>
      </c>
      <c r="G30" s="7"/>
      <c r="H30" s="14">
        <v>1</v>
      </c>
      <c r="I30" s="7"/>
      <c r="J30" s="14">
        <v>1</v>
      </c>
      <c r="K30" s="7"/>
    </row>
    <row r="31" spans="1:11" ht="20.25" customHeight="1" x14ac:dyDescent="0.35">
      <c r="A31" s="7">
        <v>2</v>
      </c>
      <c r="B31" s="11" t="s">
        <v>1198</v>
      </c>
      <c r="C31" s="8" t="s">
        <v>124</v>
      </c>
      <c r="D31" s="18" t="s">
        <v>703</v>
      </c>
      <c r="E31" s="14">
        <v>1</v>
      </c>
      <c r="F31" s="14">
        <v>1</v>
      </c>
      <c r="G31" s="7"/>
      <c r="H31" s="14">
        <v>1</v>
      </c>
      <c r="I31" s="7"/>
      <c r="J31" s="14">
        <v>1</v>
      </c>
      <c r="K31" s="7"/>
    </row>
    <row r="32" spans="1:11" ht="20.25" customHeight="1" x14ac:dyDescent="0.35">
      <c r="A32" s="7">
        <v>2</v>
      </c>
      <c r="B32" s="11" t="s">
        <v>1198</v>
      </c>
      <c r="C32" s="8" t="s">
        <v>127</v>
      </c>
      <c r="D32" s="18" t="s">
        <v>706</v>
      </c>
      <c r="E32" s="14">
        <v>1</v>
      </c>
      <c r="F32" s="14">
        <v>1</v>
      </c>
      <c r="G32" s="7"/>
      <c r="H32" s="14">
        <v>1</v>
      </c>
      <c r="I32" s="7"/>
      <c r="J32" s="14">
        <v>1</v>
      </c>
      <c r="K32" s="7"/>
    </row>
    <row r="33" spans="1:11" ht="20.25" customHeight="1" x14ac:dyDescent="0.45">
      <c r="A33" s="52" t="s">
        <v>1178</v>
      </c>
      <c r="B33" s="52"/>
      <c r="C33" s="52"/>
      <c r="D33" s="52"/>
      <c r="E33" s="20">
        <v>30</v>
      </c>
      <c r="F33" s="11">
        <v>16</v>
      </c>
      <c r="G33" s="7">
        <v>14</v>
      </c>
      <c r="H33" s="11">
        <v>16</v>
      </c>
      <c r="I33" s="7">
        <v>14</v>
      </c>
      <c r="J33" s="11">
        <v>16</v>
      </c>
      <c r="K33" s="7">
        <v>14</v>
      </c>
    </row>
  </sheetData>
  <autoFilter ref="A2:K33" xr:uid="{722D504B-3F98-4ACD-9C4A-95A69ED85DEA}"/>
  <mergeCells count="1">
    <mergeCell ref="A33:D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2A92-DFDA-49F6-8750-753BF256FFE2}">
  <dimension ref="C3:J29"/>
  <sheetViews>
    <sheetView topLeftCell="A13" workbookViewId="0">
      <selection activeCell="A2" sqref="A2:K125"/>
    </sheetView>
  </sheetViews>
  <sheetFormatPr defaultRowHeight="14.5" x14ac:dyDescent="0.35"/>
  <cols>
    <col min="3" max="3" width="18.453125" style="5" customWidth="1"/>
    <col min="4" max="6" width="9.1796875" style="5"/>
    <col min="7" max="7" width="14.54296875" style="5" customWidth="1"/>
  </cols>
  <sheetData>
    <row r="3" spans="3:7" ht="15.5" x14ac:dyDescent="0.35">
      <c r="D3" s="33"/>
    </row>
    <row r="5" spans="3:7" ht="22.5" customHeight="1" x14ac:dyDescent="0.35">
      <c r="C5" s="33" t="s">
        <v>1243</v>
      </c>
      <c r="D5" s="33" t="s">
        <v>1241</v>
      </c>
      <c r="E5" s="33" t="s">
        <v>1242</v>
      </c>
      <c r="F5" s="33" t="s">
        <v>1239</v>
      </c>
      <c r="G5" s="33" t="s">
        <v>1247</v>
      </c>
    </row>
    <row r="6" spans="3:7" x14ac:dyDescent="0.35">
      <c r="C6" s="7" t="s">
        <v>1238</v>
      </c>
      <c r="D6" s="7">
        <v>0</v>
      </c>
      <c r="E6" s="7">
        <v>0</v>
      </c>
      <c r="F6" s="7">
        <v>66144</v>
      </c>
      <c r="G6" s="36"/>
    </row>
    <row r="7" spans="3:7" x14ac:dyDescent="0.35">
      <c r="C7" s="7"/>
      <c r="D7" s="7"/>
      <c r="E7" s="7"/>
      <c r="F7" s="7"/>
      <c r="G7" s="37"/>
    </row>
    <row r="8" spans="3:7" x14ac:dyDescent="0.35">
      <c r="C8" s="7" t="s">
        <v>1240</v>
      </c>
      <c r="D8" s="7">
        <f>9586+186</f>
        <v>9772</v>
      </c>
      <c r="E8" s="7">
        <f>10668+103</f>
        <v>10771</v>
      </c>
      <c r="F8" s="7">
        <v>33</v>
      </c>
      <c r="G8" s="37"/>
    </row>
    <row r="9" spans="3:7" x14ac:dyDescent="0.35">
      <c r="C9" s="7"/>
      <c r="D9" s="7"/>
      <c r="E9" s="7"/>
      <c r="F9" s="7"/>
      <c r="G9" s="37"/>
    </row>
    <row r="10" spans="3:7" x14ac:dyDescent="0.35">
      <c r="C10" s="7" t="s">
        <v>1244</v>
      </c>
      <c r="D10" s="7">
        <f>10905+63</f>
        <v>10968</v>
      </c>
      <c r="E10" s="7">
        <f>5595+130</f>
        <v>5725</v>
      </c>
      <c r="F10" s="7">
        <f>7110+13</f>
        <v>7123</v>
      </c>
      <c r="G10" s="37"/>
    </row>
    <row r="11" spans="3:7" x14ac:dyDescent="0.35">
      <c r="C11" s="7"/>
      <c r="D11" s="7"/>
      <c r="E11" s="7"/>
      <c r="F11" s="7"/>
      <c r="G11" s="37"/>
    </row>
    <row r="12" spans="3:7" x14ac:dyDescent="0.35">
      <c r="C12" s="7" t="s">
        <v>1249</v>
      </c>
      <c r="D12" s="7">
        <f>+SUM(D6:D10)</f>
        <v>20740</v>
      </c>
      <c r="E12" s="7">
        <f t="shared" ref="E12:F12" si="0">+SUM(E6:E10)</f>
        <v>16496</v>
      </c>
      <c r="F12" s="7">
        <f t="shared" si="0"/>
        <v>73300</v>
      </c>
      <c r="G12" s="37"/>
    </row>
    <row r="13" spans="3:7" x14ac:dyDescent="0.35">
      <c r="C13" s="7"/>
      <c r="D13" s="7"/>
      <c r="E13" s="7"/>
      <c r="F13" s="11"/>
      <c r="G13" s="38"/>
    </row>
    <row r="14" spans="3:7" ht="18.5" x14ac:dyDescent="0.45">
      <c r="C14" s="34" t="s">
        <v>1248</v>
      </c>
      <c r="D14" s="34">
        <f>+SUM(D12/40)</f>
        <v>518.5</v>
      </c>
      <c r="E14" s="34">
        <f t="shared" ref="E14:F14" si="1">+SUM(E12/40)</f>
        <v>412.4</v>
      </c>
      <c r="F14" s="34">
        <f t="shared" si="1"/>
        <v>1832.5</v>
      </c>
      <c r="G14" s="35">
        <f>+SUM(D14:F14)</f>
        <v>2763.4</v>
      </c>
    </row>
    <row r="15" spans="3:7" x14ac:dyDescent="0.35">
      <c r="C15" s="53" t="s">
        <v>1245</v>
      </c>
      <c r="D15" s="54"/>
      <c r="E15" s="54"/>
      <c r="F15" s="55"/>
      <c r="G15" s="32">
        <v>600</v>
      </c>
    </row>
    <row r="16" spans="3:7" x14ac:dyDescent="0.35">
      <c r="C16" s="53" t="s">
        <v>1246</v>
      </c>
      <c r="D16" s="54"/>
      <c r="E16" s="54"/>
      <c r="F16" s="55"/>
      <c r="G16" s="32">
        <v>10</v>
      </c>
    </row>
    <row r="17" spans="3:10" x14ac:dyDescent="0.35">
      <c r="C17" s="53" t="s">
        <v>1248</v>
      </c>
      <c r="D17" s="54"/>
      <c r="E17" s="54"/>
      <c r="F17" s="55"/>
      <c r="G17" s="32">
        <f>+SUM(G14-G15-G16)</f>
        <v>2153.4</v>
      </c>
    </row>
    <row r="20" spans="3:10" ht="15.5" x14ac:dyDescent="0.35">
      <c r="C20" s="33" t="s">
        <v>1243</v>
      </c>
      <c r="D20" s="33" t="s">
        <v>1241</v>
      </c>
      <c r="E20" s="33" t="s">
        <v>1242</v>
      </c>
      <c r="F20" s="33" t="s">
        <v>1239</v>
      </c>
      <c r="G20" s="33" t="s">
        <v>1247</v>
      </c>
    </row>
    <row r="21" spans="3:10" x14ac:dyDescent="0.35">
      <c r="C21" s="7" t="s">
        <v>1238</v>
      </c>
      <c r="D21" s="7">
        <v>0</v>
      </c>
      <c r="E21" s="7">
        <v>0</v>
      </c>
      <c r="F21" s="7">
        <v>66144</v>
      </c>
      <c r="G21" s="36"/>
    </row>
    <row r="22" spans="3:10" x14ac:dyDescent="0.35">
      <c r="C22" s="7"/>
      <c r="D22" s="7">
        <f t="shared" ref="D22:F22" si="2">D21/40</f>
        <v>0</v>
      </c>
      <c r="E22" s="7">
        <f t="shared" si="2"/>
        <v>0</v>
      </c>
      <c r="F22" s="7">
        <f t="shared" si="2"/>
        <v>1653.6</v>
      </c>
      <c r="G22" s="37"/>
    </row>
    <row r="23" spans="3:10" x14ac:dyDescent="0.35">
      <c r="C23" s="7" t="s">
        <v>1240</v>
      </c>
      <c r="D23" s="7">
        <f>9586+186</f>
        <v>9772</v>
      </c>
      <c r="E23" s="7">
        <f>10668+103</f>
        <v>10771</v>
      </c>
      <c r="F23" s="7">
        <v>33</v>
      </c>
      <c r="G23" s="37"/>
    </row>
    <row r="24" spans="3:10" x14ac:dyDescent="0.35">
      <c r="C24" s="7"/>
      <c r="D24" s="7">
        <f>D23/40</f>
        <v>244.3</v>
      </c>
      <c r="E24" s="7">
        <f t="shared" ref="E24:F24" si="3">E23/40</f>
        <v>269.27499999999998</v>
      </c>
      <c r="F24" s="7">
        <f t="shared" si="3"/>
        <v>0.82499999999999996</v>
      </c>
      <c r="G24" s="37"/>
    </row>
    <row r="25" spans="3:10" x14ac:dyDescent="0.35">
      <c r="C25" s="7" t="s">
        <v>1244</v>
      </c>
      <c r="D25" s="7">
        <f>10905+63</f>
        <v>10968</v>
      </c>
      <c r="E25" s="7">
        <f>5595+130</f>
        <v>5725</v>
      </c>
      <c r="F25" s="7">
        <f>7110+13</f>
        <v>7123</v>
      </c>
      <c r="G25" s="37"/>
    </row>
    <row r="26" spans="3:10" x14ac:dyDescent="0.35">
      <c r="C26" s="7"/>
      <c r="D26" s="7">
        <f t="shared" ref="D26:F26" si="4">D25/40</f>
        <v>274.2</v>
      </c>
      <c r="E26" s="7">
        <f t="shared" si="4"/>
        <v>143.125</v>
      </c>
      <c r="F26" s="7">
        <f t="shared" si="4"/>
        <v>178.07499999999999</v>
      </c>
      <c r="G26" s="37"/>
    </row>
    <row r="27" spans="3:10" x14ac:dyDescent="0.35">
      <c r="C27" s="7" t="s">
        <v>1249</v>
      </c>
      <c r="D27" s="7">
        <f>+SUM(D21+D23+D25)</f>
        <v>20740</v>
      </c>
      <c r="E27" s="7">
        <f t="shared" ref="E27:F27" si="5">+SUM(E21+E23+E25)</f>
        <v>16496</v>
      </c>
      <c r="F27" s="7">
        <f t="shared" si="5"/>
        <v>73300</v>
      </c>
      <c r="G27" s="37"/>
    </row>
    <row r="28" spans="3:10" x14ac:dyDescent="0.35">
      <c r="C28" s="7"/>
      <c r="D28" s="7"/>
      <c r="E28" s="7"/>
      <c r="F28" s="11"/>
      <c r="G28" s="38"/>
    </row>
    <row r="29" spans="3:10" ht="18.5" x14ac:dyDescent="0.45">
      <c r="C29" s="34" t="s">
        <v>1248</v>
      </c>
      <c r="D29" s="34">
        <f>+SUM(D27/40)</f>
        <v>518.5</v>
      </c>
      <c r="E29" s="34">
        <f t="shared" ref="E29:F29" si="6">+SUM(E27/40)</f>
        <v>412.4</v>
      </c>
      <c r="F29" s="34">
        <f t="shared" si="6"/>
        <v>1832.5</v>
      </c>
      <c r="G29" s="35">
        <f>+SUM(D29:F29)</f>
        <v>2763.4</v>
      </c>
      <c r="I29" t="s">
        <v>1250</v>
      </c>
      <c r="J29" t="s">
        <v>1251</v>
      </c>
    </row>
  </sheetData>
  <mergeCells count="3">
    <mergeCell ref="C15:F15"/>
    <mergeCell ref="C16:F16"/>
    <mergeCell ref="C17:F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ABAE-3521-43D1-B21A-7800AC401B01}">
  <dimension ref="A2:K36"/>
  <sheetViews>
    <sheetView topLeftCell="A16" workbookViewId="0">
      <selection activeCell="A2" sqref="A2:K125"/>
    </sheetView>
  </sheetViews>
  <sheetFormatPr defaultRowHeight="20.25" customHeight="1" x14ac:dyDescent="0.35"/>
  <cols>
    <col min="2" max="2" width="13.26953125" customWidth="1"/>
    <col min="3" max="3" width="39.26953125" customWidth="1"/>
    <col min="4" max="4" width="43.7265625" customWidth="1"/>
    <col min="8" max="8" width="12.1796875" customWidth="1"/>
  </cols>
  <sheetData>
    <row r="2" spans="1:11" ht="26.25" customHeight="1" x14ac:dyDescent="0.35">
      <c r="A2" s="9" t="s">
        <v>1157</v>
      </c>
      <c r="B2" s="9" t="s">
        <v>1179</v>
      </c>
      <c r="C2" s="6" t="s">
        <v>0</v>
      </c>
      <c r="D2" s="17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20.25" customHeight="1" x14ac:dyDescent="0.35">
      <c r="A3" s="7">
        <v>3</v>
      </c>
      <c r="B3" s="11" t="s">
        <v>1200</v>
      </c>
      <c r="C3" s="8" t="s">
        <v>121</v>
      </c>
      <c r="D3" s="18" t="s">
        <v>700</v>
      </c>
      <c r="E3" s="14">
        <v>1</v>
      </c>
      <c r="F3" s="14">
        <v>1</v>
      </c>
      <c r="G3" s="7"/>
      <c r="H3" s="14">
        <v>1</v>
      </c>
      <c r="I3" s="7"/>
      <c r="J3" s="14">
        <v>1</v>
      </c>
      <c r="K3" s="7"/>
    </row>
    <row r="4" spans="1:11" ht="20.25" customHeight="1" x14ac:dyDescent="0.35">
      <c r="A4" s="7">
        <v>3</v>
      </c>
      <c r="B4" s="11" t="s">
        <v>1200</v>
      </c>
      <c r="C4" s="8" t="s">
        <v>122</v>
      </c>
      <c r="D4" s="18" t="s">
        <v>701</v>
      </c>
      <c r="E4" s="14">
        <v>1</v>
      </c>
      <c r="F4" s="14">
        <v>1</v>
      </c>
      <c r="G4" s="7"/>
      <c r="H4" s="14">
        <v>1</v>
      </c>
      <c r="I4" s="7"/>
      <c r="J4" s="14">
        <v>1</v>
      </c>
      <c r="K4" s="7"/>
    </row>
    <row r="5" spans="1:11" ht="20.25" customHeight="1" x14ac:dyDescent="0.35">
      <c r="A5" s="7">
        <v>3</v>
      </c>
      <c r="B5" s="11" t="s">
        <v>1200</v>
      </c>
      <c r="C5" s="8" t="s">
        <v>123</v>
      </c>
      <c r="D5" s="18" t="s">
        <v>702</v>
      </c>
      <c r="E5" s="14">
        <v>1</v>
      </c>
      <c r="F5" s="14">
        <v>1</v>
      </c>
      <c r="G5" s="7"/>
      <c r="H5" s="14">
        <v>1</v>
      </c>
      <c r="I5" s="7"/>
      <c r="J5" s="14">
        <v>1</v>
      </c>
      <c r="K5" s="7"/>
    </row>
    <row r="6" spans="1:11" ht="20.25" customHeight="1" x14ac:dyDescent="0.35">
      <c r="A6" s="7">
        <v>3</v>
      </c>
      <c r="B6" s="11" t="s">
        <v>1200</v>
      </c>
      <c r="C6" s="8" t="s">
        <v>125</v>
      </c>
      <c r="D6" s="18" t="s">
        <v>704</v>
      </c>
      <c r="E6" s="14">
        <v>1</v>
      </c>
      <c r="F6" s="14">
        <v>1</v>
      </c>
      <c r="G6" s="7"/>
      <c r="H6" s="14">
        <v>1</v>
      </c>
      <c r="I6" s="7"/>
      <c r="J6" s="14">
        <v>1</v>
      </c>
      <c r="K6" s="7"/>
    </row>
    <row r="7" spans="1:11" ht="20.25" customHeight="1" x14ac:dyDescent="0.35">
      <c r="A7" s="7">
        <v>3</v>
      </c>
      <c r="B7" s="11" t="s">
        <v>1200</v>
      </c>
      <c r="C7" s="8" t="s">
        <v>137</v>
      </c>
      <c r="D7" s="18" t="s">
        <v>715</v>
      </c>
      <c r="E7" s="14">
        <v>1</v>
      </c>
      <c r="F7" s="14">
        <v>1</v>
      </c>
      <c r="G7" s="7"/>
      <c r="H7" s="14">
        <v>1</v>
      </c>
      <c r="I7" s="7"/>
      <c r="J7" s="14">
        <v>1</v>
      </c>
      <c r="K7" s="7"/>
    </row>
    <row r="8" spans="1:11" ht="20.25" customHeight="1" x14ac:dyDescent="0.35">
      <c r="A8" s="7">
        <v>3</v>
      </c>
      <c r="B8" s="11" t="s">
        <v>1200</v>
      </c>
      <c r="C8" s="8" t="s">
        <v>138</v>
      </c>
      <c r="D8" s="18" t="s">
        <v>716</v>
      </c>
      <c r="E8" s="14">
        <v>1</v>
      </c>
      <c r="F8" s="14">
        <v>1</v>
      </c>
      <c r="G8" s="7"/>
      <c r="H8" s="14">
        <v>1</v>
      </c>
      <c r="I8" s="7"/>
      <c r="J8" s="14">
        <v>1</v>
      </c>
      <c r="K8" s="7"/>
    </row>
    <row r="9" spans="1:11" ht="20.25" customHeight="1" x14ac:dyDescent="0.35">
      <c r="A9" s="7">
        <v>3</v>
      </c>
      <c r="B9" s="11" t="s">
        <v>1200</v>
      </c>
      <c r="C9" s="8" t="s">
        <v>139</v>
      </c>
      <c r="D9" s="18" t="s">
        <v>717</v>
      </c>
      <c r="E9" s="14">
        <v>2</v>
      </c>
      <c r="F9" s="11"/>
      <c r="G9" s="14">
        <v>2</v>
      </c>
      <c r="H9" s="7"/>
      <c r="I9" s="14">
        <v>2</v>
      </c>
      <c r="J9" s="7"/>
      <c r="K9" s="14">
        <v>2</v>
      </c>
    </row>
    <row r="10" spans="1:11" ht="20.25" customHeight="1" x14ac:dyDescent="0.35">
      <c r="A10" s="7">
        <v>3</v>
      </c>
      <c r="B10" s="11" t="s">
        <v>1200</v>
      </c>
      <c r="C10" s="8" t="s">
        <v>141</v>
      </c>
      <c r="D10" s="18" t="s">
        <v>719</v>
      </c>
      <c r="E10" s="14">
        <v>1</v>
      </c>
      <c r="F10" s="14">
        <v>1</v>
      </c>
      <c r="G10" s="7"/>
      <c r="H10" s="14">
        <v>1</v>
      </c>
      <c r="I10" s="7"/>
      <c r="J10" s="14">
        <v>1</v>
      </c>
      <c r="K10" s="7"/>
    </row>
    <row r="11" spans="1:11" ht="20.25" customHeight="1" x14ac:dyDescent="0.35">
      <c r="A11" s="7">
        <v>3</v>
      </c>
      <c r="B11" s="11" t="s">
        <v>1200</v>
      </c>
      <c r="C11" s="8" t="s">
        <v>142</v>
      </c>
      <c r="D11" s="18" t="s">
        <v>720</v>
      </c>
      <c r="E11" s="14">
        <v>2</v>
      </c>
      <c r="F11" s="11"/>
      <c r="G11" s="14">
        <v>2</v>
      </c>
      <c r="H11" s="7"/>
      <c r="I11" s="14">
        <v>2</v>
      </c>
      <c r="J11" s="7"/>
      <c r="K11" s="14">
        <v>2</v>
      </c>
    </row>
    <row r="12" spans="1:11" ht="20.25" customHeight="1" x14ac:dyDescent="0.35">
      <c r="A12" s="7">
        <v>3</v>
      </c>
      <c r="B12" s="11" t="s">
        <v>1200</v>
      </c>
      <c r="C12" s="8" t="s">
        <v>143</v>
      </c>
      <c r="D12" s="18" t="s">
        <v>721</v>
      </c>
      <c r="E12" s="14">
        <v>1</v>
      </c>
      <c r="F12" s="14">
        <v>1</v>
      </c>
      <c r="G12" s="7"/>
      <c r="H12" s="14">
        <v>1</v>
      </c>
      <c r="I12" s="7"/>
      <c r="J12" s="14">
        <v>1</v>
      </c>
      <c r="K12" s="7"/>
    </row>
    <row r="13" spans="1:11" ht="20.25" customHeight="1" x14ac:dyDescent="0.35">
      <c r="A13" s="7">
        <v>3</v>
      </c>
      <c r="B13" s="11" t="s">
        <v>1200</v>
      </c>
      <c r="C13" s="19" t="s">
        <v>1209</v>
      </c>
      <c r="D13" s="21" t="s">
        <v>1210</v>
      </c>
      <c r="E13" s="14">
        <v>1</v>
      </c>
      <c r="F13" s="14">
        <v>1</v>
      </c>
      <c r="G13" s="7"/>
      <c r="H13" s="14">
        <v>1</v>
      </c>
      <c r="I13" s="7"/>
      <c r="J13" s="14">
        <v>1</v>
      </c>
      <c r="K13" s="7"/>
    </row>
    <row r="14" spans="1:11" ht="20.25" customHeight="1" x14ac:dyDescent="0.35">
      <c r="A14" s="7">
        <v>3</v>
      </c>
      <c r="B14" s="11" t="s">
        <v>1200</v>
      </c>
      <c r="C14" s="8" t="s">
        <v>144</v>
      </c>
      <c r="D14" s="21" t="s">
        <v>1211</v>
      </c>
      <c r="E14" s="14">
        <v>2</v>
      </c>
      <c r="F14" s="11"/>
      <c r="G14" s="14">
        <v>2</v>
      </c>
      <c r="H14" s="7"/>
      <c r="I14" s="14">
        <v>2</v>
      </c>
      <c r="J14" s="7"/>
      <c r="K14" s="14">
        <v>2</v>
      </c>
    </row>
    <row r="15" spans="1:11" ht="20.25" customHeight="1" x14ac:dyDescent="0.35">
      <c r="A15" s="7">
        <v>3</v>
      </c>
      <c r="B15" s="11" t="s">
        <v>1200</v>
      </c>
      <c r="C15" s="8" t="s">
        <v>145</v>
      </c>
      <c r="D15" s="18" t="s">
        <v>1154</v>
      </c>
      <c r="E15" s="14">
        <v>1</v>
      </c>
      <c r="F15" s="14">
        <v>1</v>
      </c>
      <c r="G15" s="7"/>
      <c r="H15" s="14">
        <v>1</v>
      </c>
      <c r="I15" s="7"/>
      <c r="J15" s="14">
        <v>1</v>
      </c>
      <c r="K15" s="7"/>
    </row>
    <row r="16" spans="1:11" ht="20.25" customHeight="1" x14ac:dyDescent="0.35">
      <c r="A16" s="7">
        <v>3</v>
      </c>
      <c r="B16" s="11" t="s">
        <v>1200</v>
      </c>
      <c r="C16" s="8" t="s">
        <v>146</v>
      </c>
      <c r="D16" s="18" t="s">
        <v>724</v>
      </c>
      <c r="E16" s="14">
        <v>2</v>
      </c>
      <c r="F16" s="11"/>
      <c r="G16" s="14">
        <v>2</v>
      </c>
      <c r="H16" s="7"/>
      <c r="I16" s="14">
        <v>2</v>
      </c>
      <c r="J16" s="7"/>
      <c r="K16" s="14">
        <v>2</v>
      </c>
    </row>
    <row r="17" spans="1:11" ht="20.25" customHeight="1" x14ac:dyDescent="0.35">
      <c r="A17" s="7">
        <v>3</v>
      </c>
      <c r="B17" s="11" t="s">
        <v>1200</v>
      </c>
      <c r="C17" s="8" t="s">
        <v>145</v>
      </c>
      <c r="D17" s="18" t="s">
        <v>725</v>
      </c>
      <c r="E17" s="14">
        <v>1</v>
      </c>
      <c r="F17" s="14">
        <v>1</v>
      </c>
      <c r="G17" s="7"/>
      <c r="H17" s="14">
        <v>1</v>
      </c>
      <c r="I17" s="7"/>
      <c r="J17" s="14">
        <v>1</v>
      </c>
      <c r="K17" s="7"/>
    </row>
    <row r="18" spans="1:11" ht="20.25" customHeight="1" x14ac:dyDescent="0.35">
      <c r="A18" s="7">
        <v>3</v>
      </c>
      <c r="B18" s="11" t="s">
        <v>1200</v>
      </c>
      <c r="C18" s="8" t="s">
        <v>147</v>
      </c>
      <c r="D18" s="18" t="s">
        <v>726</v>
      </c>
      <c r="E18" s="14">
        <v>2</v>
      </c>
      <c r="F18" s="11"/>
      <c r="G18" s="14">
        <v>2</v>
      </c>
      <c r="H18" s="7"/>
      <c r="I18" s="14">
        <v>2</v>
      </c>
      <c r="J18" s="7"/>
      <c r="K18" s="14">
        <v>2</v>
      </c>
    </row>
    <row r="19" spans="1:11" ht="20.25" customHeight="1" x14ac:dyDescent="0.35">
      <c r="A19" s="7">
        <v>3</v>
      </c>
      <c r="B19" s="11" t="s">
        <v>1200</v>
      </c>
      <c r="C19" s="8" t="s">
        <v>148</v>
      </c>
      <c r="D19" s="18" t="s">
        <v>727</v>
      </c>
      <c r="E19" s="14">
        <v>2</v>
      </c>
      <c r="F19" s="11"/>
      <c r="G19" s="14">
        <v>2</v>
      </c>
      <c r="H19" s="7"/>
      <c r="I19" s="14">
        <v>2</v>
      </c>
      <c r="J19" s="7"/>
      <c r="K19" s="14">
        <v>2</v>
      </c>
    </row>
    <row r="20" spans="1:11" ht="20.25" customHeight="1" x14ac:dyDescent="0.35">
      <c r="A20" s="7">
        <v>3</v>
      </c>
      <c r="B20" s="11" t="s">
        <v>1200</v>
      </c>
      <c r="C20" s="8" t="s">
        <v>150</v>
      </c>
      <c r="D20" s="18" t="s">
        <v>729</v>
      </c>
      <c r="E20" s="14">
        <v>1</v>
      </c>
      <c r="F20" s="14">
        <v>1</v>
      </c>
      <c r="G20" s="7"/>
      <c r="H20" s="14">
        <v>1</v>
      </c>
      <c r="I20" s="7"/>
      <c r="J20" s="14">
        <v>1</v>
      </c>
      <c r="K20" s="7"/>
    </row>
    <row r="21" spans="1:11" ht="20.25" customHeight="1" x14ac:dyDescent="0.35">
      <c r="A21" s="7">
        <v>3</v>
      </c>
      <c r="B21" s="11" t="s">
        <v>1200</v>
      </c>
      <c r="C21" s="8" t="s">
        <v>151</v>
      </c>
      <c r="D21" s="18" t="s">
        <v>730</v>
      </c>
      <c r="E21" s="14">
        <v>2</v>
      </c>
      <c r="F21" s="11"/>
      <c r="G21" s="14">
        <v>2</v>
      </c>
      <c r="H21" s="7"/>
      <c r="I21" s="14">
        <v>2</v>
      </c>
      <c r="J21" s="7"/>
      <c r="K21" s="14">
        <v>2</v>
      </c>
    </row>
    <row r="22" spans="1:11" ht="20.25" customHeight="1" x14ac:dyDescent="0.35">
      <c r="A22" s="7">
        <v>3</v>
      </c>
      <c r="B22" s="11" t="s">
        <v>1200</v>
      </c>
      <c r="C22" s="8" t="s">
        <v>166</v>
      </c>
      <c r="D22" s="18" t="s">
        <v>744</v>
      </c>
      <c r="E22" s="14">
        <v>2</v>
      </c>
      <c r="F22" s="11"/>
      <c r="G22" s="14">
        <v>2</v>
      </c>
      <c r="H22" s="7"/>
      <c r="I22" s="14">
        <v>2</v>
      </c>
      <c r="J22" s="7"/>
      <c r="K22" s="14">
        <v>2</v>
      </c>
    </row>
    <row r="23" spans="1:11" ht="20.25" customHeight="1" x14ac:dyDescent="0.35">
      <c r="A23" s="7">
        <v>3</v>
      </c>
      <c r="B23" s="11" t="s">
        <v>1200</v>
      </c>
      <c r="C23" s="8" t="s">
        <v>186</v>
      </c>
      <c r="D23" s="18" t="s">
        <v>765</v>
      </c>
      <c r="E23" s="14">
        <v>1</v>
      </c>
      <c r="F23" s="14">
        <v>1</v>
      </c>
      <c r="G23" s="7"/>
      <c r="H23" s="14">
        <v>1</v>
      </c>
      <c r="I23" s="7"/>
      <c r="J23" s="14">
        <v>1</v>
      </c>
      <c r="K23" s="7"/>
    </row>
    <row r="24" spans="1:11" ht="20.25" customHeight="1" x14ac:dyDescent="0.35">
      <c r="A24" s="7">
        <v>3</v>
      </c>
      <c r="B24" s="11" t="s">
        <v>1200</v>
      </c>
      <c r="C24" s="8" t="s">
        <v>219</v>
      </c>
      <c r="D24" s="18" t="s">
        <v>799</v>
      </c>
      <c r="E24" s="14">
        <v>1</v>
      </c>
      <c r="F24" s="14">
        <v>1</v>
      </c>
      <c r="G24" s="7"/>
      <c r="H24" s="14">
        <v>1</v>
      </c>
      <c r="I24" s="7"/>
      <c r="J24" s="14">
        <v>1</v>
      </c>
      <c r="K24" s="7"/>
    </row>
    <row r="25" spans="1:11" ht="20.25" customHeight="1" x14ac:dyDescent="0.35">
      <c r="A25" s="7">
        <v>3</v>
      </c>
      <c r="B25" s="11" t="s">
        <v>1200</v>
      </c>
      <c r="C25" s="8" t="s">
        <v>220</v>
      </c>
      <c r="D25" s="18" t="s">
        <v>799</v>
      </c>
      <c r="E25" s="14">
        <v>1</v>
      </c>
      <c r="F25" s="14">
        <v>1</v>
      </c>
      <c r="G25" s="7"/>
      <c r="H25" s="14">
        <v>1</v>
      </c>
      <c r="I25" s="7"/>
      <c r="J25" s="14">
        <v>1</v>
      </c>
      <c r="K25" s="7"/>
    </row>
    <row r="26" spans="1:11" ht="20.25" customHeight="1" x14ac:dyDescent="0.35">
      <c r="A26" s="7">
        <v>3</v>
      </c>
      <c r="B26" s="11" t="s">
        <v>1200</v>
      </c>
      <c r="C26" s="8" t="s">
        <v>221</v>
      </c>
      <c r="D26" s="18" t="s">
        <v>800</v>
      </c>
      <c r="E26" s="14">
        <v>1</v>
      </c>
      <c r="F26" s="14">
        <v>1</v>
      </c>
      <c r="G26" s="7"/>
      <c r="H26" s="14">
        <v>1</v>
      </c>
      <c r="I26" s="7"/>
      <c r="J26" s="14">
        <v>1</v>
      </c>
      <c r="K26" s="7"/>
    </row>
    <row r="27" spans="1:11" ht="20.25" customHeight="1" x14ac:dyDescent="0.35">
      <c r="A27" s="7">
        <v>3</v>
      </c>
      <c r="B27" s="11" t="s">
        <v>1200</v>
      </c>
      <c r="C27" s="8" t="s">
        <v>223</v>
      </c>
      <c r="D27" s="18" t="s">
        <v>802</v>
      </c>
      <c r="E27" s="14">
        <v>1</v>
      </c>
      <c r="F27" s="14">
        <v>1</v>
      </c>
      <c r="G27" s="7"/>
      <c r="H27" s="14">
        <v>1</v>
      </c>
      <c r="I27" s="7"/>
      <c r="J27" s="14">
        <v>1</v>
      </c>
      <c r="K27" s="7"/>
    </row>
    <row r="28" spans="1:11" ht="20.25" customHeight="1" x14ac:dyDescent="0.35">
      <c r="A28" s="7">
        <v>3</v>
      </c>
      <c r="B28" s="11" t="s">
        <v>1200</v>
      </c>
      <c r="C28" s="8" t="s">
        <v>162</v>
      </c>
      <c r="D28" s="18" t="s">
        <v>740</v>
      </c>
      <c r="E28" s="14">
        <v>2</v>
      </c>
      <c r="F28" s="11"/>
      <c r="G28" s="14">
        <v>2</v>
      </c>
      <c r="H28" s="7"/>
      <c r="I28" s="14">
        <v>2</v>
      </c>
      <c r="J28" s="7"/>
      <c r="K28" s="14">
        <v>2</v>
      </c>
    </row>
    <row r="29" spans="1:11" ht="20.25" customHeight="1" x14ac:dyDescent="0.35">
      <c r="A29" s="7">
        <v>3</v>
      </c>
      <c r="B29" s="11" t="s">
        <v>1200</v>
      </c>
      <c r="C29" s="8" t="s">
        <v>163</v>
      </c>
      <c r="D29" s="18" t="s">
        <v>741</v>
      </c>
      <c r="E29" s="14">
        <v>2</v>
      </c>
      <c r="F29" s="11"/>
      <c r="G29" s="14">
        <v>2</v>
      </c>
      <c r="H29" s="7"/>
      <c r="I29" s="14">
        <v>2</v>
      </c>
      <c r="J29" s="7"/>
      <c r="K29" s="14">
        <v>2</v>
      </c>
    </row>
    <row r="30" spans="1:11" ht="20.25" customHeight="1" x14ac:dyDescent="0.35">
      <c r="A30" s="7">
        <v>3</v>
      </c>
      <c r="B30" s="11" t="s">
        <v>1200</v>
      </c>
      <c r="C30" s="8" t="s">
        <v>164</v>
      </c>
      <c r="D30" s="18" t="s">
        <v>742</v>
      </c>
      <c r="E30" s="14">
        <v>2</v>
      </c>
      <c r="F30" s="11"/>
      <c r="G30" s="14">
        <v>2</v>
      </c>
      <c r="H30" s="7"/>
      <c r="I30" s="14">
        <v>2</v>
      </c>
      <c r="J30" s="7"/>
      <c r="K30" s="14">
        <v>2</v>
      </c>
    </row>
    <row r="31" spans="1:11" ht="20.25" customHeight="1" x14ac:dyDescent="0.35">
      <c r="A31" s="7">
        <v>3</v>
      </c>
      <c r="B31" s="11" t="s">
        <v>1200</v>
      </c>
      <c r="C31" s="8" t="s">
        <v>165</v>
      </c>
      <c r="D31" s="18" t="s">
        <v>743</v>
      </c>
      <c r="E31" s="14">
        <v>2</v>
      </c>
      <c r="F31" s="11"/>
      <c r="G31" s="14">
        <v>2</v>
      </c>
      <c r="H31" s="7"/>
      <c r="I31" s="14">
        <v>2</v>
      </c>
      <c r="J31" s="7"/>
      <c r="K31" s="14">
        <v>2</v>
      </c>
    </row>
    <row r="32" spans="1:11" ht="20.25" customHeight="1" x14ac:dyDescent="0.35">
      <c r="A32" s="7">
        <v>3</v>
      </c>
      <c r="B32" s="11" t="s">
        <v>1200</v>
      </c>
      <c r="C32" s="8" t="s">
        <v>168</v>
      </c>
      <c r="D32" s="18" t="s">
        <v>746</v>
      </c>
      <c r="E32" s="14">
        <v>2</v>
      </c>
      <c r="F32" s="11"/>
      <c r="G32" s="14">
        <v>2</v>
      </c>
      <c r="H32" s="7"/>
      <c r="I32" s="14">
        <v>2</v>
      </c>
      <c r="J32" s="7"/>
      <c r="K32" s="14">
        <v>2</v>
      </c>
    </row>
    <row r="33" spans="1:11" ht="20.25" customHeight="1" x14ac:dyDescent="0.35">
      <c r="A33" s="7">
        <v>3</v>
      </c>
      <c r="B33" s="11" t="s">
        <v>1200</v>
      </c>
      <c r="C33" s="8" t="s">
        <v>170</v>
      </c>
      <c r="D33" s="18" t="s">
        <v>748</v>
      </c>
      <c r="E33" s="14">
        <v>2</v>
      </c>
      <c r="F33" s="11"/>
      <c r="G33" s="14">
        <v>2</v>
      </c>
      <c r="H33" s="7"/>
      <c r="I33" s="14">
        <v>2</v>
      </c>
      <c r="J33" s="7"/>
      <c r="K33" s="14">
        <v>2</v>
      </c>
    </row>
    <row r="34" spans="1:11" ht="20.25" customHeight="1" x14ac:dyDescent="0.35">
      <c r="A34" s="7">
        <v>3</v>
      </c>
      <c r="B34" s="11" t="s">
        <v>1200</v>
      </c>
      <c r="C34" s="8" t="s">
        <v>171</v>
      </c>
      <c r="D34" s="18" t="s">
        <v>749</v>
      </c>
      <c r="E34" s="14">
        <v>2</v>
      </c>
      <c r="F34" s="11"/>
      <c r="G34" s="14">
        <v>2</v>
      </c>
      <c r="H34" s="7"/>
      <c r="I34" s="14">
        <v>2</v>
      </c>
      <c r="J34" s="7"/>
      <c r="K34" s="14">
        <v>2</v>
      </c>
    </row>
    <row r="35" spans="1:11" ht="20.25" customHeight="1" x14ac:dyDescent="0.35">
      <c r="A35" s="7">
        <v>3</v>
      </c>
      <c r="B35" s="11" t="s">
        <v>1200</v>
      </c>
      <c r="C35" s="8" t="s">
        <v>173</v>
      </c>
      <c r="D35" s="18" t="s">
        <v>751</v>
      </c>
      <c r="E35" s="14">
        <v>2</v>
      </c>
      <c r="F35" s="11"/>
      <c r="G35" s="14">
        <v>2</v>
      </c>
      <c r="H35" s="7"/>
      <c r="I35" s="14">
        <v>2</v>
      </c>
      <c r="J35" s="7"/>
      <c r="K35" s="14">
        <v>2</v>
      </c>
    </row>
    <row r="36" spans="1:11" ht="20.25" customHeight="1" x14ac:dyDescent="0.45">
      <c r="A36" s="52" t="s">
        <v>1178</v>
      </c>
      <c r="B36" s="52"/>
      <c r="C36" s="52"/>
      <c r="D36" s="52"/>
      <c r="E36" s="20">
        <v>33</v>
      </c>
      <c r="F36" s="11">
        <v>17</v>
      </c>
      <c r="G36" s="7">
        <v>16</v>
      </c>
      <c r="H36" s="11">
        <v>17</v>
      </c>
      <c r="I36" s="7">
        <v>16</v>
      </c>
      <c r="J36" s="11">
        <v>17</v>
      </c>
      <c r="K36" s="7">
        <v>16</v>
      </c>
    </row>
  </sheetData>
  <autoFilter ref="A2:K36" xr:uid="{A66EABAE-3521-43D1-B21A-7800AC401B01}"/>
  <mergeCells count="1">
    <mergeCell ref="A36:D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C108-4895-4BF1-AF10-6B2F34BA52F0}">
  <dimension ref="A2:K38"/>
  <sheetViews>
    <sheetView workbookViewId="0">
      <selection activeCell="A2" sqref="A2:K125"/>
    </sheetView>
  </sheetViews>
  <sheetFormatPr defaultRowHeight="17.25" customHeight="1" x14ac:dyDescent="0.35"/>
  <cols>
    <col min="2" max="2" width="13.26953125" customWidth="1"/>
    <col min="3" max="3" width="40.1796875" customWidth="1"/>
    <col min="4" max="4" width="42.7265625" customWidth="1"/>
    <col min="8" max="8" width="10.7265625" customWidth="1"/>
  </cols>
  <sheetData>
    <row r="2" spans="1:11" ht="17.25" customHeight="1" x14ac:dyDescent="0.35">
      <c r="A2" s="9" t="s">
        <v>1157</v>
      </c>
      <c r="B2" s="9" t="s">
        <v>1179</v>
      </c>
      <c r="C2" s="6" t="s">
        <v>0</v>
      </c>
      <c r="D2" s="17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17.25" customHeight="1" x14ac:dyDescent="0.35">
      <c r="A3" s="11">
        <v>4</v>
      </c>
      <c r="B3" s="11" t="s">
        <v>1199</v>
      </c>
      <c r="C3" s="8" t="s">
        <v>308</v>
      </c>
      <c r="D3" s="19" t="s">
        <v>1193</v>
      </c>
      <c r="E3" s="16" t="s">
        <v>1206</v>
      </c>
      <c r="F3" s="16" t="s">
        <v>1206</v>
      </c>
      <c r="G3" s="7"/>
      <c r="H3" s="16" t="s">
        <v>1206</v>
      </c>
      <c r="I3" s="7"/>
      <c r="J3" s="16" t="s">
        <v>1206</v>
      </c>
      <c r="K3" s="7"/>
    </row>
    <row r="4" spans="1:11" ht="17.25" customHeight="1" x14ac:dyDescent="0.35">
      <c r="A4" s="11">
        <v>4</v>
      </c>
      <c r="B4" s="11" t="s">
        <v>1199</v>
      </c>
      <c r="C4" s="8" t="s">
        <v>315</v>
      </c>
      <c r="D4" s="19" t="s">
        <v>891</v>
      </c>
      <c r="E4" s="16" t="s">
        <v>1206</v>
      </c>
      <c r="F4" s="16" t="s">
        <v>1206</v>
      </c>
      <c r="G4" s="7"/>
      <c r="H4" s="16" t="s">
        <v>1206</v>
      </c>
      <c r="I4" s="7"/>
      <c r="J4" s="16" t="s">
        <v>1206</v>
      </c>
      <c r="K4" s="7"/>
    </row>
    <row r="5" spans="1:11" ht="17.25" customHeight="1" x14ac:dyDescent="0.35">
      <c r="A5" s="11">
        <v>4</v>
      </c>
      <c r="B5" s="11" t="s">
        <v>1199</v>
      </c>
      <c r="C5" s="8" t="s">
        <v>316</v>
      </c>
      <c r="D5" s="19" t="s">
        <v>1194</v>
      </c>
      <c r="E5" s="16" t="s">
        <v>1206</v>
      </c>
      <c r="F5" s="16" t="s">
        <v>1206</v>
      </c>
      <c r="G5" s="7"/>
      <c r="H5" s="16" t="s">
        <v>1206</v>
      </c>
      <c r="I5" s="7"/>
      <c r="J5" s="16" t="s">
        <v>1206</v>
      </c>
      <c r="K5" s="7"/>
    </row>
    <row r="6" spans="1:11" ht="17.25" customHeight="1" x14ac:dyDescent="0.35">
      <c r="A6" s="11">
        <v>4</v>
      </c>
      <c r="B6" s="11" t="s">
        <v>1199</v>
      </c>
      <c r="C6" s="8" t="s">
        <v>317</v>
      </c>
      <c r="D6" s="19" t="s">
        <v>1195</v>
      </c>
      <c r="E6" s="16" t="s">
        <v>1206</v>
      </c>
      <c r="F6" s="16" t="s">
        <v>1206</v>
      </c>
      <c r="G6" s="7"/>
      <c r="H6" s="16" t="s">
        <v>1206</v>
      </c>
      <c r="I6" s="7"/>
      <c r="J6" s="16" t="s">
        <v>1206</v>
      </c>
      <c r="K6" s="7"/>
    </row>
    <row r="7" spans="1:11" ht="17.25" customHeight="1" x14ac:dyDescent="0.35">
      <c r="A7" s="11">
        <v>4</v>
      </c>
      <c r="B7" s="11" t="s">
        <v>1199</v>
      </c>
      <c r="C7" s="8" t="s">
        <v>320</v>
      </c>
      <c r="D7" s="8" t="s">
        <v>1170</v>
      </c>
      <c r="E7" s="16" t="s">
        <v>1206</v>
      </c>
      <c r="F7" s="16" t="s">
        <v>1206</v>
      </c>
      <c r="G7" s="7"/>
      <c r="H7" s="16" t="s">
        <v>1206</v>
      </c>
      <c r="I7" s="7"/>
      <c r="J7" s="16" t="s">
        <v>1206</v>
      </c>
      <c r="K7" s="7"/>
    </row>
    <row r="8" spans="1:11" ht="17.25" customHeight="1" x14ac:dyDescent="0.35">
      <c r="A8" s="11">
        <v>4</v>
      </c>
      <c r="B8" s="11" t="s">
        <v>1199</v>
      </c>
      <c r="C8" s="8" t="s">
        <v>327</v>
      </c>
      <c r="D8" s="19" t="s">
        <v>1195</v>
      </c>
      <c r="E8" s="16" t="s">
        <v>1206</v>
      </c>
      <c r="F8" s="16" t="s">
        <v>1206</v>
      </c>
      <c r="G8" s="7"/>
      <c r="H8" s="16" t="s">
        <v>1206</v>
      </c>
      <c r="I8" s="7"/>
      <c r="J8" s="16" t="s">
        <v>1206</v>
      </c>
      <c r="K8" s="7"/>
    </row>
    <row r="9" spans="1:11" ht="17.25" customHeight="1" x14ac:dyDescent="0.35">
      <c r="A9" s="11">
        <v>4</v>
      </c>
      <c r="B9" s="11" t="s">
        <v>1199</v>
      </c>
      <c r="C9" s="8" t="s">
        <v>330</v>
      </c>
      <c r="D9" s="19" t="s">
        <v>1196</v>
      </c>
      <c r="E9" s="7">
        <v>2</v>
      </c>
      <c r="F9" s="7"/>
      <c r="G9" s="7">
        <v>2</v>
      </c>
      <c r="H9" s="7"/>
      <c r="I9" s="7">
        <v>2</v>
      </c>
      <c r="J9" s="7"/>
      <c r="K9" s="7">
        <v>2</v>
      </c>
    </row>
    <row r="10" spans="1:11" ht="17.25" customHeight="1" x14ac:dyDescent="0.35">
      <c r="A10" s="11">
        <v>4</v>
      </c>
      <c r="B10" s="11" t="s">
        <v>1199</v>
      </c>
      <c r="C10" s="8" t="s">
        <v>333</v>
      </c>
      <c r="D10" s="19" t="s">
        <v>1197</v>
      </c>
      <c r="E10" s="7">
        <v>2</v>
      </c>
      <c r="F10" s="7"/>
      <c r="G10" s="7">
        <v>2</v>
      </c>
      <c r="H10" s="7"/>
      <c r="I10" s="7">
        <v>2</v>
      </c>
      <c r="J10" s="7"/>
      <c r="K10" s="7">
        <v>2</v>
      </c>
    </row>
    <row r="11" spans="1:11" ht="17.25" customHeight="1" x14ac:dyDescent="0.35">
      <c r="A11" s="11">
        <v>4</v>
      </c>
      <c r="B11" s="11" t="s">
        <v>1199</v>
      </c>
      <c r="C11" s="8" t="s">
        <v>1173</v>
      </c>
      <c r="D11" s="19" t="s">
        <v>937</v>
      </c>
      <c r="E11" s="7">
        <v>2</v>
      </c>
      <c r="F11" s="7"/>
      <c r="G11" s="7">
        <v>2</v>
      </c>
      <c r="H11" s="7"/>
      <c r="I11" s="7">
        <v>2</v>
      </c>
      <c r="J11" s="7"/>
      <c r="K11" s="7">
        <v>2</v>
      </c>
    </row>
    <row r="12" spans="1:11" ht="17.25" customHeight="1" x14ac:dyDescent="0.35">
      <c r="A12" s="11">
        <v>4</v>
      </c>
      <c r="B12" s="11" t="s">
        <v>1199</v>
      </c>
      <c r="C12" s="8" t="s">
        <v>337</v>
      </c>
      <c r="D12" s="19" t="s">
        <v>1213</v>
      </c>
      <c r="E12" s="7">
        <v>2</v>
      </c>
      <c r="F12" s="7"/>
      <c r="G12" s="7">
        <v>2</v>
      </c>
      <c r="H12" s="7"/>
      <c r="I12" s="7">
        <v>2</v>
      </c>
      <c r="J12" s="7"/>
      <c r="K12" s="7">
        <v>2</v>
      </c>
    </row>
    <row r="13" spans="1:11" ht="17.25" customHeight="1" x14ac:dyDescent="0.35">
      <c r="A13" s="11">
        <v>4</v>
      </c>
      <c r="B13" s="11" t="s">
        <v>1199</v>
      </c>
      <c r="C13" s="8" t="s">
        <v>338</v>
      </c>
      <c r="D13" s="19" t="s">
        <v>1213</v>
      </c>
      <c r="E13" s="7">
        <v>2</v>
      </c>
      <c r="F13" s="7"/>
      <c r="G13" s="7">
        <v>2</v>
      </c>
      <c r="H13" s="7"/>
      <c r="I13" s="7">
        <v>2</v>
      </c>
      <c r="J13" s="7"/>
      <c r="K13" s="7">
        <v>2</v>
      </c>
    </row>
    <row r="14" spans="1:11" ht="17.25" customHeight="1" x14ac:dyDescent="0.35">
      <c r="A14" s="11">
        <v>4</v>
      </c>
      <c r="B14" s="11" t="s">
        <v>1199</v>
      </c>
      <c r="C14" s="8" t="s">
        <v>1155</v>
      </c>
      <c r="D14" s="19" t="s">
        <v>1214</v>
      </c>
      <c r="E14" s="7">
        <v>2</v>
      </c>
      <c r="F14" s="7"/>
      <c r="G14" s="7">
        <v>2</v>
      </c>
      <c r="H14" s="7"/>
      <c r="I14" s="7">
        <v>2</v>
      </c>
      <c r="J14" s="7"/>
      <c r="K14" s="7">
        <v>2</v>
      </c>
    </row>
    <row r="15" spans="1:11" ht="17.25" customHeight="1" x14ac:dyDescent="0.35">
      <c r="A15" s="11">
        <v>4</v>
      </c>
      <c r="B15" s="11" t="s">
        <v>1199</v>
      </c>
      <c r="C15" s="8" t="s">
        <v>1161</v>
      </c>
      <c r="D15" s="19" t="s">
        <v>1215</v>
      </c>
      <c r="E15" s="7">
        <v>2</v>
      </c>
      <c r="F15" s="7"/>
      <c r="G15" s="7">
        <v>2</v>
      </c>
      <c r="H15" s="7"/>
      <c r="I15" s="7">
        <v>2</v>
      </c>
      <c r="J15" s="7"/>
      <c r="K15" s="7">
        <v>2</v>
      </c>
    </row>
    <row r="16" spans="1:11" ht="17.25" customHeight="1" x14ac:dyDescent="0.35">
      <c r="A16" s="11">
        <v>4</v>
      </c>
      <c r="B16" s="11" t="s">
        <v>1199</v>
      </c>
      <c r="C16" s="8" t="s">
        <v>1166</v>
      </c>
      <c r="D16" s="19" t="s">
        <v>1216</v>
      </c>
      <c r="E16" s="7">
        <v>2</v>
      </c>
      <c r="F16" s="7"/>
      <c r="G16" s="7">
        <v>2</v>
      </c>
      <c r="H16" s="7"/>
      <c r="I16" s="7">
        <v>2</v>
      </c>
      <c r="J16" s="7"/>
      <c r="K16" s="7">
        <v>2</v>
      </c>
    </row>
    <row r="17" spans="1:11" ht="17.25" customHeight="1" x14ac:dyDescent="0.35">
      <c r="A17" s="11">
        <v>4</v>
      </c>
      <c r="B17" s="11" t="s">
        <v>1199</v>
      </c>
      <c r="C17" s="8" t="s">
        <v>365</v>
      </c>
      <c r="D17" s="19" t="s">
        <v>952</v>
      </c>
      <c r="E17" s="7">
        <v>2</v>
      </c>
      <c r="F17" s="7"/>
      <c r="G17" s="7">
        <v>2</v>
      </c>
      <c r="H17" s="7"/>
      <c r="I17" s="7">
        <v>2</v>
      </c>
      <c r="J17" s="7"/>
      <c r="K17" s="7">
        <v>2</v>
      </c>
    </row>
    <row r="18" spans="1:11" ht="17.25" customHeight="1" x14ac:dyDescent="0.35">
      <c r="A18" s="11">
        <v>4</v>
      </c>
      <c r="B18" s="11" t="s">
        <v>1199</v>
      </c>
      <c r="C18" s="8" t="s">
        <v>366</v>
      </c>
      <c r="D18" s="19" t="s">
        <v>1217</v>
      </c>
      <c r="E18" s="7">
        <v>2</v>
      </c>
      <c r="F18" s="7"/>
      <c r="G18" s="7">
        <v>2</v>
      </c>
      <c r="H18" s="7"/>
      <c r="I18" s="7">
        <v>2</v>
      </c>
      <c r="J18" s="7"/>
      <c r="K18" s="7">
        <v>2</v>
      </c>
    </row>
    <row r="19" spans="1:11" ht="17.25" customHeight="1" x14ac:dyDescent="0.35">
      <c r="A19" s="11">
        <v>4</v>
      </c>
      <c r="B19" s="11" t="s">
        <v>1199</v>
      </c>
      <c r="C19" s="8" t="s">
        <v>368</v>
      </c>
      <c r="D19" s="19" t="s">
        <v>937</v>
      </c>
      <c r="E19" s="7">
        <v>2</v>
      </c>
      <c r="F19" s="7"/>
      <c r="G19" s="7">
        <v>2</v>
      </c>
      <c r="H19" s="7"/>
      <c r="I19" s="7">
        <v>2</v>
      </c>
      <c r="J19" s="7"/>
      <c r="K19" s="7">
        <v>2</v>
      </c>
    </row>
    <row r="20" spans="1:11" ht="17.25" customHeight="1" x14ac:dyDescent="0.35">
      <c r="A20" s="11">
        <v>4</v>
      </c>
      <c r="B20" s="11" t="s">
        <v>1199</v>
      </c>
      <c r="C20" s="8" t="s">
        <v>369</v>
      </c>
      <c r="D20" s="19" t="s">
        <v>937</v>
      </c>
      <c r="E20" s="7">
        <v>2</v>
      </c>
      <c r="F20" s="7"/>
      <c r="G20" s="7">
        <v>2</v>
      </c>
      <c r="H20" s="7"/>
      <c r="I20" s="7">
        <v>2</v>
      </c>
      <c r="J20" s="7"/>
      <c r="K20" s="7">
        <v>2</v>
      </c>
    </row>
    <row r="21" spans="1:11" ht="17.25" customHeight="1" x14ac:dyDescent="0.35">
      <c r="A21" s="11">
        <v>4</v>
      </c>
      <c r="B21" s="11" t="s">
        <v>1199</v>
      </c>
      <c r="C21" s="8" t="s">
        <v>538</v>
      </c>
      <c r="D21" s="19" t="s">
        <v>1218</v>
      </c>
      <c r="E21" s="7">
        <v>2</v>
      </c>
      <c r="F21" s="7"/>
      <c r="G21" s="7">
        <v>2</v>
      </c>
      <c r="H21" s="7"/>
      <c r="I21" s="7">
        <v>2</v>
      </c>
      <c r="J21" s="7"/>
      <c r="K21" s="7">
        <v>2</v>
      </c>
    </row>
    <row r="22" spans="1:11" ht="17.25" customHeight="1" x14ac:dyDescent="0.35">
      <c r="A22" s="11">
        <v>4</v>
      </c>
      <c r="B22" s="11" t="s">
        <v>1199</v>
      </c>
      <c r="C22" s="8" t="s">
        <v>1169</v>
      </c>
      <c r="D22" s="19" t="s">
        <v>1219</v>
      </c>
      <c r="E22" s="7">
        <v>2</v>
      </c>
      <c r="F22" s="7"/>
      <c r="G22" s="7">
        <v>2</v>
      </c>
      <c r="H22" s="7"/>
      <c r="I22" s="7">
        <v>2</v>
      </c>
      <c r="J22" s="7"/>
      <c r="K22" s="7">
        <v>2</v>
      </c>
    </row>
    <row r="23" spans="1:11" ht="17.25" customHeight="1" x14ac:dyDescent="0.35">
      <c r="A23" s="11">
        <v>4</v>
      </c>
      <c r="B23" s="11" t="s">
        <v>1199</v>
      </c>
      <c r="C23" s="8" t="s">
        <v>540</v>
      </c>
      <c r="D23" s="19" t="s">
        <v>1220</v>
      </c>
      <c r="E23" s="7">
        <v>2</v>
      </c>
      <c r="F23" s="7"/>
      <c r="G23" s="7">
        <v>2</v>
      </c>
      <c r="H23" s="7"/>
      <c r="I23" s="7">
        <v>2</v>
      </c>
      <c r="J23" s="7"/>
      <c r="K23" s="7">
        <v>2</v>
      </c>
    </row>
    <row r="24" spans="1:11" ht="17.25" customHeight="1" x14ac:dyDescent="0.35">
      <c r="A24" s="11">
        <v>4</v>
      </c>
      <c r="B24" s="11" t="s">
        <v>1199</v>
      </c>
      <c r="C24" s="8" t="s">
        <v>541</v>
      </c>
      <c r="D24" s="19" t="s">
        <v>1102</v>
      </c>
      <c r="E24" s="7">
        <v>2</v>
      </c>
      <c r="F24" s="7"/>
      <c r="G24" s="7">
        <v>2</v>
      </c>
      <c r="H24" s="7"/>
      <c r="I24" s="7">
        <v>2</v>
      </c>
      <c r="J24" s="7"/>
      <c r="K24" s="7">
        <v>2</v>
      </c>
    </row>
    <row r="25" spans="1:11" ht="17.25" customHeight="1" x14ac:dyDescent="0.35">
      <c r="A25" s="11">
        <v>4</v>
      </c>
      <c r="B25" s="11" t="s">
        <v>1199</v>
      </c>
      <c r="C25" s="8" t="s">
        <v>542</v>
      </c>
      <c r="D25" s="8"/>
      <c r="E25" s="16" t="s">
        <v>1206</v>
      </c>
      <c r="F25" s="16" t="s">
        <v>1206</v>
      </c>
      <c r="G25" s="7"/>
      <c r="H25" s="16" t="s">
        <v>1206</v>
      </c>
      <c r="I25" s="7"/>
      <c r="J25" s="16" t="s">
        <v>1206</v>
      </c>
      <c r="K25" s="7"/>
    </row>
    <row r="26" spans="1:11" ht="17.25" customHeight="1" x14ac:dyDescent="0.35">
      <c r="A26" s="11">
        <v>4</v>
      </c>
      <c r="B26" s="11" t="s">
        <v>1199</v>
      </c>
      <c r="C26" s="8" t="s">
        <v>559</v>
      </c>
      <c r="D26" s="8"/>
      <c r="E26" s="16" t="s">
        <v>1206</v>
      </c>
      <c r="F26" s="16" t="s">
        <v>1206</v>
      </c>
      <c r="G26" s="7"/>
      <c r="H26" s="16" t="s">
        <v>1206</v>
      </c>
      <c r="I26" s="7"/>
      <c r="J26" s="16" t="s">
        <v>1206</v>
      </c>
      <c r="K26" s="7"/>
    </row>
    <row r="27" spans="1:11" ht="17.25" customHeight="1" x14ac:dyDescent="0.35">
      <c r="A27" s="11">
        <v>4</v>
      </c>
      <c r="B27" s="11" t="s">
        <v>1199</v>
      </c>
      <c r="C27" s="8" t="s">
        <v>563</v>
      </c>
      <c r="D27" s="8"/>
      <c r="E27" s="16" t="s">
        <v>1206</v>
      </c>
      <c r="F27" s="16" t="s">
        <v>1206</v>
      </c>
      <c r="G27" s="7"/>
      <c r="H27" s="16" t="s">
        <v>1206</v>
      </c>
      <c r="I27" s="7"/>
      <c r="J27" s="16" t="s">
        <v>1206</v>
      </c>
      <c r="K27" s="7"/>
    </row>
    <row r="28" spans="1:11" ht="17.25" customHeight="1" x14ac:dyDescent="0.35">
      <c r="A28" s="11">
        <v>4</v>
      </c>
      <c r="B28" s="11" t="s">
        <v>1199</v>
      </c>
      <c r="C28" s="8" t="s">
        <v>564</v>
      </c>
      <c r="D28" s="8" t="s">
        <v>1171</v>
      </c>
      <c r="E28" s="16" t="s">
        <v>1206</v>
      </c>
      <c r="F28" s="16" t="s">
        <v>1206</v>
      </c>
      <c r="G28" s="7"/>
      <c r="H28" s="16" t="s">
        <v>1206</v>
      </c>
      <c r="I28" s="7"/>
      <c r="J28" s="16" t="s">
        <v>1206</v>
      </c>
      <c r="K28" s="7"/>
    </row>
    <row r="29" spans="1:11" ht="17.25" customHeight="1" x14ac:dyDescent="0.35">
      <c r="A29" s="11">
        <v>4</v>
      </c>
      <c r="B29" s="11" t="s">
        <v>1199</v>
      </c>
      <c r="C29" s="8" t="s">
        <v>565</v>
      </c>
      <c r="D29" s="8"/>
      <c r="E29" s="16" t="s">
        <v>1206</v>
      </c>
      <c r="F29" s="16" t="s">
        <v>1206</v>
      </c>
      <c r="G29" s="7"/>
      <c r="H29" s="16" t="s">
        <v>1206</v>
      </c>
      <c r="I29" s="7"/>
      <c r="J29" s="16" t="s">
        <v>1206</v>
      </c>
      <c r="K29" s="7"/>
    </row>
    <row r="30" spans="1:11" ht="17.25" customHeight="1" x14ac:dyDescent="0.35">
      <c r="A30" s="11">
        <v>4</v>
      </c>
      <c r="B30" s="11" t="s">
        <v>1199</v>
      </c>
      <c r="C30" s="8" t="s">
        <v>566</v>
      </c>
      <c r="D30" s="8"/>
      <c r="E30" s="16" t="s">
        <v>1206</v>
      </c>
      <c r="F30" s="16" t="s">
        <v>1206</v>
      </c>
      <c r="G30" s="7"/>
      <c r="H30" s="16" t="s">
        <v>1206</v>
      </c>
      <c r="I30" s="7"/>
      <c r="J30" s="16" t="s">
        <v>1206</v>
      </c>
      <c r="K30" s="7"/>
    </row>
    <row r="31" spans="1:11" ht="17.25" customHeight="1" x14ac:dyDescent="0.35">
      <c r="A31" s="11">
        <v>4</v>
      </c>
      <c r="B31" s="11" t="s">
        <v>1199</v>
      </c>
      <c r="C31" s="8" t="s">
        <v>568</v>
      </c>
      <c r="D31" s="8" t="s">
        <v>1172</v>
      </c>
      <c r="E31" s="16" t="s">
        <v>1206</v>
      </c>
      <c r="F31" s="16" t="s">
        <v>1206</v>
      </c>
      <c r="G31" s="7"/>
      <c r="H31" s="16" t="s">
        <v>1206</v>
      </c>
      <c r="I31" s="7"/>
      <c r="J31" s="16" t="s">
        <v>1206</v>
      </c>
      <c r="K31" s="7"/>
    </row>
    <row r="32" spans="1:11" ht="17.25" customHeight="1" x14ac:dyDescent="0.35">
      <c r="A32" s="11">
        <v>4</v>
      </c>
      <c r="B32" s="11" t="s">
        <v>1199</v>
      </c>
      <c r="C32" s="8" t="s">
        <v>569</v>
      </c>
      <c r="D32" s="8"/>
      <c r="E32" s="16" t="s">
        <v>1206</v>
      </c>
      <c r="F32" s="16" t="s">
        <v>1206</v>
      </c>
      <c r="G32" s="7"/>
      <c r="H32" s="16" t="s">
        <v>1206</v>
      </c>
      <c r="I32" s="7"/>
      <c r="J32" s="16" t="s">
        <v>1206</v>
      </c>
      <c r="K32" s="7"/>
    </row>
    <row r="33" spans="1:11" ht="17.25" customHeight="1" x14ac:dyDescent="0.35">
      <c r="A33" s="11">
        <v>4</v>
      </c>
      <c r="B33" s="11" t="s">
        <v>1199</v>
      </c>
      <c r="C33" s="8" t="s">
        <v>570</v>
      </c>
      <c r="D33" s="8"/>
      <c r="E33" s="16" t="s">
        <v>1206</v>
      </c>
      <c r="F33" s="16" t="s">
        <v>1206</v>
      </c>
      <c r="G33" s="7"/>
      <c r="H33" s="16" t="s">
        <v>1206</v>
      </c>
      <c r="I33" s="7"/>
      <c r="J33" s="16" t="s">
        <v>1206</v>
      </c>
      <c r="K33" s="7"/>
    </row>
    <row r="34" spans="1:11" ht="17.25" customHeight="1" x14ac:dyDescent="0.35">
      <c r="A34" s="11">
        <v>4</v>
      </c>
      <c r="B34" s="11" t="s">
        <v>1199</v>
      </c>
      <c r="C34" s="8" t="s">
        <v>574</v>
      </c>
      <c r="D34" s="8"/>
      <c r="E34" s="16" t="s">
        <v>1206</v>
      </c>
      <c r="F34" s="16" t="s">
        <v>1206</v>
      </c>
      <c r="G34" s="7"/>
      <c r="H34" s="16" t="s">
        <v>1206</v>
      </c>
      <c r="I34" s="7"/>
      <c r="J34" s="16" t="s">
        <v>1206</v>
      </c>
      <c r="K34" s="7"/>
    </row>
    <row r="35" spans="1:11" ht="17.25" customHeight="1" x14ac:dyDescent="0.35">
      <c r="A35" s="11">
        <v>4</v>
      </c>
      <c r="B35" s="11" t="s">
        <v>1199</v>
      </c>
      <c r="C35" s="8" t="s">
        <v>579</v>
      </c>
      <c r="D35" s="8"/>
      <c r="E35" s="16" t="s">
        <v>1206</v>
      </c>
      <c r="F35" s="16" t="s">
        <v>1206</v>
      </c>
      <c r="G35" s="7"/>
      <c r="H35" s="16" t="s">
        <v>1206</v>
      </c>
      <c r="I35" s="7"/>
      <c r="J35" s="16" t="s">
        <v>1206</v>
      </c>
      <c r="K35" s="7"/>
    </row>
    <row r="36" spans="1:11" ht="17.25" customHeight="1" x14ac:dyDescent="0.35">
      <c r="A36" s="11">
        <v>4</v>
      </c>
      <c r="B36" s="11" t="s">
        <v>1199</v>
      </c>
      <c r="C36" s="8" t="s">
        <v>580</v>
      </c>
      <c r="D36" s="8"/>
      <c r="E36" s="16" t="s">
        <v>1206</v>
      </c>
      <c r="F36" s="16" t="s">
        <v>1206</v>
      </c>
      <c r="G36" s="7"/>
      <c r="H36" s="16" t="s">
        <v>1206</v>
      </c>
      <c r="I36" s="7"/>
      <c r="J36" s="16" t="s">
        <v>1206</v>
      </c>
      <c r="K36" s="7"/>
    </row>
    <row r="37" spans="1:11" ht="17.25" customHeight="1" x14ac:dyDescent="0.35">
      <c r="A37" s="11">
        <v>4</v>
      </c>
      <c r="B37" s="11" t="s">
        <v>1199</v>
      </c>
      <c r="C37" s="8" t="s">
        <v>583</v>
      </c>
      <c r="D37" s="8"/>
      <c r="E37" s="16" t="s">
        <v>1206</v>
      </c>
      <c r="F37" s="16" t="s">
        <v>1206</v>
      </c>
      <c r="G37" s="7"/>
      <c r="H37" s="16" t="s">
        <v>1206</v>
      </c>
      <c r="I37" s="7"/>
      <c r="J37" s="16" t="s">
        <v>1206</v>
      </c>
      <c r="K37" s="7"/>
    </row>
    <row r="38" spans="1:11" ht="17.25" customHeight="1" x14ac:dyDescent="0.45">
      <c r="A38" s="52" t="s">
        <v>1178</v>
      </c>
      <c r="B38" s="52"/>
      <c r="C38" s="52"/>
      <c r="D38" s="52"/>
      <c r="E38" s="20">
        <v>35</v>
      </c>
      <c r="F38" s="7">
        <v>19</v>
      </c>
      <c r="G38" s="7">
        <v>16</v>
      </c>
      <c r="H38" s="7">
        <v>19</v>
      </c>
      <c r="I38" s="7">
        <v>16</v>
      </c>
      <c r="J38" s="7">
        <v>19</v>
      </c>
      <c r="K38" s="7">
        <v>16</v>
      </c>
    </row>
  </sheetData>
  <autoFilter ref="A2:K38" xr:uid="{0AF6C108-4895-4BF1-AF10-6B2F34BA52F0}"/>
  <mergeCells count="1">
    <mergeCell ref="A38:D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85A7-71F4-4CCA-9DC4-9102C4C70D82}">
  <dimension ref="A2:K30"/>
  <sheetViews>
    <sheetView workbookViewId="0">
      <selection activeCell="A2" sqref="A2:K125"/>
    </sheetView>
  </sheetViews>
  <sheetFormatPr defaultRowHeight="21" customHeight="1" x14ac:dyDescent="0.35"/>
  <cols>
    <col min="2" max="2" width="13.1796875" customWidth="1"/>
    <col min="3" max="3" width="31" customWidth="1"/>
    <col min="4" max="4" width="43.26953125" customWidth="1"/>
  </cols>
  <sheetData>
    <row r="2" spans="1:11" ht="21" customHeight="1" x14ac:dyDescent="0.35">
      <c r="A2" s="9" t="s">
        <v>1157</v>
      </c>
      <c r="B2" s="9" t="s">
        <v>1179</v>
      </c>
      <c r="C2" s="6" t="s">
        <v>0</v>
      </c>
      <c r="D2" s="10" t="s">
        <v>588</v>
      </c>
      <c r="E2" s="9" t="s">
        <v>1203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</row>
    <row r="3" spans="1:11" ht="21" customHeight="1" x14ac:dyDescent="0.35">
      <c r="A3" s="11">
        <v>5</v>
      </c>
      <c r="B3" s="11" t="s">
        <v>1202</v>
      </c>
      <c r="C3" s="8" t="s">
        <v>405</v>
      </c>
      <c r="D3" s="15" t="s">
        <v>979</v>
      </c>
      <c r="E3" s="16" t="s">
        <v>1206</v>
      </c>
      <c r="F3" s="16" t="s">
        <v>1206</v>
      </c>
      <c r="G3" s="7"/>
      <c r="H3" s="16" t="s">
        <v>1206</v>
      </c>
      <c r="I3" s="7"/>
      <c r="J3" s="16" t="s">
        <v>1206</v>
      </c>
      <c r="K3" s="7"/>
    </row>
    <row r="4" spans="1:11" ht="21" customHeight="1" x14ac:dyDescent="0.35">
      <c r="A4" s="11">
        <v>5</v>
      </c>
      <c r="B4" s="11" t="s">
        <v>1202</v>
      </c>
      <c r="C4" s="8" t="s">
        <v>1175</v>
      </c>
      <c r="D4" s="15" t="s">
        <v>1227</v>
      </c>
      <c r="E4" s="16" t="s">
        <v>1206</v>
      </c>
      <c r="F4" s="16" t="s">
        <v>1206</v>
      </c>
      <c r="G4" s="7"/>
      <c r="H4" s="16" t="s">
        <v>1206</v>
      </c>
      <c r="I4" s="7"/>
      <c r="J4" s="16" t="s">
        <v>1206</v>
      </c>
      <c r="K4" s="7"/>
    </row>
    <row r="5" spans="1:11" ht="21" customHeight="1" x14ac:dyDescent="0.35">
      <c r="A5" s="11">
        <v>5</v>
      </c>
      <c r="B5" s="11" t="s">
        <v>1202</v>
      </c>
      <c r="C5" s="8" t="s">
        <v>416</v>
      </c>
      <c r="D5" s="15" t="s">
        <v>1228</v>
      </c>
      <c r="E5" s="16" t="s">
        <v>1206</v>
      </c>
      <c r="F5" s="16" t="s">
        <v>1206</v>
      </c>
      <c r="G5" s="7"/>
      <c r="H5" s="16" t="s">
        <v>1206</v>
      </c>
      <c r="I5" s="7"/>
      <c r="J5" s="16" t="s">
        <v>1206</v>
      </c>
      <c r="K5" s="7"/>
    </row>
    <row r="6" spans="1:11" ht="21" customHeight="1" x14ac:dyDescent="0.35">
      <c r="A6" s="11">
        <v>5</v>
      </c>
      <c r="B6" s="11" t="s">
        <v>1202</v>
      </c>
      <c r="C6" s="8" t="s">
        <v>417</v>
      </c>
      <c r="D6" s="15" t="s">
        <v>1229</v>
      </c>
      <c r="E6" s="16" t="s">
        <v>1206</v>
      </c>
      <c r="F6" s="16" t="s">
        <v>1206</v>
      </c>
      <c r="G6" s="7"/>
      <c r="H6" s="16" t="s">
        <v>1206</v>
      </c>
      <c r="I6" s="7"/>
      <c r="J6" s="16" t="s">
        <v>1206</v>
      </c>
      <c r="K6" s="7"/>
    </row>
    <row r="7" spans="1:11" ht="21" customHeight="1" x14ac:dyDescent="0.35">
      <c r="A7" s="11">
        <v>5</v>
      </c>
      <c r="B7" s="11" t="s">
        <v>1202</v>
      </c>
      <c r="C7" s="8" t="s">
        <v>1167</v>
      </c>
      <c r="D7" s="15" t="s">
        <v>1229</v>
      </c>
      <c r="E7" s="16" t="s">
        <v>1206</v>
      </c>
      <c r="F7" s="16" t="s">
        <v>1206</v>
      </c>
      <c r="G7" s="7"/>
      <c r="H7" s="16" t="s">
        <v>1206</v>
      </c>
      <c r="I7" s="7"/>
      <c r="J7" s="16" t="s">
        <v>1206</v>
      </c>
      <c r="K7" s="7"/>
    </row>
    <row r="8" spans="1:11" ht="21" customHeight="1" x14ac:dyDescent="0.35">
      <c r="A8" s="11">
        <v>5</v>
      </c>
      <c r="B8" s="11" t="s">
        <v>1202</v>
      </c>
      <c r="C8" s="8" t="s">
        <v>475</v>
      </c>
      <c r="D8" s="15" t="s">
        <v>1018</v>
      </c>
      <c r="E8" s="16" t="s">
        <v>1206</v>
      </c>
      <c r="F8" s="16" t="s">
        <v>1206</v>
      </c>
      <c r="G8" s="7"/>
      <c r="H8" s="16" t="s">
        <v>1206</v>
      </c>
      <c r="I8" s="7"/>
      <c r="J8" s="16" t="s">
        <v>1206</v>
      </c>
      <c r="K8" s="7"/>
    </row>
    <row r="9" spans="1:11" ht="21" customHeight="1" x14ac:dyDescent="0.35">
      <c r="A9" s="11">
        <v>5</v>
      </c>
      <c r="B9" s="11" t="s">
        <v>1202</v>
      </c>
      <c r="C9" s="8" t="s">
        <v>1168</v>
      </c>
      <c r="D9" s="15" t="s">
        <v>1056</v>
      </c>
      <c r="E9" s="16" t="s">
        <v>1206</v>
      </c>
      <c r="F9" s="16" t="s">
        <v>1206</v>
      </c>
      <c r="G9" s="7"/>
      <c r="H9" s="16" t="s">
        <v>1206</v>
      </c>
      <c r="I9" s="7"/>
      <c r="J9" s="16" t="s">
        <v>1206</v>
      </c>
      <c r="K9" s="7"/>
    </row>
    <row r="10" spans="1:11" ht="21" customHeight="1" x14ac:dyDescent="0.35">
      <c r="A10" s="11">
        <v>5</v>
      </c>
      <c r="B10" s="11" t="s">
        <v>1202</v>
      </c>
      <c r="C10" s="8" t="s">
        <v>1156</v>
      </c>
      <c r="D10" s="15" t="s">
        <v>1018</v>
      </c>
      <c r="E10" s="16" t="s">
        <v>1206</v>
      </c>
      <c r="F10" s="16" t="s">
        <v>1206</v>
      </c>
      <c r="G10" s="7"/>
      <c r="H10" s="16" t="s">
        <v>1206</v>
      </c>
      <c r="I10" s="7"/>
      <c r="J10" s="16" t="s">
        <v>1206</v>
      </c>
      <c r="K10" s="7"/>
    </row>
    <row r="11" spans="1:11" ht="21" customHeight="1" x14ac:dyDescent="0.35">
      <c r="A11" s="11">
        <v>5</v>
      </c>
      <c r="B11" s="11" t="s">
        <v>1202</v>
      </c>
      <c r="C11" s="8" t="s">
        <v>533</v>
      </c>
      <c r="D11" s="15" t="s">
        <v>1018</v>
      </c>
      <c r="E11" s="16" t="s">
        <v>1206</v>
      </c>
      <c r="F11" s="16" t="s">
        <v>1206</v>
      </c>
      <c r="G11" s="7"/>
      <c r="H11" s="16" t="s">
        <v>1206</v>
      </c>
      <c r="I11" s="7"/>
      <c r="J11" s="16" t="s">
        <v>1206</v>
      </c>
      <c r="K11" s="7"/>
    </row>
    <row r="12" spans="1:11" ht="21" customHeight="1" x14ac:dyDescent="0.35">
      <c r="A12" s="11">
        <v>5</v>
      </c>
      <c r="B12" s="11" t="s">
        <v>1202</v>
      </c>
      <c r="C12" s="8" t="s">
        <v>117</v>
      </c>
      <c r="D12" s="13" t="s">
        <v>696</v>
      </c>
      <c r="E12" s="14">
        <v>2</v>
      </c>
      <c r="F12" s="7"/>
      <c r="G12" s="14">
        <v>2</v>
      </c>
      <c r="H12" s="7"/>
      <c r="I12" s="14">
        <v>2</v>
      </c>
      <c r="J12" s="7"/>
      <c r="K12" s="14">
        <v>2</v>
      </c>
    </row>
    <row r="13" spans="1:11" ht="21" customHeight="1" x14ac:dyDescent="0.35">
      <c r="A13" s="11">
        <v>5</v>
      </c>
      <c r="B13" s="11" t="s">
        <v>1202</v>
      </c>
      <c r="C13" s="8" t="s">
        <v>193</v>
      </c>
      <c r="D13" s="13" t="s">
        <v>772</v>
      </c>
      <c r="E13" s="14">
        <v>2</v>
      </c>
      <c r="F13" s="7"/>
      <c r="G13" s="14">
        <v>2</v>
      </c>
      <c r="H13" s="7"/>
      <c r="I13" s="14">
        <v>2</v>
      </c>
      <c r="J13" s="7"/>
      <c r="K13" s="14">
        <v>2</v>
      </c>
    </row>
    <row r="14" spans="1:11" ht="21" customHeight="1" x14ac:dyDescent="0.35">
      <c r="A14" s="11">
        <v>5</v>
      </c>
      <c r="B14" s="11" t="s">
        <v>1202</v>
      </c>
      <c r="C14" s="8" t="s">
        <v>195</v>
      </c>
      <c r="D14" s="13" t="s">
        <v>774</v>
      </c>
      <c r="E14" s="14">
        <v>2</v>
      </c>
      <c r="F14" s="7"/>
      <c r="G14" s="14">
        <v>2</v>
      </c>
      <c r="H14" s="7"/>
      <c r="I14" s="14">
        <v>2</v>
      </c>
      <c r="J14" s="7"/>
      <c r="K14" s="14">
        <v>2</v>
      </c>
    </row>
    <row r="15" spans="1:11" ht="21" customHeight="1" x14ac:dyDescent="0.35">
      <c r="A15" s="11">
        <v>5</v>
      </c>
      <c r="B15" s="11" t="s">
        <v>1202</v>
      </c>
      <c r="C15" s="8" t="s">
        <v>196</v>
      </c>
      <c r="D15" s="13" t="s">
        <v>775</v>
      </c>
      <c r="E15" s="14">
        <v>2</v>
      </c>
      <c r="F15" s="7"/>
      <c r="G15" s="14">
        <v>2</v>
      </c>
      <c r="H15" s="7"/>
      <c r="I15" s="14">
        <v>2</v>
      </c>
      <c r="J15" s="7"/>
      <c r="K15" s="14">
        <v>2</v>
      </c>
    </row>
    <row r="16" spans="1:11" ht="21" customHeight="1" x14ac:dyDescent="0.35">
      <c r="A16" s="11">
        <v>5</v>
      </c>
      <c r="B16" s="11" t="s">
        <v>1202</v>
      </c>
      <c r="C16" s="8" t="s">
        <v>197</v>
      </c>
      <c r="D16" s="13" t="s">
        <v>776</v>
      </c>
      <c r="E16" s="14">
        <v>2</v>
      </c>
      <c r="F16" s="7"/>
      <c r="G16" s="14">
        <v>2</v>
      </c>
      <c r="H16" s="7"/>
      <c r="I16" s="14">
        <v>2</v>
      </c>
      <c r="J16" s="7"/>
      <c r="K16" s="14">
        <v>2</v>
      </c>
    </row>
    <row r="17" spans="1:11" ht="21" customHeight="1" x14ac:dyDescent="0.35">
      <c r="A17" s="11">
        <v>5</v>
      </c>
      <c r="B17" s="11" t="s">
        <v>1202</v>
      </c>
      <c r="C17" s="8" t="s">
        <v>198</v>
      </c>
      <c r="D17" s="13" t="s">
        <v>777</v>
      </c>
      <c r="E17" s="14">
        <v>2</v>
      </c>
      <c r="F17" s="7"/>
      <c r="G17" s="14">
        <v>2</v>
      </c>
      <c r="H17" s="7"/>
      <c r="I17" s="14">
        <v>2</v>
      </c>
      <c r="J17" s="7"/>
      <c r="K17" s="14">
        <v>2</v>
      </c>
    </row>
    <row r="18" spans="1:11" ht="21" customHeight="1" x14ac:dyDescent="0.35">
      <c r="A18" s="11">
        <v>5</v>
      </c>
      <c r="B18" s="11" t="s">
        <v>1202</v>
      </c>
      <c r="C18" s="8" t="s">
        <v>199</v>
      </c>
      <c r="D18" s="13" t="s">
        <v>778</v>
      </c>
      <c r="E18" s="14">
        <v>2</v>
      </c>
      <c r="F18" s="7"/>
      <c r="G18" s="14">
        <v>2</v>
      </c>
      <c r="H18" s="7"/>
      <c r="I18" s="14">
        <v>2</v>
      </c>
      <c r="J18" s="7"/>
      <c r="K18" s="14">
        <v>2</v>
      </c>
    </row>
    <row r="19" spans="1:11" ht="21" customHeight="1" x14ac:dyDescent="0.35">
      <c r="A19" s="11">
        <v>5</v>
      </c>
      <c r="B19" s="11" t="s">
        <v>1202</v>
      </c>
      <c r="C19" s="8" t="s">
        <v>200</v>
      </c>
      <c r="D19" s="13" t="s">
        <v>779</v>
      </c>
      <c r="E19" s="14">
        <v>2</v>
      </c>
      <c r="F19" s="7"/>
      <c r="G19" s="14">
        <v>2</v>
      </c>
      <c r="H19" s="7"/>
      <c r="I19" s="14">
        <v>2</v>
      </c>
      <c r="J19" s="7"/>
      <c r="K19" s="14">
        <v>2</v>
      </c>
    </row>
    <row r="20" spans="1:11" ht="21" customHeight="1" x14ac:dyDescent="0.35">
      <c r="A20" s="11">
        <v>5</v>
      </c>
      <c r="B20" s="11" t="s">
        <v>1202</v>
      </c>
      <c r="C20" s="8" t="s">
        <v>201</v>
      </c>
      <c r="D20" s="13" t="s">
        <v>779</v>
      </c>
      <c r="E20" s="14">
        <v>2</v>
      </c>
      <c r="F20" s="7"/>
      <c r="G20" s="14">
        <v>2</v>
      </c>
      <c r="H20" s="7"/>
      <c r="I20" s="14">
        <v>2</v>
      </c>
      <c r="J20" s="7"/>
      <c r="K20" s="14">
        <v>2</v>
      </c>
    </row>
    <row r="21" spans="1:11" ht="21" customHeight="1" x14ac:dyDescent="0.35">
      <c r="A21" s="11">
        <v>5</v>
      </c>
      <c r="B21" s="11" t="s">
        <v>1202</v>
      </c>
      <c r="C21" s="8" t="s">
        <v>202</v>
      </c>
      <c r="D21" s="13" t="s">
        <v>780</v>
      </c>
      <c r="E21" s="14">
        <v>2</v>
      </c>
      <c r="F21" s="7"/>
      <c r="G21" s="14">
        <v>2</v>
      </c>
      <c r="H21" s="7"/>
      <c r="I21" s="14">
        <v>2</v>
      </c>
      <c r="J21" s="7"/>
      <c r="K21" s="14">
        <v>2</v>
      </c>
    </row>
    <row r="22" spans="1:11" ht="21" customHeight="1" x14ac:dyDescent="0.35">
      <c r="A22" s="11">
        <v>5</v>
      </c>
      <c r="B22" s="11" t="s">
        <v>1202</v>
      </c>
      <c r="C22" s="8" t="s">
        <v>204</v>
      </c>
      <c r="D22" s="13" t="s">
        <v>782</v>
      </c>
      <c r="E22" s="14">
        <v>2</v>
      </c>
      <c r="F22" s="7"/>
      <c r="G22" s="14">
        <v>2</v>
      </c>
      <c r="H22" s="7"/>
      <c r="I22" s="14">
        <v>2</v>
      </c>
      <c r="J22" s="7"/>
      <c r="K22" s="14">
        <v>2</v>
      </c>
    </row>
    <row r="23" spans="1:11" ht="21" customHeight="1" x14ac:dyDescent="0.35">
      <c r="A23" s="11">
        <v>5</v>
      </c>
      <c r="B23" s="11" t="s">
        <v>1202</v>
      </c>
      <c r="C23" s="8" t="s">
        <v>205</v>
      </c>
      <c r="D23" s="13" t="s">
        <v>783</v>
      </c>
      <c r="E23" s="14">
        <v>2</v>
      </c>
      <c r="F23" s="7"/>
      <c r="G23" s="14">
        <v>2</v>
      </c>
      <c r="H23" s="7"/>
      <c r="I23" s="14">
        <v>2</v>
      </c>
      <c r="J23" s="7"/>
      <c r="K23" s="14">
        <v>2</v>
      </c>
    </row>
    <row r="24" spans="1:11" ht="21" customHeight="1" x14ac:dyDescent="0.35">
      <c r="A24" s="11">
        <v>5</v>
      </c>
      <c r="B24" s="11" t="s">
        <v>1202</v>
      </c>
      <c r="C24" s="8" t="s">
        <v>240</v>
      </c>
      <c r="D24" s="13" t="s">
        <v>816</v>
      </c>
      <c r="E24" s="14">
        <v>2</v>
      </c>
      <c r="F24" s="7"/>
      <c r="G24" s="14">
        <v>2</v>
      </c>
      <c r="H24" s="7"/>
      <c r="I24" s="14">
        <v>2</v>
      </c>
      <c r="J24" s="7"/>
      <c r="K24" s="14">
        <v>2</v>
      </c>
    </row>
    <row r="25" spans="1:11" ht="21" customHeight="1" x14ac:dyDescent="0.35">
      <c r="A25" s="11">
        <v>5</v>
      </c>
      <c r="B25" s="11" t="s">
        <v>1202</v>
      </c>
      <c r="C25" s="8" t="s">
        <v>288</v>
      </c>
      <c r="D25" s="13" t="s">
        <v>865</v>
      </c>
      <c r="E25" s="16" t="s">
        <v>1206</v>
      </c>
      <c r="F25" s="16" t="s">
        <v>1206</v>
      </c>
      <c r="G25" s="7"/>
      <c r="H25" s="16" t="s">
        <v>1206</v>
      </c>
      <c r="I25" s="7"/>
      <c r="J25" s="16" t="s">
        <v>1206</v>
      </c>
      <c r="K25" s="7"/>
    </row>
    <row r="26" spans="1:11" ht="21" customHeight="1" x14ac:dyDescent="0.35">
      <c r="A26" s="11">
        <v>5</v>
      </c>
      <c r="B26" s="11" t="s">
        <v>1202</v>
      </c>
      <c r="C26" s="8" t="s">
        <v>289</v>
      </c>
      <c r="D26" s="13" t="s">
        <v>866</v>
      </c>
      <c r="E26" s="14">
        <v>2</v>
      </c>
      <c r="F26" s="7"/>
      <c r="G26" s="14">
        <v>2</v>
      </c>
      <c r="H26" s="7"/>
      <c r="I26" s="14">
        <v>2</v>
      </c>
      <c r="J26" s="7"/>
      <c r="K26" s="14">
        <v>2</v>
      </c>
    </row>
    <row r="27" spans="1:11" ht="21" customHeight="1" x14ac:dyDescent="0.35">
      <c r="A27" s="11">
        <v>5</v>
      </c>
      <c r="B27" s="11" t="s">
        <v>1202</v>
      </c>
      <c r="C27" s="8" t="s">
        <v>290</v>
      </c>
      <c r="D27" s="13" t="s">
        <v>867</v>
      </c>
      <c r="E27" s="14">
        <v>2</v>
      </c>
      <c r="F27" s="7"/>
      <c r="G27" s="14">
        <v>2</v>
      </c>
      <c r="H27" s="7"/>
      <c r="I27" s="14">
        <v>2</v>
      </c>
      <c r="J27" s="7"/>
      <c r="K27" s="14">
        <v>2</v>
      </c>
    </row>
    <row r="28" spans="1:11" ht="21" customHeight="1" x14ac:dyDescent="0.35">
      <c r="A28" s="11">
        <v>5</v>
      </c>
      <c r="B28" s="11" t="s">
        <v>1202</v>
      </c>
      <c r="C28" s="8" t="s">
        <v>1165</v>
      </c>
      <c r="D28" s="13" t="s">
        <v>869</v>
      </c>
      <c r="E28" s="14">
        <v>2</v>
      </c>
      <c r="F28" s="7"/>
      <c r="G28" s="14">
        <v>2</v>
      </c>
      <c r="H28" s="7"/>
      <c r="I28" s="14">
        <v>2</v>
      </c>
      <c r="J28" s="7"/>
      <c r="K28" s="14">
        <v>2</v>
      </c>
    </row>
    <row r="29" spans="1:11" ht="21" customHeight="1" x14ac:dyDescent="0.35">
      <c r="A29" s="11">
        <v>5</v>
      </c>
      <c r="B29" s="11" t="s">
        <v>1202</v>
      </c>
      <c r="C29" s="8" t="s">
        <v>295</v>
      </c>
      <c r="D29" s="13" t="s">
        <v>872</v>
      </c>
      <c r="E29" s="14">
        <v>2</v>
      </c>
      <c r="F29" s="7"/>
      <c r="G29" s="14">
        <v>2</v>
      </c>
      <c r="H29" s="7"/>
      <c r="I29" s="14">
        <v>2</v>
      </c>
      <c r="J29" s="7"/>
      <c r="K29" s="14">
        <v>2</v>
      </c>
    </row>
    <row r="30" spans="1:11" ht="21" customHeight="1" x14ac:dyDescent="0.35">
      <c r="A30" s="11">
        <v>5</v>
      </c>
      <c r="B30" s="11" t="s">
        <v>1202</v>
      </c>
      <c r="C30" s="8" t="s">
        <v>300</v>
      </c>
      <c r="D30" s="13" t="s">
        <v>877</v>
      </c>
      <c r="E30" s="14">
        <v>2</v>
      </c>
      <c r="F30" s="7"/>
      <c r="G30" s="14">
        <v>2</v>
      </c>
      <c r="H30" s="7"/>
      <c r="I30" s="14">
        <v>2</v>
      </c>
      <c r="J30" s="7"/>
      <c r="K30" s="14">
        <v>2</v>
      </c>
    </row>
  </sheetData>
  <autoFilter ref="A2:L30" xr:uid="{AC0885A7-71F4-4CCA-9DC4-9102C4C70D8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F36F-49EC-4422-AAD8-06F89201551C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EDF4-BAFF-4E12-A341-07F06B19D040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B754-9D56-49C6-AAB9-E311A3F69084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2AE8-9735-4C40-8862-E4B05208F244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B971-2FA1-4BC1-A7BB-DA25CD9F2005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E9B0-9476-4BA8-A12B-C60BCCB8AB83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F9A2-7746-4FFF-BCE1-3F4550E44535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8E9D-D284-44EA-8F61-B11B6FCACD61}">
  <dimension ref="A1"/>
  <sheetViews>
    <sheetView workbookViewId="0">
      <selection activeCell="A2" sqref="A2:K125"/>
    </sheetView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6AAB-E39D-4DE6-BA77-6285B55997A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5159-F0F8-442A-AF93-B4170F4210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6E6B-60B4-4F57-A38D-17E01648E9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5EB7-7E37-4478-9D29-77F374CDF6C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5BF6-A4AA-4246-AA73-0EB71820BEF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4283-757C-4DC0-91AC-04E2463E2B5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9AC4-5918-4F0B-BB8D-CCF2AE1AA7D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A3F4-F216-49FA-BDC8-5773F459D9A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E27F-E6CA-4385-BA64-822008F0BAA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000A-F704-4F80-90CB-B40B973BFDD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A76A-9DFE-4E24-8612-97C9CD2A43D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BA0D-D4B8-46F0-915C-BADD9691C43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3DEB-6BF6-457A-A7AB-909292562F3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067A-668B-436F-B892-E907A73F830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9A8A-1292-4552-85F3-087B1A256EC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BD64-26FD-4707-8DC7-475E8CC71B9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0261-C7B5-4DE1-A972-FDFEBC8B5971}">
  <dimension ref="A1"/>
  <sheetViews>
    <sheetView workbookViewId="0">
      <selection sqref="A1:G1"/>
    </sheetView>
  </sheetViews>
  <sheetFormatPr defaultRowHeight="14.5" x14ac:dyDescent="0.3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2AED-8932-4701-8072-D79DB6C8CE5A}">
  <dimension ref="A1"/>
  <sheetViews>
    <sheetView workbookViewId="0">
      <selection sqref="A1:G1"/>
    </sheetView>
  </sheetViews>
  <sheetFormatPr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0403-7358-4EBF-ADAD-3B745A555548}">
  <dimension ref="A1"/>
  <sheetViews>
    <sheetView workbookViewId="0">
      <selection sqref="A1:G1"/>
    </sheetView>
  </sheetViews>
  <sheetFormatPr defaultRowHeight="14.5" x14ac:dyDescent="0.3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AE39-5270-4F03-ADA7-7642805141FE}">
  <dimension ref="A1"/>
  <sheetViews>
    <sheetView topLeftCell="C1" workbookViewId="0">
      <selection sqref="A1:G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UploadBeat-Pak</vt:lpstr>
      <vt:lpstr>Elite LMT Sales Update</vt:lpstr>
      <vt:lpstr>Marchandiser Route</vt:lpstr>
      <vt:lpstr>Ahmad</vt:lpstr>
      <vt:lpstr>Shabir</vt:lpstr>
      <vt:lpstr>July Opning</vt:lpstr>
      <vt:lpstr>Hassan</vt:lpstr>
      <vt:lpstr>Aqib</vt:lpstr>
      <vt:lpstr>Awais</vt:lpstr>
      <vt:lpstr>Sheet28</vt:lpstr>
      <vt:lpstr>Sheet29</vt:lpstr>
      <vt:lpstr>Sheet30</vt:lpstr>
      <vt:lpstr>Sheet31</vt:lpstr>
      <vt:lpstr>Sheet32</vt:lpstr>
      <vt:lpstr>Sheet33</vt:lpstr>
      <vt:lpstr>Sheet34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Sheet4</vt:lpstr>
      <vt:lpstr>Sheet5</vt:lpstr>
      <vt:lpstr>Chart1</vt:lpstr>
      <vt:lpstr>'Elite LMT Sales Update'!Print_Area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Nawaz Brothers Lahore</dc:creator>
  <cp:lastModifiedBy>786</cp:lastModifiedBy>
  <cp:lastPrinted>2026-08-06T09:05:44Z</cp:lastPrinted>
  <dcterms:created xsi:type="dcterms:W3CDTF">2026-06-01T12:46:52Z</dcterms:created>
  <dcterms:modified xsi:type="dcterms:W3CDTF">2026-08-06T09:06:09Z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</Properties>
</file>