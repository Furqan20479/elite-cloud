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B96B838-F599-4B5F-9A85-D1AC308FE2EC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<sst xmlns="http://schemas.openxmlformats.org/spreadsheetml/2006/main" count="3913" uniqueCount="514">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</sst>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opLeftCell="A34"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7" t="s">
        <v>91</v>
      </c>
      <c r="B2" s="377"/>
      <c r="C2" s="377"/>
      <c r="E2" s="370" t="s">
        <v>499</v>
      </c>
      <c r="F2" s="368"/>
      <c r="G2" s="368"/>
      <c r="H2" s="368" t="s">
        <v>506</v>
      </c>
      <c r="I2" s="368"/>
      <c r="J2" s="369"/>
      <c r="R2" s="365" t="s">
        <v>498</v>
      </c>
      <c r="S2" s="366"/>
      <c r="T2" s="367"/>
    </row>
    <row r="3" spans="1:20 16377:16378" ht="21.75" customHeight="1" thickBot="1" x14ac:dyDescent="0.4">
      <c r="A3" s="378" t="s">
        <v>92</v>
      </c>
      <c r="B3" s="378"/>
      <c r="C3" s="378"/>
      <c r="E3" s="373" t="s">
        <v>500</v>
      </c>
      <c r="F3" s="374"/>
      <c r="G3" s="374"/>
      <c r="H3" s="371">
        <f ca="1">+'1'!N4:N4</f>
        <v>46228</v>
      </c>
      <c r="I3" s="371"/>
      <c r="J3" s="372"/>
      <c r="K3" s="379" t="s">
        <v>43</v>
      </c>
      <c r="L3" s="379"/>
      <c r="M3" s="379"/>
      <c r="N3" s="378"/>
      <c r="O3" s="378"/>
      <c r="P3" s="378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0" t="s">
        <v>51</v>
      </c>
      <c r="B5" s="331"/>
      <c r="C5" s="334" t="s">
        <v>90</v>
      </c>
      <c r="D5" s="115" t="s">
        <v>52</v>
      </c>
      <c r="E5" s="336" t="s">
        <v>58</v>
      </c>
      <c r="F5" s="337"/>
      <c r="G5" s="338" t="s">
        <v>54</v>
      </c>
      <c r="H5" s="339"/>
      <c r="I5" s="340" t="s">
        <v>77</v>
      </c>
      <c r="J5" s="376" t="s">
        <v>55</v>
      </c>
      <c r="K5" s="338"/>
      <c r="L5" s="339"/>
      <c r="M5" s="331" t="s">
        <v>84</v>
      </c>
      <c r="N5" s="375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2"/>
      <c r="B6" s="333"/>
      <c r="C6" s="33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1"/>
      <c r="J6" s="143" t="s">
        <v>59</v>
      </c>
      <c r="K6" s="144" t="s">
        <v>39</v>
      </c>
      <c r="L6" s="145" t="s">
        <v>493</v>
      </c>
      <c r="M6" s="333"/>
      <c r="N6" s="341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119">
        <f t="shared" si="2"/>
        <v>0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119">
        <f t="shared" si="2"/>
        <v>0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119">
        <f t="shared" si="2"/>
        <v>0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0">
        <f>COUNT(A7:A15)</f>
        <v>0</v>
      </c>
      <c r="B16" s="342"/>
      <c r="C16" s="342" t="s">
        <v>40</v>
      </c>
      <c r="D16" s="342"/>
      <c r="E16" s="342"/>
      <c r="F16" s="343"/>
      <c r="G16" s="117">
        <f t="shared" ref="G16:M16" si="3">SUM(G7:G15)</f>
        <v>0</v>
      </c>
      <c r="H16" s="113">
        <f t="shared" si="3"/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234">
        <f>SUM(P7:P15)</f>
        <v>0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4" t="s">
        <v>64</v>
      </c>
      <c r="C19" s="345"/>
      <c r="D19" s="345"/>
      <c r="E19" s="345"/>
      <c r="F19" s="345"/>
      <c r="G19" s="345"/>
      <c r="H19" s="345"/>
      <c r="I19" s="345"/>
      <c r="J19" s="345"/>
      <c r="K19" s="345"/>
      <c r="L19" s="346"/>
      <c r="N19" s="353" t="s">
        <v>60</v>
      </c>
      <c r="O19" s="354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47"/>
      <c r="C20" s="348"/>
      <c r="D20" s="348"/>
      <c r="E20" s="348"/>
      <c r="F20" s="348"/>
      <c r="G20" s="348"/>
      <c r="H20" s="348"/>
      <c r="I20" s="348"/>
      <c r="J20" s="348"/>
      <c r="K20" s="348"/>
      <c r="L20" s="349"/>
      <c r="N20" s="355" t="s">
        <v>85</v>
      </c>
      <c r="O20" s="356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9"/>
      <c r="N21" s="355" t="s">
        <v>86</v>
      </c>
      <c r="O21" s="356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47"/>
      <c r="C22" s="348"/>
      <c r="D22" s="348"/>
      <c r="E22" s="348"/>
      <c r="F22" s="348"/>
      <c r="G22" s="348"/>
      <c r="H22" s="348"/>
      <c r="I22" s="348"/>
      <c r="J22" s="348"/>
      <c r="K22" s="348"/>
      <c r="L22" s="349"/>
      <c r="M22" s="131"/>
      <c r="N22" s="355" t="s">
        <v>87</v>
      </c>
      <c r="O22" s="356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47"/>
      <c r="C23" s="348"/>
      <c r="D23" s="348"/>
      <c r="E23" s="348"/>
      <c r="F23" s="348"/>
      <c r="G23" s="348"/>
      <c r="H23" s="348"/>
      <c r="I23" s="348"/>
      <c r="J23" s="348"/>
      <c r="K23" s="348"/>
      <c r="L23" s="349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47"/>
      <c r="C24" s="348"/>
      <c r="D24" s="348"/>
      <c r="E24" s="348"/>
      <c r="F24" s="348"/>
      <c r="G24" s="348"/>
      <c r="H24" s="348"/>
      <c r="I24" s="348"/>
      <c r="J24" s="348"/>
      <c r="K24" s="348"/>
      <c r="L24" s="349"/>
      <c r="M24" s="131"/>
      <c r="N24" s="357" t="s">
        <v>76</v>
      </c>
      <c r="O24" s="358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0"/>
      <c r="C25" s="351"/>
      <c r="D25" s="351"/>
      <c r="E25" s="351"/>
      <c r="F25" s="351"/>
      <c r="G25" s="351"/>
      <c r="H25" s="351"/>
      <c r="I25" s="351"/>
      <c r="J25" s="351"/>
      <c r="K25" s="351"/>
      <c r="L25" s="352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59" t="s">
        <v>88</v>
      </c>
      <c r="O26" s="360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1"/>
      <c r="D27" s="361"/>
      <c r="E27" s="361"/>
      <c r="F27" s="361"/>
      <c r="G27" s="361"/>
      <c r="H27" s="361"/>
      <c r="I27" s="362"/>
      <c r="J27" s="363"/>
      <c r="K27" s="364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tabSelected="1" topLeftCell="B1"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7.2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510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510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8.75" customHeight="1" x14ac:dyDescent="0.4">
      <c r="A6" s="384" t="s">
        <v>501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502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503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504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8.75" customHeight="1" x14ac:dyDescent="0.4">
      <c r="A6" s="384" t="s">
        <v>505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507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513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513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7" t="s">
        <v>91</v>
      </c>
      <c r="B2" s="377"/>
      <c r="C2" s="377"/>
    </row>
    <row r="3" spans="1:18 16382:16383" ht="15" customHeight="1" x14ac:dyDescent="0.35">
      <c r="A3" s="378" t="s">
        <v>92</v>
      </c>
      <c r="B3" s="378"/>
      <c r="C3" s="378"/>
      <c r="F3" s="85"/>
      <c r="G3" s="1"/>
      <c r="J3" s="379" t="s">
        <v>43</v>
      </c>
      <c r="K3" s="379"/>
      <c r="L3" s="379"/>
      <c r="M3" s="378"/>
      <c r="N3" s="378"/>
      <c r="O3" s="37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8" t="s">
        <v>65</v>
      </c>
      <c r="B4" s="378"/>
      <c r="C4" s="378"/>
      <c r="F4" s="85"/>
      <c r="G4" s="1"/>
      <c r="J4" s="379" t="s">
        <v>44</v>
      </c>
      <c r="K4" s="379"/>
      <c r="L4" s="379"/>
      <c r="M4" s="382">
        <f ca="1">TODAY()+1</f>
        <v>46228</v>
      </c>
      <c r="N4" s="382"/>
      <c r="O4" s="38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3" t="s">
        <v>93</v>
      </c>
      <c r="B5" s="383"/>
      <c r="C5" s="383"/>
      <c r="F5" s="85"/>
      <c r="G5" s="1"/>
      <c r="J5" s="379" t="s">
        <v>45</v>
      </c>
      <c r="K5" s="379"/>
      <c r="L5" s="379"/>
      <c r="M5" s="382">
        <f ca="1">M4-1</f>
        <v>46227</v>
      </c>
      <c r="N5" s="378"/>
      <c r="O5" s="378"/>
      <c r="Q5" s="85"/>
      <c r="R5" s="1"/>
    </row>
    <row r="6" spans="1:18 16382:16383" ht="15" customHeight="1" x14ac:dyDescent="0.35">
      <c r="A6" s="379" t="s">
        <v>94</v>
      </c>
      <c r="B6" s="379"/>
      <c r="C6" s="379"/>
      <c r="F6" s="85"/>
      <c r="G6" s="86"/>
      <c r="J6" s="379" t="s">
        <v>69</v>
      </c>
      <c r="K6" s="379"/>
      <c r="L6" s="379"/>
      <c r="M6" s="381" t="s">
        <v>62</v>
      </c>
      <c r="N6" s="381"/>
      <c r="O6" s="38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9" t="s">
        <v>73</v>
      </c>
      <c r="B7" s="379"/>
      <c r="C7" s="379"/>
      <c r="F7" s="85"/>
      <c r="G7" s="86"/>
      <c r="J7" s="379" t="s">
        <v>66</v>
      </c>
      <c r="K7" s="379"/>
      <c r="L7" s="379"/>
      <c r="M7" s="381" t="s">
        <v>70</v>
      </c>
      <c r="N7" s="381"/>
      <c r="O7" s="38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5" t="s">
        <v>95</v>
      </c>
      <c r="B8" s="385"/>
      <c r="C8" s="385"/>
      <c r="F8" s="85"/>
      <c r="G8" s="86"/>
      <c r="J8" s="379" t="s">
        <v>67</v>
      </c>
      <c r="K8" s="379"/>
      <c r="L8" s="379"/>
      <c r="M8" s="381" t="s">
        <v>71</v>
      </c>
      <c r="N8" s="381"/>
      <c r="O8" s="381"/>
      <c r="Q8" s="85"/>
      <c r="R8" s="86"/>
    </row>
    <row r="9" spans="1:18 16382:16383" x14ac:dyDescent="0.35">
      <c r="A9" s="385" t="s">
        <v>96</v>
      </c>
      <c r="B9" s="385"/>
      <c r="C9" s="385"/>
      <c r="F9" s="85"/>
      <c r="G9" s="86"/>
      <c r="J9" s="379" t="s">
        <v>68</v>
      </c>
      <c r="K9" s="379"/>
      <c r="L9" s="379"/>
      <c r="M9" s="381" t="s">
        <v>104</v>
      </c>
      <c r="N9" s="381"/>
      <c r="O9" s="381"/>
      <c r="Q9" s="85"/>
      <c r="R9" s="86"/>
      <c r="XFC9" t="s">
        <v>49</v>
      </c>
    </row>
    <row r="10" spans="1:18 16382:16383" x14ac:dyDescent="0.35">
      <c r="A10" s="385" t="s">
        <v>97</v>
      </c>
      <c r="B10" s="385"/>
      <c r="C10" s="385"/>
      <c r="F10" s="85"/>
      <c r="G10" s="1"/>
      <c r="J10" s="379" t="s">
        <v>46</v>
      </c>
      <c r="K10" s="379"/>
      <c r="L10" s="379"/>
      <c r="M10" s="378" t="s">
        <v>47</v>
      </c>
      <c r="N10" s="378"/>
      <c r="O10" s="37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9" t="s">
        <v>48</v>
      </c>
      <c r="K11" s="379"/>
      <c r="L11" s="379"/>
      <c r="M11" s="378" t="s">
        <v>49</v>
      </c>
      <c r="N11" s="378"/>
      <c r="O11" s="37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9" t="s">
        <v>50</v>
      </c>
      <c r="K12" s="379"/>
      <c r="L12" s="379"/>
      <c r="M12" s="378"/>
      <c r="N12" s="378"/>
      <c r="O12" s="37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0" t="s">
        <v>51</v>
      </c>
      <c r="B14" s="331"/>
      <c r="C14" s="334" t="s">
        <v>90</v>
      </c>
      <c r="D14" s="88" t="s">
        <v>52</v>
      </c>
      <c r="E14" s="95" t="s">
        <v>74</v>
      </c>
      <c r="F14" s="115" t="s">
        <v>53</v>
      </c>
      <c r="G14" s="376" t="s">
        <v>54</v>
      </c>
      <c r="H14" s="339"/>
      <c r="I14" s="340" t="s">
        <v>77</v>
      </c>
      <c r="J14" s="338" t="s">
        <v>55</v>
      </c>
      <c r="K14" s="339"/>
      <c r="L14" s="34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2"/>
      <c r="B15" s="333"/>
      <c r="C15" s="33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1"/>
      <c r="J15" s="144" t="s">
        <v>39</v>
      </c>
      <c r="K15" s="145" t="s">
        <v>59</v>
      </c>
      <c r="L15" s="341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6"/>
      <c r="M28" s="353" t="s">
        <v>60</v>
      </c>
      <c r="N28" s="354"/>
      <c r="O28" s="139">
        <f>I25</f>
        <v>1452.8</v>
      </c>
    </row>
    <row r="29" spans="1:18 16383:16383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9"/>
      <c r="M29" s="355" t="s">
        <v>85</v>
      </c>
      <c r="N29" s="356"/>
      <c r="O29" s="140">
        <f>K25</f>
        <v>0</v>
      </c>
    </row>
    <row r="30" spans="1:18 16383:16383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9"/>
      <c r="M30" s="355" t="s">
        <v>86</v>
      </c>
      <c r="N30" s="356"/>
      <c r="O30" s="140">
        <f>J25</f>
        <v>50.848000000000006</v>
      </c>
    </row>
    <row r="31" spans="1:18 16383:16383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9"/>
      <c r="L31" s="131"/>
      <c r="M31" s="355" t="s">
        <v>87</v>
      </c>
      <c r="N31" s="356"/>
      <c r="O31" s="140">
        <f>O28-O29-O30</f>
        <v>1401.952</v>
      </c>
    </row>
    <row r="32" spans="1:18 16383:16383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9"/>
      <c r="L33" s="131"/>
      <c r="M33" s="357" t="s">
        <v>76</v>
      </c>
      <c r="N33" s="358"/>
      <c r="O33" s="140">
        <f>O31+O32</f>
        <v>1710.3814400000001</v>
      </c>
    </row>
    <row r="34" spans="2:15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59" t="s">
        <v>88</v>
      </c>
      <c r="N35" s="360"/>
      <c r="O35" s="141">
        <f>O28-O29+O31+O34</f>
        <v>2897.511536</v>
      </c>
    </row>
    <row r="36" spans="2:15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9" t="s">
        <v>439</v>
      </c>
      <c r="E1" s="322" t="s">
        <v>58</v>
      </c>
      <c r="F1" s="322"/>
      <c r="G1" s="323" t="s">
        <v>440</v>
      </c>
      <c r="H1" s="323"/>
      <c r="I1" s="390" t="s">
        <v>441</v>
      </c>
      <c r="J1" s="390"/>
      <c r="K1" s="390" t="s">
        <v>442</v>
      </c>
      <c r="L1" s="390"/>
      <c r="M1" s="386" t="s">
        <v>484</v>
      </c>
      <c r="N1" s="387"/>
      <c r="O1" s="388"/>
    </row>
    <row r="2" spans="3:24" ht="29" x14ac:dyDescent="0.35">
      <c r="C2" s="322"/>
      <c r="D2" s="38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1" t="s">
        <v>476</v>
      </c>
      <c r="D6" s="391"/>
      <c r="E6" s="391"/>
      <c r="F6" s="391"/>
      <c r="G6" s="391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93" t="s">
        <v>58</v>
      </c>
      <c r="F7" s="393"/>
      <c r="G7" s="394" t="s">
        <v>440</v>
      </c>
      <c r="H7" s="323"/>
      <c r="I7" s="324" t="s">
        <v>441</v>
      </c>
      <c r="J7" s="325"/>
      <c r="K7" s="324" t="s">
        <v>442</v>
      </c>
      <c r="L7" s="325"/>
      <c r="M7" s="386" t="s">
        <v>484</v>
      </c>
      <c r="N7" s="387"/>
      <c r="O7" s="388"/>
      <c r="P7" s="256" t="s">
        <v>475</v>
      </c>
      <c r="Q7" s="242" t="s">
        <v>473</v>
      </c>
      <c r="R7" s="389" t="s">
        <v>475</v>
      </c>
      <c r="S7" s="389" t="s">
        <v>485</v>
      </c>
      <c r="T7" s="395" t="s">
        <v>486</v>
      </c>
      <c r="U7" s="395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9"/>
      <c r="S8" s="389"/>
      <c r="T8" s="394"/>
      <c r="U8" s="39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2" t="s">
        <v>477</v>
      </c>
      <c r="D12" s="392"/>
      <c r="E12" s="392"/>
      <c r="F12" s="392"/>
      <c r="G12" s="392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86" t="s">
        <v>484</v>
      </c>
      <c r="N13" s="387"/>
      <c r="O13" s="388"/>
      <c r="P13" s="256" t="s">
        <v>475</v>
      </c>
      <c r="Q13" s="242" t="s">
        <v>473</v>
      </c>
      <c r="R13" s="389" t="s">
        <v>475</v>
      </c>
      <c r="S13" s="389" t="s">
        <v>485</v>
      </c>
      <c r="T13" s="395" t="s">
        <v>486</v>
      </c>
      <c r="U13" s="395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9"/>
      <c r="S14" s="389"/>
      <c r="T14" s="394"/>
      <c r="U14" s="39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1" t="s">
        <v>478</v>
      </c>
      <c r="D19" s="391"/>
      <c r="E19" s="391"/>
      <c r="F19" s="391"/>
      <c r="G19" s="391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86" t="s">
        <v>484</v>
      </c>
      <c r="N20" s="387"/>
      <c r="O20" s="388"/>
      <c r="P20" s="256" t="s">
        <v>475</v>
      </c>
      <c r="Q20" s="242" t="s">
        <v>473</v>
      </c>
      <c r="R20" s="389" t="s">
        <v>475</v>
      </c>
      <c r="S20" s="389" t="s">
        <v>485</v>
      </c>
      <c r="T20" s="395" t="s">
        <v>486</v>
      </c>
      <c r="U20" s="395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9"/>
      <c r="S21" s="389"/>
      <c r="T21" s="394"/>
      <c r="U21" s="39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1" t="s">
        <v>479</v>
      </c>
      <c r="D26" s="391"/>
      <c r="E26" s="391"/>
      <c r="F26" s="391"/>
      <c r="G26" s="391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86" t="s">
        <v>484</v>
      </c>
      <c r="N27" s="387"/>
      <c r="O27" s="388"/>
      <c r="P27" s="256" t="s">
        <v>475</v>
      </c>
      <c r="Q27" s="242" t="s">
        <v>473</v>
      </c>
      <c r="R27" s="389" t="s">
        <v>475</v>
      </c>
      <c r="S27" s="389" t="s">
        <v>485</v>
      </c>
      <c r="T27" s="395" t="s">
        <v>486</v>
      </c>
      <c r="U27" s="395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9"/>
      <c r="S28" s="389"/>
      <c r="T28" s="394"/>
      <c r="U28" s="39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9" t="s">
        <v>439</v>
      </c>
      <c r="D1" s="322" t="s">
        <v>58</v>
      </c>
      <c r="E1" s="322"/>
      <c r="F1" s="323" t="s">
        <v>440</v>
      </c>
      <c r="G1" s="323"/>
      <c r="H1" s="390" t="s">
        <v>441</v>
      </c>
      <c r="I1" s="390"/>
      <c r="J1" s="390" t="s">
        <v>442</v>
      </c>
      <c r="K1" s="390"/>
      <c r="L1" s="386" t="s">
        <v>484</v>
      </c>
      <c r="M1" s="387"/>
      <c r="N1" s="388"/>
    </row>
    <row r="2" spans="2:17" ht="29" x14ac:dyDescent="0.35">
      <c r="B2" s="322"/>
      <c r="C2" s="38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8"/>
      <c r="G60" s="160" t="s">
        <v>195</v>
      </c>
      <c r="H60" s="161" t="s">
        <v>100</v>
      </c>
    </row>
    <row r="61" spans="5:8" x14ac:dyDescent="0.35">
      <c r="E61" s="159" t="s">
        <v>192</v>
      </c>
      <c r="F61" s="398"/>
      <c r="G61" s="160" t="s">
        <v>196</v>
      </c>
      <c r="H61" s="161" t="s">
        <v>98</v>
      </c>
    </row>
    <row r="62" spans="5:8" x14ac:dyDescent="0.35">
      <c r="E62" s="159" t="s">
        <v>192</v>
      </c>
      <c r="F62" s="398"/>
      <c r="G62" s="160" t="s">
        <v>197</v>
      </c>
      <c r="H62" s="161" t="s">
        <v>101</v>
      </c>
    </row>
    <row r="63" spans="5:8" x14ac:dyDescent="0.35">
      <c r="E63" s="159" t="s">
        <v>192</v>
      </c>
      <c r="F63" s="398"/>
      <c r="G63" s="160" t="s">
        <v>198</v>
      </c>
      <c r="H63" s="161" t="s">
        <v>102</v>
      </c>
    </row>
    <row r="64" spans="5:8" x14ac:dyDescent="0.35">
      <c r="E64" s="159" t="s">
        <v>192</v>
      </c>
      <c r="F64" s="398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8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8"/>
      <c r="G121" s="160" t="s">
        <v>273</v>
      </c>
      <c r="H121" s="161" t="s">
        <v>98</v>
      </c>
    </row>
    <row r="122" spans="5:8" x14ac:dyDescent="0.35">
      <c r="E122" s="159" t="s">
        <v>269</v>
      </c>
      <c r="F122" s="398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8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8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8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8"/>
      <c r="G241" s="160" t="s">
        <v>432</v>
      </c>
      <c r="H241" s="161" t="s">
        <v>98</v>
      </c>
    </row>
    <row r="242" spans="5:8" x14ac:dyDescent="0.35">
      <c r="E242" s="159" t="s">
        <v>428</v>
      </c>
      <c r="F242" s="398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8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8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2026-07-24T07:41:46Z</dcterms:modified>
</cp:coreProperties>
</file>