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5995017-D006-4329-A3C4-464285968CFD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9" l="1"/>
  <c r="K17" i="19"/>
  <c r="K18" i="19"/>
  <c r="K17" i="17"/>
  <c r="K18" i="17"/>
  <c r="K19" i="17"/>
  <c r="K20" i="17"/>
  <c r="K21" i="17"/>
  <c r="K22" i="17"/>
  <c r="K23" i="17"/>
  <c r="K24" i="17"/>
  <c r="K16" i="17"/>
  <c r="L20" i="17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I24" i="17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9" l="1"/>
  <c r="K21" i="19"/>
  <c r="L20" i="19"/>
  <c r="K20" i="19"/>
  <c r="L19" i="19"/>
  <c r="K19" i="19"/>
  <c r="M19" i="19" s="1"/>
  <c r="N19" i="19" s="1"/>
  <c r="O19" i="19" s="1"/>
  <c r="L16" i="19"/>
  <c r="K16" i="19"/>
  <c r="M20" i="19"/>
  <c r="N20" i="19" s="1"/>
  <c r="O20" i="19" s="1"/>
  <c r="L17" i="17"/>
  <c r="K21" i="23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M19" i="17"/>
  <c r="N19" i="17" s="1"/>
  <c r="O19" i="17" s="1"/>
  <c r="P19" i="17" s="1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L18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M22" i="17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8" i="16"/>
  <c r="K18" i="15" s="1"/>
  <c r="L18" i="16"/>
  <c r="L18" i="15" s="1"/>
  <c r="K16" i="16"/>
  <c r="L16" i="16"/>
  <c r="M16" i="16" s="1"/>
  <c r="N16" i="16" s="1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L16" i="15" l="1"/>
  <c r="M16" i="15" s="1"/>
  <c r="P31" i="24"/>
  <c r="M25" i="19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<sst xmlns="http://schemas.openxmlformats.org/spreadsheetml/2006/main" count="1581" uniqueCount="107">
  <si>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</si>
  <si>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</si>
  <si>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</si>
  <si>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</si>
  <si>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</si>
  <si>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</si>
  <si>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</si>
  <si>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</si>
  <si>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</si>
  <si>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</si>
  <si>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</si>
  <si>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</si>
  <si>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</si>
  <si>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</si>
  <si>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</si>
  <si>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</si>
  <si>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</si>
  <si>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</si>
  <si>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</si>
  <si>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</si>
  <si>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</si>
  <si>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</si>
  <si>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</si>
  <si>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</si>
  <si>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</si>
  <si>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</si>
  <si>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</si>
  <si>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</si>
  <si>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</si>
  <si>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</si>
  <si>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</si>
  <si>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</si>
  <si>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</si>
  <si>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</si>
  <si>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</si>
  <si>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</si>
  <si>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</si>
  <si>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</si>
  <si>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</si>
  <si>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</si>
  <si>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</si>
  <si>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</si>
  <si>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</si>
  <si>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</si>
  <si>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</si>
  <si>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</si>
  <si>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</si>
  <si>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</si>
  <si>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</si>
  <si>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</si>
  <si>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</si>
  <si>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</si>
  <si>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</si>
  <si>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</si>
  <si>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</si>
  <si>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</si>
  <si>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</si>
  <si>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</si>
  <si>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</si>
  <si>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</si>
  <si>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</si>
  <si>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</si>
  <si>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</si>
  <si>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</si>
  <si>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</si>
  <si>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</si>
  <si>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</si>
  <si>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</si>
  <si>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</si>
  <si>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</si>
  <si>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</si>
  <si>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</si>
  <si>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</si>
  <si>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</si>
  <si>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</si>
  <si>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</si>
  <si>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</si>
  <si>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</si>
  <si>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</si>
  <si>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</si>
  <si>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</si>
  <si>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</si>
  <si>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</si>
  <si>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</si>
  <si>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</si>
  <si>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</si>
  <si>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</si>
  <si>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</si>
  <si>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</si>
  <si>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</si>
  <si>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</si>
  <si>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</si>
  <si>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</si>
  <si>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</si>
  <si>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</si>
  <si>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</si>
  <si>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</si>
  <si>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</si>
  <si>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</si>
  <si>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</si>
  <si>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</si>
  <si>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</si>
  <si>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</si>
  <si>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>Customer Name : Raheem Store</t>
  </si>
  <si>
    <t xml:space="preserve">Address: Iqbal Town </t>
  </si>
  <si>
    <t>A244322-8</t>
  </si>
  <si>
    <t>Raheem Iqbal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</si>
</sst>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23" zoomScale="70" zoomScaleNormal="70" workbookViewId="0">
      <selection activeCell="S37" sqref="S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7" t="s">
        <v>45</v>
      </c>
      <c r="B2" s="247"/>
      <c r="C2" s="247"/>
    </row>
    <row r="3" spans="1:21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6" t="s">
        <v>106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21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1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1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1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1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102</v>
      </c>
      <c r="U12" s="202"/>
      <c r="XFD12" t="s">
        <v>62</v>
      </c>
    </row>
    <row r="13" spans="1:21 16383:16384" ht="15" thickBot="1" x14ac:dyDescent="0.4">
      <c r="A13" s="230"/>
      <c r="J13" s="78"/>
      <c r="K13" s="78"/>
      <c r="L13" s="79">
        <v>0.05</v>
      </c>
      <c r="T13" s="203"/>
      <c r="U13" s="204"/>
      <c r="XFD13" t="s">
        <v>63</v>
      </c>
    </row>
    <row r="14" spans="1:21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59431.627538999994</v>
      </c>
      <c r="XFD14" t="s">
        <v>75</v>
      </c>
    </row>
    <row r="15" spans="1:21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1"/>
      <c r="J15" s="170" t="s">
        <v>78</v>
      </c>
      <c r="K15" s="170" t="s">
        <v>79</v>
      </c>
      <c r="L15" s="173" t="s">
        <v>80</v>
      </c>
      <c r="M15" s="23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35060.582056499996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320</v>
      </c>
      <c r="I16" s="1">
        <f>(G16*D16)*F16+H16*F16</f>
        <v>16788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440.68500000000006</v>
      </c>
      <c r="L16" s="174">
        <f>+'1'!L16+'2'!L16+'4'!L16+'3'!L16+'5'!L16+'6'!L16+'7'!L16+'8'!L16+'9'!L16+'10'!L16</f>
        <v>2350.3200000000006</v>
      </c>
      <c r="M16" s="105">
        <f>I16-K16-L16</f>
        <v>13996.994999999999</v>
      </c>
      <c r="N16" s="100">
        <f>+'1'!N16+'2'!N16+'4'!N16+'3'!N16+'5'!N16+'6'!N16+'7'!N16+'8'!N16+'9'!N16+'10'!N16</f>
        <v>2519.4591</v>
      </c>
      <c r="O16" s="100">
        <f>+'1'!O16+'2'!O16+'4'!O16+'3'!O16+'5'!O16+'6'!O16+'7'!O16+'8'!O16+'9'!O16+'10'!O16</f>
        <v>82.582270500000007</v>
      </c>
      <c r="P16" s="104">
        <f t="shared" ref="P16:P24" si="0">M16+N16+O16</f>
        <v>16599.036370499998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Raheem Store</v>
      </c>
      <c r="U17" s="163">
        <f>+'3'!P35</f>
        <v>97127.140052250004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720</v>
      </c>
      <c r="I19" s="1">
        <f t="shared" si="1"/>
        <v>52300.800000000003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1322.0480000000002</v>
      </c>
      <c r="L19" s="174">
        <f>+'1'!L19+'2'!L19+'4'!L19+'3'!L19+'5'!L19+'6'!L19+'7'!L19+'8'!L19+'9'!L19+'10'!L19</f>
        <v>7322.112000000001</v>
      </c>
      <c r="M19" s="117">
        <f t="shared" si="2"/>
        <v>43656.639999999999</v>
      </c>
      <c r="N19" s="100">
        <f>+'1'!N19+'2'!N19+'4'!N19+'3'!N19+'5'!N19+'6'!N19+'7'!N19+'8'!N19+'9'!N19+'10'!N19</f>
        <v>7858.1952000000001</v>
      </c>
      <c r="O19" s="100">
        <f>+'1'!O19+'2'!O19+'4'!O19+'3'!O19+'5'!O19+'6'!O19+'7'!O19+'8'!O19+'9'!O19+'10'!O19</f>
        <v>257.57417600000002</v>
      </c>
      <c r="P19" s="119">
        <f t="shared" si="0"/>
        <v>51772.409376000003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600</v>
      </c>
      <c r="I20" s="1">
        <f t="shared" si="1"/>
        <v>43584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1525.44</v>
      </c>
      <c r="L20" s="174">
        <f>+'1'!L20+'2'!L20+'4'!L20+'3'!L20+'5'!L20+'6'!L20+'7'!L20+'8'!L20+'9'!L20+'10'!L20</f>
        <v>6101.76</v>
      </c>
      <c r="M20" s="117">
        <f t="shared" si="2"/>
        <v>35956.799999999996</v>
      </c>
      <c r="N20" s="100">
        <f>+'1'!N20+'2'!N20+'4'!N20+'3'!N20+'5'!N20+'6'!N20+'7'!N20+'8'!N20+'9'!N20+'10'!N20</f>
        <v>6472.2239999999993</v>
      </c>
      <c r="O20" s="100">
        <f>+'1'!O20+'2'!O20+'4'!O20+'3'!O20+'5'!O20+'6'!O20+'7'!O20+'8'!O20+'9'!O20+'10'!O20</f>
        <v>212.14511999999999</v>
      </c>
      <c r="P20" s="119">
        <f t="shared" si="0"/>
        <v>42641.169119999999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880</v>
      </c>
      <c r="I21" s="1">
        <f t="shared" si="1"/>
        <v>63923.199999999997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1220.3520000000001</v>
      </c>
      <c r="L21" s="174">
        <f>+'1'!L21+'2'!L21+'4'!L21+'3'!L21+'5'!L21+'6'!L21+'7'!L21+'8'!L21+'9'!L21+'10'!L21</f>
        <v>8949.2480000000014</v>
      </c>
      <c r="M21" s="117">
        <f t="shared" si="2"/>
        <v>53753.599999999999</v>
      </c>
      <c r="N21" s="100">
        <f>+'1'!N21+'2'!N21+'4'!N21+'3'!N21+'5'!N21+'6'!N21+'7'!N21+'8'!N21+'9'!N21+'10'!N21</f>
        <v>9675.648000000001</v>
      </c>
      <c r="O21" s="100">
        <f>+'1'!O21+'2'!O21+'4'!O21+'3'!O21+'5'!O21+'6'!O21+'7'!O21+'8'!O21+'9'!O21+'10'!O21</f>
        <v>317.14624000000003</v>
      </c>
      <c r="P21" s="119">
        <f t="shared" si="0"/>
        <v>63746.394240000001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11" t="s">
        <v>84</v>
      </c>
      <c r="B25" s="212"/>
      <c r="C25" s="213">
        <f>H25/40</f>
        <v>71</v>
      </c>
      <c r="D25" s="207"/>
      <c r="E25" s="207"/>
      <c r="F25" s="207"/>
      <c r="G25" s="175">
        <f t="shared" ref="G25:M25" si="3">SUM(G16:G24)</f>
        <v>0</v>
      </c>
      <c r="H25" s="176">
        <f t="shared" si="3"/>
        <v>2840</v>
      </c>
      <c r="I25" s="177">
        <f t="shared" si="3"/>
        <v>193384</v>
      </c>
      <c r="J25" s="176">
        <f t="shared" si="3"/>
        <v>0</v>
      </c>
      <c r="K25" s="177">
        <f t="shared" si="3"/>
        <v>4728.8675000000003</v>
      </c>
      <c r="L25" s="178">
        <f t="shared" si="3"/>
        <v>27073.760000000002</v>
      </c>
      <c r="M25" s="140">
        <f t="shared" si="3"/>
        <v>161581.3725</v>
      </c>
      <c r="N25" s="141">
        <f>SUM(N16:N24)</f>
        <v>29084.64705</v>
      </c>
      <c r="O25" s="142">
        <f>SUM(O16:O24)</f>
        <v>953.33009775000005</v>
      </c>
      <c r="P25" s="143">
        <f>SUM(P16:P24)</f>
        <v>191619.34964775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191619.34964775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4" t="s">
        <v>85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N35" s="223" t="s">
        <v>86</v>
      </c>
      <c r="O35" s="224"/>
      <c r="P35" s="151">
        <f>I25</f>
        <v>193384</v>
      </c>
    </row>
    <row r="36" spans="1:21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N36" s="225" t="s">
        <v>87</v>
      </c>
      <c r="O36" s="226"/>
      <c r="P36" s="152">
        <f>L25</f>
        <v>27073.760000000002</v>
      </c>
    </row>
    <row r="37" spans="1:21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N37" s="225" t="s">
        <v>4</v>
      </c>
      <c r="O37" s="226"/>
      <c r="P37" s="153">
        <f>K25</f>
        <v>4728.8675000000003</v>
      </c>
    </row>
    <row r="38" spans="1:21" ht="15" customHeight="1" x14ac:dyDescent="0.35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2"/>
      <c r="N38" s="225" t="s">
        <v>88</v>
      </c>
      <c r="O38" s="226"/>
      <c r="P38" s="152">
        <f>P35-P36-P37</f>
        <v>161581.3725</v>
      </c>
    </row>
    <row r="39" spans="1:21" ht="15" customHeight="1" x14ac:dyDescent="0.35">
      <c r="B39" s="217"/>
      <c r="C39" s="218"/>
      <c r="D39" s="218"/>
      <c r="E39" s="218"/>
      <c r="F39" s="218"/>
      <c r="G39" s="218"/>
      <c r="H39" s="218"/>
      <c r="I39" s="218"/>
      <c r="J39" s="218"/>
      <c r="K39" s="218"/>
      <c r="L39" s="219"/>
      <c r="M39" s="2"/>
      <c r="N39" s="154" t="s">
        <v>89</v>
      </c>
      <c r="O39" s="155">
        <f>IF(B12="Registered",18%,22%)</f>
        <v>0.22</v>
      </c>
      <c r="P39" s="152">
        <f>N25</f>
        <v>29084.64705</v>
      </c>
    </row>
    <row r="40" spans="1:21" ht="15" customHeight="1" x14ac:dyDescent="0.35">
      <c r="B40" s="217"/>
      <c r="C40" s="218"/>
      <c r="D40" s="218"/>
      <c r="E40" s="218"/>
      <c r="F40" s="218"/>
      <c r="G40" s="218"/>
      <c r="H40" s="218"/>
      <c r="I40" s="218"/>
      <c r="J40" s="218"/>
      <c r="K40" s="218"/>
      <c r="L40" s="219"/>
      <c r="M40" s="2"/>
      <c r="N40" s="227" t="s">
        <v>90</v>
      </c>
      <c r="O40" s="228"/>
      <c r="P40" s="152">
        <f>P38+P39</f>
        <v>190666.01955</v>
      </c>
    </row>
    <row r="41" spans="1:21" ht="15" customHeight="1" thickBot="1" x14ac:dyDescent="0.4"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2"/>
      <c r="M41" s="156"/>
      <c r="N41" s="157" t="s">
        <v>91</v>
      </c>
      <c r="O41" s="158">
        <f>IF(B11="Filer",0.5%,2.5%)</f>
        <v>2.5000000000000001E-2</v>
      </c>
      <c r="P41" s="152">
        <f>O41*P40</f>
        <v>4766.6504887500005</v>
      </c>
    </row>
    <row r="42" spans="1:21" ht="15.75" customHeight="1" thickBot="1" x14ac:dyDescent="0.4">
      <c r="N42" s="205" t="s">
        <v>92</v>
      </c>
      <c r="O42" s="206"/>
      <c r="P42" s="159">
        <f>P40+P41</f>
        <v>195432.67003874999</v>
      </c>
    </row>
    <row r="43" spans="1:21" ht="15" thickBot="1" x14ac:dyDescent="0.4">
      <c r="B43" s="160" t="s">
        <v>93</v>
      </c>
      <c r="C43" s="207"/>
      <c r="D43" s="207"/>
      <c r="E43" s="207"/>
      <c r="F43" s="207"/>
      <c r="G43" s="207"/>
      <c r="H43" s="207"/>
      <c r="I43" s="208"/>
      <c r="J43" s="209"/>
      <c r="K43" s="210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 t="shared" ref="I16:I22" si="0"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1">(M16*$N$15)+(J16*F16)*$N$15</f>
        <v>649.69560000000001</v>
      </c>
      <c r="O16" s="106">
        <f t="shared" ref="O16:O24" si="2">(N16+M16)*$O$15</f>
        <v>21.295578000000003</v>
      </c>
      <c r="P16" s="104">
        <f t="shared" ref="P16:P24" si="3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si="0"/>
        <v>0</v>
      </c>
      <c r="J17" s="116"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1"/>
        <v>0</v>
      </c>
      <c r="O17" s="118">
        <f t="shared" si="2"/>
        <v>0</v>
      </c>
      <c r="P17" s="119">
        <f t="shared" si="3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0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1"/>
        <v>1624.2389999999998</v>
      </c>
      <c r="O18" s="118">
        <f t="shared" si="2"/>
        <v>53.238944999999994</v>
      </c>
      <c r="P18" s="119">
        <f t="shared" si="3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0"/>
        <v>14528</v>
      </c>
      <c r="J19" s="116">
        <v>0</v>
      </c>
      <c r="K19" s="1">
        <f t="shared" si="4"/>
        <v>0</v>
      </c>
      <c r="L19" s="104">
        <f t="shared" si="5"/>
        <v>2033.9200000000003</v>
      </c>
      <c r="M19" s="117">
        <f t="shared" si="6"/>
        <v>12494.08</v>
      </c>
      <c r="N19" s="117">
        <f t="shared" si="1"/>
        <v>2248.9344000000001</v>
      </c>
      <c r="O19" s="118">
        <f t="shared" si="2"/>
        <v>73.715072000000006</v>
      </c>
      <c r="P19" s="119">
        <f t="shared" si="3"/>
        <v>14816.729472000001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0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1"/>
        <v>0</v>
      </c>
      <c r="O20" s="118">
        <f t="shared" si="2"/>
        <v>0</v>
      </c>
      <c r="P20" s="119">
        <f t="shared" si="3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0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1"/>
        <v>4497.8688000000002</v>
      </c>
      <c r="O21" s="118">
        <f t="shared" si="2"/>
        <v>147.43014400000001</v>
      </c>
      <c r="P21" s="119">
        <f t="shared" si="3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0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1"/>
        <v>0</v>
      </c>
      <c r="O22" s="118">
        <f t="shared" si="2"/>
        <v>0</v>
      </c>
      <c r="P22" s="119">
        <f t="shared" si="3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ref="I23" si="7">(G23*D23)*F23+H23*F23</f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1"/>
        <v>0</v>
      </c>
      <c r="O23" s="118">
        <f t="shared" si="2"/>
        <v>0</v>
      </c>
      <c r="P23" s="119">
        <f t="shared" si="3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1"/>
        <v>0</v>
      </c>
      <c r="O24" s="133">
        <f t="shared" si="2"/>
        <v>0</v>
      </c>
      <c r="P24" s="131">
        <f t="shared" si="3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10">SUM(G16:G24)</f>
        <v>0</v>
      </c>
      <c r="H25" s="135">
        <f>SUM(H16:H24)</f>
        <v>880</v>
      </c>
      <c r="I25" s="136">
        <f t="shared" si="10"/>
        <v>58273.5</v>
      </c>
      <c r="J25" s="182">
        <f>SUM(J16:J21)</f>
        <v>0</v>
      </c>
      <c r="K25" s="138">
        <f t="shared" si="10"/>
        <v>0</v>
      </c>
      <c r="L25" s="139">
        <f t="shared" si="10"/>
        <v>8158.2900000000009</v>
      </c>
      <c r="M25" s="140">
        <f t="shared" si="10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58273.5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8158.2900000000009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50115.21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9020.737799999999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59135.947799999994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295.67973899999998</v>
      </c>
    </row>
    <row r="35" spans="2:16" ht="15.75" customHeight="1" thickBot="1" x14ac:dyDescent="0.4">
      <c r="N35" s="205" t="s">
        <v>92</v>
      </c>
      <c r="O35" s="206"/>
      <c r="P35" s="159">
        <f>P33+P34</f>
        <v>59431.627538999994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36328125" bestFit="1" customWidth="1"/>
    <col min="13" max="13" width="5.81640625" bestFit="1" customWidth="1"/>
    <col min="14" max="14" width="4.81640625" style="69" bestFit="1" customWidth="1"/>
    <col min="15" max="15" width="6.363281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0</v>
      </c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>(N16+M16)*$O$15</f>
        <v>30.643346250000004</v>
      </c>
      <c r="P16" s="104">
        <f t="shared" ref="P16:P24" si="1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>
        <v>0</v>
      </c>
      <c r="K17" s="103">
        <f t="shared" ref="K17:K24" si="3">I17*3.5%</f>
        <v>220.34250000000003</v>
      </c>
      <c r="L17" s="104">
        <f t="shared" ref="L17:L21" si="4">I17*14%</f>
        <v>881.37000000000012</v>
      </c>
      <c r="M17" s="117">
        <f t="shared" ref="M17:M23" si="5">I17-K17-L17</f>
        <v>5193.7875000000004</v>
      </c>
      <c r="N17" s="117">
        <f t="shared" si="0"/>
        <v>934.88175000000001</v>
      </c>
      <c r="O17" s="118">
        <f t="shared" ref="O17:O24" si="6">(N17+M17)*$O$15</f>
        <v>30.643346250000004</v>
      </c>
      <c r="P17" s="119">
        <f t="shared" si="1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2"/>
        <v>11622.4</v>
      </c>
      <c r="J19" s="116">
        <v>0</v>
      </c>
      <c r="K19" s="103">
        <f t="shared" si="3"/>
        <v>406.78400000000005</v>
      </c>
      <c r="L19" s="104">
        <f t="shared" si="4"/>
        <v>1627.1360000000002</v>
      </c>
      <c r="M19" s="117">
        <f t="shared" si="5"/>
        <v>9588.48</v>
      </c>
      <c r="N19" s="117">
        <f t="shared" si="0"/>
        <v>1725.9263999999998</v>
      </c>
      <c r="O19" s="118">
        <f t="shared" si="6"/>
        <v>56.572032</v>
      </c>
      <c r="P19" s="119">
        <f t="shared" si="1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16">
        <v>0</v>
      </c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03">
        <f t="shared" si="3"/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8">SUM(G16:G24)</f>
        <v>0</v>
      </c>
      <c r="H25" s="135">
        <f t="shared" si="8"/>
        <v>560</v>
      </c>
      <c r="I25" s="136">
        <f t="shared" si="8"/>
        <v>35835.800000000003</v>
      </c>
      <c r="J25" s="137"/>
      <c r="K25" s="138">
        <f t="shared" si="8"/>
        <v>1254.2530000000002</v>
      </c>
      <c r="L25" s="139">
        <f t="shared" si="8"/>
        <v>5017.0120000000006</v>
      </c>
      <c r="M25" s="140">
        <f t="shared" si="8"/>
        <v>29564.535</v>
      </c>
      <c r="N25" s="141">
        <f>SUM(N16:N24)</f>
        <v>5321.6162999999997</v>
      </c>
      <c r="O25" s="142">
        <f>SUM(O16:O24)</f>
        <v>174.4307565</v>
      </c>
      <c r="P25" s="143">
        <f>SUM(P16:P24)</f>
        <v>35060.582056500003</v>
      </c>
      <c r="S25" s="184"/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35835.800000000003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5017.0120000000006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1254.2530000000002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29564.535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5321.6162999999997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34886.151299999998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174.4307565</v>
      </c>
    </row>
    <row r="35" spans="2:16" ht="15.75" customHeight="1" thickBot="1" x14ac:dyDescent="0.4">
      <c r="N35" s="205" t="s">
        <v>92</v>
      </c>
      <c r="O35" s="206"/>
      <c r="P35" s="159">
        <f>P33+P34</f>
        <v>35060.582056499996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13" workbookViewId="0">
      <selection activeCell="H26" sqref="H26"/>
    </sheetView>
  </sheetViews>
  <sheetFormatPr defaultColWidth="29.7265625" defaultRowHeight="14.5" x14ac:dyDescent="0.35"/>
  <cols>
    <col min="1" max="1" width="17.1796875" bestFit="1" customWidth="1"/>
    <col min="2" max="2" width="23.81640625" bestFit="1" customWidth="1"/>
    <col min="3" max="3" width="4.453125" bestFit="1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81640625" bestFit="1" customWidth="1"/>
    <col min="9" max="9" width="11.6328125" bestFit="1" customWidth="1"/>
    <col min="10" max="10" width="6.7265625" bestFit="1" customWidth="1"/>
    <col min="11" max="11" width="9.81640625" bestFit="1" customWidth="1"/>
    <col min="12" max="12" width="8.36328125" bestFit="1" customWidth="1"/>
    <col min="13" max="13" width="11.90625" bestFit="1" customWidth="1"/>
    <col min="14" max="14" width="8.7265625" style="69" bestFit="1" customWidth="1"/>
    <col min="15" max="15" width="7.816406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>(N16+M16)*$O$15</f>
        <v>30.643346250000004</v>
      </c>
      <c r="P16" s="104">
        <f t="shared" ref="P16:P24" si="1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360</v>
      </c>
      <c r="I19" s="115">
        <f t="shared" si="2"/>
        <v>26150.400000000001</v>
      </c>
      <c r="J19" s="116"/>
      <c r="K19" s="103">
        <f t="shared" si="3"/>
        <v>915.26400000000012</v>
      </c>
      <c r="L19" s="104">
        <f t="shared" si="4"/>
        <v>3661.0560000000005</v>
      </c>
      <c r="M19" s="117">
        <f t="shared" si="5"/>
        <v>21574.080000000002</v>
      </c>
      <c r="N19" s="117">
        <f t="shared" si="0"/>
        <v>3883.3344000000002</v>
      </c>
      <c r="O19" s="118">
        <f t="shared" si="6"/>
        <v>127.28707200000001</v>
      </c>
      <c r="P19" s="119">
        <f t="shared" si="1"/>
        <v>25584.701472000001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600</v>
      </c>
      <c r="I20" s="115">
        <f t="shared" si="2"/>
        <v>43584</v>
      </c>
      <c r="J20" s="116"/>
      <c r="K20" s="103">
        <f t="shared" si="3"/>
        <v>1525.44</v>
      </c>
      <c r="L20" s="104">
        <f t="shared" si="4"/>
        <v>6101.76</v>
      </c>
      <c r="M20" s="117">
        <f t="shared" si="5"/>
        <v>35956.799999999996</v>
      </c>
      <c r="N20" s="117">
        <f t="shared" si="0"/>
        <v>6472.2239999999993</v>
      </c>
      <c r="O20" s="118">
        <f t="shared" si="6"/>
        <v>212.14511999999999</v>
      </c>
      <c r="P20" s="119">
        <f t="shared" si="1"/>
        <v>42641.169119999999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320</v>
      </c>
      <c r="I21" s="115">
        <f t="shared" si="2"/>
        <v>23244.799999999999</v>
      </c>
      <c r="J21" s="116"/>
      <c r="K21" s="103">
        <f t="shared" si="3"/>
        <v>813.5680000000001</v>
      </c>
      <c r="L21" s="104">
        <f t="shared" si="4"/>
        <v>3254.2720000000004</v>
      </c>
      <c r="M21" s="117">
        <f t="shared" si="5"/>
        <v>19176.96</v>
      </c>
      <c r="N21" s="117">
        <f t="shared" si="0"/>
        <v>3451.8527999999997</v>
      </c>
      <c r="O21" s="118">
        <f t="shared" si="6"/>
        <v>113.144064</v>
      </c>
      <c r="P21" s="119">
        <f t="shared" si="1"/>
        <v>22741.956864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1400</v>
      </c>
      <c r="I25" s="136">
        <f t="shared" si="9"/>
        <v>99274.7</v>
      </c>
      <c r="J25" s="137"/>
      <c r="K25" s="138">
        <f t="shared" si="9"/>
        <v>3474.6145000000006</v>
      </c>
      <c r="L25" s="139">
        <f t="shared" si="9"/>
        <v>13898.458000000002</v>
      </c>
      <c r="M25" s="140">
        <f t="shared" si="9"/>
        <v>81901.627500000002</v>
      </c>
      <c r="N25" s="141">
        <f>SUM(N16:N24)</f>
        <v>14742.292949999999</v>
      </c>
      <c r="O25" s="142">
        <f>SUM(O16:O24)</f>
        <v>483.21960225000004</v>
      </c>
      <c r="P25" s="143">
        <f>SUM(P16:P24)</f>
        <v>97127.140052250004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99274.7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13898.458000000002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3474.6145000000006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81901.627500000002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14742.292949999999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96643.920450000005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483.21960225000004</v>
      </c>
    </row>
    <row r="35" spans="2:16" ht="15.75" customHeight="1" thickBot="1" x14ac:dyDescent="0.4">
      <c r="N35" s="205" t="s">
        <v>92</v>
      </c>
      <c r="O35" s="206"/>
      <c r="P35" s="159">
        <f>P33+P34</f>
        <v>97127.140052250004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6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79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46217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46216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2026-07-14T11:16:47Z</dcterms:modified>
</cp:coreProperties>
</file>