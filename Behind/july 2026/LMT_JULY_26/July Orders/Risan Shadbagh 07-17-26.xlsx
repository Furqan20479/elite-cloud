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0448EAFD-EF72-415F-8B38-72A4E1CADB6B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6" l="1"/>
  <c r="K18" i="16"/>
  <c r="K19" i="16"/>
  <c r="K20" i="16"/>
  <c r="K21" i="16"/>
  <c r="K16" i="16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28" l="1"/>
  <c r="K17" i="28" s="1"/>
  <c r="I19" i="28"/>
  <c r="I20" i="28"/>
  <c r="K20" i="28" s="1"/>
  <c r="I22" i="28"/>
  <c r="I24" i="28"/>
  <c r="L24" i="28" s="1"/>
  <c r="I17" i="33"/>
  <c r="K17" i="33" s="1"/>
  <c r="I21" i="33"/>
  <c r="I16" i="28"/>
  <c r="I18" i="28"/>
  <c r="K18" i="28" s="1"/>
  <c r="I21" i="28"/>
  <c r="I23" i="28"/>
  <c r="K23" i="28" s="1"/>
  <c r="I16" i="31"/>
  <c r="I17" i="31"/>
  <c r="K17" i="31" s="1"/>
  <c r="I18" i="31"/>
  <c r="I19" i="31"/>
  <c r="K19" i="31" s="1"/>
  <c r="I20" i="31"/>
  <c r="I21" i="31"/>
  <c r="I22" i="31"/>
  <c r="I23" i="31"/>
  <c r="K23" i="31" s="1"/>
  <c r="I24" i="31"/>
  <c r="I23" i="32"/>
  <c r="K23" i="32" s="1"/>
  <c r="I22" i="33"/>
  <c r="I16" i="34"/>
  <c r="I17" i="34"/>
  <c r="I18" i="34"/>
  <c r="K18" i="34" s="1"/>
  <c r="I19" i="34"/>
  <c r="I20" i="34"/>
  <c r="K20" i="34" s="1"/>
  <c r="I21" i="34"/>
  <c r="I22" i="34"/>
  <c r="L22" i="34" s="1"/>
  <c r="I23" i="34"/>
  <c r="I24" i="34"/>
  <c r="L24" i="34" s="1"/>
  <c r="I16" i="29"/>
  <c r="I17" i="29"/>
  <c r="K17" i="29" s="1"/>
  <c r="I18" i="29"/>
  <c r="I19" i="29"/>
  <c r="K19" i="29" s="1"/>
  <c r="I20" i="29"/>
  <c r="I21" i="29"/>
  <c r="I22" i="29"/>
  <c r="I23" i="29"/>
  <c r="L23" i="29" s="1"/>
  <c r="I24" i="29"/>
  <c r="I24" i="32"/>
  <c r="L24" i="32" s="1"/>
  <c r="I19" i="33"/>
  <c r="I23" i="33"/>
  <c r="L23" i="33" s="1"/>
  <c r="I25" i="35"/>
  <c r="P28" i="35" s="1"/>
  <c r="K16" i="35"/>
  <c r="K17" i="35"/>
  <c r="M17" i="35" s="1"/>
  <c r="K18" i="35"/>
  <c r="M18" i="35"/>
  <c r="K19" i="35"/>
  <c r="K20" i="35"/>
  <c r="K21" i="35"/>
  <c r="K22" i="35"/>
  <c r="L22" i="35"/>
  <c r="M22" i="35" s="1"/>
  <c r="K23" i="35"/>
  <c r="L23" i="35"/>
  <c r="K24" i="35"/>
  <c r="M24" i="35" s="1"/>
  <c r="L24" i="35"/>
  <c r="K17" i="34"/>
  <c r="K19" i="34"/>
  <c r="K21" i="34"/>
  <c r="K22" i="34"/>
  <c r="K23" i="34"/>
  <c r="M23" i="34" s="1"/>
  <c r="L23" i="34"/>
  <c r="K21" i="33"/>
  <c r="K22" i="33"/>
  <c r="M22" i="33" s="1"/>
  <c r="L22" i="33"/>
  <c r="K19" i="33"/>
  <c r="K20" i="33"/>
  <c r="K24" i="33"/>
  <c r="L24" i="33"/>
  <c r="M17" i="33"/>
  <c r="M18" i="33"/>
  <c r="K16" i="33"/>
  <c r="K24" i="32"/>
  <c r="I25" i="32"/>
  <c r="P28" i="32" s="1"/>
  <c r="K16" i="32"/>
  <c r="K17" i="32"/>
  <c r="K18" i="32"/>
  <c r="K19" i="32"/>
  <c r="K20" i="32"/>
  <c r="K21" i="32"/>
  <c r="L23" i="32"/>
  <c r="K22" i="32"/>
  <c r="L22" i="32"/>
  <c r="K21" i="31"/>
  <c r="K22" i="31"/>
  <c r="L22" i="31"/>
  <c r="K24" i="31"/>
  <c r="L24" i="31"/>
  <c r="K16" i="31"/>
  <c r="K18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 s="1"/>
  <c r="L24" i="29"/>
  <c r="K20" i="29"/>
  <c r="K22" i="29"/>
  <c r="L22" i="29"/>
  <c r="K18" i="29"/>
  <c r="I25" i="28"/>
  <c r="P28" i="28" s="1"/>
  <c r="K16" i="28"/>
  <c r="K19" i="28"/>
  <c r="K21" i="28"/>
  <c r="K22" i="28"/>
  <c r="L22" i="28"/>
  <c r="K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28" l="1"/>
  <c r="L23" i="28"/>
  <c r="M24" i="31"/>
  <c r="M24" i="33"/>
  <c r="M23" i="35"/>
  <c r="I17" i="27"/>
  <c r="I20" i="27"/>
  <c r="I25" i="34"/>
  <c r="P28" i="34" s="1"/>
  <c r="I16" i="27"/>
  <c r="I18" i="27"/>
  <c r="I19" i="27"/>
  <c r="I22" i="27"/>
  <c r="I23" i="27"/>
  <c r="M17" i="28"/>
  <c r="K23" i="29"/>
  <c r="M22" i="29"/>
  <c r="M23" i="30"/>
  <c r="M22" i="31"/>
  <c r="K24" i="34"/>
  <c r="M24" i="34" s="1"/>
  <c r="M21" i="35"/>
  <c r="N21" i="35" s="1"/>
  <c r="O21" i="35" s="1"/>
  <c r="M24" i="28"/>
  <c r="M17" i="31"/>
  <c r="M23" i="32"/>
  <c r="M24" i="32"/>
  <c r="K23" i="33"/>
  <c r="M23" i="33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N24" i="34" l="1"/>
  <c r="O24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I17" i="22"/>
  <c r="I18" i="22"/>
  <c r="I19" i="22"/>
  <c r="I20" i="22"/>
  <c r="I21" i="22"/>
  <c r="I22" i="22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K23" i="23" s="1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K17" i="23"/>
  <c r="L23" i="23"/>
  <c r="K16" i="22"/>
  <c r="K18" i="22"/>
  <c r="K20" i="22"/>
  <c r="K22" i="22"/>
  <c r="L22" i="22"/>
  <c r="K17" i="22"/>
  <c r="K19" i="22"/>
  <c r="K21" i="22"/>
  <c r="L24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4" l="1"/>
  <c r="M23" i="24" s="1"/>
  <c r="N23" i="24" s="1"/>
  <c r="O23" i="24" s="1"/>
  <c r="I25" i="25"/>
  <c r="P28" i="25" s="1"/>
  <c r="K23" i="20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M21" i="23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M16" i="17"/>
  <c r="I23" i="15"/>
  <c r="L20" i="16" l="1"/>
  <c r="K16" i="15"/>
  <c r="L16" i="16"/>
  <c r="L16" i="15" s="1"/>
  <c r="L18" i="16"/>
  <c r="L21" i="15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2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1" i="15"/>
  <c r="M16" i="16"/>
  <c r="N16" i="16" s="1"/>
  <c r="O16" i="16" s="1"/>
  <c r="M16" i="15"/>
  <c r="M22" i="15"/>
  <c r="N16" i="18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N22" i="15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<sst xmlns="http://schemas.openxmlformats.org/spreadsheetml/2006/main" count="1580" uniqueCount="110">
  <si>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</si>
  <si>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</si>
  <si>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</si>
  <si>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</si>
  <si>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</si>
  <si>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</si>
  <si>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</si>
  <si>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</si>
  <si>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</si>
  <si>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</si>
  <si>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</si>
  <si>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</si>
  <si>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</si>
  <si>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</si>
  <si>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</si>
  <si>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</si>
  <si>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</si>
  <si>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</si>
  <si>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</si>
  <si>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</si>
  <si>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</si>
  <si>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</si>
  <si>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</si>
  <si>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</si>
  <si>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</si>
  <si>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</si>
  <si>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</si>
  <si>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</si>
  <si>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</si>
  <si>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</si>
  <si>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</si>
  <si>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</si>
  <si>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</si>
  <si>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</si>
  <si>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</si>
  <si>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</si>
  <si>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</si>
  <si>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</si>
  <si>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</si>
  <si>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</si>
  <si>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</si>
  <si>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</si>
  <si>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</si>
  <si>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</si>
  <si>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</si>
  <si>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</si>
  <si>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</si>
  <si>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</si>
  <si>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</si>
  <si>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</si>
  <si>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</si>
  <si>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</si>
  <si>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</si>
  <si>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</si>
  <si>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</si>
  <si>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</si>
  <si>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</si>
  <si>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</si>
  <si>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</si>
  <si>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</si>
  <si>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</si>
  <si>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</si>
  <si>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</si>
  <si>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</si>
  <si>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</si>
  <si>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</si>
  <si>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</si>
  <si>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</si>
  <si>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</si>
  <si>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</si>
  <si>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</si>
  <si>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</si>
  <si>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</si>
  <si>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</si>
  <si>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</si>
  <si>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</si>
  <si>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</si>
  <si>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</si>
  <si>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</si>
  <si>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</si>
  <si>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</si>
  <si>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</si>
  <si>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</si>
  <si>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</si>
  <si>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</si>
  <si>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</si>
  <si>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</si>
  <si>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</si>
  <si>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</si>
  <si>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</si>
  <si>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</si>
  <si>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</si>
  <si>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</si>
  <si>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</si>
  <si>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</si>
  <si>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</si>
  <si>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</si>
  <si>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</si>
  <si>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</si>
  <si>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</si>
  <si>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</si>
  <si>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</si>
  <si>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4987374-2</t>
  </si>
  <si>
    <t>Customer Name : Manawa (Risen)</t>
  </si>
  <si>
    <t>Address: Manawan</t>
  </si>
  <si>
    <t>Address: Shadbagh</t>
  </si>
  <si>
    <t>Shadbagh (Risen)</t>
  </si>
  <si>
    <t>Shop Bill Summary (Shadbagh (Risen))</t>
  </si>
  <si>
    <t>4655329-3</t>
  </si>
  <si>
    <t>Customer Name : Risen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</si>
</sst>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6" sqref="H2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6" sqref="H26"/>
      <selection pane="topRight" activeCell="H26" sqref="H26"/>
      <selection pane="bottomLeft" activeCell="H26" sqref="H26"/>
      <selection pane="bottomRight" activeCell="H26" sqref="H2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V15" sqref="V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46238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106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46237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107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Risen</v>
      </c>
      <c r="U14" s="163">
        <f>+'1'!P35</f>
        <v>29375.092840499998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39"/>
      <c r="J15" s="170" t="s">
        <v>78</v>
      </c>
      <c r="K15" s="170" t="s">
        <v>79</v>
      </c>
      <c r="L15" s="173" t="s">
        <v>80</v>
      </c>
      <c r="M15" s="23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Manawa (Risen)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120</v>
      </c>
      <c r="I16" s="1">
        <f>(G16*D16)*F16+H16*F16</f>
        <v>6295.5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220.34250000000003</v>
      </c>
      <c r="L16" s="174">
        <f>+'1'!L16+'2'!L16+'4'!L16+'3'!L16+'5'!L16+'6'!L16+'7'!L16+'8'!L16+'9'!L16+'10'!L16</f>
        <v>881.37000000000012</v>
      </c>
      <c r="M16" s="105">
        <f>I16-K16-L16</f>
        <v>5193.7875000000004</v>
      </c>
      <c r="N16" s="100">
        <f>+'1'!N16+'2'!N16+'4'!N16+'3'!N16+'5'!N16+'6'!N16+'7'!N16+'8'!N16+'9'!N16+'10'!N16</f>
        <v>934.88175000000001</v>
      </c>
      <c r="O16" s="100">
        <f>+'1'!O16+'2'!O16+'4'!O16+'3'!O16+'5'!O16+'6'!O16+'7'!O16+'8'!O16+'9'!O16+'10'!O16</f>
        <v>30.643346250000004</v>
      </c>
      <c r="P16" s="104">
        <f t="shared" ref="P16:P24" si="0">M16+N16+O16</f>
        <v>6159.3125962500008</v>
      </c>
      <c r="Q16" s="107"/>
      <c r="T16" s="162" t="str">
        <f>+'4'!A5</f>
        <v>Customer Name : Manawa (Risen)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120</v>
      </c>
      <c r="I17" s="1">
        <f t="shared" ref="I17:I23" si="1">(G17*D17)*F17+H17*F17</f>
        <v>6295.5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220.34250000000003</v>
      </c>
      <c r="L17" s="174">
        <f>+'1'!L17+'2'!L17+'4'!L17+'3'!L17+'5'!L17+'6'!L17+'7'!L17+'8'!L17+'9'!L17+'10'!L17</f>
        <v>881.37000000000012</v>
      </c>
      <c r="M17" s="117">
        <f t="shared" ref="M17:M23" si="2">I17-K17-L17</f>
        <v>5193.7875000000004</v>
      </c>
      <c r="N17" s="100">
        <f>+'1'!N17+'2'!N17+'4'!N17+'3'!N17+'5'!N17+'6'!N17+'7'!N17+'8'!N17+'9'!N17+'10'!N17</f>
        <v>934.88175000000001</v>
      </c>
      <c r="O17" s="100">
        <f>+'1'!O17+'2'!O17+'4'!O17+'3'!O17+'5'!O17+'6'!O17+'7'!O17+'8'!O17+'9'!O17+'10'!O17</f>
        <v>30.643346250000004</v>
      </c>
      <c r="P17" s="119">
        <f t="shared" si="0"/>
        <v>6159.3125962500008</v>
      </c>
      <c r="S17" s="64"/>
      <c r="T17" s="162" t="str">
        <f>+'3'!A5</f>
        <v>Customer Name : Manawa (Risen)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Manawa (Risen)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120</v>
      </c>
      <c r="I19" s="1">
        <f t="shared" si="1"/>
        <v>8716.7999999999993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305.08800000000002</v>
      </c>
      <c r="L19" s="174">
        <f>+'1'!L19+'2'!L19+'4'!L19+'3'!L19+'5'!L19+'6'!L19+'7'!L19+'8'!L19+'9'!L19+'10'!L19</f>
        <v>1220.3520000000001</v>
      </c>
      <c r="M19" s="117">
        <f t="shared" si="2"/>
        <v>7191.36</v>
      </c>
      <c r="N19" s="100">
        <f>+'1'!N19+'2'!N19+'4'!N19+'3'!N19+'5'!N19+'6'!N19+'7'!N19+'8'!N19+'9'!N19+'10'!N19</f>
        <v>1294.4448</v>
      </c>
      <c r="O19" s="100">
        <f>+'1'!O19+'2'!O19+'4'!O19+'3'!O19+'5'!O19+'6'!O19+'7'!O19+'8'!O19+'9'!O19+'10'!O19</f>
        <v>42.429023999999998</v>
      </c>
      <c r="P19" s="119">
        <f t="shared" si="0"/>
        <v>8528.233823999999</v>
      </c>
      <c r="T19" s="162" t="str">
        <f>+'6'!A5</f>
        <v>Customer Name : Manawa (Risen)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Manawa (Risen)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120</v>
      </c>
      <c r="I21" s="1">
        <f t="shared" si="1"/>
        <v>8716.7999999999993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305.08800000000002</v>
      </c>
      <c r="L21" s="174">
        <f>+'1'!L21+'2'!L21+'4'!L21+'3'!L21+'5'!L21+'6'!L21+'7'!L21+'8'!L21+'9'!L21+'10'!L21</f>
        <v>1220.3520000000001</v>
      </c>
      <c r="M21" s="117">
        <f t="shared" si="2"/>
        <v>7191.36</v>
      </c>
      <c r="N21" s="100">
        <f>+'1'!N21+'2'!N21+'4'!N21+'3'!N21+'5'!N21+'6'!N21+'7'!N21+'8'!N21+'9'!N21+'10'!N21</f>
        <v>1294.4448</v>
      </c>
      <c r="O21" s="100">
        <f>+'1'!O21+'2'!O21+'4'!O21+'3'!O21+'5'!O21+'6'!O21+'7'!O21+'8'!O21+'9'!O21+'10'!O21</f>
        <v>42.429023999999998</v>
      </c>
      <c r="P21" s="119">
        <f t="shared" si="0"/>
        <v>8528.233823999999</v>
      </c>
      <c r="T21" s="162" t="str">
        <f>+'8'!A5</f>
        <v>Customer Name : Manawa (Risen)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Manawa (Risen)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Manawa (Risen)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Manawa (Risen)</v>
      </c>
      <c r="U24" s="163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12</v>
      </c>
      <c r="D25" s="205"/>
      <c r="E25" s="205"/>
      <c r="F25" s="205"/>
      <c r="G25" s="175">
        <f t="shared" ref="G25:M25" si="3">SUM(G16:G24)</f>
        <v>0</v>
      </c>
      <c r="H25" s="176">
        <f t="shared" si="3"/>
        <v>480</v>
      </c>
      <c r="I25" s="177">
        <f t="shared" si="3"/>
        <v>30024.6</v>
      </c>
      <c r="J25" s="176">
        <f t="shared" si="3"/>
        <v>0</v>
      </c>
      <c r="K25" s="177">
        <f t="shared" si="3"/>
        <v>1050.8610000000001</v>
      </c>
      <c r="L25" s="178">
        <f t="shared" si="3"/>
        <v>4203.4440000000004</v>
      </c>
      <c r="M25" s="140">
        <f t="shared" si="3"/>
        <v>24770.295000000002</v>
      </c>
      <c r="N25" s="141">
        <f>SUM(N16:N24)</f>
        <v>4458.6531000000004</v>
      </c>
      <c r="O25" s="142">
        <f>SUM(O16:O24)</f>
        <v>146.14474050000001</v>
      </c>
      <c r="P25" s="143">
        <f>SUM(P16:P24)</f>
        <v>29375.092840499998</v>
      </c>
      <c r="T25" s="162" t="str">
        <f>+'12'!A5</f>
        <v>Customer Name : Manawa (Risen)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Manawa (Risen)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Manawa (Risen)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Manawa (Risen)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29375.092840499998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1">
        <f>I25</f>
        <v>30024.6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2">
        <f>L25</f>
        <v>4203.4440000000004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3">
        <f>K25</f>
        <v>1050.8610000000001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2">
        <f>P32-P33-P34</f>
        <v>24770.294999999998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4" t="s">
        <v>89</v>
      </c>
      <c r="O36" s="155">
        <f>IF(B12="Registered",18%,22%)</f>
        <v>0.22</v>
      </c>
      <c r="P36" s="152">
        <f>N25</f>
        <v>4458.6531000000004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2">
        <f>P35+P36</f>
        <v>29228.948099999998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6"/>
      <c r="N38" s="157" t="s">
        <v>91</v>
      </c>
      <c r="O38" s="158">
        <f>IF(B11="Filer",0.5%,2.5%)</f>
        <v>2.5000000000000001E-2</v>
      </c>
      <c r="P38" s="152">
        <f>O38*P37</f>
        <v>730.72370249999994</v>
      </c>
    </row>
    <row r="39" spans="2:16" ht="15.75" customHeight="1" thickBot="1" x14ac:dyDescent="0.4">
      <c r="N39" s="203" t="s">
        <v>92</v>
      </c>
      <c r="O39" s="204"/>
      <c r="P39" s="159">
        <f>P37+P38</f>
        <v>29959.671802499997</v>
      </c>
    </row>
    <row r="40" spans="2:16" ht="15" thickBot="1" x14ac:dyDescent="0.4">
      <c r="B40" s="160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zoomScale="85" zoomScaleNormal="85" workbookViewId="0">
      <selection activeCell="I8" sqref="I8"/>
    </sheetView>
  </sheetViews>
  <sheetFormatPr defaultColWidth="29.7265625" defaultRowHeight="14.5" x14ac:dyDescent="0.35"/>
  <cols>
    <col min="1" max="1" width="7.81640625" customWidth="1"/>
    <col min="2" max="2" width="23.81640625" bestFit="1" customWidth="1"/>
    <col min="3" max="4" width="4.54296875" bestFit="1" customWidth="1"/>
    <col min="5" max="5" width="3.90625" bestFit="1" customWidth="1"/>
    <col min="6" max="6" width="6.26953125" bestFit="1" customWidth="1"/>
    <col min="7" max="7" width="4.1796875" bestFit="1" customWidth="1"/>
    <col min="8" max="8" width="4.36328125" bestFit="1" customWidth="1"/>
    <col min="9" max="9" width="12" bestFit="1" customWidth="1"/>
    <col min="10" max="10" width="7.1796875" bestFit="1" customWidth="1"/>
    <col min="11" max="11" width="10.453125" bestFit="1" customWidth="1"/>
    <col min="12" max="12" width="7.90625" bestFit="1" customWidth="1"/>
    <col min="13" max="13" width="12" bestFit="1" customWidth="1"/>
    <col min="14" max="14" width="8.7265625" style="69" bestFit="1" customWidth="1"/>
    <col min="15" max="15" width="7.81640625" bestFit="1" customWidth="1"/>
    <col min="16" max="16" width="8.089843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109</v>
      </c>
      <c r="B5" s="252"/>
      <c r="C5" s="252"/>
      <c r="F5" s="70"/>
      <c r="G5" s="71"/>
      <c r="K5" s="229" t="s">
        <v>51</v>
      </c>
      <c r="L5" s="229"/>
      <c r="M5" s="229"/>
      <c r="N5" s="243">
        <f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108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120</v>
      </c>
      <c r="I16" s="101">
        <f>(G16*D16)*F16+H16*F16</f>
        <v>6295.5</v>
      </c>
      <c r="J16" s="102"/>
      <c r="K16" s="103">
        <f>I16*3.5%</f>
        <v>220.34250000000003</v>
      </c>
      <c r="L16" s="104">
        <f>I16*14%</f>
        <v>881.37000000000012</v>
      </c>
      <c r="M16" s="105">
        <f>I16-K16-L16</f>
        <v>5193.7875000000004</v>
      </c>
      <c r="N16" s="105">
        <f t="shared" ref="N16:N24" si="0">(M16*$N$15)+(J16*F16)*$N$15</f>
        <v>934.88175000000001</v>
      </c>
      <c r="O16" s="106">
        <f t="shared" ref="O16:O24" si="1">(N16+M16)*$O$15</f>
        <v>30.643346250000004</v>
      </c>
      <c r="P16" s="104">
        <f t="shared" ref="P16:P24" si="2">M16+N16+O16</f>
        <v>6159.3125962500008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120</v>
      </c>
      <c r="I17" s="115">
        <f t="shared" ref="I17:I23" si="3">(G17*D17)*F17+H17*F17</f>
        <v>6295.5</v>
      </c>
      <c r="J17" s="116"/>
      <c r="K17" s="103">
        <f t="shared" ref="K17:K21" si="4">I17*3.5%</f>
        <v>220.34250000000003</v>
      </c>
      <c r="L17" s="104">
        <f t="shared" ref="L17:L21" si="5">I17*14%</f>
        <v>881.37000000000012</v>
      </c>
      <c r="M17" s="117">
        <f t="shared" ref="M17:M23" si="6">I17-K17-L17</f>
        <v>5193.7875000000004</v>
      </c>
      <c r="N17" s="117">
        <f t="shared" si="0"/>
        <v>934.88175000000001</v>
      </c>
      <c r="O17" s="118">
        <f t="shared" si="1"/>
        <v>30.643346250000004</v>
      </c>
      <c r="P17" s="119">
        <f t="shared" si="2"/>
        <v>6159.3125962500008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3"/>
        <v>8716.7999999999993</v>
      </c>
      <c r="J19" s="116"/>
      <c r="K19" s="103">
        <f t="shared" si="4"/>
        <v>305.08800000000002</v>
      </c>
      <c r="L19" s="104">
        <f t="shared" si="5"/>
        <v>1220.3520000000001</v>
      </c>
      <c r="M19" s="117">
        <f t="shared" si="6"/>
        <v>7191.36</v>
      </c>
      <c r="N19" s="117">
        <f t="shared" si="0"/>
        <v>1294.4448</v>
      </c>
      <c r="O19" s="118">
        <f t="shared" si="1"/>
        <v>42.429023999999998</v>
      </c>
      <c r="P19" s="119">
        <f t="shared" si="2"/>
        <v>8528.233823999999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16"/>
      <c r="K20" s="103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3"/>
        <v>8716.7999999999993</v>
      </c>
      <c r="J21" s="116"/>
      <c r="K21" s="103">
        <f t="shared" si="4"/>
        <v>305.08800000000002</v>
      </c>
      <c r="L21" s="104">
        <f t="shared" si="5"/>
        <v>1220.3520000000001</v>
      </c>
      <c r="M21" s="117">
        <f t="shared" si="6"/>
        <v>7191.36</v>
      </c>
      <c r="N21" s="117">
        <f t="shared" si="0"/>
        <v>1294.4448</v>
      </c>
      <c r="O21" s="118">
        <f t="shared" si="1"/>
        <v>42.429023999999998</v>
      </c>
      <c r="P21" s="119">
        <f t="shared" si="2"/>
        <v>8528.233823999999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</v>
      </c>
      <c r="J25" s="137"/>
      <c r="K25" s="138">
        <f t="shared" si="9"/>
        <v>1050.8610000000001</v>
      </c>
      <c r="L25" s="139">
        <f t="shared" si="9"/>
        <v>4203.4440000000004</v>
      </c>
      <c r="M25" s="140">
        <f t="shared" si="9"/>
        <v>24770.295000000002</v>
      </c>
      <c r="N25" s="141">
        <f>SUM(N16:N24)</f>
        <v>4458.6531000000004</v>
      </c>
      <c r="O25" s="142">
        <f>SUM(O16:O24)</f>
        <v>146.14474050000001</v>
      </c>
      <c r="P25" s="143">
        <f>SUM(P16:P24)</f>
        <v>29375.092840499998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30024.6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4203.4440000000004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1050.8610000000001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24770.294999999998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4458.6531000000004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29228.948099999998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146.14474049999998</v>
      </c>
    </row>
    <row r="35" spans="2:16" ht="15.75" customHeight="1" thickBot="1" x14ac:dyDescent="0.4">
      <c r="N35" s="203" t="s">
        <v>92</v>
      </c>
      <c r="O35" s="204"/>
      <c r="P35" s="159">
        <f>P33+P34</f>
        <v>29375.092840499998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46238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46237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46238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46237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46238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46237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46238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46237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46238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46237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46238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46237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46238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46237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46238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46237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6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46238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46237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46238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46237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46238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46237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46238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46237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46238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46237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46238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46237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79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46238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46237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46238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46237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46238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46237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46238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46237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46238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46237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2026-08-04T08:47:56Z</dcterms:modified>
</cp:coreProperties>
</file>