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7812EB7-A3B0-45BA-8658-D0069EC4606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6" l="1"/>
  <c r="L21" i="16"/>
  <c r="L20" i="16"/>
  <c r="L19" i="16"/>
  <c r="L17" i="16"/>
  <c r="L16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N18" i="33" s="1"/>
  <c r="O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L18" i="16" s="1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20" i="16" l="1"/>
  <c r="L18" i="15"/>
  <c r="K18" i="16"/>
  <c r="K18" i="15" s="1"/>
  <c r="K21" i="16"/>
  <c r="K19" i="16"/>
  <c r="K19" i="15" s="1"/>
  <c r="L19" i="15"/>
  <c r="L17" i="15"/>
  <c r="K17" i="16"/>
  <c r="K16" i="16"/>
  <c r="K16" i="15" s="1"/>
  <c r="L16" i="15"/>
  <c r="M22" i="21"/>
  <c r="N22" i="21" s="1"/>
  <c r="O22" i="21" s="1"/>
  <c r="M22" i="19"/>
  <c r="N22" i="19" s="1"/>
  <c r="O22" i="19" s="1"/>
  <c r="P22" i="19" s="1"/>
  <c r="L25" i="18"/>
  <c r="P29" i="18" s="1"/>
  <c r="L22" i="15"/>
  <c r="K22" i="16"/>
  <c r="L25" i="25"/>
  <c r="P29" i="25" s="1"/>
  <c r="M23" i="22"/>
  <c r="N23" i="22" s="1"/>
  <c r="O23" i="22" s="1"/>
  <c r="L21" i="15"/>
  <c r="K25" i="19"/>
  <c r="P30" i="19" s="1"/>
  <c r="P31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<sst xmlns="http://schemas.openxmlformats.org/spreadsheetml/2006/main" count="1651" uniqueCount="126">
  <si>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</si>
  <si>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</si>
  <si>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</si>
  <si>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</si>
  <si>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</si>
  <si>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</si>
  <si>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</si>
  <si>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</si>
  <si>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</si>
  <si>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</si>
  <si>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</si>
  <si>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</si>
  <si>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</si>
  <si>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</si>
  <si>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</si>
  <si>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</si>
  <si>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</si>
  <si>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</si>
  <si>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</si>
  <si>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</si>
  <si>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</si>
  <si>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</si>
  <si>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</si>
  <si>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</si>
  <si>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</si>
  <si>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</si>
  <si>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</si>
  <si>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</si>
  <si>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</si>
  <si>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</si>
  <si>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</si>
  <si>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</si>
  <si>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</si>
  <si>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</si>
  <si>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</si>
  <si>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</si>
  <si>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</si>
  <si>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</si>
  <si>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</si>
  <si>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</si>
  <si>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</si>
  <si>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</si>
  <si>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</si>
  <si>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</si>
  <si>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</si>
  <si>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</si>
  <si>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</si>
  <si>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</si>
  <si>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</si>
  <si>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</si>
  <si>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</si>
  <si>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</si>
  <si>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</si>
  <si>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</si>
  <si>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</si>
  <si>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</si>
  <si>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</si>
  <si>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</si>
  <si>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</si>
  <si>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</si>
  <si>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</si>
  <si>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</si>
  <si>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</si>
  <si>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</si>
  <si>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</si>
  <si>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</si>
  <si>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</si>
  <si>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</si>
  <si>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</si>
  <si>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</si>
  <si>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</si>
  <si>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</si>
  <si>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</si>
  <si>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</si>
  <si>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</si>
  <si>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</si>
  <si>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</si>
  <si>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</si>
  <si>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</si>
  <si>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</si>
  <si>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</si>
  <si>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</si>
  <si>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</si>
  <si>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</si>
  <si>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</si>
  <si>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</si>
  <si>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</si>
  <si>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</si>
  <si>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</si>
  <si>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</si>
  <si>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</si>
  <si>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</si>
  <si>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</si>
  <si>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</si>
  <si>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</si>
  <si>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</si>
  <si>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</si>
  <si>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</si>
  <si>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</si>
  <si>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</si>
  <si>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</si>
  <si>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</si>
  <si>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</si>
  <si>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</si>
  <si>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</si>
  <si>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</si>
  <si>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</si>
  <si>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</si>
  <si>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</si>
  <si>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</si>
  <si>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</si>
  <si>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</si>
  <si>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</si>
  <si>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</si>
  <si>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</si>
  <si>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</si>
  <si>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</si>
  <si>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</si>
  <si>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Punjab Society</t>
  </si>
  <si>
    <t xml:space="preserve">Customer Name : Askari Depsrtmental Store </t>
  </si>
  <si>
    <t>6397883-8</t>
  </si>
  <si>
    <t>Customer Name : HA Mart</t>
  </si>
  <si>
    <t>Address: Fateh Garh</t>
  </si>
  <si>
    <t>B132902-8</t>
  </si>
  <si>
    <t>HA Mart</t>
  </si>
  <si>
    <t>Shop Bill Summary HA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</si>
</sst>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102</v>
      </c>
    </row>
    <row r="15" spans="1:2" x14ac:dyDescent="0.35">
      <c r="A15">
        <v>10</v>
      </c>
      <c r="B15" t="s">
        <v>103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A2" sqref="A2:M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71.0898437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124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125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HA Mart</v>
      </c>
      <c r="U14" s="163">
        <f>+'1'!P35</f>
        <v>16661.17456575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Askari Depsrtmental Store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251.82</v>
      </c>
      <c r="M16" s="105">
        <f>I16-K16-L16</f>
        <v>1773.2325000000001</v>
      </c>
      <c r="N16" s="100">
        <f>+'1'!N16+'2'!N16+'4'!N16+'3'!N16+'5'!N16+'6'!N16+'7'!N16+'8'!N16+'9'!N16+'10'!N16</f>
        <v>319.18185</v>
      </c>
      <c r="O16" s="100">
        <f>+'1'!O16+'2'!O16+'4'!O16+'3'!O16+'5'!O16+'6'!O16+'7'!O16+'8'!O16+'9'!O16+'10'!O16</f>
        <v>10.46207175</v>
      </c>
      <c r="P16" s="104">
        <f t="shared" ref="P16:P24" si="0">M16+N16+O16</f>
        <v>2102.8764217500002</v>
      </c>
      <c r="Q16" s="107"/>
      <c r="T16" s="162" t="str">
        <f>+'3'!A5</f>
        <v xml:space="preserve">Customer Name : Askari Depsrtmental Store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+'4'!A5</f>
        <v xml:space="preserve">Customer Name : Askari Depsrtmental Store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Askari Depsrtmental Store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348.67199999999997</v>
      </c>
      <c r="M19" s="117">
        <f t="shared" si="2"/>
        <v>2455.232</v>
      </c>
      <c r="N19" s="100">
        <f>+'1'!N19+'2'!N19+'4'!N19+'3'!N19+'5'!N19+'6'!N19+'7'!N19+'8'!N19+'9'!N19+'10'!N19</f>
        <v>441.94175999999999</v>
      </c>
      <c r="O19" s="100">
        <f>+'1'!O19+'2'!O19+'4'!O19+'3'!O19+'5'!O19+'6'!O19+'7'!O19+'8'!O19+'9'!O19+'10'!O19</f>
        <v>14.4858688</v>
      </c>
      <c r="P19" s="119">
        <f t="shared" si="0"/>
        <v>2911.6596288000001</v>
      </c>
      <c r="T19" s="162" t="str">
        <f>+'6'!A5</f>
        <v xml:space="preserve">Customer Name : Askari Depsrtmental Store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697.34399999999994</v>
      </c>
      <c r="M20" s="117">
        <f t="shared" si="2"/>
        <v>4910.4639999999999</v>
      </c>
      <c r="N20" s="100">
        <f>+'1'!N20+'2'!N20+'4'!N20+'3'!N20+'5'!N20+'6'!N20+'7'!N20+'8'!N20+'9'!N20+'10'!N20</f>
        <v>883.88351999999998</v>
      </c>
      <c r="O20" s="100">
        <f>+'1'!O20+'2'!O20+'4'!O20+'3'!O20+'5'!O20+'6'!O20+'7'!O20+'8'!O20+'9'!O20+'10'!O20</f>
        <v>28.971737600000001</v>
      </c>
      <c r="P20" s="119">
        <f t="shared" si="0"/>
        <v>5823.3192576000001</v>
      </c>
      <c r="T20" s="162" t="str">
        <f>+'7'!A5</f>
        <v xml:space="preserve">Customer Name : Askari Depsrtmental Store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697.34399999999994</v>
      </c>
      <c r="M21" s="117">
        <f t="shared" si="2"/>
        <v>4910.4639999999999</v>
      </c>
      <c r="N21" s="100">
        <f>+'1'!N21+'2'!N21+'4'!N21+'3'!N21+'5'!N21+'6'!N21+'7'!N21+'8'!N21+'9'!N21+'10'!N21</f>
        <v>883.88351999999998</v>
      </c>
      <c r="O21" s="100">
        <f>+'1'!O21+'2'!O21+'4'!O21+'3'!O21+'5'!O21+'6'!O21+'7'!O21+'8'!O21+'9'!O21+'10'!O21</f>
        <v>28.971737600000001</v>
      </c>
      <c r="P21" s="119">
        <f t="shared" si="0"/>
        <v>5823.3192576000001</v>
      </c>
      <c r="T21" s="162" t="str">
        <f>+'8'!A5</f>
        <v xml:space="preserve">Customer Name : Askari Depsrtmental Store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Askari Depsrtmental Store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Askari Depsrtmental Store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Askari Depsrtmental Store </v>
      </c>
      <c r="U24" s="163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6</v>
      </c>
      <c r="D25" s="231"/>
      <c r="E25" s="231"/>
      <c r="F25" s="231"/>
      <c r="G25" s="175">
        <f t="shared" ref="G25:M25" si="3">SUM(G16:G24)</f>
        <v>0</v>
      </c>
      <c r="H25" s="176">
        <f t="shared" si="3"/>
        <v>240</v>
      </c>
      <c r="I25" s="177">
        <f t="shared" si="3"/>
        <v>16626.5</v>
      </c>
      <c r="J25" s="176">
        <f t="shared" si="3"/>
        <v>0</v>
      </c>
      <c r="K25" s="177">
        <f t="shared" si="3"/>
        <v>581.92750000000012</v>
      </c>
      <c r="L25" s="178">
        <f t="shared" si="3"/>
        <v>1995.1799999999998</v>
      </c>
      <c r="M25" s="140">
        <f t="shared" si="3"/>
        <v>14049.3925</v>
      </c>
      <c r="N25" s="141">
        <f>SUM(N16:N24)</f>
        <v>2528.8906499999998</v>
      </c>
      <c r="O25" s="142">
        <f>SUM(O16:O24)</f>
        <v>82.891415749999993</v>
      </c>
      <c r="P25" s="143">
        <f>SUM(P16:P24)</f>
        <v>16661.17456575</v>
      </c>
      <c r="T25" s="162" t="str">
        <f>+'12'!A5</f>
        <v xml:space="preserve">Customer Name : Askari Depsrtmental Store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Askari Depsrtmental Store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Askari Depsrtmental Store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Askari Depsrtmental Store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Askari Depsrtmental Store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Askari Depsrtmental Store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Askari Depsrtmental Store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Askari Depsrtmental Store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Askari Depsrtmental Store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16661.17456575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1">
        <f>I25</f>
        <v>16626.5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2">
        <f>L25</f>
        <v>1995.1799999999998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3">
        <f>K25</f>
        <v>581.92750000000012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2">
        <f>P36-P37-P38</f>
        <v>14049.3925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4" t="s">
        <v>89</v>
      </c>
      <c r="O40" s="155">
        <f>IF(B12="Registered",18%,22%)</f>
        <v>0.22</v>
      </c>
      <c r="P40" s="152">
        <f>N25</f>
        <v>2528.8906499999998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2">
        <f>P39+P40</f>
        <v>16578.283149999999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6"/>
      <c r="N42" s="157" t="s">
        <v>91</v>
      </c>
      <c r="O42" s="158">
        <f>IF(B11="Filer",0.5%,2.5%)</f>
        <v>2.5000000000000001E-2</v>
      </c>
      <c r="P42" s="152">
        <f>O42*P41</f>
        <v>414.45707874999999</v>
      </c>
    </row>
    <row r="43" spans="1:21" ht="15.75" customHeight="1" thickBot="1" x14ac:dyDescent="0.4">
      <c r="N43" s="229" t="s">
        <v>92</v>
      </c>
      <c r="O43" s="230"/>
      <c r="P43" s="159">
        <f>P41+P42</f>
        <v>16992.740228750001</v>
      </c>
    </row>
    <row r="44" spans="1:21" ht="15" thickBot="1" x14ac:dyDescent="0.4">
      <c r="B44" s="160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activeCell="A2" sqref="A2:P37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6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101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115</v>
      </c>
      <c r="T14" s="263"/>
      <c r="U14" s="263"/>
      <c r="V14" s="263"/>
      <c r="W14" s="264" t="s">
        <v>117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107</v>
      </c>
      <c r="T15" s="184" t="s">
        <v>108</v>
      </c>
      <c r="U15" s="184" t="s">
        <v>112</v>
      </c>
      <c r="V15" s="184" t="s">
        <v>113</v>
      </c>
      <c r="W15" s="185" t="s">
        <v>107</v>
      </c>
      <c r="X15" s="185" t="s">
        <v>108</v>
      </c>
      <c r="Y15" s="185" t="s">
        <v>112</v>
      </c>
      <c r="Z15" s="185" t="s">
        <v>113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I16*12%</f>
        <v>251.82</v>
      </c>
      <c r="M16" s="105">
        <f>I16-K16-L16</f>
        <v>1773.2325000000001</v>
      </c>
      <c r="N16" s="105">
        <f t="shared" ref="N16:N24" si="0">(M16*$N$15)+(J16*F16)*$N$15</f>
        <v>319.18185</v>
      </c>
      <c r="O16" s="106">
        <f t="shared" ref="O16:O24" si="1">(N16+M16)*$O$15</f>
        <v>10.46207175</v>
      </c>
      <c r="P16" s="104">
        <f t="shared" ref="P16:P24" si="2">M16+N16+O16</f>
        <v>2102.8764217500002</v>
      </c>
      <c r="Q16" s="107"/>
      <c r="S16" s="182" t="s">
        <v>104</v>
      </c>
      <c r="T16" s="182">
        <v>1697</v>
      </c>
      <c r="U16" s="182" t="s">
        <v>109</v>
      </c>
      <c r="V16" s="182">
        <f>T16/40</f>
        <v>42.424999999999997</v>
      </c>
      <c r="W16" s="186" t="s">
        <v>104</v>
      </c>
      <c r="X16" s="186">
        <v>1664</v>
      </c>
      <c r="Y16" s="186" t="s">
        <v>109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2" si="5">I17*12%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183" t="s">
        <v>106</v>
      </c>
      <c r="T17" s="182">
        <v>2322</v>
      </c>
      <c r="U17" s="182" t="s">
        <v>110</v>
      </c>
      <c r="V17" s="182">
        <f t="shared" ref="V17:V18" si="7">T17/40</f>
        <v>58.05</v>
      </c>
      <c r="W17" s="187" t="s">
        <v>106</v>
      </c>
      <c r="X17" s="186">
        <v>2277</v>
      </c>
      <c r="Y17" s="186" t="s">
        <v>110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105</v>
      </c>
      <c r="T18" s="182">
        <v>3216</v>
      </c>
      <c r="U18" s="182" t="s">
        <v>111</v>
      </c>
      <c r="V18" s="182">
        <f t="shared" si="7"/>
        <v>80.400000000000006</v>
      </c>
      <c r="W18" s="186" t="s">
        <v>105</v>
      </c>
      <c r="X18" s="186">
        <v>3153</v>
      </c>
      <c r="Y18" s="186" t="s">
        <v>111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348.67199999999997</v>
      </c>
      <c r="M19" s="117">
        <f t="shared" si="6"/>
        <v>2455.232</v>
      </c>
      <c r="N19" s="117">
        <f t="shared" si="0"/>
        <v>441.94175999999999</v>
      </c>
      <c r="O19" s="118">
        <f t="shared" si="1"/>
        <v>14.4858688</v>
      </c>
      <c r="P19" s="119">
        <f t="shared" si="2"/>
        <v>2911.6596288000001</v>
      </c>
      <c r="S19" s="265" t="s">
        <v>116</v>
      </c>
      <c r="T19" s="265"/>
      <c r="U19" s="265"/>
      <c r="V19" s="265"/>
      <c r="W19" s="266" t="s">
        <v>114</v>
      </c>
      <c r="X19" s="266"/>
      <c r="Y19" s="266"/>
      <c r="Z19" s="266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697.34399999999994</v>
      </c>
      <c r="M20" s="117">
        <f t="shared" si="6"/>
        <v>4910.4639999999999</v>
      </c>
      <c r="N20" s="117">
        <f t="shared" si="0"/>
        <v>883.88351999999998</v>
      </c>
      <c r="O20" s="118">
        <f t="shared" si="1"/>
        <v>28.971737600000001</v>
      </c>
      <c r="P20" s="119">
        <f t="shared" si="2"/>
        <v>5823.3192576000001</v>
      </c>
      <c r="S20" s="184" t="s">
        <v>107</v>
      </c>
      <c r="T20" s="184" t="s">
        <v>108</v>
      </c>
      <c r="U20" s="184" t="s">
        <v>112</v>
      </c>
      <c r="V20" s="184" t="s">
        <v>113</v>
      </c>
      <c r="W20" s="184" t="s">
        <v>107</v>
      </c>
      <c r="X20" s="184" t="s">
        <v>108</v>
      </c>
      <c r="Y20" s="184" t="s">
        <v>112</v>
      </c>
      <c r="Z20" s="184" t="s">
        <v>113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697.34399999999994</v>
      </c>
      <c r="M21" s="117">
        <f t="shared" si="6"/>
        <v>4910.4639999999999</v>
      </c>
      <c r="N21" s="117">
        <f t="shared" si="0"/>
        <v>883.88351999999998</v>
      </c>
      <c r="O21" s="118">
        <f t="shared" si="1"/>
        <v>28.971737600000001</v>
      </c>
      <c r="P21" s="119">
        <f t="shared" si="2"/>
        <v>5823.3192576000001</v>
      </c>
      <c r="S21" s="188" t="s">
        <v>104</v>
      </c>
      <c r="T21" s="188">
        <v>1610</v>
      </c>
      <c r="U21" s="188" t="s">
        <v>109</v>
      </c>
      <c r="V21" s="188">
        <f>T21/40</f>
        <v>40.25</v>
      </c>
      <c r="W21" s="190" t="s">
        <v>104</v>
      </c>
      <c r="X21" s="190">
        <v>1642</v>
      </c>
      <c r="Y21" s="190" t="s">
        <v>109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04">
        <f t="shared" si="5"/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106</v>
      </c>
      <c r="T22" s="188">
        <v>2202</v>
      </c>
      <c r="U22" s="188" t="s">
        <v>110</v>
      </c>
      <c r="V22" s="188">
        <f t="shared" ref="V22:V25" si="9">T22/40</f>
        <v>55.05</v>
      </c>
      <c r="W22" s="191" t="s">
        <v>106</v>
      </c>
      <c r="X22" s="190">
        <v>2246</v>
      </c>
      <c r="Y22" s="190" t="s">
        <v>110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105</v>
      </c>
      <c r="T23" s="188">
        <v>3216</v>
      </c>
      <c r="U23" s="188" t="s">
        <v>111</v>
      </c>
      <c r="V23" s="188">
        <f t="shared" si="9"/>
        <v>80.400000000000006</v>
      </c>
      <c r="W23" s="190" t="s">
        <v>105</v>
      </c>
      <c r="X23" s="190">
        <v>3216</v>
      </c>
      <c r="Y23" s="190" t="s">
        <v>110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105</v>
      </c>
      <c r="T24" s="188">
        <v>3216</v>
      </c>
      <c r="U24" s="188" t="s">
        <v>111</v>
      </c>
      <c r="V24" s="188">
        <f t="shared" si="9"/>
        <v>80.400000000000006</v>
      </c>
      <c r="W24" s="190"/>
      <c r="X24" s="190"/>
      <c r="Y24" s="190" t="s">
        <v>110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13">SUM(G16:G24)</f>
        <v>0</v>
      </c>
      <c r="H25" s="135">
        <f t="shared" si="13"/>
        <v>240</v>
      </c>
      <c r="I25" s="136">
        <f t="shared" si="13"/>
        <v>16626.5</v>
      </c>
      <c r="J25" s="137"/>
      <c r="K25" s="138">
        <f t="shared" si="13"/>
        <v>581.92750000000012</v>
      </c>
      <c r="L25" s="139">
        <f t="shared" si="13"/>
        <v>1995.1799999999998</v>
      </c>
      <c r="M25" s="140">
        <f t="shared" si="13"/>
        <v>14049.3925</v>
      </c>
      <c r="N25" s="141">
        <f>SUM(N16:N24)</f>
        <v>2528.8906499999998</v>
      </c>
      <c r="O25" s="142">
        <f>SUM(O16:O24)</f>
        <v>82.891415749999993</v>
      </c>
      <c r="P25" s="143">
        <f>SUM(P16:P24)</f>
        <v>16661.17456575</v>
      </c>
      <c r="S25" s="188" t="s">
        <v>105</v>
      </c>
      <c r="T25" s="188">
        <v>3216</v>
      </c>
      <c r="U25" s="188" t="s">
        <v>111</v>
      </c>
      <c r="V25" s="188">
        <f t="shared" si="9"/>
        <v>80.400000000000006</v>
      </c>
      <c r="W25" s="190" t="s">
        <v>105</v>
      </c>
      <c r="X25" s="190">
        <v>3110</v>
      </c>
      <c r="Y25" s="190" t="s">
        <v>111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16626.5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1995.1799999999998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581.92750000000012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14049.3925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2528.8906499999998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16578.283149999999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82.891415749999993</v>
      </c>
    </row>
    <row r="35" spans="2:16" ht="15.75" customHeight="1" thickBot="1" x14ac:dyDescent="0.4">
      <c r="N35" s="229" t="s">
        <v>92</v>
      </c>
      <c r="O35" s="230"/>
      <c r="P35" s="159">
        <f>P33+P34</f>
        <v>16661.17456575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6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4.45312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6" customHeight="1" x14ac:dyDescent="0.35">
      <c r="A5" s="256" t="s">
        <v>119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46225</v>
      </c>
      <c r="O5" s="210"/>
      <c r="P5" s="210"/>
      <c r="R5" s="70"/>
      <c r="S5" s="71"/>
    </row>
    <row r="6" spans="1:19 16383:16384" ht="15" customHeight="1" x14ac:dyDescent="0.35">
      <c r="A6" s="211" t="s">
        <v>118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2026-07-23T06:24:25Z</dcterms:modified>
</cp:coreProperties>
</file>