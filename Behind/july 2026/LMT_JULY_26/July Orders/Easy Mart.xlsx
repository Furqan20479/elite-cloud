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C5BE45C-E413-444B-B276-C47F66A8444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<sst xmlns="http://schemas.openxmlformats.org/spreadsheetml/2006/main" count="1632" uniqueCount="123">
  <si>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</si>
  <si>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</si>
  <si>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</si>
  <si>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</si>
  <si>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</si>
  <si>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</si>
  <si>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</si>
  <si>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</si>
  <si>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</si>
  <si>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</si>
  <si>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</si>
  <si>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</si>
  <si>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</si>
  <si>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</si>
  <si>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</si>
  <si>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</si>
  <si>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</si>
  <si>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</si>
  <si>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</si>
  <si>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</si>
  <si>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</si>
  <si>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</si>
  <si>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</si>
  <si>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</si>
  <si>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</si>
  <si>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</si>
  <si>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</si>
  <si>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</si>
  <si>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</si>
  <si>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</si>
  <si>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</si>
  <si>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</si>
  <si>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</si>
  <si>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</si>
  <si>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</si>
  <si>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</si>
  <si>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</si>
  <si>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</si>
  <si>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</si>
  <si>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</si>
  <si>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</si>
  <si>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</si>
  <si>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</si>
  <si>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</si>
  <si>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</si>
  <si>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</si>
  <si>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</si>
  <si>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</si>
  <si>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</si>
  <si>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</si>
  <si>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</si>
  <si>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</si>
  <si>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</si>
  <si>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</si>
  <si>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</si>
  <si>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</si>
  <si>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</si>
  <si>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</si>
  <si>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</si>
  <si>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</si>
  <si>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</si>
  <si>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</si>
  <si>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</si>
  <si>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</si>
  <si>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</si>
  <si>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</si>
  <si>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</si>
  <si>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</si>
  <si>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</si>
  <si>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</si>
  <si>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</si>
  <si>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</si>
  <si>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</si>
  <si>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</si>
  <si>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</si>
  <si>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</si>
  <si>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</si>
  <si>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</si>
  <si>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</si>
  <si>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</si>
  <si>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</si>
  <si>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</si>
  <si>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</si>
  <si>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</si>
  <si>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</si>
  <si>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</si>
  <si>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</si>
  <si>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</si>
  <si>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</si>
  <si>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</si>
  <si>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</si>
  <si>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</si>
  <si>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</si>
  <si>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</si>
  <si>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</si>
  <si>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</si>
  <si>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</si>
  <si>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</si>
  <si>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</si>
  <si>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</si>
  <si>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</si>
  <si>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</si>
  <si>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</si>
  <si>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</si>
  <si>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</si>
  <si>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</si>
  <si>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</si>
  <si>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</si>
  <si>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</si>
  <si>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</si>
  <si>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</si>
  <si>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</si>
  <si>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</si>
  <si>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</si>
  <si>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</si>
  <si>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</si>
  <si>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</si>
  <si>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</si>
  <si>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</si>
  <si>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</si>
  <si>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Customer Name : Easy Mart </t>
  </si>
  <si>
    <t xml:space="preserve">Address: Behria Town </t>
  </si>
  <si>
    <t>6606374-5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</si>
</sst>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11" sqref="G1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11" sqref="G11"/>
      <selection pane="topRight" activeCell="G11" sqref="G11"/>
      <selection pane="bottomLeft" activeCell="G11" sqref="G11"/>
      <selection pane="bottomRight" activeCell="G11" sqref="G1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G11" sqref="G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102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103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Easy Mart </v>
      </c>
      <c r="U14" s="163">
        <f>+'1'!P35</f>
        <v>20685.61764864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1"/>
      <c r="J15" s="170" t="s">
        <v>78</v>
      </c>
      <c r="K15" s="170" t="s">
        <v>79</v>
      </c>
      <c r="L15" s="173" t="s">
        <v>80</v>
      </c>
      <c r="M15" s="22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Easy Mart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+'3'!A5</f>
        <v xml:space="preserve">Customer Name : Easy Mart 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+'4'!A5</f>
        <v xml:space="preserve">Customer Name : Easy Mart 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Easy Mart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203.39200000000002</v>
      </c>
      <c r="L19" s="174">
        <f>+'1'!L19+'2'!L19+'4'!L19+'3'!L19+'5'!L19+'6'!L19+'7'!L19+'8'!L19+'9'!L19+'10'!L19</f>
        <v>697.34399999999994</v>
      </c>
      <c r="M19" s="117">
        <f t="shared" si="2"/>
        <v>4910.4639999999999</v>
      </c>
      <c r="N19" s="100">
        <f>+'1'!N19+'2'!N19+'4'!N19+'3'!N19+'5'!N19+'6'!N19+'7'!N19+'8'!N19+'9'!N19+'10'!N19</f>
        <v>883.88351999999998</v>
      </c>
      <c r="O19" s="100">
        <f>+'1'!O19+'2'!O19+'4'!O19+'3'!O19+'5'!O19+'6'!O19+'7'!O19+'8'!O19+'9'!O19+'10'!O19</f>
        <v>28.971737600000001</v>
      </c>
      <c r="P19" s="119">
        <f t="shared" si="0"/>
        <v>5823.3192576000001</v>
      </c>
      <c r="T19" s="162" t="str">
        <f>+'6'!A5</f>
        <v xml:space="preserve">Customer Name : Easy Mart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203.39200000000002</v>
      </c>
      <c r="L20" s="174">
        <f>+'1'!L20+'2'!L20+'4'!L20+'3'!L20+'5'!L20+'6'!L20+'7'!L20+'8'!L20+'9'!L20+'10'!L20</f>
        <v>697.34399999999994</v>
      </c>
      <c r="M20" s="117">
        <f t="shared" si="2"/>
        <v>4910.4639999999999</v>
      </c>
      <c r="N20" s="100">
        <f>+'1'!N20+'2'!N20+'4'!N20+'3'!N20+'5'!N20+'6'!N20+'7'!N20+'8'!N20+'9'!N20+'10'!N20</f>
        <v>883.88351999999998</v>
      </c>
      <c r="O20" s="100">
        <f>+'1'!O20+'2'!O20+'4'!O20+'3'!O20+'5'!O20+'6'!O20+'7'!O20+'8'!O20+'9'!O20+'10'!O20</f>
        <v>28.971737600000001</v>
      </c>
      <c r="P20" s="119">
        <f t="shared" si="0"/>
        <v>5823.3192576000001</v>
      </c>
      <c r="T20" s="162" t="str">
        <f>+'7'!A5</f>
        <v xml:space="preserve">Customer Name : Easy Mart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697.34399999999994</v>
      </c>
      <c r="M21" s="117">
        <f t="shared" si="2"/>
        <v>4910.4639999999999</v>
      </c>
      <c r="N21" s="100">
        <f>+'1'!N21+'2'!N21+'4'!N21+'3'!N21+'5'!N21+'6'!N21+'7'!N21+'8'!N21+'9'!N21+'10'!N21</f>
        <v>883.88351999999998</v>
      </c>
      <c r="O21" s="100">
        <f>+'1'!O21+'2'!O21+'4'!O21+'3'!O21+'5'!O21+'6'!O21+'7'!O21+'8'!O21+'9'!O21+'10'!O21</f>
        <v>28.971737600000001</v>
      </c>
      <c r="P21" s="119">
        <f t="shared" si="0"/>
        <v>5823.3192576000001</v>
      </c>
      <c r="T21" s="162" t="str">
        <f>+'8'!A5</f>
        <v xml:space="preserve">Customer Name : Easy Mart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80</v>
      </c>
      <c r="I22" s="1">
        <f t="shared" si="1"/>
        <v>3138.4000000000005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269.9024</v>
      </c>
      <c r="L22" s="174">
        <f>+'1'!L22+'2'!L22+'4'!L22+'3'!L22+'5'!L22+'6'!L22+'7'!L22+'8'!L22+'9'!L22+'10'!L22</f>
        <v>156.92000000000004</v>
      </c>
      <c r="M22" s="117">
        <f t="shared" si="2"/>
        <v>2711.5776000000005</v>
      </c>
      <c r="N22" s="100">
        <f>+'1'!N22+'2'!N22+'4'!N22+'3'!N22+'5'!N22+'6'!N22+'7'!N22+'8'!N22+'9'!N22+'10'!N22</f>
        <v>488.08396800000008</v>
      </c>
      <c r="O22" s="100">
        <f>+'1'!O22+'2'!O22+'4'!O22+'3'!O22+'5'!O22+'6'!O22+'7'!O22+'8'!O22+'9'!O22+'10'!O22</f>
        <v>15.998307840000002</v>
      </c>
      <c r="P22" s="119">
        <f t="shared" si="0"/>
        <v>3215.6598758400005</v>
      </c>
      <c r="T22" s="162" t="str">
        <f>+'9'!A5</f>
        <v xml:space="preserve">Customer Name : Easy Mart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Easy Mart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Easy Mart </v>
      </c>
      <c r="U24" s="163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8</v>
      </c>
      <c r="D25" s="231"/>
      <c r="E25" s="231"/>
      <c r="F25" s="231"/>
      <c r="G25" s="175">
        <f t="shared" ref="G25:M25" si="3">SUM(G16:G24)</f>
        <v>0</v>
      </c>
      <c r="H25" s="176">
        <f t="shared" si="3"/>
        <v>320</v>
      </c>
      <c r="I25" s="177">
        <f t="shared" si="3"/>
        <v>20572</v>
      </c>
      <c r="J25" s="176">
        <f t="shared" si="3"/>
        <v>0</v>
      </c>
      <c r="K25" s="177">
        <f t="shared" si="3"/>
        <v>880.0784000000001</v>
      </c>
      <c r="L25" s="178">
        <f t="shared" si="3"/>
        <v>2248.9519999999998</v>
      </c>
      <c r="M25" s="140">
        <f t="shared" si="3"/>
        <v>17442.9696</v>
      </c>
      <c r="N25" s="141">
        <f>SUM(N16:N24)</f>
        <v>3139.734528</v>
      </c>
      <c r="O25" s="142">
        <f>SUM(O16:O24)</f>
        <v>102.91352064</v>
      </c>
      <c r="P25" s="143">
        <f>SUM(P16:P24)</f>
        <v>20685.61764864</v>
      </c>
      <c r="T25" s="162" t="str">
        <f>+'12'!A5</f>
        <v xml:space="preserve">Customer Name : Easy Mart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Easy Mart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Easy Mart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Easy Mart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Easy Mart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Easy Mart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Easy Mart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 xml:space="preserve">Customer Name : Easy Mart 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 xml:space="preserve">Customer Name : Easy Mart 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20685.61764864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1">
        <f>I25</f>
        <v>20572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2">
        <f>L25</f>
        <v>2248.9519999999998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3">
        <f>K25</f>
        <v>880.0784000000001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2">
        <f>P36-P37-P38</f>
        <v>17442.9696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4" t="s">
        <v>89</v>
      </c>
      <c r="O40" s="155">
        <f>IF(B12="Registered",18%,22%)</f>
        <v>0.22</v>
      </c>
      <c r="P40" s="152">
        <f>N25</f>
        <v>3139.734528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2">
        <f>P39+P40</f>
        <v>20582.704128000001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6"/>
      <c r="N42" s="157" t="s">
        <v>91</v>
      </c>
      <c r="O42" s="158">
        <f>IF(B11="Filer",0.5%,2.5%)</f>
        <v>2.5000000000000001E-2</v>
      </c>
      <c r="P42" s="152">
        <f>O42*P41</f>
        <v>514.56760320000001</v>
      </c>
    </row>
    <row r="43" spans="1:21" ht="15.75" customHeight="1" thickBot="1" x14ac:dyDescent="0.4">
      <c r="N43" s="229" t="s">
        <v>92</v>
      </c>
      <c r="O43" s="230"/>
      <c r="P43" s="159">
        <f>P41+P42</f>
        <v>21097.271731200002</v>
      </c>
    </row>
    <row r="44" spans="1:21" ht="15" thickBot="1" x14ac:dyDescent="0.4">
      <c r="B44" s="160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R5" sqref="R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26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101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03">
        <f t="shared" ref="K17:K21" si="4">I17*3.5%</f>
        <v>0</v>
      </c>
      <c r="L17" s="104">
        <f t="shared" ref="L17:L21" si="5">I17*12%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697.34399999999994</v>
      </c>
      <c r="M19" s="117">
        <f t="shared" si="6"/>
        <v>4910.4639999999999</v>
      </c>
      <c r="N19" s="117">
        <f t="shared" si="0"/>
        <v>883.88351999999998</v>
      </c>
      <c r="O19" s="118">
        <f t="shared" si="1"/>
        <v>28.971737600000001</v>
      </c>
      <c r="P19" s="119">
        <f t="shared" si="2"/>
        <v>5823.3192576000001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697.34399999999994</v>
      </c>
      <c r="M20" s="117">
        <f t="shared" si="6"/>
        <v>4910.4639999999999</v>
      </c>
      <c r="N20" s="117">
        <f t="shared" si="0"/>
        <v>883.88351999999998</v>
      </c>
      <c r="O20" s="118">
        <f t="shared" si="1"/>
        <v>28.971737600000001</v>
      </c>
      <c r="P20" s="119">
        <f t="shared" si="2"/>
        <v>5823.3192576000001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697.34399999999994</v>
      </c>
      <c r="M21" s="117">
        <f t="shared" si="6"/>
        <v>4910.4639999999999</v>
      </c>
      <c r="N21" s="117">
        <f t="shared" si="0"/>
        <v>883.88351999999998</v>
      </c>
      <c r="O21" s="118">
        <f t="shared" si="1"/>
        <v>28.971737600000001</v>
      </c>
      <c r="P21" s="119">
        <f t="shared" si="2"/>
        <v>5823.3192576000001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3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6"/>
        <v>2711.5776000000005</v>
      </c>
      <c r="N22" s="117">
        <f t="shared" si="0"/>
        <v>488.08396800000008</v>
      </c>
      <c r="O22" s="118">
        <f t="shared" si="1"/>
        <v>15.998307840000002</v>
      </c>
      <c r="P22" s="119">
        <f t="shared" si="2"/>
        <v>3215.6598758400005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13">SUM(G16:G24)</f>
        <v>0</v>
      </c>
      <c r="H25" s="135">
        <f t="shared" si="13"/>
        <v>320</v>
      </c>
      <c r="I25" s="136">
        <f t="shared" si="13"/>
        <v>20572</v>
      </c>
      <c r="J25" s="137"/>
      <c r="K25" s="138">
        <f t="shared" si="13"/>
        <v>880.0784000000001</v>
      </c>
      <c r="L25" s="139">
        <f t="shared" si="13"/>
        <v>2248.9519999999998</v>
      </c>
      <c r="M25" s="140">
        <f t="shared" si="13"/>
        <v>17442.9696</v>
      </c>
      <c r="N25" s="141">
        <f>SUM(N16:N24)</f>
        <v>3139.734528</v>
      </c>
      <c r="O25" s="142">
        <f>SUM(O16:O24)</f>
        <v>102.91352064</v>
      </c>
      <c r="P25" s="143">
        <f>SUM(P16:P24)</f>
        <v>20685.61764864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20572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2248.9519999999998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880.0784000000001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17442.9696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3139.734528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20582.704128000001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102.91352064</v>
      </c>
    </row>
    <row r="35" spans="2:16" ht="15.75" customHeight="1" thickBot="1" x14ac:dyDescent="0.4">
      <c r="N35" s="229" t="s">
        <v>92</v>
      </c>
      <c r="O35" s="230"/>
      <c r="P35" s="159">
        <f>P33+P34</f>
        <v>20685.61764864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6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79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2026-07-13T12:40:47Z</dcterms:modified>
</cp:coreProperties>
</file>