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ECD5F69-023B-44BD-A6E8-E62AF5BD9C9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8" i="16"/>
  <c r="L20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N18" i="33" s="1"/>
  <c r="O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1" i="16" l="1"/>
  <c r="K21" i="16"/>
  <c r="K19" i="16"/>
  <c r="K19" i="15" s="1"/>
  <c r="L19" i="16"/>
  <c r="L17" i="16"/>
  <c r="L17" i="15" s="1"/>
  <c r="K17" i="16"/>
  <c r="K16" i="16"/>
  <c r="K16" i="15" s="1"/>
  <c r="L16" i="16"/>
  <c r="L16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<sst xmlns="http://schemas.openxmlformats.org/spreadsheetml/2006/main" count="1652" uniqueCount="123">
  <si>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</si>
  <si>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</si>
  <si>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</si>
  <si>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</si>
  <si>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</si>
  <si>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</si>
  <si>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</si>
  <si>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</si>
  <si>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</si>
  <si>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</si>
  <si>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</si>
  <si>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</si>
  <si>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</si>
  <si>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</si>
  <si>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</si>
  <si>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</si>
  <si>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</si>
  <si>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</si>
  <si>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</si>
  <si>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</si>
  <si>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</si>
  <si>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</si>
  <si>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</si>
  <si>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</si>
  <si>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</si>
  <si>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</si>
  <si>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</si>
  <si>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</si>
  <si>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</si>
  <si>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</si>
  <si>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</si>
  <si>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</si>
  <si>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</si>
  <si>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</si>
  <si>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</si>
  <si>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</si>
  <si>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</si>
  <si>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</si>
  <si>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</si>
  <si>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</si>
  <si>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</si>
  <si>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</si>
  <si>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</si>
  <si>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</si>
  <si>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</si>
  <si>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</si>
  <si>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</si>
  <si>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</si>
  <si>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</si>
  <si>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</si>
  <si>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</si>
  <si>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</si>
  <si>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</si>
  <si>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</si>
  <si>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</si>
  <si>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</si>
  <si>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</si>
  <si>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</si>
  <si>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</si>
  <si>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</si>
  <si>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</si>
  <si>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</si>
  <si>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</si>
  <si>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</si>
  <si>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</si>
  <si>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</si>
  <si>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</si>
  <si>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</si>
  <si>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</si>
  <si>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</si>
  <si>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</si>
  <si>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</si>
  <si>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</si>
  <si>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</si>
  <si>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</si>
  <si>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</si>
  <si>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</si>
  <si>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</si>
  <si>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</si>
  <si>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</si>
  <si>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</si>
  <si>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</si>
  <si>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</si>
  <si>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</si>
  <si>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</si>
  <si>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</si>
  <si>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</si>
  <si>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</si>
  <si>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</si>
  <si>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</si>
  <si>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</si>
  <si>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</si>
  <si>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</si>
  <si>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</si>
  <si>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</si>
  <si>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</si>
  <si>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</si>
  <si>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</si>
  <si>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</si>
  <si>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</si>
  <si>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</si>
  <si>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</si>
  <si>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</si>
  <si>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</si>
  <si>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</si>
  <si>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</si>
  <si>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</si>
  <si>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</si>
  <si>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</si>
  <si>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</si>
  <si>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</si>
  <si>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</si>
  <si>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</si>
  <si>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</si>
  <si>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</si>
  <si>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</si>
  <si>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</si>
  <si>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</si>
  <si>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Address: Punjab Society</t>
  </si>
  <si>
    <t xml:space="preserve">Customer Name : Askari Depsrtmental Store </t>
  </si>
  <si>
    <t>6397883-8</t>
  </si>
  <si>
    <t>Shop Bill Summary (Askari)</t>
  </si>
  <si>
    <t xml:space="preserve">Askari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</si>
</sst>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102</v>
      </c>
    </row>
    <row r="15" spans="1:2" x14ac:dyDescent="0.35">
      <c r="A15">
        <v>10</v>
      </c>
      <c r="B15" t="s">
        <v>103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5"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122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Askari Depsrtmental Store </v>
      </c>
      <c r="U14" s="163">
        <f>+'1'!P35</f>
        <v>20532.893177400001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1"/>
      <c r="J15" s="170" t="s">
        <v>78</v>
      </c>
      <c r="K15" s="170" t="s">
        <v>79</v>
      </c>
      <c r="L15" s="173" t="s">
        <v>80</v>
      </c>
      <c r="M15" s="22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Askari Depsrtmental Store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419.70000000000005</v>
      </c>
      <c r="M16" s="105">
        <f>I16-K16-L16</f>
        <v>3630.4049999999997</v>
      </c>
      <c r="N16" s="100">
        <f>+'1'!N16+'2'!N16+'4'!N16+'3'!N16+'5'!N16+'6'!N16+'7'!N16+'8'!N16+'9'!N16+'10'!N16</f>
        <v>653.47289999999998</v>
      </c>
      <c r="O16" s="100">
        <f>+'1'!O16+'2'!O16+'4'!O16+'3'!O16+'5'!O16+'6'!O16+'7'!O16+'8'!O16+'9'!O16+'10'!O16</f>
        <v>21.419389499999998</v>
      </c>
      <c r="P16" s="104">
        <f t="shared" ref="P16:P24" si="0">M16+N16+O16</f>
        <v>4305.2972894999994</v>
      </c>
      <c r="Q16" s="107"/>
      <c r="T16" s="162" t="str">
        <f>+'3'!A5</f>
        <v xml:space="preserve">Customer Name : Askari Depsrtmental Store 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3630.4049999999997</v>
      </c>
      <c r="N17" s="100">
        <f>+'1'!N17+'2'!N17+'4'!N17+'3'!N17+'5'!N17+'6'!N17+'7'!N17+'8'!N17+'9'!N17+'10'!N17</f>
        <v>653.47289999999998</v>
      </c>
      <c r="O17" s="100">
        <f>+'1'!O17+'2'!O17+'4'!O17+'3'!O17+'5'!O17+'6'!O17+'7'!O17+'8'!O17+'9'!O17+'10'!O17</f>
        <v>21.419389499999998</v>
      </c>
      <c r="P17" s="119">
        <f t="shared" si="0"/>
        <v>4305.2972894999994</v>
      </c>
      <c r="S17" s="64"/>
      <c r="T17" s="162" t="str">
        <f>+'4'!A5</f>
        <v xml:space="preserve">Customer Name : Askari Depsrtmental Store 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Askari Depsrtmental Store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203.39200000000002</v>
      </c>
      <c r="L19" s="174">
        <f>+'1'!L19+'2'!L19+'4'!L19+'3'!L19+'5'!L19+'6'!L19+'7'!L19+'8'!L19+'9'!L19+'10'!L19</f>
        <v>581.12</v>
      </c>
      <c r="M19" s="117">
        <f t="shared" si="2"/>
        <v>5026.6880000000001</v>
      </c>
      <c r="N19" s="100">
        <f>+'1'!N19+'2'!N19+'4'!N19+'3'!N19+'5'!N19+'6'!N19+'7'!N19+'8'!N19+'9'!N19+'10'!N19</f>
        <v>904.80384000000004</v>
      </c>
      <c r="O19" s="100">
        <f>+'1'!O19+'2'!O19+'4'!O19+'3'!O19+'5'!O19+'6'!O19+'7'!O19+'8'!O19+'9'!O19+'10'!O19</f>
        <v>29.657459200000005</v>
      </c>
      <c r="P19" s="119">
        <f t="shared" si="0"/>
        <v>5961.1492992000003</v>
      </c>
      <c r="T19" s="162" t="str">
        <f>+'6'!A5</f>
        <v xml:space="preserve">Customer Name : Askari Depsrtmental Store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 xml:space="preserve">Customer Name : Askari Depsrtmental Store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581.12</v>
      </c>
      <c r="M21" s="117">
        <f t="shared" si="2"/>
        <v>5026.6880000000001</v>
      </c>
      <c r="N21" s="100">
        <f>+'1'!N21+'2'!N21+'4'!N21+'3'!N21+'5'!N21+'6'!N21+'7'!N21+'8'!N21+'9'!N21+'10'!N21</f>
        <v>904.80384000000004</v>
      </c>
      <c r="O21" s="100">
        <f>+'1'!O21+'2'!O21+'4'!O21+'3'!O21+'5'!O21+'6'!O21+'7'!O21+'8'!O21+'9'!O21+'10'!O21</f>
        <v>29.657459200000005</v>
      </c>
      <c r="P21" s="119">
        <f t="shared" si="0"/>
        <v>5961.1492992000003</v>
      </c>
      <c r="T21" s="162" t="str">
        <f>+'8'!A5</f>
        <v xml:space="preserve">Customer Name : Askari Depsrtmental Store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Askari Depsrtmental Store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Askari Depsrtmental Store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Askari Depsrtmental Store </v>
      </c>
      <c r="U24" s="163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8</v>
      </c>
      <c r="D25" s="231"/>
      <c r="E25" s="231"/>
      <c r="F25" s="231"/>
      <c r="G25" s="175">
        <f t="shared" ref="G25:M25" si="3">SUM(G16:G24)</f>
        <v>0</v>
      </c>
      <c r="H25" s="176">
        <f t="shared" si="3"/>
        <v>320</v>
      </c>
      <c r="I25" s="177">
        <f t="shared" si="3"/>
        <v>20016.400000000001</v>
      </c>
      <c r="J25" s="176">
        <f t="shared" si="3"/>
        <v>0</v>
      </c>
      <c r="K25" s="177">
        <f t="shared" si="3"/>
        <v>700.57400000000007</v>
      </c>
      <c r="L25" s="178">
        <f t="shared" si="3"/>
        <v>2001.6399999999999</v>
      </c>
      <c r="M25" s="140">
        <f t="shared" si="3"/>
        <v>17314.186000000002</v>
      </c>
      <c r="N25" s="141">
        <f>SUM(N16:N24)</f>
        <v>3116.55348</v>
      </c>
      <c r="O25" s="142">
        <f>SUM(O16:O24)</f>
        <v>102.1536974</v>
      </c>
      <c r="P25" s="143">
        <f>SUM(P16:P24)</f>
        <v>20532.893177400001</v>
      </c>
      <c r="T25" s="162" t="str">
        <f>+'12'!A5</f>
        <v xml:space="preserve">Customer Name : Askari Depsrtmental Store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Askari Depsrtmental Store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Askari Depsrtmental Store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Askari Depsrtmental Store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Askari Depsrtmental Store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Askari Depsrtmental Store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Askari Depsrtmental Store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 xml:space="preserve">Customer Name : Askari Depsrtmental Store 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 xml:space="preserve">Customer Name : Askari Depsrtmental Store 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20532.893177400001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1">
        <f>I25</f>
        <v>20016.400000000001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2">
        <f>L25</f>
        <v>2001.6399999999999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3">
        <f>K25</f>
        <v>700.57400000000007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2">
        <f>P36-P37-P38</f>
        <v>17314.186000000002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4" t="s">
        <v>89</v>
      </c>
      <c r="O40" s="155">
        <f>IF(B12="Registered",18%,22%)</f>
        <v>0.22</v>
      </c>
      <c r="P40" s="152">
        <f>N25</f>
        <v>3116.55348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2">
        <f>P39+P40</f>
        <v>20430.73948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6"/>
      <c r="N42" s="157" t="s">
        <v>91</v>
      </c>
      <c r="O42" s="158">
        <f>IF(B11="Filer",0.5%,2.5%)</f>
        <v>2.5000000000000001E-2</v>
      </c>
      <c r="P42" s="152">
        <f>O42*P41</f>
        <v>510.76848700000005</v>
      </c>
    </row>
    <row r="43" spans="1:21" ht="15.75" customHeight="1" thickBot="1" x14ac:dyDescent="0.4">
      <c r="N43" s="229" t="s">
        <v>92</v>
      </c>
      <c r="O43" s="230"/>
      <c r="P43" s="159">
        <f>P41+P42</f>
        <v>20941.507967000001</v>
      </c>
    </row>
    <row r="44" spans="1:21" ht="15" thickBot="1" x14ac:dyDescent="0.4">
      <c r="B44" s="160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26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101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7" t="s">
        <v>120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115</v>
      </c>
      <c r="T14" s="263"/>
      <c r="U14" s="263"/>
      <c r="V14" s="263"/>
      <c r="W14" s="264" t="s">
        <v>117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107</v>
      </c>
      <c r="T15" s="184" t="s">
        <v>108</v>
      </c>
      <c r="U15" s="184" t="s">
        <v>112</v>
      </c>
      <c r="V15" s="184" t="s">
        <v>113</v>
      </c>
      <c r="W15" s="185" t="s">
        <v>107</v>
      </c>
      <c r="X15" s="185" t="s">
        <v>108</v>
      </c>
      <c r="Y15" s="185" t="s">
        <v>112</v>
      </c>
      <c r="Z15" s="185" t="s">
        <v>113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I16*10%</f>
        <v>419.70000000000005</v>
      </c>
      <c r="M16" s="105">
        <f>I16-K16-L16</f>
        <v>3630.4049999999997</v>
      </c>
      <c r="N16" s="105">
        <f t="shared" ref="N16:N24" si="0">(M16*$N$15)+(J16*F16)*$N$15</f>
        <v>653.47289999999998</v>
      </c>
      <c r="O16" s="106">
        <f t="shared" ref="O16:O24" si="1">(N16+M16)*$O$15</f>
        <v>21.419389499999998</v>
      </c>
      <c r="P16" s="104">
        <f t="shared" ref="P16:P24" si="2">M16+N16+O16</f>
        <v>4305.2972894999994</v>
      </c>
      <c r="Q16" s="107"/>
      <c r="S16" s="182" t="s">
        <v>104</v>
      </c>
      <c r="T16" s="182">
        <v>1697</v>
      </c>
      <c r="U16" s="182" t="s">
        <v>109</v>
      </c>
      <c r="V16" s="182">
        <f>T16/40</f>
        <v>42.424999999999997</v>
      </c>
      <c r="W16" s="186" t="s">
        <v>104</v>
      </c>
      <c r="X16" s="186">
        <v>1664</v>
      </c>
      <c r="Y16" s="186" t="s">
        <v>109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03">
        <f t="shared" ref="K17:K21" si="4">I17*3.5%</f>
        <v>146.89500000000001</v>
      </c>
      <c r="L17" s="104">
        <f t="shared" ref="L17:L21" si="5">I17*10%</f>
        <v>419.70000000000005</v>
      </c>
      <c r="M17" s="117">
        <f t="shared" ref="M17:M23" si="6">I17-K17-L17</f>
        <v>3630.4049999999997</v>
      </c>
      <c r="N17" s="117">
        <f t="shared" si="0"/>
        <v>653.47289999999998</v>
      </c>
      <c r="O17" s="118">
        <f t="shared" si="1"/>
        <v>21.419389499999998</v>
      </c>
      <c r="P17" s="119">
        <f t="shared" si="2"/>
        <v>4305.2972894999994</v>
      </c>
      <c r="S17" s="183" t="s">
        <v>106</v>
      </c>
      <c r="T17" s="182">
        <v>2322</v>
      </c>
      <c r="U17" s="182" t="s">
        <v>110</v>
      </c>
      <c r="V17" s="182">
        <f t="shared" ref="V17:V18" si="7">T17/40</f>
        <v>58.05</v>
      </c>
      <c r="W17" s="187" t="s">
        <v>106</v>
      </c>
      <c r="X17" s="186">
        <v>2277</v>
      </c>
      <c r="Y17" s="186" t="s">
        <v>110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105</v>
      </c>
      <c r="T18" s="182">
        <v>3216</v>
      </c>
      <c r="U18" s="182" t="s">
        <v>111</v>
      </c>
      <c r="V18" s="182">
        <f t="shared" si="7"/>
        <v>80.400000000000006</v>
      </c>
      <c r="W18" s="186" t="s">
        <v>105</v>
      </c>
      <c r="X18" s="186">
        <v>3153</v>
      </c>
      <c r="Y18" s="186" t="s">
        <v>111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581.12</v>
      </c>
      <c r="M19" s="117">
        <f t="shared" si="6"/>
        <v>5026.6880000000001</v>
      </c>
      <c r="N19" s="117">
        <f t="shared" si="0"/>
        <v>904.80384000000004</v>
      </c>
      <c r="O19" s="118">
        <f t="shared" si="1"/>
        <v>29.657459200000005</v>
      </c>
      <c r="P19" s="119">
        <f t="shared" si="2"/>
        <v>5961.1492992000003</v>
      </c>
      <c r="S19" s="265" t="s">
        <v>116</v>
      </c>
      <c r="T19" s="265"/>
      <c r="U19" s="265"/>
      <c r="V19" s="265"/>
      <c r="W19" s="266" t="s">
        <v>114</v>
      </c>
      <c r="X19" s="266"/>
      <c r="Y19" s="266"/>
      <c r="Z19" s="266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S20" s="184" t="s">
        <v>107</v>
      </c>
      <c r="T20" s="184" t="s">
        <v>108</v>
      </c>
      <c r="U20" s="184" t="s">
        <v>112</v>
      </c>
      <c r="V20" s="184" t="s">
        <v>113</v>
      </c>
      <c r="W20" s="184" t="s">
        <v>107</v>
      </c>
      <c r="X20" s="184" t="s">
        <v>108</v>
      </c>
      <c r="Y20" s="184" t="s">
        <v>112</v>
      </c>
      <c r="Z20" s="184" t="s">
        <v>113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581.12</v>
      </c>
      <c r="M21" s="117">
        <f t="shared" si="6"/>
        <v>5026.6880000000001</v>
      </c>
      <c r="N21" s="117">
        <f t="shared" si="0"/>
        <v>904.80384000000004</v>
      </c>
      <c r="O21" s="118">
        <f t="shared" si="1"/>
        <v>29.657459200000005</v>
      </c>
      <c r="P21" s="119">
        <f t="shared" si="2"/>
        <v>5961.1492992000003</v>
      </c>
      <c r="S21" s="188" t="s">
        <v>104</v>
      </c>
      <c r="T21" s="188">
        <v>1610</v>
      </c>
      <c r="U21" s="188" t="s">
        <v>109</v>
      </c>
      <c r="V21" s="188">
        <f>T21/40</f>
        <v>40.25</v>
      </c>
      <c r="W21" s="190" t="s">
        <v>104</v>
      </c>
      <c r="X21" s="190">
        <v>1642</v>
      </c>
      <c r="Y21" s="190" t="s">
        <v>109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106</v>
      </c>
      <c r="T22" s="188">
        <v>2202</v>
      </c>
      <c r="U22" s="188" t="s">
        <v>110</v>
      </c>
      <c r="V22" s="188">
        <f t="shared" ref="V22:V25" si="9">T22/40</f>
        <v>55.05</v>
      </c>
      <c r="W22" s="191" t="s">
        <v>106</v>
      </c>
      <c r="X22" s="190">
        <v>2246</v>
      </c>
      <c r="Y22" s="190" t="s">
        <v>110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105</v>
      </c>
      <c r="T23" s="188">
        <v>3216</v>
      </c>
      <c r="U23" s="188" t="s">
        <v>111</v>
      </c>
      <c r="V23" s="188">
        <f t="shared" si="9"/>
        <v>80.400000000000006</v>
      </c>
      <c r="W23" s="190" t="s">
        <v>105</v>
      </c>
      <c r="X23" s="190">
        <v>3216</v>
      </c>
      <c r="Y23" s="190" t="s">
        <v>110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105</v>
      </c>
      <c r="T24" s="188">
        <v>3216</v>
      </c>
      <c r="U24" s="188" t="s">
        <v>111</v>
      </c>
      <c r="V24" s="188">
        <f t="shared" si="9"/>
        <v>80.400000000000006</v>
      </c>
      <c r="W24" s="190"/>
      <c r="X24" s="190"/>
      <c r="Y24" s="190" t="s">
        <v>110</v>
      </c>
      <c r="Z24" s="190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13">SUM(G16:G24)</f>
        <v>0</v>
      </c>
      <c r="H25" s="135">
        <f t="shared" si="13"/>
        <v>320</v>
      </c>
      <c r="I25" s="136">
        <f t="shared" si="13"/>
        <v>20016.400000000001</v>
      </c>
      <c r="J25" s="137"/>
      <c r="K25" s="138">
        <f t="shared" si="13"/>
        <v>700.57400000000007</v>
      </c>
      <c r="L25" s="139">
        <f t="shared" si="13"/>
        <v>2001.6399999999999</v>
      </c>
      <c r="M25" s="140">
        <f t="shared" si="13"/>
        <v>17314.186000000002</v>
      </c>
      <c r="N25" s="141">
        <f>SUM(N16:N24)</f>
        <v>3116.55348</v>
      </c>
      <c r="O25" s="142">
        <f>SUM(O16:O24)</f>
        <v>102.1536974</v>
      </c>
      <c r="P25" s="143">
        <f>SUM(P16:P24)</f>
        <v>20532.893177400001</v>
      </c>
      <c r="S25" s="188" t="s">
        <v>105</v>
      </c>
      <c r="T25" s="188">
        <v>3216</v>
      </c>
      <c r="U25" s="188" t="s">
        <v>111</v>
      </c>
      <c r="V25" s="188">
        <f t="shared" si="9"/>
        <v>80.400000000000006</v>
      </c>
      <c r="W25" s="190" t="s">
        <v>105</v>
      </c>
      <c r="X25" s="190">
        <v>3110</v>
      </c>
      <c r="Y25" s="190" t="s">
        <v>111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20016.400000000001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2001.6399999999999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700.57400000000007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17314.186000000002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3116.55348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20430.73948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102.1536974</v>
      </c>
    </row>
    <row r="35" spans="2:16" ht="15.75" customHeight="1" thickBot="1" x14ac:dyDescent="0.4">
      <c r="N35" s="229" t="s">
        <v>92</v>
      </c>
      <c r="O35" s="230"/>
      <c r="P35" s="159">
        <f>P33+P34</f>
        <v>20532.893177400001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7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6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79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46222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2026-07-20T04:17:12Z</dcterms:modified>
</cp:coreProperties>
</file>