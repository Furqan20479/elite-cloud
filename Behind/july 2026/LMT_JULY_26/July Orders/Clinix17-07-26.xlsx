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44F409A-23CC-4BA8-AF55-15CFB9032894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4" sheetId="29" r:id="rId16"/>
    <sheet name="13" sheetId="28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9" l="1"/>
  <c r="L17" i="17"/>
  <c r="L18" i="17"/>
  <c r="L19" i="17"/>
  <c r="L20" i="17"/>
  <c r="L21" i="17"/>
  <c r="L18" i="19"/>
  <c r="L18" i="18"/>
  <c r="L18" i="20"/>
  <c r="L20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9"/>
  <c r="L18" i="29"/>
  <c r="L19" i="29"/>
  <c r="L20" i="29"/>
  <c r="L21" i="29"/>
  <c r="L17" i="28"/>
  <c r="L18" i="28"/>
  <c r="L19" i="28"/>
  <c r="L20" i="28"/>
  <c r="L21" i="28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21"/>
  <c r="L16" i="22"/>
  <c r="L16" i="23"/>
  <c r="L16" i="24"/>
  <c r="L16" i="25"/>
  <c r="L16" i="26"/>
  <c r="L16" i="27"/>
  <c r="L16" i="29"/>
  <c r="L16" i="28"/>
  <c r="L16" i="30"/>
  <c r="L16" i="31"/>
  <c r="L16" i="32"/>
  <c r="L16" i="33"/>
  <c r="L16" i="34"/>
  <c r="L16" i="35"/>
  <c r="L16" i="16"/>
  <c r="K17" i="16"/>
  <c r="K18" i="16"/>
  <c r="K19" i="16"/>
  <c r="K20" i="16"/>
  <c r="K21" i="16"/>
  <c r="K18" i="19"/>
  <c r="K18" i="18"/>
  <c r="K18" i="20"/>
  <c r="K20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9"/>
  <c r="K18" i="29"/>
  <c r="K19" i="29"/>
  <c r="K20" i="29"/>
  <c r="K21" i="29"/>
  <c r="K17" i="28"/>
  <c r="K18" i="28"/>
  <c r="K19" i="28"/>
  <c r="K20" i="28"/>
  <c r="K21" i="28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7"/>
  <c r="K18" i="17"/>
  <c r="K19" i="17"/>
  <c r="K20" i="17"/>
  <c r="K21" i="17"/>
  <c r="K16" i="16"/>
  <c r="K16" i="21"/>
  <c r="K16" i="22"/>
  <c r="K16" i="23"/>
  <c r="K16" i="24"/>
  <c r="K16" i="25"/>
  <c r="K16" i="26"/>
  <c r="K16" i="27"/>
  <c r="K16" i="29"/>
  <c r="K16" i="28"/>
  <c r="K16" i="30"/>
  <c r="K16" i="31"/>
  <c r="K16" i="32"/>
  <c r="K16" i="33"/>
  <c r="K16" i="34"/>
  <c r="K16" i="35"/>
  <c r="K16" i="17"/>
  <c r="R20" i="17"/>
  <c r="R19" i="17"/>
  <c r="S21" i="17"/>
  <c r="I17" i="17"/>
  <c r="H26" i="16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M17" i="35"/>
  <c r="M18" i="35"/>
  <c r="M19" i="35"/>
  <c r="M20" i="35"/>
  <c r="M21" i="35"/>
  <c r="K22" i="35"/>
  <c r="L22" i="35"/>
  <c r="M22" i="35"/>
  <c r="K23" i="35"/>
  <c r="L23" i="35"/>
  <c r="M23" i="35"/>
  <c r="K24" i="35"/>
  <c r="M24" i="35" s="1"/>
  <c r="L24" i="35"/>
  <c r="I25" i="34"/>
  <c r="P28" i="34" s="1"/>
  <c r="M16" i="34"/>
  <c r="M17" i="34"/>
  <c r="M18" i="34"/>
  <c r="M19" i="34"/>
  <c r="M20" i="34"/>
  <c r="M21" i="34"/>
  <c r="K22" i="34"/>
  <c r="M22" i="34" s="1"/>
  <c r="L22" i="34"/>
  <c r="K23" i="34"/>
  <c r="M23" i="34"/>
  <c r="L23" i="34"/>
  <c r="K24" i="34"/>
  <c r="L24" i="34"/>
  <c r="M24" i="34" s="1"/>
  <c r="M21" i="33"/>
  <c r="K22" i="33"/>
  <c r="L22" i="33"/>
  <c r="M22" i="33"/>
  <c r="M19" i="33"/>
  <c r="L25" i="33"/>
  <c r="P29" i="33" s="1"/>
  <c r="K23" i="33"/>
  <c r="M23" i="33" s="1"/>
  <c r="L23" i="33"/>
  <c r="M20" i="33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M17" i="32"/>
  <c r="M18" i="32"/>
  <c r="M19" i="32"/>
  <c r="M20" i="32"/>
  <c r="M21" i="32"/>
  <c r="K23" i="32"/>
  <c r="L23" i="32"/>
  <c r="M23" i="32" s="1"/>
  <c r="K22" i="32"/>
  <c r="L22" i="32"/>
  <c r="M22" i="32"/>
  <c r="M17" i="31"/>
  <c r="M19" i="31"/>
  <c r="M21" i="31"/>
  <c r="K22" i="31"/>
  <c r="M22" i="31"/>
  <c r="L22" i="31"/>
  <c r="K24" i="31"/>
  <c r="L24" i="31"/>
  <c r="M24" i="31" s="1"/>
  <c r="I25" i="31"/>
  <c r="P28" i="31" s="1"/>
  <c r="L25" i="31"/>
  <c r="P29" i="31" s="1"/>
  <c r="M18" i="31"/>
  <c r="M20" i="31"/>
  <c r="K23" i="31"/>
  <c r="M23" i="31"/>
  <c r="L23" i="31"/>
  <c r="M18" i="30"/>
  <c r="M20" i="30"/>
  <c r="M21" i="30"/>
  <c r="K23" i="30"/>
  <c r="L23" i="30"/>
  <c r="M23" i="30"/>
  <c r="I25" i="30"/>
  <c r="P28" i="30" s="1"/>
  <c r="M16" i="30"/>
  <c r="L25" i="30"/>
  <c r="P29" i="30" s="1"/>
  <c r="M17" i="30"/>
  <c r="M19" i="30"/>
  <c r="K22" i="30"/>
  <c r="M22" i="30"/>
  <c r="L22" i="30"/>
  <c r="K24" i="30"/>
  <c r="L24" i="30"/>
  <c r="M24" i="30"/>
  <c r="I25" i="29"/>
  <c r="P28" i="29" s="1"/>
  <c r="M16" i="29"/>
  <c r="M19" i="29"/>
  <c r="M21" i="29"/>
  <c r="K24" i="29"/>
  <c r="M24" i="29"/>
  <c r="L24" i="29"/>
  <c r="M17" i="29"/>
  <c r="M20" i="29"/>
  <c r="K22" i="29"/>
  <c r="M22" i="29" s="1"/>
  <c r="L22" i="29"/>
  <c r="M18" i="29"/>
  <c r="K23" i="29"/>
  <c r="M23" i="29" s="1"/>
  <c r="L23" i="29"/>
  <c r="I25" i="28"/>
  <c r="P28" i="28" s="1"/>
  <c r="M17" i="28"/>
  <c r="M18" i="28"/>
  <c r="M19" i="28"/>
  <c r="M20" i="28"/>
  <c r="M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P31" i="33" l="1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N22" i="32"/>
  <c r="O22" i="32" s="1"/>
  <c r="P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 s="1"/>
  <c r="N20" i="28"/>
  <c r="O20" i="28" s="1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J25" i="15"/>
  <c r="I25" i="27"/>
  <c r="P28" i="27" s="1"/>
  <c r="K22" i="27"/>
  <c r="L22" i="27"/>
  <c r="K23" i="27"/>
  <c r="M23" i="27" s="1"/>
  <c r="L23" i="27"/>
  <c r="K24" i="27"/>
  <c r="L24" i="27"/>
  <c r="M17" i="26"/>
  <c r="K22" i="26"/>
  <c r="L22" i="26"/>
  <c r="K23" i="26"/>
  <c r="L23" i="26"/>
  <c r="K24" i="26"/>
  <c r="L24" i="26"/>
  <c r="M24" i="26" s="1"/>
  <c r="I25" i="26"/>
  <c r="P28" i="26" s="1"/>
  <c r="T23" i="15"/>
  <c r="T22" i="15"/>
  <c r="T21" i="15"/>
  <c r="T20" i="15"/>
  <c r="T19" i="15"/>
  <c r="T18" i="15"/>
  <c r="T17" i="15"/>
  <c r="T16" i="15"/>
  <c r="T15" i="15"/>
  <c r="T14" i="15"/>
  <c r="P19" i="32" l="1"/>
  <c r="P21" i="30"/>
  <c r="P31" i="32"/>
  <c r="P31" i="35"/>
  <c r="P31" i="28"/>
  <c r="P31" i="29"/>
  <c r="P31" i="34"/>
  <c r="P17" i="31"/>
  <c r="P18" i="31"/>
  <c r="P21" i="29"/>
  <c r="P20" i="28"/>
  <c r="P18" i="29"/>
  <c r="P20" i="31"/>
  <c r="P21" i="31"/>
  <c r="P17" i="32"/>
  <c r="P17" i="33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L21" i="19" s="1"/>
  <c r="B21" i="19"/>
  <c r="C21" i="19" s="1"/>
  <c r="F20" i="19"/>
  <c r="E20" i="19"/>
  <c r="D20" i="19"/>
  <c r="I20" i="19" s="1"/>
  <c r="L20" i="19" s="1"/>
  <c r="B20" i="19"/>
  <c r="C20" i="19" s="1"/>
  <c r="F19" i="19"/>
  <c r="E19" i="19"/>
  <c r="D19" i="19"/>
  <c r="I19" i="19" s="1"/>
  <c r="L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1" i="18" l="1"/>
  <c r="L21" i="18"/>
  <c r="K21" i="19"/>
  <c r="K20" i="19"/>
  <c r="K19" i="19"/>
  <c r="P16" i="32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I16" i="21"/>
  <c r="I18" i="21"/>
  <c r="I20" i="21"/>
  <c r="I22" i="21"/>
  <c r="K22" i="21" s="1"/>
  <c r="I24" i="21"/>
  <c r="K24" i="21" s="1"/>
  <c r="I16" i="17"/>
  <c r="R21" i="17" s="1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I25" i="25"/>
  <c r="P28" i="25" s="1"/>
  <c r="K24" i="25"/>
  <c r="L24" i="25"/>
  <c r="L22" i="25"/>
  <c r="L23" i="25"/>
  <c r="K23" i="25"/>
  <c r="L23" i="24"/>
  <c r="K23" i="24"/>
  <c r="L23" i="23"/>
  <c r="K23" i="23"/>
  <c r="K22" i="22"/>
  <c r="L22" i="22"/>
  <c r="L23" i="22"/>
  <c r="K24" i="20"/>
  <c r="L24" i="20"/>
  <c r="K23" i="20"/>
  <c r="K24" i="19"/>
  <c r="L24" i="19"/>
  <c r="K22" i="19"/>
  <c r="L22" i="19"/>
  <c r="L23" i="19"/>
  <c r="K23" i="19"/>
  <c r="K22" i="18"/>
  <c r="M22" i="18" s="1"/>
  <c r="K24" i="18"/>
  <c r="M24" i="18" s="1"/>
  <c r="M18" i="18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0" l="1"/>
  <c r="L21" i="20"/>
  <c r="L19" i="20"/>
  <c r="K19" i="20"/>
  <c r="L17" i="20"/>
  <c r="K17" i="20"/>
  <c r="K16" i="20"/>
  <c r="L16" i="20"/>
  <c r="L20" i="18"/>
  <c r="K20" i="18"/>
  <c r="K19" i="18"/>
  <c r="L19" i="18"/>
  <c r="L25" i="18" s="1"/>
  <c r="P29" i="18" s="1"/>
  <c r="L17" i="18"/>
  <c r="K17" i="18"/>
  <c r="L16" i="18"/>
  <c r="K16" i="18"/>
  <c r="K17" i="19"/>
  <c r="K16" i="19"/>
  <c r="L24" i="17"/>
  <c r="M17" i="17"/>
  <c r="N17" i="17" s="1"/>
  <c r="O17" i="17" s="1"/>
  <c r="M20" i="17"/>
  <c r="N20" i="17" s="1"/>
  <c r="O20" i="17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4" i="21"/>
  <c r="M20" i="18"/>
  <c r="N20" i="18" s="1"/>
  <c r="O20" i="18" s="1"/>
  <c r="L24" i="24"/>
  <c r="L25" i="24" s="1"/>
  <c r="P29" i="24" s="1"/>
  <c r="L22" i="21"/>
  <c r="M16" i="20"/>
  <c r="N16" i="20" s="1"/>
  <c r="K25" i="19"/>
  <c r="P30" i="19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M16" i="23"/>
  <c r="N16" i="23" s="1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N18" i="22" s="1"/>
  <c r="O18" i="22" s="1"/>
  <c r="I25" i="21"/>
  <c r="P28" i="21" s="1"/>
  <c r="M22" i="21"/>
  <c r="N22" i="21" s="1"/>
  <c r="O22" i="21" s="1"/>
  <c r="M16" i="21"/>
  <c r="N16" i="21" s="1"/>
  <c r="L22" i="20"/>
  <c r="I25" i="20"/>
  <c r="P28" i="20" s="1"/>
  <c r="M20" i="19"/>
  <c r="N20" i="19" s="1"/>
  <c r="O20" i="19" s="1"/>
  <c r="M23" i="19"/>
  <c r="M19" i="19"/>
  <c r="N19" i="19" s="1"/>
  <c r="O19" i="19" s="1"/>
  <c r="M22" i="19"/>
  <c r="N22" i="19" s="1"/>
  <c r="O22" i="19" s="1"/>
  <c r="P22" i="19" s="1"/>
  <c r="I16" i="15"/>
  <c r="I17" i="15"/>
  <c r="I19" i="15"/>
  <c r="I20" i="15"/>
  <c r="I21" i="15"/>
  <c r="I22" i="15"/>
  <c r="I24" i="15"/>
  <c r="I16" i="16"/>
  <c r="I17" i="16"/>
  <c r="I18" i="16"/>
  <c r="I19" i="16"/>
  <c r="I20" i="16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7" i="24"/>
  <c r="O17" i="24" s="1"/>
  <c r="K25" i="24"/>
  <c r="P30" i="24" s="1"/>
  <c r="N24" i="22"/>
  <c r="O24" i="22" s="1"/>
  <c r="P24" i="22" s="1"/>
  <c r="L25" i="22"/>
  <c r="P29" i="22" s="1"/>
  <c r="M16" i="22"/>
  <c r="M21" i="21"/>
  <c r="N21" i="21" s="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M19" i="17" l="1"/>
  <c r="N19" i="17" s="1"/>
  <c r="O19" i="17" s="1"/>
  <c r="P19" i="17" s="1"/>
  <c r="M16" i="17"/>
  <c r="N16" i="17" s="1"/>
  <c r="L17" i="15"/>
  <c r="L23" i="15"/>
  <c r="L16" i="15"/>
  <c r="L25" i="23"/>
  <c r="P29" i="23" s="1"/>
  <c r="L25" i="20"/>
  <c r="P29" i="20" s="1"/>
  <c r="M16" i="19"/>
  <c r="N16" i="19" s="1"/>
  <c r="O16" i="19" s="1"/>
  <c r="K25" i="20"/>
  <c r="P30" i="20" s="1"/>
  <c r="K25" i="21"/>
  <c r="P30" i="21" s="1"/>
  <c r="L24" i="15"/>
  <c r="K25" i="18"/>
  <c r="P30" i="18" s="1"/>
  <c r="P31" i="18" s="1"/>
  <c r="M16" i="18"/>
  <c r="N16" i="18" s="1"/>
  <c r="K24" i="16"/>
  <c r="K24" i="15" s="1"/>
  <c r="M21" i="17"/>
  <c r="N21" i="17" s="1"/>
  <c r="O21" i="17" s="1"/>
  <c r="L20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M24" i="16"/>
  <c r="N24" i="16" s="1"/>
  <c r="K23" i="16"/>
  <c r="K19" i="15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M25" i="18"/>
  <c r="P22" i="18"/>
  <c r="P18" i="18"/>
  <c r="P17" i="17"/>
  <c r="P20" i="17"/>
  <c r="P24" i="17"/>
  <c r="P22" i="17"/>
  <c r="M22" i="16"/>
  <c r="N22" i="16" s="1"/>
  <c r="M25" i="19" l="1"/>
  <c r="P31" i="21"/>
  <c r="M24" i="15"/>
  <c r="M20" i="16"/>
  <c r="N20" i="16" s="1"/>
  <c r="N20" i="15" s="1"/>
  <c r="M16" i="15"/>
  <c r="M17" i="15"/>
  <c r="L25" i="16"/>
  <c r="P29" i="16" s="1"/>
  <c r="M18" i="16"/>
  <c r="N18" i="16" s="1"/>
  <c r="O18" i="16" s="1"/>
  <c r="P31" i="20"/>
  <c r="P31" i="23"/>
  <c r="P21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22" i="23"/>
  <c r="O25" i="23"/>
  <c r="M25" i="23"/>
  <c r="M19" i="15"/>
  <c r="N16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16" i="16"/>
  <c r="O20" i="16" l="1"/>
  <c r="O20" i="15" s="1"/>
  <c r="P20" i="15" s="1"/>
  <c r="P33" i="23"/>
  <c r="P34" i="23" s="1"/>
  <c r="P35" i="23" s="1"/>
  <c r="U21" i="15" s="1"/>
  <c r="P33" i="20"/>
  <c r="P34" i="20" s="1"/>
  <c r="P35" i="20" s="1"/>
  <c r="U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16" i="16"/>
  <c r="P22" i="15"/>
  <c r="P33" i="16" l="1"/>
  <c r="P34" i="16" s="1"/>
  <c r="P35" i="16" s="1"/>
  <c r="U14" i="15" s="1"/>
  <c r="P23" i="15"/>
  <c r="O25" i="16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G25" i="17"/>
  <c r="H18" i="17"/>
  <c r="H25" i="17" s="1"/>
  <c r="I18" i="17" l="1"/>
  <c r="H18" i="15"/>
  <c r="I18" i="15" l="1"/>
  <c r="H25" i="15"/>
  <c r="R16" i="17"/>
  <c r="I25" i="17"/>
  <c r="P28" i="17" s="1"/>
  <c r="K25" i="17" l="1"/>
  <c r="P30" i="17" s="1"/>
  <c r="K18" i="15"/>
  <c r="K25" i="15" s="1"/>
  <c r="P30" i="15" s="1"/>
  <c r="L25" i="17"/>
  <c r="P29" i="17" s="1"/>
  <c r="P31" i="17" s="1"/>
  <c r="R15" i="17"/>
  <c r="R17" i="17" s="1"/>
  <c r="L18" i="15"/>
  <c r="L25" i="15" s="1"/>
  <c r="P29" i="15" s="1"/>
  <c r="M18" i="17"/>
  <c r="I25" i="15"/>
  <c r="P28" i="15" s="1"/>
  <c r="P31" i="15" l="1"/>
  <c r="N18" i="17"/>
  <c r="M25" i="17"/>
  <c r="M18" i="15"/>
  <c r="N18" i="15" l="1"/>
  <c r="N25" i="15" s="1"/>
  <c r="P32" i="15" s="1"/>
  <c r="P33" i="15" s="1"/>
  <c r="O18" i="17"/>
  <c r="N25" i="17"/>
  <c r="P32" i="17" s="1"/>
  <c r="P33" i="17" s="1"/>
  <c r="P18" i="17"/>
  <c r="P25" i="17" s="1"/>
  <c r="M25" i="15"/>
  <c r="P34" i="17" l="1"/>
  <c r="P35" i="17" s="1"/>
  <c r="U15" i="15" s="1"/>
  <c r="U26" i="15" s="1"/>
  <c r="O25" i="17"/>
  <c r="O18" i="15"/>
  <c r="O25" i="15" s="1"/>
  <c r="P34" i="15"/>
  <c r="P35" i="15" s="1"/>
  <c r="P18" i="15" l="1"/>
  <c r="P25" i="15" s="1"/>
</calcChain>
</file>

<file path=xl/sharedStrings.xml><?xml version="1.0" encoding="utf-8"?>
<sst xmlns="http://schemas.openxmlformats.org/spreadsheetml/2006/main" count="1585" uniqueCount="113">
  <si>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</si>
  <si>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</si>
  <si>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</si>
  <si>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</si>
  <si>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</si>
  <si>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</si>
  <si>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</si>
  <si>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</si>
  <si>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</si>
  <si>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</si>
  <si>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</si>
  <si>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</si>
  <si>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</si>
  <si>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</si>
  <si>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</si>
  <si>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</si>
  <si>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</si>
  <si>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</si>
  <si>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</si>
  <si>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</si>
  <si>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</si>
  <si>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</si>
  <si>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</si>
  <si>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</si>
  <si>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</si>
  <si>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</si>
  <si>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</si>
  <si>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</si>
  <si>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</si>
  <si>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</si>
  <si>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</si>
  <si>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</si>
  <si>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</si>
  <si>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</si>
  <si>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</si>
  <si>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</si>
  <si>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</si>
  <si>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</si>
  <si>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</si>
  <si>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</si>
  <si>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</si>
  <si>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</si>
  <si>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</si>
  <si>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</si>
  <si>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</si>
  <si>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</si>
  <si>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</si>
  <si>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</si>
  <si>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</si>
  <si>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</si>
  <si>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</si>
  <si>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</si>
  <si>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</si>
  <si>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</si>
  <si>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</si>
  <si>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</si>
  <si>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</si>
  <si>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</si>
  <si>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</si>
  <si>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</si>
  <si>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</si>
  <si>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</si>
  <si>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</si>
  <si>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</si>
  <si>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</si>
  <si>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</si>
  <si>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</si>
  <si>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</si>
  <si>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</si>
  <si>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</si>
  <si>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</si>
  <si>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</si>
  <si>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</si>
  <si>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</si>
  <si>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</si>
  <si>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</si>
  <si>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</si>
  <si>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</si>
  <si>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</si>
  <si>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</si>
  <si>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</si>
  <si>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</si>
  <si>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</si>
  <si>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</si>
  <si>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</si>
  <si>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</si>
  <si>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</si>
  <si>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</si>
  <si>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</si>
  <si>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</si>
  <si>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</si>
  <si>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</si>
  <si>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</si>
  <si>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</si>
  <si>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</si>
  <si>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</si>
  <si>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</si>
  <si>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</si>
  <si>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</si>
  <si>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</si>
  <si>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</si>
  <si>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</si>
  <si>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</si>
  <si>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</si>
  <si>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150979-9</t>
  </si>
  <si>
    <t xml:space="preserve">Address: Multan Road Near Ever New </t>
  </si>
  <si>
    <t>Customer Name : Clinix Central Warehouse</t>
  </si>
  <si>
    <t>qty * size * Tp rate + qty * TP rate</t>
  </si>
  <si>
    <t>Gross Amount</t>
  </si>
  <si>
    <t>Gross * % / 100</t>
  </si>
  <si>
    <t xml:space="preserve">% lgany ka treeka </t>
  </si>
  <si>
    <t>gross / % *100</t>
  </si>
  <si>
    <t xml:space="preserve">Janna hai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</si>
</sst>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Q25" sqref="Q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4" zoomScale="70" zoomScaleNormal="70" workbookViewId="0">
      <selection activeCell="Q25" sqref="Q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99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Clinix Central Warehouse</v>
      </c>
      <c r="U14" s="163">
        <f>+'1'!P35</f>
        <v>121979.79672029999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Clinix Central Warehouse</v>
      </c>
      <c r="U15" s="163">
        <f>+'2'!P35</f>
        <v>106562.85064605001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</f>
        <v>718</v>
      </c>
      <c r="I16" s="1">
        <f>(G16*D16)*F16+H16*F16</f>
        <v>37668.074999999997</v>
      </c>
      <c r="J16" s="171">
        <f>+'1'!J16+'2'!J16+'4'!J16+'3'!J16+'5'!J16+'6'!J16+'7'!J16+'8'!J16+'9'!J16+'10'!J16+'11'!J16+'12'!J16</f>
        <v>0</v>
      </c>
      <c r="K16" s="171">
        <f>+'1'!K16+'2'!K16+'4'!K16+'3'!K16+'5'!K16+'6'!K16+'7'!K16+'8'!K16+'9'!K16+'10'!K16</f>
        <v>1318.3826250000002</v>
      </c>
      <c r="L16" s="174">
        <f>+'1'!L16+'2'!L16+'4'!L16+'3'!L16+'5'!L16+'6'!L16+'7'!L16+'8'!L16+'9'!L16+'10'!L16</f>
        <v>3013.4459999999999</v>
      </c>
      <c r="M16" s="105">
        <f>I16-K16-L16</f>
        <v>33336.246375000002</v>
      </c>
      <c r="N16" s="100">
        <f>+'1'!N16+'2'!N16+'4'!N16+'3'!N16+'5'!N16+'6'!N16+'7'!N16+'8'!N16+'9'!N16+'10'!N16</f>
        <v>6000.5243474999997</v>
      </c>
      <c r="O16" s="100">
        <f>+'1'!O16+'2'!O16+'4'!O16+'3'!O16+'5'!O16+'6'!O16+'7'!O16+'8'!O16+'9'!O16+'10'!O16</f>
        <v>196.6838536125</v>
      </c>
      <c r="P16" s="104">
        <f t="shared" ref="P16:P24" si="0">M16+N16+O16</f>
        <v>39533.454576112505</v>
      </c>
      <c r="Q16" s="107"/>
      <c r="T16" s="162" t="str">
        <f>+'4'!A5</f>
        <v>Customer Name : Clinix Central Warehouse</v>
      </c>
      <c r="U16" s="163">
        <f>+'4'!P35</f>
        <v>62853.428735550013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</f>
        <v>837</v>
      </c>
      <c r="I17" s="1">
        <f t="shared" ref="I17:I23" si="1">(G17*D17)*F17+H17*F17</f>
        <v>43911.112499999996</v>
      </c>
      <c r="J17" s="171">
        <f>+'1'!J17+'2'!J17+'4'!J17+'3'!J17+'5'!J17+'6'!J17+'7'!J17+'8'!J17+'9'!J17+'10'!J17+'11'!J17+'12'!J17</f>
        <v>0</v>
      </c>
      <c r="K17" s="171">
        <f>+'1'!K17+'2'!K17+'4'!K17+'3'!K17+'5'!K17+'6'!K17+'7'!K17+'8'!K17+'9'!K17+'10'!K17</f>
        <v>1536.8889375000001</v>
      </c>
      <c r="L17" s="174">
        <f>+'1'!L17+'2'!L17+'4'!L17+'3'!L17+'5'!L17+'6'!L17+'7'!L17+'8'!L17+'9'!L17+'10'!L17</f>
        <v>3512.8889999999997</v>
      </c>
      <c r="M17" s="117">
        <f t="shared" ref="M17:M23" si="2">I17-K17-L17</f>
        <v>38861.334562499993</v>
      </c>
      <c r="N17" s="100">
        <f>+'1'!N17+'2'!N17+'4'!N17+'3'!N17+'5'!N17+'6'!N17+'7'!N17+'8'!N17+'9'!N17+'10'!N17</f>
        <v>6995.0402212499994</v>
      </c>
      <c r="O17" s="100">
        <f>+'1'!O17+'2'!O17+'4'!O17+'3'!O17+'5'!O17+'6'!O17+'7'!O17+'8'!O17+'9'!O17+'10'!O17</f>
        <v>229.28187391874999</v>
      </c>
      <c r="P17" s="119">
        <f t="shared" si="0"/>
        <v>46085.65665766874</v>
      </c>
      <c r="S17" s="64"/>
      <c r="T17" s="162" t="str">
        <f>+'3'!A5</f>
        <v>Customer Name : Clinix Central Warehouse</v>
      </c>
      <c r="U17" s="163">
        <f>+'3'!P35</f>
        <v>35598.601687331262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</f>
        <v>240</v>
      </c>
      <c r="I18" s="1">
        <f t="shared" si="1"/>
        <v>12591</v>
      </c>
      <c r="J18" s="171">
        <f>+'1'!J18+'2'!J18+'4'!J18+'3'!J18+'5'!J18+'6'!J18+'7'!J18+'8'!J18+'9'!J18+'10'!J18+'11'!J18+'12'!J18</f>
        <v>0</v>
      </c>
      <c r="K18" s="171">
        <f>+'1'!K18+'2'!K18+'4'!K18+'3'!K18+'5'!K18+'6'!K18+'7'!K18+'8'!K18+'9'!K18+'10'!K18</f>
        <v>440.68500000000006</v>
      </c>
      <c r="L18" s="174">
        <f>+'1'!L18+'2'!L18+'4'!L18+'3'!L18+'5'!L18+'6'!L18+'7'!L18+'8'!L18+'9'!L18+'10'!L18</f>
        <v>1007.28</v>
      </c>
      <c r="M18" s="117">
        <f t="shared" si="2"/>
        <v>11143.035</v>
      </c>
      <c r="N18" s="100">
        <f>+'1'!N18+'2'!N18+'4'!N18+'3'!N18+'5'!N18+'6'!N18+'7'!N18+'8'!N18+'9'!N18+'10'!N18</f>
        <v>2005.7462999999998</v>
      </c>
      <c r="O18" s="100">
        <f>+'1'!O18+'2'!O18+'4'!O18+'3'!O18+'5'!O18+'6'!O18+'7'!O18+'8'!O18+'9'!O18+'10'!O18</f>
        <v>65.743906499999994</v>
      </c>
      <c r="P18" s="119">
        <f t="shared" si="0"/>
        <v>13214.525206499999</v>
      </c>
      <c r="T18" s="162" t="str">
        <f>+'5'!A5</f>
        <v>Customer Name : Clinix Central Warehouse</v>
      </c>
      <c r="U18" s="163">
        <f>+'5'!P35</f>
        <v>48961.332448649999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</f>
        <v>959</v>
      </c>
      <c r="I19" s="1">
        <f t="shared" si="1"/>
        <v>69661.759999999995</v>
      </c>
      <c r="J19" s="171">
        <f>+'1'!J19+'2'!J19+'4'!J19+'3'!J19+'5'!J19+'6'!J19+'7'!J19+'8'!J19+'9'!J19+'10'!J19+'11'!J19+'12'!J19</f>
        <v>0</v>
      </c>
      <c r="K19" s="171">
        <f>+'1'!K19+'2'!K19+'4'!K19+'3'!K19+'5'!K19+'6'!K19+'7'!K19+'8'!K19+'9'!K19+'10'!K19</f>
        <v>2438.1616000000004</v>
      </c>
      <c r="L19" s="174">
        <f>+'1'!L19+'2'!L19+'4'!L19+'3'!L19+'5'!L19+'6'!L19+'7'!L19+'8'!L19+'9'!L19+'10'!L19</f>
        <v>5572.9408000000003</v>
      </c>
      <c r="M19" s="117">
        <f t="shared" si="2"/>
        <v>61650.657599999991</v>
      </c>
      <c r="N19" s="100">
        <f>+'1'!N19+'2'!N19+'4'!N19+'3'!N19+'5'!N19+'6'!N19+'7'!N19+'8'!N19+'9'!N19+'10'!N19</f>
        <v>11097.118367999999</v>
      </c>
      <c r="O19" s="100">
        <f>+'1'!O19+'2'!O19+'4'!O19+'3'!O19+'5'!O19+'6'!O19+'7'!O19+'8'!O19+'9'!O19+'10'!O19</f>
        <v>363.73887983999998</v>
      </c>
      <c r="P19" s="119">
        <f t="shared" si="0"/>
        <v>73111.514847839993</v>
      </c>
      <c r="T19" s="162" t="str">
        <f>+'6'!A5</f>
        <v>Customer Name : Clinix Central Warehouse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</f>
        <v>758</v>
      </c>
      <c r="I20" s="1">
        <f t="shared" si="1"/>
        <v>55061.120000000003</v>
      </c>
      <c r="J20" s="171">
        <f>+'1'!J20+'2'!J20+'4'!J20+'3'!J20+'5'!J20+'6'!J20+'7'!J20+'8'!J20+'9'!J20+'10'!J20+'11'!J20+'12'!J20</f>
        <v>0</v>
      </c>
      <c r="K20" s="171">
        <f>+'1'!K20+'2'!K20+'4'!K20+'3'!K20+'5'!K20+'6'!K20+'7'!K20+'8'!K20+'9'!K20+'10'!K20</f>
        <v>1927.1392000000003</v>
      </c>
      <c r="L20" s="174">
        <f>+'1'!L20+'2'!L20+'4'!L20+'3'!L20+'5'!L20+'6'!L20+'7'!L20+'8'!L20+'9'!L20+'10'!L20</f>
        <v>4404.8896000000004</v>
      </c>
      <c r="M20" s="117">
        <f t="shared" si="2"/>
        <v>48729.091200000003</v>
      </c>
      <c r="N20" s="100">
        <f>+'1'!N20+'2'!N20+'4'!N20+'3'!N20+'5'!N20+'6'!N20+'7'!N20+'8'!N20+'9'!N20+'10'!N20</f>
        <v>8771.2364159999997</v>
      </c>
      <c r="O20" s="100">
        <f>+'1'!O20+'2'!O20+'4'!O20+'3'!O20+'5'!O20+'6'!O20+'7'!O20+'8'!O20+'9'!O20+'10'!O20</f>
        <v>287.50163808000002</v>
      </c>
      <c r="P20" s="119">
        <f t="shared" si="0"/>
        <v>57787.829254080003</v>
      </c>
      <c r="T20" s="162" t="str">
        <f>+'7'!A5</f>
        <v>Customer Name : Clinix Central Warehouse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</f>
        <v>1918</v>
      </c>
      <c r="I21" s="1">
        <f t="shared" si="1"/>
        <v>139323.51999999999</v>
      </c>
      <c r="J21" s="171">
        <f>+'1'!J21+'2'!J21+'4'!J21+'3'!J21+'5'!J21+'6'!J21+'7'!J21+'8'!J21+'9'!J21+'10'!J21+'11'!J21+'12'!J21</f>
        <v>0</v>
      </c>
      <c r="K21" s="171">
        <f>+'1'!K21+'2'!K21+'4'!K21+'3'!K21+'5'!K21+'6'!K21+'7'!K21+'8'!K21+'9'!K21+'10'!K21</f>
        <v>4876.3232000000007</v>
      </c>
      <c r="L21" s="174">
        <f>+'1'!L21+'2'!L21+'4'!L21+'3'!L21+'5'!L21+'6'!L21+'7'!L21+'8'!L21+'9'!L21+'10'!L21</f>
        <v>11145.881600000001</v>
      </c>
      <c r="M21" s="117">
        <f t="shared" si="2"/>
        <v>123301.31519999998</v>
      </c>
      <c r="N21" s="100">
        <f>+'1'!N21+'2'!N21+'4'!N21+'3'!N21+'5'!N21+'6'!N21+'7'!N21+'8'!N21+'9'!N21+'10'!N21</f>
        <v>22194.236735999999</v>
      </c>
      <c r="O21" s="100">
        <f>+'1'!O21+'2'!O21+'4'!O21+'3'!O21+'5'!O21+'6'!O21+'7'!O21+'8'!O21+'9'!O21+'10'!O21</f>
        <v>727.47775968000008</v>
      </c>
      <c r="P21" s="119">
        <f t="shared" si="0"/>
        <v>146223.02969567999</v>
      </c>
      <c r="T21" s="162" t="str">
        <f>+'8'!A5</f>
        <v>Customer Name : Clinix Central Warehouse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</f>
        <v>0</v>
      </c>
      <c r="I22" s="1">
        <f t="shared" si="1"/>
        <v>0</v>
      </c>
      <c r="J22" s="171">
        <f>+'1'!J22+'2'!J22+'4'!J22+'3'!J22+'5'!J22+'6'!J22+'7'!J22+'8'!J22+'9'!J22+'10'!J22+'11'!J22+'12'!J22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Clinix Central Warehouse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</f>
        <v>0</v>
      </c>
      <c r="I23" s="1">
        <f t="shared" si="1"/>
        <v>0</v>
      </c>
      <c r="J23" s="171">
        <f>+'1'!J23+'2'!J23+'4'!J23+'3'!J23+'5'!J23+'6'!J23+'7'!J23+'8'!J23+'9'!J23+'10'!J23+'11'!J23+'12'!J23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Clinix Central Warehouse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</f>
        <v>0</v>
      </c>
      <c r="I24" s="1">
        <f>(G24*D24)*F24+H24*F24</f>
        <v>0</v>
      </c>
      <c r="J24" s="171">
        <f>+'1'!J24+'2'!J24+'4'!J24+'3'!J24+'5'!J24+'6'!J24+'7'!J24+'8'!J24+'9'!J24+'10'!J24+'11'!J24+'12'!J24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Clinix Central Warehouse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/>
      <c r="D25" s="206"/>
      <c r="E25" s="206"/>
      <c r="F25" s="206"/>
      <c r="G25" s="175">
        <f t="shared" ref="G25:M25" si="3">SUM(G16:G24)</f>
        <v>0</v>
      </c>
      <c r="H25" s="176">
        <f t="shared" si="3"/>
        <v>5430</v>
      </c>
      <c r="I25" s="177">
        <f t="shared" si="3"/>
        <v>358216.58750000002</v>
      </c>
      <c r="J25" s="176">
        <f t="shared" si="3"/>
        <v>0</v>
      </c>
      <c r="K25" s="177">
        <f t="shared" si="3"/>
        <v>12537.580562500003</v>
      </c>
      <c r="L25" s="178">
        <f t="shared" si="3"/>
        <v>28657.326999999997</v>
      </c>
      <c r="M25" s="140">
        <f t="shared" si="3"/>
        <v>317021.67993749998</v>
      </c>
      <c r="N25" s="141">
        <f>SUM(N16:N24)</f>
        <v>57063.902388750001</v>
      </c>
      <c r="O25" s="142">
        <f>SUM(O16:O24)</f>
        <v>1870.42791163125</v>
      </c>
      <c r="P25" s="143">
        <f>SUM(P16:P24)</f>
        <v>375956.01023788122</v>
      </c>
      <c r="T25" s="162" t="str">
        <f>+'12'!A5</f>
        <v>Customer Name : Clinix Central Warehouse</v>
      </c>
      <c r="U25" s="163">
        <f>+'12'!P35</f>
        <v>0</v>
      </c>
    </row>
    <row r="26" spans="1:21 16384:16384" ht="26.5" thickBot="1" x14ac:dyDescent="0.6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  <c r="T26" s="165" t="s">
        <v>84</v>
      </c>
      <c r="U26" s="164">
        <f>SUM(U14:U25)</f>
        <v>375956.01023788127</v>
      </c>
    </row>
    <row r="27" spans="1:21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1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358216.58750000002</v>
      </c>
    </row>
    <row r="29" spans="1:21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28657.326999999997</v>
      </c>
    </row>
    <row r="30" spans="1:21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12537.580562500003</v>
      </c>
    </row>
    <row r="31" spans="1:21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317021.67993750004</v>
      </c>
    </row>
    <row r="32" spans="1:21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57063.902388750001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374085.58232625003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9352.139558156252</v>
      </c>
    </row>
    <row r="35" spans="2:16" ht="15.75" customHeight="1" thickBot="1" x14ac:dyDescent="0.4">
      <c r="N35" s="204" t="s">
        <v>92</v>
      </c>
      <c r="O35" s="205"/>
      <c r="P35" s="159">
        <f>P33+P34</f>
        <v>383437.72188440629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240</v>
      </c>
      <c r="I16" s="101">
        <f>(G16*D16)*F16+H16*F16</f>
        <v>12591</v>
      </c>
      <c r="J16" s="102"/>
      <c r="K16" s="103">
        <f>I16*3.5%</f>
        <v>440.68500000000006</v>
      </c>
      <c r="L16" s="104">
        <f>I16*8%</f>
        <v>1007.28</v>
      </c>
      <c r="M16" s="105">
        <f>I16-K16-L16</f>
        <v>11143.035</v>
      </c>
      <c r="N16" s="105">
        <f t="shared" ref="N16:N24" si="0">(M16*$N$15)+(J16*F16)*$N$15</f>
        <v>2005.7462999999998</v>
      </c>
      <c r="O16" s="106">
        <f t="shared" ref="O16:O24" si="1">(N16+M16)*$O$15</f>
        <v>65.743906499999994</v>
      </c>
      <c r="P16" s="104">
        <f t="shared" ref="P16:P24" si="2">M16+N16+O16</f>
        <v>13214.525206499999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240</v>
      </c>
      <c r="I17" s="115">
        <f t="shared" ref="I17:I23" si="3">(G17*D17)*F17+H17*F17</f>
        <v>12591</v>
      </c>
      <c r="J17" s="116"/>
      <c r="K17" s="103">
        <f t="shared" ref="K17:K21" si="4">I17*3.5%</f>
        <v>440.68500000000006</v>
      </c>
      <c r="L17" s="104">
        <f t="shared" ref="L17:L21" si="5">I17*8%</f>
        <v>1007.28</v>
      </c>
      <c r="M17" s="117">
        <f t="shared" ref="M17:M23" si="6">I17-K17-L17</f>
        <v>11143.035</v>
      </c>
      <c r="N17" s="117">
        <f t="shared" si="0"/>
        <v>2005.7462999999998</v>
      </c>
      <c r="O17" s="118">
        <f t="shared" si="1"/>
        <v>65.743906499999994</v>
      </c>
      <c r="P17" s="119">
        <f t="shared" si="2"/>
        <v>13214.525206499999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240</v>
      </c>
      <c r="I18" s="115">
        <f t="shared" si="3"/>
        <v>12591</v>
      </c>
      <c r="J18" s="116"/>
      <c r="K18" s="103">
        <f t="shared" si="4"/>
        <v>440.68500000000006</v>
      </c>
      <c r="L18" s="104">
        <f t="shared" si="5"/>
        <v>1007.28</v>
      </c>
      <c r="M18" s="117">
        <f t="shared" si="6"/>
        <v>11143.035</v>
      </c>
      <c r="N18" s="117">
        <f t="shared" si="0"/>
        <v>2005.7462999999998</v>
      </c>
      <c r="O18" s="118">
        <f t="shared" si="1"/>
        <v>65.743906499999994</v>
      </c>
      <c r="P18" s="119">
        <f t="shared" si="2"/>
        <v>13214.525206499999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240</v>
      </c>
      <c r="I19" s="115">
        <f t="shared" si="3"/>
        <v>17433.599999999999</v>
      </c>
      <c r="J19" s="116"/>
      <c r="K19" s="103">
        <f t="shared" si="4"/>
        <v>610.17600000000004</v>
      </c>
      <c r="L19" s="104">
        <f t="shared" si="5"/>
        <v>1394.6879999999999</v>
      </c>
      <c r="M19" s="117">
        <f t="shared" si="6"/>
        <v>15428.735999999999</v>
      </c>
      <c r="N19" s="117">
        <f t="shared" si="0"/>
        <v>2777.1724799999997</v>
      </c>
      <c r="O19" s="118">
        <f t="shared" si="1"/>
        <v>91.029542399999997</v>
      </c>
      <c r="P19" s="119">
        <f t="shared" si="2"/>
        <v>18296.938022399998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240</v>
      </c>
      <c r="I20" s="115">
        <f t="shared" si="3"/>
        <v>17433.599999999999</v>
      </c>
      <c r="J20" s="116"/>
      <c r="K20" s="103">
        <f t="shared" si="4"/>
        <v>610.17600000000004</v>
      </c>
      <c r="L20" s="104">
        <f t="shared" si="5"/>
        <v>1394.6879999999999</v>
      </c>
      <c r="M20" s="117">
        <f t="shared" si="6"/>
        <v>15428.735999999999</v>
      </c>
      <c r="N20" s="117">
        <f t="shared" si="0"/>
        <v>2777.1724799999997</v>
      </c>
      <c r="O20" s="118">
        <f t="shared" si="1"/>
        <v>91.029542399999997</v>
      </c>
      <c r="P20" s="119">
        <f t="shared" si="2"/>
        <v>18296.938022399998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600</v>
      </c>
      <c r="I21" s="115">
        <f t="shared" si="3"/>
        <v>43584</v>
      </c>
      <c r="J21" s="116"/>
      <c r="K21" s="103">
        <f t="shared" si="4"/>
        <v>1525.44</v>
      </c>
      <c r="L21" s="104">
        <f t="shared" si="5"/>
        <v>3486.7200000000003</v>
      </c>
      <c r="M21" s="117">
        <f t="shared" si="6"/>
        <v>38571.839999999997</v>
      </c>
      <c r="N21" s="117">
        <f t="shared" si="0"/>
        <v>6942.9311999999991</v>
      </c>
      <c r="O21" s="118">
        <f t="shared" si="1"/>
        <v>227.57385599999998</v>
      </c>
      <c r="P21" s="119">
        <f t="shared" si="2"/>
        <v>45742.345055999998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1800</v>
      </c>
      <c r="I25" s="136">
        <f t="shared" si="9"/>
        <v>116224.2</v>
      </c>
      <c r="J25" s="137"/>
      <c r="K25" s="138">
        <f t="shared" si="9"/>
        <v>4067.8470000000002</v>
      </c>
      <c r="L25" s="139">
        <f t="shared" si="9"/>
        <v>9297.9360000000015</v>
      </c>
      <c r="M25" s="140">
        <f t="shared" si="9"/>
        <v>102858.41699999999</v>
      </c>
      <c r="N25" s="141">
        <f>SUM(N16:N24)</f>
        <v>18514.515059999998</v>
      </c>
      <c r="O25" s="142">
        <f>SUM(O16:O24)</f>
        <v>606.86466029999997</v>
      </c>
      <c r="P25" s="143">
        <f>SUM(P16:P24)</f>
        <v>121979.79672029999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45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116224.2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9297.9360000000015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4067.8470000000002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102858.417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18514.515059999998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121372.93205999999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606.86466029999997</v>
      </c>
    </row>
    <row r="35" spans="2:16" ht="15.75" customHeight="1" thickBot="1" x14ac:dyDescent="0.4">
      <c r="N35" s="204" t="s">
        <v>92</v>
      </c>
      <c r="O35" s="205"/>
      <c r="P35" s="159">
        <f>P33+P34</f>
        <v>121979.79672029999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5.81640625" bestFit="1" customWidth="1"/>
    <col min="14" max="14" width="5.81640625" style="69" bestFit="1" customWidth="1"/>
    <col min="15" max="15" width="6.36328125" bestFit="1" customWidth="1"/>
    <col min="16" max="16" width="8.36328125" bestFit="1" customWidth="1"/>
    <col min="17" max="17" width="6.36328125" bestFit="1" customWidth="1"/>
    <col min="18" max="18" width="9.36328125" bestFit="1" customWidth="1"/>
  </cols>
  <sheetData>
    <row r="2" spans="1:20 16383:16384" ht="21" x14ac:dyDescent="0.5">
      <c r="A2" s="246" t="s">
        <v>45</v>
      </c>
      <c r="B2" s="246"/>
      <c r="C2" s="246"/>
    </row>
    <row r="3" spans="1:20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0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0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20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20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0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0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0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0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0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20 16383:16384" ht="15" thickBot="1" x14ac:dyDescent="0.4">
      <c r="A13" s="229"/>
      <c r="B13" s="167">
        <v>3520247902365</v>
      </c>
      <c r="J13" s="78"/>
      <c r="K13" s="78"/>
      <c r="L13" s="79">
        <v>0.05</v>
      </c>
      <c r="XFD13" t="s">
        <v>63</v>
      </c>
    </row>
    <row r="14" spans="1:20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79"/>
      <c r="S14" s="179"/>
      <c r="T14" s="179"/>
      <c r="XFD14" t="s">
        <v>75</v>
      </c>
    </row>
    <row r="15" spans="1:20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Q15" s="2"/>
      <c r="R15" s="107">
        <f>SUM(L16:L21)</f>
        <v>8122.7759999999998</v>
      </c>
      <c r="S15" s="107"/>
      <c r="XFD15" t="s">
        <v>81</v>
      </c>
    </row>
    <row r="16" spans="1:20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I16*8%</f>
        <v>671.52</v>
      </c>
      <c r="M16" s="105">
        <f>I16-K16-L16</f>
        <v>7428.6900000000005</v>
      </c>
      <c r="N16" s="105">
        <f t="shared" ref="N16:N24" si="0">(M16*$N$15)+(J16*F16)*$N$15</f>
        <v>1337.1641999999999</v>
      </c>
      <c r="O16" s="106">
        <f>(N16+M16)*$O$15</f>
        <v>43.829270999999999</v>
      </c>
      <c r="P16" s="104">
        <f t="shared" ref="P16:P24" si="1">M16+N16+O16</f>
        <v>8809.6834710000003</v>
      </c>
      <c r="Q16" s="107"/>
      <c r="R16" s="107">
        <f>SUM(I16:I21)</f>
        <v>101534.7</v>
      </c>
      <c r="S16" s="181" t="s">
        <v>108</v>
      </c>
      <c r="T16" s="181" t="s">
        <v>107</v>
      </c>
      <c r="XFD16" t="s">
        <v>82</v>
      </c>
    </row>
    <row r="17" spans="1:20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99"/>
      <c r="H17" s="100">
        <v>280</v>
      </c>
      <c r="I17" s="115">
        <f t="shared" ref="I17:I23" si="2">(G17*D17)*F17+H17*F17</f>
        <v>14689.5</v>
      </c>
      <c r="J17" s="116"/>
      <c r="K17" s="103">
        <f t="shared" ref="K17:K21" si="3">I17*3.5%</f>
        <v>514.13250000000005</v>
      </c>
      <c r="L17" s="104">
        <f t="shared" ref="L17:L21" si="4">I17*8%</f>
        <v>1175.1600000000001</v>
      </c>
      <c r="M17" s="117">
        <f t="shared" ref="M17:M23" si="5">I17-K17-L17</f>
        <v>13000.2075</v>
      </c>
      <c r="N17" s="117">
        <f t="shared" si="0"/>
        <v>2340.0373500000001</v>
      </c>
      <c r="O17" s="118">
        <f t="shared" ref="O17:O24" si="6">(N17+M17)*$O$15</f>
        <v>76.70122425000001</v>
      </c>
      <c r="P17" s="119">
        <f t="shared" si="1"/>
        <v>15416.946074250001</v>
      </c>
      <c r="Q17" s="107"/>
      <c r="R17" s="180">
        <f>R15/R16*100</f>
        <v>8</v>
      </c>
      <c r="S17" s="182" t="s">
        <v>110</v>
      </c>
      <c r="T17" s="181" t="s">
        <v>109</v>
      </c>
      <c r="XFD17" t="s">
        <v>83</v>
      </c>
    </row>
    <row r="18" spans="1:20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99"/>
      <c r="H18" s="100">
        <f t="shared" ref="H18" si="7">G18*40</f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7"/>
      <c r="S18" s="181" t="s">
        <v>112</v>
      </c>
      <c r="T18" s="181" t="s">
        <v>111</v>
      </c>
    </row>
    <row r="19" spans="1:20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99"/>
      <c r="H19" s="100">
        <v>280</v>
      </c>
      <c r="I19" s="115">
        <f t="shared" si="2"/>
        <v>20339.2</v>
      </c>
      <c r="J19" s="116"/>
      <c r="K19" s="103">
        <f t="shared" si="3"/>
        <v>711.87200000000007</v>
      </c>
      <c r="L19" s="104">
        <f t="shared" si="4"/>
        <v>1627.1360000000002</v>
      </c>
      <c r="M19" s="117">
        <f t="shared" si="5"/>
        <v>18000.192000000003</v>
      </c>
      <c r="N19" s="117">
        <f t="shared" si="0"/>
        <v>3240.0345600000005</v>
      </c>
      <c r="O19" s="118">
        <f t="shared" si="6"/>
        <v>106.20113280000001</v>
      </c>
      <c r="P19" s="119">
        <f t="shared" si="1"/>
        <v>21346.427692800004</v>
      </c>
      <c r="Q19" s="107"/>
      <c r="R19">
        <f>(1*40)*65+1*65</f>
        <v>2665</v>
      </c>
    </row>
    <row r="20" spans="1:20 16384:16384" ht="15.5" customHeight="1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99"/>
      <c r="H20" s="100">
        <v>280</v>
      </c>
      <c r="I20" s="115">
        <f t="shared" si="2"/>
        <v>20339.2</v>
      </c>
      <c r="J20" s="116"/>
      <c r="K20" s="103">
        <f t="shared" si="3"/>
        <v>711.87200000000007</v>
      </c>
      <c r="L20" s="104">
        <f t="shared" si="4"/>
        <v>1627.1360000000002</v>
      </c>
      <c r="M20" s="117">
        <f t="shared" si="5"/>
        <v>18000.192000000003</v>
      </c>
      <c r="N20" s="117">
        <f t="shared" si="0"/>
        <v>3240.0345600000005</v>
      </c>
      <c r="O20" s="118">
        <f t="shared" si="6"/>
        <v>106.20113280000001</v>
      </c>
      <c r="P20" s="119">
        <f t="shared" si="1"/>
        <v>21346.427692800004</v>
      </c>
      <c r="Q20" s="107"/>
      <c r="R20">
        <f>R19*4</f>
        <v>10660</v>
      </c>
    </row>
    <row r="21" spans="1:20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99"/>
      <c r="H21" s="100">
        <v>520</v>
      </c>
      <c r="I21" s="115">
        <f t="shared" si="2"/>
        <v>37772.800000000003</v>
      </c>
      <c r="J21" s="116"/>
      <c r="K21" s="103">
        <f t="shared" si="3"/>
        <v>1322.0480000000002</v>
      </c>
      <c r="L21" s="104">
        <f t="shared" si="4"/>
        <v>3021.8240000000001</v>
      </c>
      <c r="M21" s="117">
        <f t="shared" si="5"/>
        <v>33428.928</v>
      </c>
      <c r="N21" s="117">
        <f t="shared" si="0"/>
        <v>6017.2070399999993</v>
      </c>
      <c r="O21" s="118">
        <f t="shared" si="6"/>
        <v>197.23067520000001</v>
      </c>
      <c r="P21" s="119">
        <f t="shared" si="1"/>
        <v>39643.365715200001</v>
      </c>
      <c r="Q21" s="107"/>
      <c r="R21">
        <f>L16/I16*100</f>
        <v>8</v>
      </c>
      <c r="S21">
        <f>(65.57*40)*1*52*1</f>
        <v>136385.59999999998</v>
      </c>
    </row>
    <row r="22" spans="1:20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07"/>
    </row>
    <row r="23" spans="1:20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20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20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1520</v>
      </c>
      <c r="I25" s="136">
        <f t="shared" si="10"/>
        <v>101534.7</v>
      </c>
      <c r="J25" s="137"/>
      <c r="K25" s="138">
        <f t="shared" si="10"/>
        <v>3553.7145000000005</v>
      </c>
      <c r="L25" s="139">
        <f t="shared" si="10"/>
        <v>8122.7759999999998</v>
      </c>
      <c r="M25" s="140">
        <f t="shared" si="10"/>
        <v>89858.209499999997</v>
      </c>
      <c r="N25" s="141">
        <f>SUM(N16:N24)</f>
        <v>16174.477709999999</v>
      </c>
      <c r="O25" s="142">
        <f>SUM(O16:O24)</f>
        <v>530.16343604999997</v>
      </c>
      <c r="P25" s="143">
        <f>SUM(P16:P24)</f>
        <v>106562.85064605001</v>
      </c>
    </row>
    <row r="26" spans="1:20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0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0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101534.7</v>
      </c>
    </row>
    <row r="29" spans="1:20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8122.7759999999998</v>
      </c>
    </row>
    <row r="30" spans="1:20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3553.7145000000005</v>
      </c>
    </row>
    <row r="31" spans="1:20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89858.209499999997</v>
      </c>
    </row>
    <row r="32" spans="1:20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16174.477709999999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106032.68721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530.16343604999997</v>
      </c>
    </row>
    <row r="35" spans="2:16" ht="15.75" customHeight="1" thickBot="1" x14ac:dyDescent="0.4">
      <c r="N35" s="204" t="s">
        <v>92</v>
      </c>
      <c r="O35" s="205"/>
      <c r="P35" s="159">
        <f>P33+P34</f>
        <v>106562.85064605001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78</v>
      </c>
      <c r="I16" s="101">
        <f>(G16*D16)*F16+H16*F16</f>
        <v>4092.0749999999998</v>
      </c>
      <c r="J16" s="102"/>
      <c r="K16" s="103">
        <f>I16*3.5%</f>
        <v>143.22262499999999</v>
      </c>
      <c r="L16" s="104">
        <f>I16*8%</f>
        <v>327.36599999999999</v>
      </c>
      <c r="M16" s="105">
        <f>I16-K16-L16</f>
        <v>3621.486375</v>
      </c>
      <c r="N16" s="105">
        <f t="shared" ref="N16:N24" si="0">(M16*$N$15)+(J16*F16)*$N$15</f>
        <v>651.8675475</v>
      </c>
      <c r="O16" s="106">
        <f>(N16+M16)*$O$15</f>
        <v>21.366769612500004</v>
      </c>
      <c r="P16" s="104">
        <f t="shared" ref="P16:P24" si="1">M16+N16+O16</f>
        <v>4294.7206921125007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77</v>
      </c>
      <c r="I17" s="115">
        <f t="shared" ref="I17:I23" si="2">(G17*D17)*F17+H17*F17</f>
        <v>4039.6124999999997</v>
      </c>
      <c r="J17" s="116"/>
      <c r="K17" s="103">
        <f t="shared" ref="K17:K21" si="3">I17*3.5%</f>
        <v>141.3864375</v>
      </c>
      <c r="L17" s="104">
        <f t="shared" ref="L17:L21" si="4">I17*8%</f>
        <v>323.16899999999998</v>
      </c>
      <c r="M17" s="117">
        <f t="shared" ref="M17:M23" si="5">I17-K17-L17</f>
        <v>3575.0570625</v>
      </c>
      <c r="N17" s="117">
        <f t="shared" si="0"/>
        <v>643.51027124999996</v>
      </c>
      <c r="O17" s="118">
        <f t="shared" ref="O17:O24" si="6">(N17+M17)*$O$15</f>
        <v>21.092836668750003</v>
      </c>
      <c r="P17" s="119">
        <f t="shared" si="1"/>
        <v>4239.6601704187506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159</v>
      </c>
      <c r="I19" s="115">
        <f t="shared" si="2"/>
        <v>11549.76</v>
      </c>
      <c r="J19" s="116"/>
      <c r="K19" s="103">
        <f t="shared" si="3"/>
        <v>404.24160000000006</v>
      </c>
      <c r="L19" s="104">
        <f t="shared" si="4"/>
        <v>923.98080000000004</v>
      </c>
      <c r="M19" s="117">
        <f t="shared" si="5"/>
        <v>10221.537600000001</v>
      </c>
      <c r="N19" s="117">
        <f t="shared" si="0"/>
        <v>1839.8767680000003</v>
      </c>
      <c r="O19" s="118">
        <f t="shared" si="6"/>
        <v>60.307071840000006</v>
      </c>
      <c r="P19" s="119">
        <f t="shared" si="1"/>
        <v>12121.721439840001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38</v>
      </c>
      <c r="I20" s="115">
        <f t="shared" si="2"/>
        <v>2760.32</v>
      </c>
      <c r="J20" s="116"/>
      <c r="K20" s="103">
        <f t="shared" si="3"/>
        <v>96.611200000000011</v>
      </c>
      <c r="L20" s="104">
        <f t="shared" si="4"/>
        <v>220.82560000000001</v>
      </c>
      <c r="M20" s="117">
        <f t="shared" si="5"/>
        <v>2442.8832000000002</v>
      </c>
      <c r="N20" s="117">
        <f t="shared" si="0"/>
        <v>439.718976</v>
      </c>
      <c r="O20" s="118">
        <f t="shared" si="6"/>
        <v>14.413010880000002</v>
      </c>
      <c r="P20" s="119">
        <f t="shared" si="1"/>
        <v>2897.0151868800003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158</v>
      </c>
      <c r="I21" s="115">
        <f t="shared" si="2"/>
        <v>11477.12</v>
      </c>
      <c r="J21" s="116"/>
      <c r="K21" s="103">
        <f t="shared" si="3"/>
        <v>401.69920000000008</v>
      </c>
      <c r="L21" s="104">
        <f t="shared" si="4"/>
        <v>918.16960000000006</v>
      </c>
      <c r="M21" s="117">
        <f t="shared" si="5"/>
        <v>10157.251200000001</v>
      </c>
      <c r="N21" s="117">
        <f t="shared" si="0"/>
        <v>1828.305216</v>
      </c>
      <c r="O21" s="118">
        <f t="shared" si="6"/>
        <v>59.927782080000007</v>
      </c>
      <c r="P21" s="119">
        <f t="shared" si="1"/>
        <v>12045.484198080001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510</v>
      </c>
      <c r="I25" s="136">
        <f t="shared" si="9"/>
        <v>33918.887500000004</v>
      </c>
      <c r="J25" s="137"/>
      <c r="K25" s="138">
        <f t="shared" si="9"/>
        <v>1187.1610625000001</v>
      </c>
      <c r="L25" s="139">
        <f t="shared" si="9"/>
        <v>2713.5110000000004</v>
      </c>
      <c r="M25" s="140">
        <f t="shared" si="9"/>
        <v>30018.215437500003</v>
      </c>
      <c r="N25" s="141">
        <f>SUM(N16:N24)</f>
        <v>5403.2787787500001</v>
      </c>
      <c r="O25" s="142">
        <f>SUM(O16:O24)</f>
        <v>177.10747108125003</v>
      </c>
      <c r="P25" s="143">
        <f>SUM(P16:P24)</f>
        <v>35598.601687331262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>
        <f>H25/40</f>
        <v>12.75</v>
      </c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33918.887500000004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2713.5110000000004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1187.1610625000001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30018.215437500006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5403.2787787500001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35421.494216250008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177.10747108125005</v>
      </c>
    </row>
    <row r="35" spans="2:16" ht="15.75" customHeight="1" thickBot="1" x14ac:dyDescent="0.4">
      <c r="N35" s="204" t="s">
        <v>92</v>
      </c>
      <c r="O35" s="205"/>
      <c r="P35" s="159">
        <f>P33+P34</f>
        <v>35598.601687331262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3" workbookViewId="0">
      <selection activeCell="H19" sqref="H19"/>
    </sheetView>
  </sheetViews>
  <sheetFormatPr defaultColWidth="29.7265625" defaultRowHeight="14.5" x14ac:dyDescent="0.35"/>
  <cols>
    <col min="1" max="1" width="17.1796875" bestFit="1" customWidth="1"/>
    <col min="2" max="2" width="23.81640625" bestFit="1" customWidth="1"/>
    <col min="3" max="3" width="4.453125" bestFit="1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36328125" bestFit="1" customWidth="1"/>
    <col min="9" max="9" width="11.6328125" bestFit="1" customWidth="1"/>
    <col min="10" max="10" width="6.7265625" bestFit="1" customWidth="1"/>
    <col min="11" max="11" width="9.81640625" bestFit="1" customWidth="1"/>
    <col min="12" max="12" width="7.36328125" bestFit="1" customWidth="1"/>
    <col min="13" max="13" width="11.90625" bestFit="1" customWidth="1"/>
    <col min="14" max="14" width="5.81640625" style="69" bestFit="1" customWidth="1"/>
    <col min="15" max="15" width="7.81640625" bestFit="1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I16*8%</f>
        <v>335.76</v>
      </c>
      <c r="M16" s="105">
        <f>I16-K16-L16</f>
        <v>3714.3450000000003</v>
      </c>
      <c r="N16" s="105">
        <f t="shared" ref="N16:N24" si="0">(M16*$N$15)+(J16*F16)*$N$15</f>
        <v>668.58209999999997</v>
      </c>
      <c r="O16" s="106">
        <f>(N16+M16)*$O$15</f>
        <v>21.914635499999999</v>
      </c>
      <c r="P16" s="104">
        <f t="shared" ref="P16:P24" si="1">M16+N16+O16</f>
        <v>4404.8417355000001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/>
      <c r="K17" s="103">
        <f t="shared" ref="K17:K21" si="3">I17*3.5%</f>
        <v>220.34250000000003</v>
      </c>
      <c r="L17" s="104">
        <f t="shared" ref="L17:L21" si="4">I17*8%</f>
        <v>503.64</v>
      </c>
      <c r="M17" s="117">
        <f t="shared" ref="M17:M23" si="5">I17-K17-L17</f>
        <v>5571.5174999999999</v>
      </c>
      <c r="N17" s="117">
        <f t="shared" si="0"/>
        <v>1002.8731499999999</v>
      </c>
      <c r="O17" s="118">
        <f t="shared" ref="O17:O24" si="6">(N17+M17)*$O$15</f>
        <v>32.871953249999997</v>
      </c>
      <c r="P17" s="119">
        <f t="shared" si="1"/>
        <v>6607.2626032499993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2"/>
        <v>8716.7999999999993</v>
      </c>
      <c r="J19" s="116"/>
      <c r="K19" s="103">
        <f t="shared" si="3"/>
        <v>305.08800000000002</v>
      </c>
      <c r="L19" s="104">
        <f t="shared" si="4"/>
        <v>697.34399999999994</v>
      </c>
      <c r="M19" s="117">
        <f t="shared" si="5"/>
        <v>7714.3679999999995</v>
      </c>
      <c r="N19" s="117">
        <f t="shared" si="0"/>
        <v>1388.5862399999999</v>
      </c>
      <c r="O19" s="118">
        <f t="shared" si="6"/>
        <v>45.514771199999998</v>
      </c>
      <c r="P19" s="119">
        <f t="shared" si="1"/>
        <v>9148.4690111999989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2"/>
        <v>14528</v>
      </c>
      <c r="J20" s="116"/>
      <c r="K20" s="103">
        <f t="shared" si="3"/>
        <v>508.48000000000008</v>
      </c>
      <c r="L20" s="104">
        <f t="shared" si="4"/>
        <v>1162.24</v>
      </c>
      <c r="M20" s="117">
        <f t="shared" si="5"/>
        <v>12857.28</v>
      </c>
      <c r="N20" s="117">
        <f t="shared" si="0"/>
        <v>2314.3103999999998</v>
      </c>
      <c r="O20" s="118">
        <f t="shared" si="6"/>
        <v>75.857952000000012</v>
      </c>
      <c r="P20" s="119">
        <f t="shared" si="1"/>
        <v>15247.448352000001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360</v>
      </c>
      <c r="I21" s="115">
        <f t="shared" si="2"/>
        <v>26150.400000000001</v>
      </c>
      <c r="J21" s="116"/>
      <c r="K21" s="103">
        <f t="shared" si="3"/>
        <v>915.26400000000012</v>
      </c>
      <c r="L21" s="104">
        <f t="shared" si="4"/>
        <v>2092.0320000000002</v>
      </c>
      <c r="M21" s="117">
        <f t="shared" si="5"/>
        <v>23143.104000000003</v>
      </c>
      <c r="N21" s="117">
        <f t="shared" si="0"/>
        <v>4165.7587200000007</v>
      </c>
      <c r="O21" s="118">
        <f t="shared" si="6"/>
        <v>136.54431360000004</v>
      </c>
      <c r="P21" s="119">
        <f t="shared" si="1"/>
        <v>27445.407033600004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880</v>
      </c>
      <c r="I25" s="136">
        <f t="shared" si="9"/>
        <v>59887.700000000004</v>
      </c>
      <c r="J25" s="137"/>
      <c r="K25" s="138">
        <f t="shared" si="9"/>
        <v>2096.0695000000005</v>
      </c>
      <c r="L25" s="139">
        <f t="shared" si="9"/>
        <v>4791.0159999999996</v>
      </c>
      <c r="M25" s="140">
        <f t="shared" si="9"/>
        <v>53000.614499999996</v>
      </c>
      <c r="N25" s="141">
        <f>SUM(N16:N24)</f>
        <v>9540.1106099999997</v>
      </c>
      <c r="O25" s="142">
        <f>SUM(O16:O24)</f>
        <v>312.70362555000008</v>
      </c>
      <c r="P25" s="143">
        <f>SUM(P16:P24)</f>
        <v>62853.428735549998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59887.700000000004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4791.0159999999996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2096.0695000000005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53000.614500000011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9540.1106099999997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62540.725110000014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312.70362555000008</v>
      </c>
    </row>
    <row r="35" spans="2:16" ht="15.75" customHeight="1" thickBot="1" x14ac:dyDescent="0.4">
      <c r="N35" s="204" t="s">
        <v>92</v>
      </c>
      <c r="O35" s="205"/>
      <c r="P35" s="159">
        <f>P33+P34</f>
        <v>62853.428735550013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160</v>
      </c>
      <c r="I16" s="101">
        <f>(G16*D16)*F16+H16*F16</f>
        <v>8394</v>
      </c>
      <c r="J16" s="102"/>
      <c r="K16" s="103">
        <f>I16*3.5%</f>
        <v>293.79000000000002</v>
      </c>
      <c r="L16" s="104">
        <f>I16*8%</f>
        <v>671.52</v>
      </c>
      <c r="M16" s="105">
        <f>I16-K16-L16</f>
        <v>7428.6900000000005</v>
      </c>
      <c r="N16" s="105">
        <f t="shared" ref="N16:N24" si="0">(M16*$N$15)+(J16*F16)*$N$15</f>
        <v>1337.1641999999999</v>
      </c>
      <c r="O16" s="106">
        <f>(N16+M16)*$O$15</f>
        <v>43.829270999999999</v>
      </c>
      <c r="P16" s="104">
        <f t="shared" ref="P16:P24" si="1">M16+N16+O16</f>
        <v>8809.6834710000003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2">(G17*D17)*F17+H17*F17</f>
        <v>6295.5</v>
      </c>
      <c r="J17" s="116"/>
      <c r="K17" s="103">
        <f t="shared" ref="K17:K21" si="3">I17*3.5%</f>
        <v>220.34250000000003</v>
      </c>
      <c r="L17" s="104">
        <f t="shared" ref="L17:L21" si="4">I17*8%</f>
        <v>503.64</v>
      </c>
      <c r="M17" s="117">
        <f t="shared" ref="M17:M23" si="5">I17-K17-L17</f>
        <v>5571.5174999999999</v>
      </c>
      <c r="N17" s="117">
        <f t="shared" si="0"/>
        <v>1002.8731499999999</v>
      </c>
      <c r="O17" s="118">
        <f t="shared" ref="O17:O24" si="6">(N17+M17)*$O$15</f>
        <v>32.871953249999997</v>
      </c>
      <c r="P17" s="119">
        <f t="shared" si="1"/>
        <v>6607.2626032499993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2"/>
        <v>11622.4</v>
      </c>
      <c r="J19" s="116"/>
      <c r="K19" s="103">
        <f t="shared" si="3"/>
        <v>406.78400000000005</v>
      </c>
      <c r="L19" s="104">
        <f t="shared" si="4"/>
        <v>929.79200000000003</v>
      </c>
      <c r="M19" s="117">
        <f t="shared" si="5"/>
        <v>10285.824000000001</v>
      </c>
      <c r="N19" s="117">
        <f t="shared" si="0"/>
        <v>1851.44832</v>
      </c>
      <c r="O19" s="118">
        <f t="shared" si="6"/>
        <v>60.686361599999998</v>
      </c>
      <c r="P19" s="119">
        <f t="shared" si="1"/>
        <v>12197.958681599999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280</v>
      </c>
      <c r="I21" s="115">
        <f t="shared" si="2"/>
        <v>20339.2</v>
      </c>
      <c r="J21" s="116"/>
      <c r="K21" s="103">
        <f t="shared" si="3"/>
        <v>711.87200000000007</v>
      </c>
      <c r="L21" s="104">
        <f t="shared" si="4"/>
        <v>1627.1360000000002</v>
      </c>
      <c r="M21" s="117">
        <f t="shared" si="5"/>
        <v>18000.192000000003</v>
      </c>
      <c r="N21" s="117">
        <f t="shared" si="0"/>
        <v>3240.0345600000005</v>
      </c>
      <c r="O21" s="118">
        <f t="shared" si="6"/>
        <v>106.20113280000001</v>
      </c>
      <c r="P21" s="119">
        <f t="shared" si="1"/>
        <v>21346.427692800004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720</v>
      </c>
      <c r="I25" s="136">
        <f t="shared" si="9"/>
        <v>46651.100000000006</v>
      </c>
      <c r="J25" s="137"/>
      <c r="K25" s="138">
        <f t="shared" si="9"/>
        <v>1632.7885000000001</v>
      </c>
      <c r="L25" s="139">
        <f t="shared" si="9"/>
        <v>3732.0879999999997</v>
      </c>
      <c r="M25" s="140">
        <f t="shared" si="9"/>
        <v>41286.223500000007</v>
      </c>
      <c r="N25" s="141">
        <f>SUM(N16:N24)</f>
        <v>7431.5202300000001</v>
      </c>
      <c r="O25" s="142">
        <f>SUM(O16:O24)</f>
        <v>243.58871865</v>
      </c>
      <c r="P25" s="143">
        <f>SUM(P16:P24)</f>
        <v>48961.332448650006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46651.100000000006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3732.0879999999997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1632.7885000000001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41286.2235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7431.5202300000001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48717.743730000002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243.58871865</v>
      </c>
    </row>
    <row r="35" spans="2:16" ht="15.75" customHeight="1" thickBot="1" x14ac:dyDescent="0.4">
      <c r="N35" s="204" t="s">
        <v>92</v>
      </c>
      <c r="O35" s="205"/>
      <c r="P35" s="159">
        <f>P33+P34</f>
        <v>48961.332448649999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0.08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2026-07-17T04:46:03Z</dcterms:modified>
</cp:coreProperties>
</file>