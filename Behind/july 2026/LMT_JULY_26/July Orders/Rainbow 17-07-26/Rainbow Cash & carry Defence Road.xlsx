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codeName="ThisWorkbook" defaultThemeVersion="124226"/>
  <xr:revisionPtr revIDLastSave="0" documentId="13_ncr:1_{A567174C-3F9E-4418-BA3F-2B1B30427C89}" xr6:coauthVersionLast="47" xr6:coauthVersionMax="47" xr10:uidLastSave="{00000000-0000-0000-0000-000000000000}"/>
  <bookViews>
    <workbookView xWindow="0" yWindow="0" windowWidth="9600" windowHeight="10200" tabRatio="949" activeTab="3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J17" i="16" l="1"/>
  <c r="J18" i="16"/>
  <c r="J19" i="16"/>
  <c r="J20" i="16"/>
  <c r="J20" i="15" s="1"/>
  <c r="J21" i="16"/>
  <c r="J21" i="15" s="1"/>
  <c r="J16" i="16"/>
  <c r="K17" i="35"/>
  <c r="K18" i="35"/>
  <c r="K17" i="34"/>
  <c r="K18" i="34"/>
  <c r="K17" i="33"/>
  <c r="K18" i="33"/>
  <c r="K17" i="32"/>
  <c r="K18" i="32"/>
  <c r="K17" i="31"/>
  <c r="K18" i="31"/>
  <c r="K17" i="30"/>
  <c r="K18" i="30"/>
  <c r="K17" i="29"/>
  <c r="K18" i="29"/>
  <c r="K17" i="28"/>
  <c r="K18" i="28"/>
  <c r="K17" i="27"/>
  <c r="K18" i="27"/>
  <c r="K17" i="26"/>
  <c r="K18" i="26"/>
  <c r="K17" i="25"/>
  <c r="K18" i="25"/>
  <c r="K17" i="24"/>
  <c r="K18" i="24"/>
  <c r="K17" i="23"/>
  <c r="K18" i="23"/>
  <c r="K17" i="22"/>
  <c r="K18" i="22"/>
  <c r="K17" i="21"/>
  <c r="K18" i="21"/>
  <c r="K17" i="20"/>
  <c r="K18" i="20"/>
  <c r="K17" i="18"/>
  <c r="K18" i="18"/>
  <c r="K17" i="19"/>
  <c r="K18" i="19"/>
  <c r="K17" i="17"/>
  <c r="K18" i="17"/>
  <c r="K16" i="17"/>
  <c r="K16" i="19"/>
  <c r="K16" i="18"/>
  <c r="K16" i="20"/>
  <c r="K16" i="21"/>
  <c r="K16" i="22"/>
  <c r="K16" i="23"/>
  <c r="K16" i="24"/>
  <c r="K16" i="25"/>
  <c r="K16" i="26"/>
  <c r="K16" i="27"/>
  <c r="K16" i="28"/>
  <c r="K16" i="29"/>
  <c r="K16" i="30"/>
  <c r="K16" i="31"/>
  <c r="K16" i="32"/>
  <c r="K16" i="33"/>
  <c r="K16" i="34"/>
  <c r="K16" i="35"/>
  <c r="L17" i="17"/>
  <c r="L18" i="17"/>
  <c r="L17" i="19"/>
  <c r="L18" i="19"/>
  <c r="L17" i="18"/>
  <c r="L18" i="18"/>
  <c r="L17" i="20"/>
  <c r="L18" i="20"/>
  <c r="L17" i="21"/>
  <c r="L18" i="21"/>
  <c r="L17" i="22"/>
  <c r="L18" i="22"/>
  <c r="L17" i="23"/>
  <c r="L18" i="23"/>
  <c r="L17" i="24"/>
  <c r="L18" i="24"/>
  <c r="L17" i="25"/>
  <c r="L18" i="25"/>
  <c r="L17" i="26"/>
  <c r="L18" i="26"/>
  <c r="L17" i="27"/>
  <c r="L18" i="27"/>
  <c r="L17" i="28"/>
  <c r="L18" i="28"/>
  <c r="L17" i="29"/>
  <c r="L18" i="29"/>
  <c r="L17" i="30"/>
  <c r="L18" i="30"/>
  <c r="L17" i="31"/>
  <c r="L18" i="31"/>
  <c r="L17" i="32"/>
  <c r="L18" i="32"/>
  <c r="L17" i="33"/>
  <c r="L18" i="33"/>
  <c r="L17" i="34"/>
  <c r="L18" i="34"/>
  <c r="L17" i="35"/>
  <c r="L18" i="35"/>
  <c r="L16" i="17"/>
  <c r="L16" i="19"/>
  <c r="L16" i="18"/>
  <c r="L16" i="20"/>
  <c r="L16" i="21"/>
  <c r="L16" i="22"/>
  <c r="L16" i="23"/>
  <c r="L16" i="24"/>
  <c r="L16" i="25"/>
  <c r="L16" i="26"/>
  <c r="L16" i="27"/>
  <c r="L16" i="28"/>
  <c r="L16" i="29"/>
  <c r="L16" i="30"/>
  <c r="L16" i="31"/>
  <c r="L16" i="32"/>
  <c r="L16" i="33"/>
  <c r="L16" i="34"/>
  <c r="L16" i="35"/>
  <c r="H17" i="15"/>
  <c r="H18" i="15"/>
  <c r="H19" i="15"/>
  <c r="H20" i="15"/>
  <c r="H21" i="15"/>
  <c r="H22" i="15"/>
  <c r="H23" i="15"/>
  <c r="H24" i="15"/>
  <c r="H16" i="15"/>
  <c r="T31" i="15"/>
  <c r="T30" i="15"/>
  <c r="T29" i="15"/>
  <c r="J17" i="15"/>
  <c r="J18" i="15"/>
  <c r="J19" i="15"/>
  <c r="J22" i="15"/>
  <c r="J23" i="15"/>
  <c r="J24" i="15"/>
  <c r="J16" i="15"/>
  <c r="J25" i="16" l="1"/>
  <c r="T28" i="15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B21" i="35"/>
  <c r="C21" i="35" s="1"/>
  <c r="F20" i="35"/>
  <c r="E20" i="35"/>
  <c r="D20" i="35"/>
  <c r="I20" i="35" s="1"/>
  <c r="B20" i="35"/>
  <c r="C20" i="35" s="1"/>
  <c r="F19" i="35"/>
  <c r="E19" i="35"/>
  <c r="D19" i="35"/>
  <c r="I19" i="35" s="1"/>
  <c r="B19" i="35"/>
  <c r="C19" i="35" s="1"/>
  <c r="F18" i="35"/>
  <c r="E18" i="35"/>
  <c r="D18" i="35"/>
  <c r="I18" i="35" s="1"/>
  <c r="B18" i="35"/>
  <c r="C18" i="35" s="1"/>
  <c r="F17" i="35"/>
  <c r="E17" i="35"/>
  <c r="D17" i="35"/>
  <c r="I17" i="35" s="1"/>
  <c r="B17" i="35"/>
  <c r="C17" i="35" s="1"/>
  <c r="F16" i="35"/>
  <c r="E16" i="35"/>
  <c r="D16" i="35"/>
  <c r="I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C21" i="33"/>
  <c r="B21" i="33"/>
  <c r="F20" i="33"/>
  <c r="E20" i="33"/>
  <c r="D20" i="33"/>
  <c r="I20" i="33" s="1"/>
  <c r="B20" i="33"/>
  <c r="C20" i="33" s="1"/>
  <c r="F19" i="33"/>
  <c r="E19" i="33"/>
  <c r="D19" i="33"/>
  <c r="B19" i="33"/>
  <c r="C19" i="33" s="1"/>
  <c r="F18" i="33"/>
  <c r="E18" i="33"/>
  <c r="D18" i="33"/>
  <c r="I18" i="33" s="1"/>
  <c r="C18" i="33"/>
  <c r="B18" i="33"/>
  <c r="F17" i="33"/>
  <c r="I17" i="33" s="1"/>
  <c r="E17" i="33"/>
  <c r="D17" i="33"/>
  <c r="B17" i="33"/>
  <c r="C17" i="33" s="1"/>
  <c r="F16" i="33"/>
  <c r="E16" i="33"/>
  <c r="D16" i="33"/>
  <c r="I16" i="33" s="1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I22" i="32" s="1"/>
  <c r="C22" i="32"/>
  <c r="B22" i="32"/>
  <c r="F21" i="32"/>
  <c r="E21" i="32"/>
  <c r="D21" i="32"/>
  <c r="I21" i="32" s="1"/>
  <c r="B21" i="32"/>
  <c r="C21" i="32" s="1"/>
  <c r="F20" i="32"/>
  <c r="E20" i="32"/>
  <c r="D20" i="32"/>
  <c r="I20" i="32" s="1"/>
  <c r="B20" i="32"/>
  <c r="C20" i="32" s="1"/>
  <c r="F19" i="32"/>
  <c r="E19" i="32"/>
  <c r="D19" i="32"/>
  <c r="I19" i="32" s="1"/>
  <c r="B19" i="32"/>
  <c r="C19" i="32" s="1"/>
  <c r="F18" i="32"/>
  <c r="E18" i="32"/>
  <c r="D18" i="32"/>
  <c r="I18" i="32" s="1"/>
  <c r="B18" i="32"/>
  <c r="C18" i="32" s="1"/>
  <c r="F17" i="32"/>
  <c r="E17" i="32"/>
  <c r="D17" i="32"/>
  <c r="I17" i="32" s="1"/>
  <c r="B17" i="32"/>
  <c r="C17" i="32" s="1"/>
  <c r="F16" i="32"/>
  <c r="E16" i="32"/>
  <c r="D16" i="32"/>
  <c r="I16" i="32" s="1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I24" i="30" s="1"/>
  <c r="B24" i="30"/>
  <c r="C24" i="30" s="1"/>
  <c r="F23" i="30"/>
  <c r="E23" i="30"/>
  <c r="D23" i="30"/>
  <c r="I23" i="30" s="1"/>
  <c r="B23" i="30"/>
  <c r="C23" i="30" s="1"/>
  <c r="F22" i="30"/>
  <c r="E22" i="30"/>
  <c r="D22" i="30"/>
  <c r="I22" i="30" s="1"/>
  <c r="B22" i="30"/>
  <c r="C22" i="30" s="1"/>
  <c r="F21" i="30"/>
  <c r="E21" i="30"/>
  <c r="D21" i="30"/>
  <c r="I21" i="30" s="1"/>
  <c r="B21" i="30"/>
  <c r="C21" i="30" s="1"/>
  <c r="F20" i="30"/>
  <c r="E20" i="30"/>
  <c r="D20" i="30"/>
  <c r="I20" i="30" s="1"/>
  <c r="B20" i="30"/>
  <c r="C20" i="30" s="1"/>
  <c r="F19" i="30"/>
  <c r="E19" i="30"/>
  <c r="D19" i="30"/>
  <c r="I19" i="30" s="1"/>
  <c r="B19" i="30"/>
  <c r="C19" i="30" s="1"/>
  <c r="F18" i="30"/>
  <c r="E18" i="30"/>
  <c r="D18" i="30"/>
  <c r="I18" i="30" s="1"/>
  <c r="B18" i="30"/>
  <c r="C18" i="30" s="1"/>
  <c r="F17" i="30"/>
  <c r="E17" i="30"/>
  <c r="D17" i="30"/>
  <c r="I17" i="30" s="1"/>
  <c r="B17" i="30"/>
  <c r="C17" i="30" s="1"/>
  <c r="F16" i="30"/>
  <c r="E16" i="30"/>
  <c r="D16" i="30"/>
  <c r="I16" i="30" s="1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I24" i="28" s="1"/>
  <c r="B24" i="28"/>
  <c r="C24" i="28" s="1"/>
  <c r="F23" i="28"/>
  <c r="E23" i="28"/>
  <c r="D23" i="28"/>
  <c r="I23" i="28" s="1"/>
  <c r="B23" i="28"/>
  <c r="C23" i="28" s="1"/>
  <c r="F22" i="28"/>
  <c r="E22" i="28"/>
  <c r="D22" i="28"/>
  <c r="I22" i="28" s="1"/>
  <c r="B22" i="28"/>
  <c r="C22" i="28" s="1"/>
  <c r="F21" i="28"/>
  <c r="E21" i="28"/>
  <c r="D21" i="28"/>
  <c r="I21" i="28" s="1"/>
  <c r="B21" i="28"/>
  <c r="C21" i="28" s="1"/>
  <c r="F20" i="28"/>
  <c r="E20" i="28"/>
  <c r="D20" i="28"/>
  <c r="I20" i="28" s="1"/>
  <c r="B20" i="28"/>
  <c r="C20" i="28" s="1"/>
  <c r="F19" i="28"/>
  <c r="E19" i="28"/>
  <c r="D19" i="28"/>
  <c r="I19" i="28" s="1"/>
  <c r="B19" i="28"/>
  <c r="C19" i="28" s="1"/>
  <c r="F18" i="28"/>
  <c r="E18" i="28"/>
  <c r="D18" i="28"/>
  <c r="I18" i="28" s="1"/>
  <c r="B18" i="28"/>
  <c r="C18" i="28" s="1"/>
  <c r="F17" i="28"/>
  <c r="E17" i="28"/>
  <c r="D17" i="28"/>
  <c r="I17" i="28" s="1"/>
  <c r="B17" i="28"/>
  <c r="C17" i="28" s="1"/>
  <c r="F16" i="28"/>
  <c r="E16" i="28"/>
  <c r="D16" i="28"/>
  <c r="I16" i="28" s="1"/>
  <c r="C16" i="28"/>
  <c r="B16" i="28"/>
  <c r="O15" i="28"/>
  <c r="N15" i="28"/>
  <c r="N4" i="28"/>
  <c r="N5" i="28" s="1"/>
  <c r="K21" i="30" l="1"/>
  <c r="M21" i="30" s="1"/>
  <c r="L21" i="30"/>
  <c r="K19" i="28"/>
  <c r="L19" i="28"/>
  <c r="L20" i="28"/>
  <c r="K20" i="28"/>
  <c r="L21" i="28"/>
  <c r="K21" i="28"/>
  <c r="K20" i="33"/>
  <c r="L20" i="33"/>
  <c r="K21" i="33"/>
  <c r="L21" i="33"/>
  <c r="K19" i="35"/>
  <c r="L19" i="35"/>
  <c r="K20" i="35"/>
  <c r="L20" i="35"/>
  <c r="K21" i="35"/>
  <c r="L21" i="35"/>
  <c r="L19" i="30"/>
  <c r="K19" i="30"/>
  <c r="K20" i="30"/>
  <c r="L20" i="30"/>
  <c r="K19" i="32"/>
  <c r="L19" i="32"/>
  <c r="L20" i="32"/>
  <c r="K20" i="32"/>
  <c r="L21" i="32"/>
  <c r="K21" i="32"/>
  <c r="I16" i="31"/>
  <c r="I17" i="31"/>
  <c r="I18" i="31"/>
  <c r="I19" i="31"/>
  <c r="I20" i="31"/>
  <c r="I21" i="31"/>
  <c r="I22" i="31"/>
  <c r="K22" i="31" s="1"/>
  <c r="I23" i="31"/>
  <c r="K23" i="31" s="1"/>
  <c r="I24" i="31"/>
  <c r="I23" i="32"/>
  <c r="I22" i="33"/>
  <c r="I16" i="34"/>
  <c r="I17" i="34"/>
  <c r="I18" i="34"/>
  <c r="I19" i="34"/>
  <c r="I20" i="34"/>
  <c r="I21" i="34"/>
  <c r="I22" i="34"/>
  <c r="I23" i="34"/>
  <c r="I24" i="34"/>
  <c r="L24" i="34" s="1"/>
  <c r="M24" i="34" s="1"/>
  <c r="I16" i="29"/>
  <c r="I17" i="29"/>
  <c r="I18" i="29"/>
  <c r="I19" i="29"/>
  <c r="I20" i="29"/>
  <c r="I21" i="29"/>
  <c r="I22" i="29"/>
  <c r="L22" i="29" s="1"/>
  <c r="I23" i="29"/>
  <c r="L23" i="29" s="1"/>
  <c r="I24" i="29"/>
  <c r="I24" i="32"/>
  <c r="I19" i="33"/>
  <c r="I23" i="33"/>
  <c r="L23" i="33" s="1"/>
  <c r="I25" i="35"/>
  <c r="P28" i="35" s="1"/>
  <c r="M17" i="35"/>
  <c r="M18" i="35"/>
  <c r="K22" i="35"/>
  <c r="L22" i="35"/>
  <c r="M22" i="35"/>
  <c r="K23" i="35"/>
  <c r="L23" i="35"/>
  <c r="M23" i="35" s="1"/>
  <c r="K24" i="35"/>
  <c r="M24" i="35" s="1"/>
  <c r="L24" i="35"/>
  <c r="K22" i="34"/>
  <c r="L22" i="34"/>
  <c r="K23" i="34"/>
  <c r="M23" i="34"/>
  <c r="L23" i="34"/>
  <c r="K24" i="34"/>
  <c r="K22" i="33"/>
  <c r="L22" i="33"/>
  <c r="K23" i="33"/>
  <c r="K24" i="33"/>
  <c r="M24" i="33" s="1"/>
  <c r="L24" i="33"/>
  <c r="M17" i="33"/>
  <c r="M18" i="33"/>
  <c r="K24" i="32"/>
  <c r="M24" i="32" s="1"/>
  <c r="L24" i="32"/>
  <c r="I25" i="32"/>
  <c r="P28" i="32" s="1"/>
  <c r="K23" i="32"/>
  <c r="L23" i="32"/>
  <c r="M23" i="32" s="1"/>
  <c r="K22" i="32"/>
  <c r="L22" i="32"/>
  <c r="K24" i="31"/>
  <c r="L24" i="31"/>
  <c r="M24" i="31" s="1"/>
  <c r="L23" i="31"/>
  <c r="K23" i="30"/>
  <c r="M23" i="30" s="1"/>
  <c r="L23" i="30"/>
  <c r="I25" i="30"/>
  <c r="P28" i="30" s="1"/>
  <c r="K22" i="30"/>
  <c r="L22" i="30"/>
  <c r="K24" i="30"/>
  <c r="M24" i="30" s="1"/>
  <c r="L24" i="30"/>
  <c r="K24" i="29"/>
  <c r="M24" i="29"/>
  <c r="L24" i="29"/>
  <c r="K22" i="29"/>
  <c r="K23" i="29"/>
  <c r="I25" i="28"/>
  <c r="P28" i="28" s="1"/>
  <c r="M17" i="28"/>
  <c r="K22" i="28"/>
  <c r="L22" i="28"/>
  <c r="K23" i="28"/>
  <c r="M23" i="28"/>
  <c r="L23" i="28"/>
  <c r="K24" i="28"/>
  <c r="M24" i="28" s="1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B20" i="27"/>
  <c r="C20" i="27" s="1"/>
  <c r="F19" i="27"/>
  <c r="E19" i="27"/>
  <c r="D19" i="27"/>
  <c r="I19" i="27" s="1"/>
  <c r="B19" i="27"/>
  <c r="C19" i="27" s="1"/>
  <c r="F18" i="27"/>
  <c r="E18" i="27"/>
  <c r="D18" i="27"/>
  <c r="I18" i="27" s="1"/>
  <c r="B18" i="27"/>
  <c r="C18" i="27" s="1"/>
  <c r="F17" i="27"/>
  <c r="E17" i="27"/>
  <c r="D17" i="27"/>
  <c r="I17" i="27" s="1"/>
  <c r="B17" i="27"/>
  <c r="C17" i="27" s="1"/>
  <c r="F16" i="27"/>
  <c r="E16" i="27"/>
  <c r="D16" i="27"/>
  <c r="I16" i="27" s="1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K20" i="29" l="1"/>
  <c r="L20" i="29"/>
  <c r="K21" i="34"/>
  <c r="L21" i="34"/>
  <c r="K20" i="31"/>
  <c r="L20" i="31"/>
  <c r="K19" i="27"/>
  <c r="L19" i="27"/>
  <c r="K20" i="27"/>
  <c r="L20" i="27"/>
  <c r="K19" i="29"/>
  <c r="M19" i="29" s="1"/>
  <c r="N19" i="29" s="1"/>
  <c r="O19" i="29" s="1"/>
  <c r="L19" i="29"/>
  <c r="K20" i="34"/>
  <c r="M20" i="34" s="1"/>
  <c r="N20" i="34" s="1"/>
  <c r="O20" i="34" s="1"/>
  <c r="L20" i="34"/>
  <c r="K19" i="31"/>
  <c r="M19" i="31" s="1"/>
  <c r="N19" i="31" s="1"/>
  <c r="O19" i="31" s="1"/>
  <c r="L19" i="31"/>
  <c r="K19" i="33"/>
  <c r="L19" i="33"/>
  <c r="L19" i="34"/>
  <c r="M19" i="34" s="1"/>
  <c r="N19" i="34" s="1"/>
  <c r="O19" i="34" s="1"/>
  <c r="K19" i="34"/>
  <c r="K21" i="29"/>
  <c r="M21" i="29" s="1"/>
  <c r="N21" i="29" s="1"/>
  <c r="O21" i="29" s="1"/>
  <c r="L21" i="29"/>
  <c r="K21" i="31"/>
  <c r="L21" i="31"/>
  <c r="M22" i="33"/>
  <c r="L22" i="31"/>
  <c r="M21" i="35"/>
  <c r="N21" i="35" s="1"/>
  <c r="O21" i="35" s="1"/>
  <c r="I25" i="34"/>
  <c r="P28" i="34" s="1"/>
  <c r="M17" i="31"/>
  <c r="M22" i="31"/>
  <c r="N22" i="31" s="1"/>
  <c r="O22" i="31" s="1"/>
  <c r="P22" i="31" s="1"/>
  <c r="M22" i="29"/>
  <c r="M23" i="33"/>
  <c r="I16" i="26"/>
  <c r="I17" i="26"/>
  <c r="I18" i="26"/>
  <c r="I19" i="26"/>
  <c r="I20" i="26"/>
  <c r="I21" i="26"/>
  <c r="I22" i="26"/>
  <c r="K22" i="26" s="1"/>
  <c r="I23" i="26"/>
  <c r="I24" i="26"/>
  <c r="I21" i="27"/>
  <c r="M18" i="28"/>
  <c r="N18" i="28" s="1"/>
  <c r="O18" i="28" s="1"/>
  <c r="P18" i="28" s="1"/>
  <c r="M20" i="29"/>
  <c r="M23" i="31"/>
  <c r="I25" i="31"/>
  <c r="P28" i="31" s="1"/>
  <c r="M19" i="32"/>
  <c r="N19" i="32" s="1"/>
  <c r="O19" i="32" s="1"/>
  <c r="M17" i="32"/>
  <c r="N17" i="32" s="1"/>
  <c r="O17" i="32" s="1"/>
  <c r="M16" i="34"/>
  <c r="N16" i="34" s="1"/>
  <c r="I25" i="33"/>
  <c r="P28" i="33" s="1"/>
  <c r="I25" i="29"/>
  <c r="P28" i="29" s="1"/>
  <c r="M23" i="29"/>
  <c r="M22" i="28"/>
  <c r="N22" i="28" s="1"/>
  <c r="O22" i="28" s="1"/>
  <c r="P22" i="28" s="1"/>
  <c r="M22" i="32"/>
  <c r="N22" i="32" s="1"/>
  <c r="O22" i="32" s="1"/>
  <c r="P22" i="32" s="1"/>
  <c r="M22" i="30"/>
  <c r="M21" i="33"/>
  <c r="N21" i="33" s="1"/>
  <c r="O21" i="33" s="1"/>
  <c r="M19" i="33"/>
  <c r="N19" i="33" s="1"/>
  <c r="O19" i="33" s="1"/>
  <c r="M19" i="28"/>
  <c r="N19" i="28" s="1"/>
  <c r="O19" i="28" s="1"/>
  <c r="M16" i="29"/>
  <c r="M17" i="30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N19" i="35" s="1"/>
  <c r="O19" i="35" s="1"/>
  <c r="M20" i="31"/>
  <c r="N20" i="31" s="1"/>
  <c r="O20" i="31" s="1"/>
  <c r="M20" i="33"/>
  <c r="N20" i="33" s="1"/>
  <c r="O20" i="33" s="1"/>
  <c r="M20" i="35"/>
  <c r="N20" i="35" s="1"/>
  <c r="O20" i="35" s="1"/>
  <c r="P20" i="35" s="1"/>
  <c r="M21" i="34"/>
  <c r="N21" i="34" s="1"/>
  <c r="O21" i="34" s="1"/>
  <c r="M21" i="32"/>
  <c r="N21" i="32" s="1"/>
  <c r="O21" i="32" s="1"/>
  <c r="M21" i="31"/>
  <c r="N21" i="31" s="1"/>
  <c r="O21" i="31" s="1"/>
  <c r="M22" i="34"/>
  <c r="N22" i="34" s="1"/>
  <c r="O22" i="34" s="1"/>
  <c r="M21" i="28"/>
  <c r="N21" i="28" s="1"/>
  <c r="O21" i="28" s="1"/>
  <c r="L25" i="33"/>
  <c r="P29" i="33" s="1"/>
  <c r="M20" i="32"/>
  <c r="N20" i="32" s="1"/>
  <c r="O20" i="32" s="1"/>
  <c r="L25" i="31"/>
  <c r="P29" i="31" s="1"/>
  <c r="K25" i="33"/>
  <c r="P30" i="33" s="1"/>
  <c r="M18" i="30"/>
  <c r="N18" i="30" s="1"/>
  <c r="O18" i="30" s="1"/>
  <c r="P18" i="30" s="1"/>
  <c r="M18" i="29"/>
  <c r="N18" i="29" s="1"/>
  <c r="O18" i="29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L25" i="30"/>
  <c r="P29" i="30" s="1"/>
  <c r="M19" i="30"/>
  <c r="N19" i="30" s="1"/>
  <c r="O19" i="30" s="1"/>
  <c r="P19" i="30" s="1"/>
  <c r="M20" i="28"/>
  <c r="N20" i="28" s="1"/>
  <c r="O20" i="28" s="1"/>
  <c r="P20" i="28" s="1"/>
  <c r="N24" i="35"/>
  <c r="O24" i="35" s="1"/>
  <c r="P24" i="35" s="1"/>
  <c r="N18" i="35"/>
  <c r="O18" i="35" s="1"/>
  <c r="N22" i="35"/>
  <c r="O22" i="35" s="1"/>
  <c r="N17" i="35"/>
  <c r="O17" i="35" s="1"/>
  <c r="K25" i="35"/>
  <c r="P30" i="35" s="1"/>
  <c r="N23" i="35"/>
  <c r="O23" i="35" s="1"/>
  <c r="L25" i="35"/>
  <c r="P29" i="35" s="1"/>
  <c r="M16" i="35"/>
  <c r="N24" i="34"/>
  <c r="O24" i="34" s="1"/>
  <c r="P24" i="34"/>
  <c r="L25" i="34"/>
  <c r="P29" i="34" s="1"/>
  <c r="N23" i="34"/>
  <c r="O23" i="34" s="1"/>
  <c r="P23" i="34" s="1"/>
  <c r="N23" i="33"/>
  <c r="O23" i="33" s="1"/>
  <c r="N24" i="33"/>
  <c r="O24" i="33" s="1"/>
  <c r="N18" i="33"/>
  <c r="O18" i="33" s="1"/>
  <c r="N17" i="33"/>
  <c r="O17" i="33" s="1"/>
  <c r="N22" i="33"/>
  <c r="O22" i="33" s="1"/>
  <c r="M16" i="33"/>
  <c r="N23" i="32"/>
  <c r="O23" i="32" s="1"/>
  <c r="N24" i="32"/>
  <c r="O24" i="32" s="1"/>
  <c r="P24" i="32" s="1"/>
  <c r="L25" i="32"/>
  <c r="P29" i="32" s="1"/>
  <c r="K25" i="32"/>
  <c r="P30" i="32" s="1"/>
  <c r="N24" i="31"/>
  <c r="O24" i="31" s="1"/>
  <c r="P24" i="31"/>
  <c r="N23" i="31"/>
  <c r="O23" i="31" s="1"/>
  <c r="N17" i="31"/>
  <c r="O17" i="31" s="1"/>
  <c r="M16" i="31"/>
  <c r="K25" i="31"/>
  <c r="P30" i="31" s="1"/>
  <c r="N21" i="30"/>
  <c r="O21" i="30" s="1"/>
  <c r="N17" i="30"/>
  <c r="O17" i="30" s="1"/>
  <c r="K25" i="30"/>
  <c r="P30" i="30" s="1"/>
  <c r="N24" i="30"/>
  <c r="O24" i="30" s="1"/>
  <c r="P24" i="30" s="1"/>
  <c r="N22" i="30"/>
  <c r="O22" i="30" s="1"/>
  <c r="P22" i="30" s="1"/>
  <c r="N23" i="30"/>
  <c r="O23" i="30" s="1"/>
  <c r="N22" i="29"/>
  <c r="O22" i="29" s="1"/>
  <c r="N23" i="29"/>
  <c r="O23" i="29" s="1"/>
  <c r="N16" i="29"/>
  <c r="N20" i="29"/>
  <c r="O20" i="29" s="1"/>
  <c r="N24" i="29"/>
  <c r="O24" i="29" s="1"/>
  <c r="P24" i="29" s="1"/>
  <c r="L25" i="29"/>
  <c r="P29" i="29" s="1"/>
  <c r="N24" i="28"/>
  <c r="O24" i="28" s="1"/>
  <c r="P24" i="28" s="1"/>
  <c r="K25" i="28"/>
  <c r="P30" i="28" s="1"/>
  <c r="N23" i="28"/>
  <c r="O23" i="28" s="1"/>
  <c r="P23" i="28" s="1"/>
  <c r="L25" i="28"/>
  <c r="P29" i="28" s="1"/>
  <c r="M16" i="28"/>
  <c r="N17" i="28"/>
  <c r="O17" i="28" s="1"/>
  <c r="J25" i="15"/>
  <c r="I25" i="27"/>
  <c r="P28" i="27" s="1"/>
  <c r="K22" i="27"/>
  <c r="L22" i="27"/>
  <c r="K23" i="27"/>
  <c r="L23" i="27"/>
  <c r="K24" i="27"/>
  <c r="L24" i="27"/>
  <c r="K23" i="26"/>
  <c r="L23" i="26"/>
  <c r="K24" i="26"/>
  <c r="L24" i="26"/>
  <c r="M24" i="26" s="1"/>
  <c r="T23" i="15"/>
  <c r="T22" i="15"/>
  <c r="T21" i="15"/>
  <c r="T20" i="15"/>
  <c r="T19" i="15"/>
  <c r="T18" i="15"/>
  <c r="T17" i="15"/>
  <c r="T16" i="15"/>
  <c r="T15" i="15"/>
  <c r="T14" i="15"/>
  <c r="L19" i="26" l="1"/>
  <c r="K19" i="26"/>
  <c r="K25" i="29"/>
  <c r="P30" i="29" s="1"/>
  <c r="K21" i="27"/>
  <c r="L21" i="27"/>
  <c r="K21" i="26"/>
  <c r="L21" i="26"/>
  <c r="K20" i="26"/>
  <c r="L20" i="26"/>
  <c r="K25" i="34"/>
  <c r="P30" i="34" s="1"/>
  <c r="L22" i="26"/>
  <c r="I25" i="26"/>
  <c r="P28" i="26" s="1"/>
  <c r="M23" i="27"/>
  <c r="P23" i="32"/>
  <c r="P23" i="31"/>
  <c r="M17" i="26"/>
  <c r="N17" i="26" s="1"/>
  <c r="O17" i="26" s="1"/>
  <c r="P17" i="26" s="1"/>
  <c r="M25" i="34"/>
  <c r="P17" i="31"/>
  <c r="P18" i="29"/>
  <c r="M25" i="29"/>
  <c r="P19" i="32"/>
  <c r="M25" i="32"/>
  <c r="P22" i="35"/>
  <c r="P17" i="32"/>
  <c r="P17" i="33"/>
  <c r="P21" i="31"/>
  <c r="P31" i="31"/>
  <c r="P31" i="33"/>
  <c r="P20" i="31"/>
  <c r="P20" i="34"/>
  <c r="P31" i="32"/>
  <c r="P31" i="34"/>
  <c r="P18" i="31"/>
  <c r="P31" i="35"/>
  <c r="P21" i="30"/>
  <c r="M25" i="30"/>
  <c r="P31" i="30"/>
  <c r="P21" i="29"/>
  <c r="P31" i="29"/>
  <c r="P31" i="28"/>
  <c r="M25" i="35"/>
  <c r="N16" i="35"/>
  <c r="P23" i="35"/>
  <c r="P21" i="35"/>
  <c r="P18" i="35"/>
  <c r="P17" i="35"/>
  <c r="P19" i="35"/>
  <c r="P17" i="34"/>
  <c r="P22" i="34"/>
  <c r="P21" i="34"/>
  <c r="N25" i="34"/>
  <c r="P32" i="34" s="1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P33" i="32" s="1"/>
  <c r="O16" i="32"/>
  <c r="O25" i="32" s="1"/>
  <c r="P20" i="32"/>
  <c r="P18" i="32"/>
  <c r="P21" i="32"/>
  <c r="P19" i="31"/>
  <c r="M25" i="31"/>
  <c r="N16" i="31"/>
  <c r="N25" i="30"/>
  <c r="P32" i="30" s="1"/>
  <c r="O16" i="30"/>
  <c r="O25" i="30" s="1"/>
  <c r="P23" i="30"/>
  <c r="P17" i="30"/>
  <c r="P20" i="30"/>
  <c r="N25" i="29"/>
  <c r="P32" i="29" s="1"/>
  <c r="O16" i="29"/>
  <c r="P23" i="29"/>
  <c r="P22" i="29"/>
  <c r="P19" i="29"/>
  <c r="P20" i="29"/>
  <c r="M25" i="28"/>
  <c r="N16" i="28"/>
  <c r="P17" i="28"/>
  <c r="P21" i="28"/>
  <c r="P19" i="28"/>
  <c r="M17" i="27"/>
  <c r="N17" i="27" s="1"/>
  <c r="O17" i="27" s="1"/>
  <c r="M19" i="27"/>
  <c r="N19" i="27" s="1"/>
  <c r="O19" i="27" s="1"/>
  <c r="M20" i="26"/>
  <c r="N20" i="26" s="1"/>
  <c r="O20" i="26" s="1"/>
  <c r="M20" i="27"/>
  <c r="N20" i="27" s="1"/>
  <c r="O20" i="27" s="1"/>
  <c r="M23" i="26"/>
  <c r="N23" i="26" s="1"/>
  <c r="O23" i="26" s="1"/>
  <c r="P23" i="26" s="1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22" i="26"/>
  <c r="N22" i="26" s="1"/>
  <c r="O22" i="26" s="1"/>
  <c r="P22" i="26" s="1"/>
  <c r="M19" i="26"/>
  <c r="N19" i="26" s="1"/>
  <c r="O19" i="26" s="1"/>
  <c r="N23" i="27"/>
  <c r="O23" i="27" s="1"/>
  <c r="N24" i="27"/>
  <c r="O24" i="27" s="1"/>
  <c r="L25" i="27"/>
  <c r="P29" i="27" s="1"/>
  <c r="K25" i="27"/>
  <c r="P30" i="27" s="1"/>
  <c r="L25" i="26"/>
  <c r="P29" i="26" s="1"/>
  <c r="M16" i="26"/>
  <c r="N24" i="26"/>
  <c r="O24" i="26" s="1"/>
  <c r="K25" i="26"/>
  <c r="P30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C11" i="24" s="1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C12" i="22" s="1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B21" i="22"/>
  <c r="C21" i="22" s="1"/>
  <c r="F20" i="22"/>
  <c r="E20" i="22"/>
  <c r="D20" i="22"/>
  <c r="I20" i="22" s="1"/>
  <c r="B20" i="22"/>
  <c r="C20" i="22" s="1"/>
  <c r="F19" i="22"/>
  <c r="E19" i="22"/>
  <c r="D19" i="22"/>
  <c r="I19" i="22" s="1"/>
  <c r="B19" i="22"/>
  <c r="C19" i="22" s="1"/>
  <c r="F18" i="22"/>
  <c r="E18" i="22"/>
  <c r="D18" i="22"/>
  <c r="I18" i="22" s="1"/>
  <c r="B18" i="22"/>
  <c r="C18" i="22" s="1"/>
  <c r="F17" i="22"/>
  <c r="E17" i="22"/>
  <c r="D17" i="22"/>
  <c r="I17" i="22" s="1"/>
  <c r="B17" i="22"/>
  <c r="C17" i="22" s="1"/>
  <c r="F16" i="22"/>
  <c r="E16" i="22"/>
  <c r="D16" i="22"/>
  <c r="I16" i="22" s="1"/>
  <c r="C16" i="22"/>
  <c r="B16" i="22"/>
  <c r="O15" i="22"/>
  <c r="N15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K21" i="22" l="1"/>
  <c r="L21" i="22"/>
  <c r="L19" i="22"/>
  <c r="K19" i="22"/>
  <c r="K20" i="22"/>
  <c r="L20" i="22"/>
  <c r="I16" i="25"/>
  <c r="I17" i="25"/>
  <c r="I18" i="25"/>
  <c r="I19" i="25"/>
  <c r="I20" i="25"/>
  <c r="I22" i="25"/>
  <c r="K22" i="25" s="1"/>
  <c r="I23" i="25"/>
  <c r="I24" i="25"/>
  <c r="L24" i="25" s="1"/>
  <c r="I21" i="18"/>
  <c r="I22" i="18"/>
  <c r="L22" i="18" s="1"/>
  <c r="I24" i="18"/>
  <c r="L24" i="18" s="1"/>
  <c r="I19" i="19"/>
  <c r="I20" i="19"/>
  <c r="I21" i="19"/>
  <c r="I22" i="19"/>
  <c r="K22" i="19" s="1"/>
  <c r="I23" i="19"/>
  <c r="L23" i="19" s="1"/>
  <c r="I24" i="19"/>
  <c r="P33" i="34"/>
  <c r="P34" i="34" s="1"/>
  <c r="P35" i="34" s="1"/>
  <c r="P33" i="30"/>
  <c r="P34" i="30" s="1"/>
  <c r="P35" i="30" s="1"/>
  <c r="U28" i="15" s="1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P34" i="32"/>
  <c r="P35" i="32" s="1"/>
  <c r="U30" i="15" s="1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I18" i="18"/>
  <c r="I17" i="20"/>
  <c r="I19" i="20"/>
  <c r="I21" i="20"/>
  <c r="I23" i="20"/>
  <c r="L23" i="20" s="1"/>
  <c r="M25" i="27"/>
  <c r="P24" i="27"/>
  <c r="P31" i="26"/>
  <c r="I16" i="24"/>
  <c r="I17" i="24"/>
  <c r="I18" i="24"/>
  <c r="I19" i="24"/>
  <c r="I20" i="24"/>
  <c r="I21" i="24"/>
  <c r="I22" i="24"/>
  <c r="K22" i="24" s="1"/>
  <c r="I21" i="23"/>
  <c r="I23" i="23"/>
  <c r="I17" i="21"/>
  <c r="I19" i="21"/>
  <c r="I21" i="21"/>
  <c r="O21" i="27"/>
  <c r="P21" i="27" s="1"/>
  <c r="P31" i="27"/>
  <c r="P23" i="27"/>
  <c r="P18" i="27"/>
  <c r="I21" i="25"/>
  <c r="I23" i="24"/>
  <c r="I24" i="24"/>
  <c r="K24" i="24" s="1"/>
  <c r="I16" i="19"/>
  <c r="I17" i="19"/>
  <c r="I18" i="19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I17" i="18"/>
  <c r="I17" i="23"/>
  <c r="I19" i="23"/>
  <c r="I23" i="22"/>
  <c r="K23" i="22" s="1"/>
  <c r="I24" i="22"/>
  <c r="L24" i="22" s="1"/>
  <c r="I23" i="21"/>
  <c r="K23" i="21" s="1"/>
  <c r="I16" i="23"/>
  <c r="I18" i="23"/>
  <c r="I20" i="23"/>
  <c r="I22" i="23"/>
  <c r="K22" i="23" s="1"/>
  <c r="I24" i="23"/>
  <c r="L24" i="23" s="1"/>
  <c r="I16" i="20"/>
  <c r="I18" i="20"/>
  <c r="I20" i="20"/>
  <c r="I22" i="20"/>
  <c r="K22" i="20" s="1"/>
  <c r="I24" i="20"/>
  <c r="K24" i="20" s="1"/>
  <c r="I16" i="21"/>
  <c r="I18" i="21"/>
  <c r="I20" i="21"/>
  <c r="I22" i="21"/>
  <c r="K22" i="21" s="1"/>
  <c r="I24" i="21"/>
  <c r="K24" i="21" s="1"/>
  <c r="I16" i="17"/>
  <c r="I17" i="17"/>
  <c r="I18" i="17"/>
  <c r="I19" i="17"/>
  <c r="I20" i="17"/>
  <c r="I21" i="17"/>
  <c r="I22" i="17"/>
  <c r="L22" i="17" s="1"/>
  <c r="I23" i="17"/>
  <c r="K23" i="17" s="1"/>
  <c r="I24" i="17"/>
  <c r="K24" i="17" s="1"/>
  <c r="I19" i="18"/>
  <c r="I23" i="18"/>
  <c r="L23" i="18" s="1"/>
  <c r="K24" i="25"/>
  <c r="L22" i="25"/>
  <c r="L23" i="25"/>
  <c r="K23" i="25"/>
  <c r="L23" i="24"/>
  <c r="K23" i="24"/>
  <c r="L23" i="23"/>
  <c r="K23" i="23"/>
  <c r="K22" i="22"/>
  <c r="L22" i="22"/>
  <c r="L24" i="20"/>
  <c r="K23" i="20"/>
  <c r="K24" i="19"/>
  <c r="L24" i="19"/>
  <c r="K24" i="18"/>
  <c r="M24" i="18" s="1"/>
  <c r="L24" i="17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41" i="15"/>
  <c r="O39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K21" i="17" l="1"/>
  <c r="L21" i="17"/>
  <c r="K20" i="21"/>
  <c r="M20" i="21" s="1"/>
  <c r="N20" i="21" s="1"/>
  <c r="O20" i="21" s="1"/>
  <c r="L20" i="21"/>
  <c r="K20" i="17"/>
  <c r="M20" i="17" s="1"/>
  <c r="N20" i="17" s="1"/>
  <c r="O20" i="17" s="1"/>
  <c r="L20" i="17"/>
  <c r="L20" i="20"/>
  <c r="M20" i="20" s="1"/>
  <c r="N20" i="20" s="1"/>
  <c r="O20" i="20" s="1"/>
  <c r="K20" i="20"/>
  <c r="L21" i="24"/>
  <c r="M21" i="24" s="1"/>
  <c r="N21" i="24" s="1"/>
  <c r="O21" i="24" s="1"/>
  <c r="K21" i="24"/>
  <c r="K21" i="19"/>
  <c r="M21" i="19" s="1"/>
  <c r="L21" i="19"/>
  <c r="K19" i="17"/>
  <c r="L19" i="17"/>
  <c r="K20" i="23"/>
  <c r="M20" i="23" s="1"/>
  <c r="N20" i="23" s="1"/>
  <c r="O20" i="23" s="1"/>
  <c r="L20" i="23"/>
  <c r="K21" i="25"/>
  <c r="M21" i="25" s="1"/>
  <c r="N21" i="25" s="1"/>
  <c r="O21" i="25" s="1"/>
  <c r="P21" i="25" s="1"/>
  <c r="L21" i="25"/>
  <c r="L20" i="24"/>
  <c r="K20" i="24"/>
  <c r="K20" i="19"/>
  <c r="M20" i="19" s="1"/>
  <c r="N20" i="19" s="1"/>
  <c r="O20" i="19" s="1"/>
  <c r="L20" i="19"/>
  <c r="K21" i="18"/>
  <c r="M21" i="18" s="1"/>
  <c r="N21" i="18" s="1"/>
  <c r="O21" i="18" s="1"/>
  <c r="L21" i="18"/>
  <c r="K20" i="25"/>
  <c r="L20" i="25"/>
  <c r="K21" i="21"/>
  <c r="M21" i="21" s="1"/>
  <c r="N21" i="21" s="1"/>
  <c r="L21" i="21"/>
  <c r="K21" i="23"/>
  <c r="M21" i="23" s="1"/>
  <c r="N21" i="23" s="1"/>
  <c r="O21" i="23" s="1"/>
  <c r="L21" i="23"/>
  <c r="K19" i="24"/>
  <c r="M19" i="24" s="1"/>
  <c r="N19" i="24" s="1"/>
  <c r="O19" i="24" s="1"/>
  <c r="P19" i="24" s="1"/>
  <c r="L19" i="24"/>
  <c r="L21" i="20"/>
  <c r="K21" i="20"/>
  <c r="K20" i="18"/>
  <c r="L20" i="18"/>
  <c r="L19" i="19"/>
  <c r="L25" i="19" s="1"/>
  <c r="P29" i="19" s="1"/>
  <c r="K19" i="19"/>
  <c r="K19" i="25"/>
  <c r="L19" i="25"/>
  <c r="K19" i="18"/>
  <c r="L19" i="18"/>
  <c r="K19" i="23"/>
  <c r="L19" i="23"/>
  <c r="K19" i="21"/>
  <c r="M19" i="21" s="1"/>
  <c r="N19" i="21" s="1"/>
  <c r="O19" i="21" s="1"/>
  <c r="L19" i="21"/>
  <c r="K19" i="20"/>
  <c r="L19" i="20"/>
  <c r="I25" i="25"/>
  <c r="P28" i="25" s="1"/>
  <c r="K22" i="18"/>
  <c r="M22" i="18" s="1"/>
  <c r="L22" i="19"/>
  <c r="K23" i="19"/>
  <c r="M23" i="19" s="1"/>
  <c r="N23" i="19" s="1"/>
  <c r="O23" i="19" s="1"/>
  <c r="L23" i="22"/>
  <c r="L25" i="22" s="1"/>
  <c r="P29" i="22" s="1"/>
  <c r="L25" i="25"/>
  <c r="P29" i="25" s="1"/>
  <c r="K25" i="25"/>
  <c r="P30" i="25" s="1"/>
  <c r="M18" i="18"/>
  <c r="N18" i="18" s="1"/>
  <c r="O18" i="18" s="1"/>
  <c r="M21" i="20"/>
  <c r="N21" i="20" s="1"/>
  <c r="O21" i="20" s="1"/>
  <c r="O25" i="35"/>
  <c r="P16" i="35"/>
  <c r="P25" i="35" s="1"/>
  <c r="P34" i="35"/>
  <c r="P35" i="35" s="1"/>
  <c r="O25" i="33"/>
  <c r="P16" i="33"/>
  <c r="P25" i="33" s="1"/>
  <c r="P34" i="33"/>
  <c r="P35" i="33" s="1"/>
  <c r="U31" i="15" s="1"/>
  <c r="P16" i="31"/>
  <c r="P25" i="31" s="1"/>
  <c r="P34" i="31"/>
  <c r="P35" i="31" s="1"/>
  <c r="U29" i="15" s="1"/>
  <c r="O25" i="28"/>
  <c r="P16" i="28"/>
  <c r="P25" i="28" s="1"/>
  <c r="P34" i="28"/>
  <c r="P35" i="28" s="1"/>
  <c r="U26" i="15" s="1"/>
  <c r="L24" i="21"/>
  <c r="M17" i="20"/>
  <c r="N17" i="20" s="1"/>
  <c r="O17" i="20" s="1"/>
  <c r="M20" i="18"/>
  <c r="N20" i="18" s="1"/>
  <c r="O20" i="18" s="1"/>
  <c r="M17" i="17"/>
  <c r="N17" i="17" s="1"/>
  <c r="O17" i="17" s="1"/>
  <c r="M19" i="20"/>
  <c r="N19" i="20" s="1"/>
  <c r="O19" i="20" s="1"/>
  <c r="M16" i="23"/>
  <c r="N16" i="23" s="1"/>
  <c r="L24" i="24"/>
  <c r="L22" i="21"/>
  <c r="M22" i="21" s="1"/>
  <c r="N22" i="21" s="1"/>
  <c r="O22" i="21" s="1"/>
  <c r="M18" i="21"/>
  <c r="N18" i="21" s="1"/>
  <c r="O18" i="21" s="1"/>
  <c r="M16" i="20"/>
  <c r="N16" i="20" s="1"/>
  <c r="K22" i="17"/>
  <c r="M22" i="17" s="1"/>
  <c r="N22" i="17" s="1"/>
  <c r="O22" i="17" s="1"/>
  <c r="M17" i="21"/>
  <c r="N17" i="21" s="1"/>
  <c r="O17" i="21" s="1"/>
  <c r="P17" i="21" s="1"/>
  <c r="M18" i="23"/>
  <c r="N18" i="23" s="1"/>
  <c r="O18" i="23" s="1"/>
  <c r="M19" i="17"/>
  <c r="N19" i="17" s="1"/>
  <c r="O19" i="17" s="1"/>
  <c r="P19" i="17" s="1"/>
  <c r="L22" i="24"/>
  <c r="M22" i="24" s="1"/>
  <c r="N22" i="24" s="1"/>
  <c r="O22" i="24" s="1"/>
  <c r="L23" i="17"/>
  <c r="M23" i="17" s="1"/>
  <c r="N23" i="17" s="1"/>
  <c r="O23" i="17" s="1"/>
  <c r="P23" i="17" s="1"/>
  <c r="I25" i="24"/>
  <c r="P28" i="24" s="1"/>
  <c r="M22" i="22"/>
  <c r="N22" i="22" s="1"/>
  <c r="O22" i="22" s="1"/>
  <c r="P33" i="27"/>
  <c r="P34" i="27" s="1"/>
  <c r="P35" i="27" s="1"/>
  <c r="U25" i="15" s="1"/>
  <c r="L22" i="23"/>
  <c r="L23" i="21"/>
  <c r="M23" i="21" s="1"/>
  <c r="N23" i="21" s="1"/>
  <c r="O23" i="21" s="1"/>
  <c r="P23" i="21" s="1"/>
  <c r="I25" i="19"/>
  <c r="P28" i="19" s="1"/>
  <c r="L25" i="18"/>
  <c r="P29" i="18" s="1"/>
  <c r="K23" i="18"/>
  <c r="O25" i="27"/>
  <c r="M23" i="25"/>
  <c r="M16" i="24"/>
  <c r="N16" i="24" s="1"/>
  <c r="M20" i="24"/>
  <c r="N20" i="24" s="1"/>
  <c r="O20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M18" i="20"/>
  <c r="N18" i="20" s="1"/>
  <c r="O18" i="20" s="1"/>
  <c r="M24" i="17"/>
  <c r="N24" i="17" s="1"/>
  <c r="O24" i="17" s="1"/>
  <c r="P25" i="27"/>
  <c r="N25" i="26"/>
  <c r="P32" i="26" s="1"/>
  <c r="P33" i="26" s="1"/>
  <c r="O16" i="26"/>
  <c r="O25" i="26" s="1"/>
  <c r="M17" i="25"/>
  <c r="N17" i="25" s="1"/>
  <c r="O17" i="25" s="1"/>
  <c r="M24" i="25"/>
  <c r="N24" i="25" s="1"/>
  <c r="O24" i="25" s="1"/>
  <c r="M18" i="24"/>
  <c r="N18" i="24" s="1"/>
  <c r="O18" i="24" s="1"/>
  <c r="M19" i="23"/>
  <c r="N19" i="23" s="1"/>
  <c r="O19" i="23" s="1"/>
  <c r="M21" i="22"/>
  <c r="N21" i="22" s="1"/>
  <c r="O21" i="22" s="1"/>
  <c r="P21" i="22" s="1"/>
  <c r="M17" i="22"/>
  <c r="N17" i="22" s="1"/>
  <c r="O17" i="22" s="1"/>
  <c r="M24" i="21"/>
  <c r="N24" i="21" s="1"/>
  <c r="O24" i="21" s="1"/>
  <c r="P24" i="21" s="1"/>
  <c r="M23" i="20"/>
  <c r="N23" i="20" s="1"/>
  <c r="O23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19" i="25"/>
  <c r="N19" i="25" s="1"/>
  <c r="O19" i="25" s="1"/>
  <c r="M22" i="25"/>
  <c r="N22" i="25" s="1"/>
  <c r="O22" i="25" s="1"/>
  <c r="M20" i="25"/>
  <c r="N20" i="25" s="1"/>
  <c r="O20" i="25" s="1"/>
  <c r="M24" i="24"/>
  <c r="M17" i="24"/>
  <c r="N17" i="24" s="1"/>
  <c r="O17" i="24" s="1"/>
  <c r="M23" i="24"/>
  <c r="I25" i="23"/>
  <c r="P28" i="23" s="1"/>
  <c r="M19" i="22"/>
  <c r="N19" i="22" s="1"/>
  <c r="O19" i="22" s="1"/>
  <c r="M18" i="22"/>
  <c r="N18" i="22" s="1"/>
  <c r="O18" i="22" s="1"/>
  <c r="I25" i="21"/>
  <c r="P28" i="21" s="1"/>
  <c r="M16" i="21"/>
  <c r="N16" i="21" s="1"/>
  <c r="L22" i="20"/>
  <c r="I25" i="20"/>
  <c r="P28" i="20" s="1"/>
  <c r="M19" i="19"/>
  <c r="N19" i="19" s="1"/>
  <c r="O19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K16" i="16" s="1"/>
  <c r="I17" i="16"/>
  <c r="K17" i="16" s="1"/>
  <c r="I18" i="16"/>
  <c r="K18" i="16" s="1"/>
  <c r="I19" i="16"/>
  <c r="K19" i="16" s="1"/>
  <c r="I20" i="16"/>
  <c r="K20" i="16" s="1"/>
  <c r="I21" i="16"/>
  <c r="K21" i="16" s="1"/>
  <c r="I22" i="16"/>
  <c r="K22" i="16" s="1"/>
  <c r="I23" i="16"/>
  <c r="L23" i="16" s="1"/>
  <c r="I24" i="16"/>
  <c r="L24" i="16" s="1"/>
  <c r="M18" i="19"/>
  <c r="N18" i="19" s="1"/>
  <c r="O18" i="19" s="1"/>
  <c r="M24" i="20"/>
  <c r="N24" i="20" s="1"/>
  <c r="O24" i="20" s="1"/>
  <c r="M23" i="22"/>
  <c r="N23" i="22" s="1"/>
  <c r="O23" i="22" s="1"/>
  <c r="M17" i="23"/>
  <c r="N17" i="23" s="1"/>
  <c r="O17" i="23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M16" i="25"/>
  <c r="N23" i="25"/>
  <c r="O23" i="25" s="1"/>
  <c r="P23" i="25" s="1"/>
  <c r="N23" i="24"/>
  <c r="O23" i="24" s="1"/>
  <c r="N24" i="24"/>
  <c r="O24" i="24" s="1"/>
  <c r="K25" i="24"/>
  <c r="P30" i="24" s="1"/>
  <c r="M16" i="22"/>
  <c r="M17" i="19"/>
  <c r="N17" i="19" s="1"/>
  <c r="O17" i="19" s="1"/>
  <c r="N24" i="19"/>
  <c r="O24" i="19" s="1"/>
  <c r="N24" i="18"/>
  <c r="O24" i="18" s="1"/>
  <c r="N22" i="18"/>
  <c r="O22" i="18" s="1"/>
  <c r="M16" i="17"/>
  <c r="I23" i="15"/>
  <c r="L17" i="16" l="1"/>
  <c r="L17" i="15" s="1"/>
  <c r="L19" i="16"/>
  <c r="L19" i="15" s="1"/>
  <c r="K19" i="15"/>
  <c r="L20" i="16"/>
  <c r="L20" i="15" s="1"/>
  <c r="L21" i="16"/>
  <c r="L21" i="15" s="1"/>
  <c r="K18" i="15"/>
  <c r="L18" i="16"/>
  <c r="L18" i="15" s="1"/>
  <c r="K16" i="15"/>
  <c r="L16" i="16"/>
  <c r="L16" i="15" s="1"/>
  <c r="K25" i="19"/>
  <c r="P30" i="19" s="1"/>
  <c r="K22" i="15"/>
  <c r="M19" i="18"/>
  <c r="N19" i="18" s="1"/>
  <c r="O19" i="18" s="1"/>
  <c r="L25" i="24"/>
  <c r="P29" i="24" s="1"/>
  <c r="P31" i="24" s="1"/>
  <c r="L23" i="15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L25" i="17"/>
  <c r="P29" i="17" s="1"/>
  <c r="K24" i="16"/>
  <c r="K24" i="15" s="1"/>
  <c r="M24" i="15" s="1"/>
  <c r="M21" i="17"/>
  <c r="N21" i="17" s="1"/>
  <c r="O21" i="17" s="1"/>
  <c r="L25" i="21"/>
  <c r="P29" i="21" s="1"/>
  <c r="L22" i="16"/>
  <c r="L22" i="15" s="1"/>
  <c r="M22" i="23"/>
  <c r="N22" i="23" s="1"/>
  <c r="O22" i="23" s="1"/>
  <c r="M22" i="20"/>
  <c r="N22" i="20" s="1"/>
  <c r="O22" i="20" s="1"/>
  <c r="M25" i="24"/>
  <c r="K20" i="15"/>
  <c r="K21" i="15"/>
  <c r="P16" i="26"/>
  <c r="P25" i="26" s="1"/>
  <c r="K25" i="23"/>
  <c r="P30" i="23" s="1"/>
  <c r="P34" i="26"/>
  <c r="P35" i="26" s="1"/>
  <c r="U24" i="15" s="1"/>
  <c r="P31" i="22"/>
  <c r="I25" i="16"/>
  <c r="P28" i="16" s="1"/>
  <c r="K17" i="15"/>
  <c r="P23" i="22"/>
  <c r="I25" i="15"/>
  <c r="P35" i="15" s="1"/>
  <c r="M24" i="16"/>
  <c r="N24" i="16" s="1"/>
  <c r="K23" i="16"/>
  <c r="O21" i="21"/>
  <c r="P21" i="21" s="1"/>
  <c r="P24" i="23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M25" i="20"/>
  <c r="P17" i="20"/>
  <c r="P19" i="20"/>
  <c r="P23" i="20"/>
  <c r="O16" i="20"/>
  <c r="M25" i="19"/>
  <c r="N21" i="19"/>
  <c r="O21" i="19" s="1"/>
  <c r="P17" i="19"/>
  <c r="P31" i="19"/>
  <c r="P18" i="19"/>
  <c r="P20" i="19"/>
  <c r="P19" i="19"/>
  <c r="P23" i="19"/>
  <c r="O16" i="19"/>
  <c r="P24" i="19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P19" i="18" l="1"/>
  <c r="M16" i="16"/>
  <c r="N16" i="16" s="1"/>
  <c r="O16" i="16" s="1"/>
  <c r="M18" i="15"/>
  <c r="M21" i="15"/>
  <c r="M25" i="18"/>
  <c r="M16" i="15"/>
  <c r="P22" i="20"/>
  <c r="M22" i="15"/>
  <c r="N16" i="18"/>
  <c r="M18" i="16"/>
  <c r="N18" i="16" s="1"/>
  <c r="O18" i="16" s="1"/>
  <c r="O18" i="15" s="1"/>
  <c r="M22" i="16"/>
  <c r="N22" i="16" s="1"/>
  <c r="N22" i="15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36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7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5" i="20" s="1"/>
  <c r="P21" i="19"/>
  <c r="P16" i="19"/>
  <c r="O16" i="18"/>
  <c r="O16" i="17"/>
  <c r="O25" i="17" s="1"/>
  <c r="N25" i="17"/>
  <c r="P32" i="17" s="1"/>
  <c r="N16" i="15" l="1"/>
  <c r="N18" i="15"/>
  <c r="P18" i="15" s="1"/>
  <c r="O22" i="16"/>
  <c r="O22" i="15" s="1"/>
  <c r="P22" i="15" s="1"/>
  <c r="N25" i="18"/>
  <c r="P32" i="18" s="1"/>
  <c r="P33" i="18" s="1"/>
  <c r="P34" i="18" s="1"/>
  <c r="P35" i="18" s="1"/>
  <c r="U16" i="15" s="1"/>
  <c r="N20" i="15"/>
  <c r="P20" i="15" s="1"/>
  <c r="P33" i="17"/>
  <c r="P34" i="17" s="1"/>
  <c r="P35" i="17" s="1"/>
  <c r="U15" i="15" s="1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O16" i="15"/>
  <c r="P16" i="15" s="1"/>
  <c r="O19" i="16"/>
  <c r="N19" i="15"/>
  <c r="O23" i="16"/>
  <c r="O23" i="15" s="1"/>
  <c r="N23" i="15"/>
  <c r="N25" i="16"/>
  <c r="P32" i="16" s="1"/>
  <c r="M25" i="16"/>
  <c r="P25" i="19"/>
  <c r="M25" i="15"/>
  <c r="K25" i="15"/>
  <c r="P37" i="15" s="1"/>
  <c r="P38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16" i="17"/>
  <c r="P25" i="17" s="1"/>
  <c r="P16" i="16"/>
  <c r="P33" i="16" l="1"/>
  <c r="P34" i="16" s="1"/>
  <c r="P35" i="16" s="1"/>
  <c r="U14" i="15" s="1"/>
  <c r="U33" i="15" s="1"/>
  <c r="N25" i="15"/>
  <c r="P39" i="15" s="1"/>
  <c r="P40" i="15" s="1"/>
  <c r="P41" i="15" s="1"/>
  <c r="P42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6" authorId="0" shapeId="0" xr:uid="{901B9E75-599C-4938-9F4E-741283D87F71}">
      <text>
        <r>
          <rPr>
            <b/>
            <sz val="9"/>
            <color indexed="81"/>
            <rFont val="Tahoma"/>
          </rPr>
          <t>Author:</t>
        </r>
        <r>
          <rPr>
            <sz val="9"/>
            <color indexed="81"/>
            <rFont val="Tahoma"/>
          </rPr>
          <t xml:space="preserve">
Nishat </t>
        </r>
      </text>
    </comment>
  </commentList>
</comments>
</file>

<file path=xl/sharedStrings.xml><?xml version="1.0" encoding="utf-8"?>
<sst xmlns="http://schemas.openxmlformats.org/spreadsheetml/2006/main" count="1560" uniqueCount="107">
  <si>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</si>
  <si>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</si>
  <si>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</si>
  <si>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</si>
  <si>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</si>
  <si>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</si>
  <si>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</si>
  <si>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</si>
  <si>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</si>
  <si>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</si>
  <si>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</si>
  <si>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</si>
  <si>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</si>
  <si>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</si>
  <si>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</si>
  <si>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</si>
  <si>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</si>
  <si>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</si>
  <si>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</si>
  <si>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</si>
  <si>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</si>
  <si>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</si>
  <si>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</si>
  <si>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</si>
  <si>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</si>
  <si>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</si>
  <si>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</si>
  <si>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</si>
  <si>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</si>
  <si>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</si>
  <si>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</si>
  <si>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</si>
  <si>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</si>
  <si>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</si>
  <si>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</si>
  <si>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</si>
  <si>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</si>
  <si>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</si>
  <si>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</si>
  <si>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</si>
  <si>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</si>
  <si>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</si>
  <si>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</si>
  <si>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</si>
  <si>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</si>
  <si>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</si>
  <si>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</si>
  <si>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</si>
  <si>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</si>
  <si>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</si>
  <si>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</si>
  <si>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</si>
  <si>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</si>
  <si>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</si>
  <si>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</si>
  <si>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</si>
  <si>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</si>
  <si>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</si>
  <si>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</si>
  <si>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</si>
  <si>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</si>
  <si>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</si>
  <si>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</si>
  <si>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</si>
  <si>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</si>
  <si>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</si>
  <si>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</si>
  <si>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</si>
  <si>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</si>
  <si>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</si>
  <si>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</si>
  <si>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</si>
  <si>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</si>
  <si>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</si>
  <si>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</si>
  <si>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</si>
  <si>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</si>
  <si>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</si>
  <si>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</si>
  <si>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</si>
  <si>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</si>
  <si>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</si>
  <si>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</si>
  <si>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</si>
  <si>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</si>
  <si>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</si>
  <si>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</si>
  <si>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</si>
  <si>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</si>
  <si>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</si>
  <si>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</si>
  <si>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</si>
  <si>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</si>
  <si>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</si>
  <si>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</si>
  <si>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</si>
  <si>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</si>
  <si>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</si>
  <si>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</si>
  <si>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</si>
  <si>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</si>
  <si>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</si>
  <si>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>Vacant__LMT</t>
  </si>
  <si>
    <t>Shop Bill Summary (LMT)</t>
  </si>
  <si>
    <t>3344916-3</t>
  </si>
  <si>
    <t>Customer Name : Rainbow Cash &amp; Carry</t>
  </si>
  <si>
    <t>Address: Defence Road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</si>
</sst>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9"/>
      <color indexed="81"/>
      <name val="Tahoma"/>
    </font>
    <font>
      <b/>
      <sz val="9"/>
      <color indexed="81"/>
      <name val="Tahoma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54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0" fontId="0" fillId="0" borderId="42" xfId="0" applyBorder="1" applyAlignment="1">
      <alignment horizontal="center"/>
    </xf>
    <xf numFmtId="9" fontId="13" fillId="0" borderId="45" xfId="0" applyNumberFormat="1" applyFont="1" applyBorder="1" applyAlignment="1">
      <alignment horizontal="center" vertical="center" wrapText="1"/>
    </xf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2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0" fillId="0" borderId="0" xfId="0" applyAlignment="1">
      <alignment horizontal="left" vertical="center" wrapText="1"/>
    </xf>
    <xf numFmtId="0" fontId="18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26" xfId="0" applyFont="1" applyBorder="1" applyAlignment="1">
      <alignment horizontal="center" vertical="top" wrapText="1"/>
    </xf>
    <xf numFmtId="0" fontId="13" fillId="0" borderId="14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Order Details"/>
      <sheetName val="A One"/>
      <sheetName val="Al Hamad"/>
      <sheetName val="Chanda"/>
      <sheetName val="Al Noor"/>
      <sheetName val="Hanif"/>
      <sheetName val="Chanda B"/>
      <sheetName val="Hasham"/>
      <sheetName val="Attara"/>
      <sheetName val="Waheed"/>
      <sheetName val="Marwa 2"/>
      <sheetName val="Saad"/>
      <sheetName val="Marwa 1"/>
      <sheetName val="Marwa4"/>
      <sheetName val="Rehman"/>
      <sheetName val="Al Raya"/>
      <sheetName val="Yaseen"/>
      <sheetName val="MM"/>
      <sheetName val="Luqman"/>
      <sheetName val="Cart &amp;"/>
      <sheetName val="Para"/>
      <sheetName val="Toheed"/>
      <sheetName val="Irfan Bakers"/>
      <sheetName val="Bravo"/>
      <sheetName val="Mian Bakers"/>
      <sheetName val="Sheet2"/>
      <sheetName val="Total"/>
    </sheetNames>
    <sheetDataSet>
      <sheetData sheetId="0" refreshError="1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>
            <v>0</v>
          </cell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>
            <v>0</v>
          </cell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>
            <v>0</v>
          </cell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>
            <v>0</v>
          </cell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>
            <v>0</v>
          </cell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>
            <v>0</v>
          </cell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>
            <v>0</v>
          </cell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F14" sqref="F14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1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</row>
    <row r="15" spans="1:2" x14ac:dyDescent="0.35">
      <c r="A15">
        <v>10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F14" sqref="F14"/>
      <selection pane="topRight" activeCell="F14" sqref="F14"/>
      <selection pane="bottomLeft" activeCell="F14" sqref="F14"/>
      <selection pane="bottomRight" activeCell="F14" sqref="F14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84"/>
      <c r="B3" s="184"/>
      <c r="C3" s="184"/>
      <c r="D3" s="184"/>
      <c r="E3" s="184"/>
      <c r="F3" s="185"/>
      <c r="G3" s="185"/>
      <c r="H3" s="185"/>
      <c r="I3" s="185"/>
      <c r="J3" s="185"/>
      <c r="K3" s="185"/>
      <c r="L3" s="185"/>
      <c r="M3" s="185"/>
      <c r="N3" s="185"/>
      <c r="O3" s="185"/>
      <c r="P3" s="185"/>
      <c r="Q3" s="185"/>
      <c r="R3" s="185"/>
      <c r="S3" s="185"/>
      <c r="T3" s="185"/>
      <c r="U3" s="185"/>
      <c r="V3" s="185"/>
      <c r="W3" s="185"/>
      <c r="X3" s="185"/>
      <c r="Y3" s="185"/>
    </row>
    <row r="4" spans="1:29" x14ac:dyDescent="0.35">
      <c r="A4" s="186" t="s">
        <v>6</v>
      </c>
      <c r="B4" s="5" t="s">
        <v>7</v>
      </c>
      <c r="C4" s="5"/>
      <c r="D4" s="188" t="s">
        <v>8</v>
      </c>
      <c r="E4" s="190" t="s">
        <v>9</v>
      </c>
      <c r="F4" s="192" t="s">
        <v>3</v>
      </c>
      <c r="G4" s="192"/>
      <c r="H4" s="193" t="s">
        <v>10</v>
      </c>
      <c r="I4" s="193"/>
      <c r="J4" s="194" t="s">
        <v>11</v>
      </c>
      <c r="K4" s="195"/>
      <c r="L4" s="194" t="s">
        <v>12</v>
      </c>
      <c r="M4" s="195"/>
      <c r="N4" s="196" t="s">
        <v>13</v>
      </c>
      <c r="O4" s="196"/>
      <c r="P4" s="194" t="s">
        <v>4</v>
      </c>
      <c r="Q4" s="195"/>
      <c r="R4" s="194" t="s">
        <v>14</v>
      </c>
      <c r="S4" s="195"/>
      <c r="T4" s="197" t="s">
        <v>15</v>
      </c>
      <c r="U4" s="197"/>
      <c r="V4" s="198" t="s">
        <v>16</v>
      </c>
      <c r="W4" s="199"/>
      <c r="X4" s="198" t="s">
        <v>17</v>
      </c>
      <c r="Y4" s="199"/>
    </row>
    <row r="5" spans="1:29" ht="26.25" customHeight="1" thickBot="1" x14ac:dyDescent="0.4">
      <c r="A5" s="187"/>
      <c r="B5" s="7" t="s">
        <v>18</v>
      </c>
      <c r="C5" s="7" t="s">
        <v>8</v>
      </c>
      <c r="D5" s="189"/>
      <c r="E5" s="191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4"/>
  <sheetViews>
    <sheetView topLeftCell="A10" zoomScale="70" zoomScaleNormal="70" workbookViewId="0">
      <selection activeCell="F14" sqref="F14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bestFit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55.26953125" bestFit="1" customWidth="1"/>
    <col min="21" max="21" width="12.453125" bestFit="1" customWidth="1"/>
  </cols>
  <sheetData>
    <row r="2" spans="1:21 16383:16384" ht="21" x14ac:dyDescent="0.5">
      <c r="A2" s="200" t="s">
        <v>45</v>
      </c>
      <c r="B2" s="200"/>
      <c r="C2" s="200"/>
    </row>
    <row r="3" spans="1:21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46220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05" t="s">
        <v>102</v>
      </c>
      <c r="B5" s="205"/>
      <c r="C5" s="205"/>
      <c r="F5" s="70"/>
      <c r="G5" s="71"/>
      <c r="K5" s="202" t="s">
        <v>51</v>
      </c>
      <c r="L5" s="202"/>
      <c r="M5" s="202"/>
      <c r="N5" s="203">
        <f ca="1">N4-1</f>
        <v>46219</v>
      </c>
      <c r="O5" s="201"/>
      <c r="P5" s="201"/>
      <c r="R5" s="70"/>
      <c r="S5" s="71"/>
    </row>
    <row r="6" spans="1:21 16383:16384" ht="15" customHeight="1" x14ac:dyDescent="0.35">
      <c r="A6" s="205"/>
      <c r="B6" s="205"/>
      <c r="C6" s="205"/>
      <c r="F6" s="70"/>
      <c r="G6" s="74"/>
      <c r="K6" s="202" t="s">
        <v>52</v>
      </c>
      <c r="L6" s="202"/>
      <c r="M6" s="202"/>
      <c r="N6" s="204" t="s">
        <v>42</v>
      </c>
      <c r="O6" s="204"/>
      <c r="P6" s="204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21 16383:16384" hidden="1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21 16383:16384" x14ac:dyDescent="0.35">
      <c r="A10" s="207"/>
      <c r="B10" s="75"/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21 16383:16384" ht="15" thickBot="1" x14ac:dyDescent="0.4">
      <c r="A11" s="207"/>
      <c r="B11" s="76"/>
      <c r="C11" s="77"/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21 16383:16384" ht="14.65" customHeight="1" x14ac:dyDescent="0.35">
      <c r="A12" s="207"/>
      <c r="B12" s="76"/>
      <c r="C12" s="77"/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T12" s="216" t="s">
        <v>103</v>
      </c>
      <c r="U12" s="217"/>
      <c r="XFD12" t="s">
        <v>62</v>
      </c>
    </row>
    <row r="13" spans="1:21 16383:16384" ht="15" thickBot="1" x14ac:dyDescent="0.4">
      <c r="A13" s="244"/>
      <c r="J13" s="78"/>
      <c r="K13" s="78"/>
      <c r="L13" s="79">
        <v>0.05</v>
      </c>
      <c r="T13" s="218"/>
      <c r="U13" s="219"/>
      <c r="XFD13" t="s">
        <v>63</v>
      </c>
    </row>
    <row r="14" spans="1:21 16383:16384" ht="29.25" customHeight="1" x14ac:dyDescent="0.6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10" t="s">
        <v>68</v>
      </c>
      <c r="H14" s="211"/>
      <c r="I14" s="211" t="s">
        <v>69</v>
      </c>
      <c r="J14" s="211" t="s">
        <v>70</v>
      </c>
      <c r="K14" s="211"/>
      <c r="L14" s="213"/>
      <c r="M14" s="214" t="s">
        <v>71</v>
      </c>
      <c r="N14" s="83" t="s">
        <v>72</v>
      </c>
      <c r="O14" s="84" t="s">
        <v>73</v>
      </c>
      <c r="P14" s="85" t="s">
        <v>74</v>
      </c>
      <c r="T14" s="162" t="str">
        <f>+'1'!A5</f>
        <v>Customer Name : Rainbow Cash &amp; Carry</v>
      </c>
      <c r="U14" s="163">
        <f>+'1'!P35</f>
        <v>90416.085802650006</v>
      </c>
      <c r="XFD14" t="s">
        <v>75</v>
      </c>
    </row>
    <row r="15" spans="1:21 16383:16384" ht="29.25" customHeight="1" thickBot="1" x14ac:dyDescent="0.65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172" t="s">
        <v>2</v>
      </c>
      <c r="H15" s="170" t="s">
        <v>77</v>
      </c>
      <c r="I15" s="212"/>
      <c r="J15" s="170" t="s">
        <v>78</v>
      </c>
      <c r="K15" s="170" t="s">
        <v>79</v>
      </c>
      <c r="L15" s="173" t="s">
        <v>80</v>
      </c>
      <c r="M15" s="215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T15" s="162" t="str">
        <f>+'2'!A5</f>
        <v>Customer Name : Rainbow Cash &amp; Carry</v>
      </c>
      <c r="U15" s="163">
        <f>+'2'!P35</f>
        <v>0</v>
      </c>
      <c r="XFD15" t="s">
        <v>81</v>
      </c>
    </row>
    <row r="16" spans="1:21 16383:16384" ht="29.25" customHeight="1" x14ac:dyDescent="0.6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169">
        <f>VLOOKUP(A16,'[1]Cust. Price List'!D6:M14,10,0)</f>
        <v>52.462499999999999</v>
      </c>
      <c r="G16" s="113"/>
      <c r="H16" s="171">
        <f>+'1'!H16+'2'!H16+'4'!H16+'3'!H16+'5'!H16+'6'!H16+'7'!H16+'8'!H16+'9'!H16+'10'!H16+'11'!H16+'12'!H16+'13'!H16+'14'!H16+'15'!H16+'16'!H16+'17'!H16+'18'!H16</f>
        <v>200</v>
      </c>
      <c r="I16" s="1">
        <f>(G16*D16)*F16+H16*F16</f>
        <v>10492.5</v>
      </c>
      <c r="J16" s="171">
        <f>+'1'!J16+'2'!J16+'4'!J16+'3'!J16+'5'!J16+'6'!J16+'7'!J16+'8'!J16+'9'!J16+'10'!J16+'11'!J16+'12'!J16+'13'!J16+'14'!J16+'15'!J16+'16'!J16+'17'!J16+'18'!J16</f>
        <v>10</v>
      </c>
      <c r="K16" s="171">
        <f>+'1'!K16+'2'!K16+'4'!K16+'3'!K16+'5'!K16+'6'!K16+'7'!K16+'8'!K16+'9'!K16+'10'!K16</f>
        <v>367.23750000000001</v>
      </c>
      <c r="L16" s="174">
        <f>+'1'!L16+'2'!L16+'4'!L16+'3'!L16+'5'!L16+'6'!L16+'7'!L16+'8'!L16+'9'!L16+'10'!L16</f>
        <v>1468.95</v>
      </c>
      <c r="M16" s="105">
        <f>I16-K16-L16</f>
        <v>8656.3125</v>
      </c>
      <c r="N16" s="100">
        <f>+'1'!N16+'2'!N16+'4'!N16+'3'!N16+'5'!N16+'6'!N16+'7'!N16+'8'!N16+'9'!N16+'10'!N16</f>
        <v>1652.5687499999999</v>
      </c>
      <c r="O16" s="100">
        <f>+'1'!O16+'2'!O16+'4'!O16+'3'!O16+'5'!O16+'6'!O16+'7'!O16+'8'!O16+'9'!O16+'10'!O16</f>
        <v>51.544406250000002</v>
      </c>
      <c r="P16" s="104">
        <f t="shared" ref="P16:P24" si="0">M16+N16+O16</f>
        <v>10360.42565625</v>
      </c>
      <c r="Q16" s="107"/>
      <c r="T16" s="162" t="str">
        <f>+'4'!A5</f>
        <v>Customer Name : Rainbow Cash &amp; Carry</v>
      </c>
      <c r="U16" s="163">
        <f>+'4'!P35</f>
        <v>0</v>
      </c>
      <c r="XFD16" t="s">
        <v>82</v>
      </c>
    </row>
    <row r="17" spans="1:21 16384:16384" ht="29.25" customHeight="1" x14ac:dyDescent="0.6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71">
        <f>+'1'!H17+'2'!H17+'4'!H17+'3'!H17+'5'!H17+'6'!H17+'7'!H17+'8'!H17+'9'!H17+'10'!H17+'11'!H17+'12'!H17+'13'!H17+'14'!H17+'15'!H17+'16'!H17+'17'!H17+'18'!H17</f>
        <v>320</v>
      </c>
      <c r="I17" s="1">
        <f t="shared" ref="I17:I23" si="1">(G17*D17)*F17+H17*F17</f>
        <v>16788</v>
      </c>
      <c r="J17" s="171">
        <f>+'1'!J17+'2'!J17+'4'!J17+'3'!J17+'5'!J17+'6'!J17+'7'!J17+'8'!J17+'9'!J17+'10'!J17+'11'!J17+'12'!J17+'13'!J17+'14'!J17+'15'!J17+'16'!J17+'17'!J17+'18'!J17</f>
        <v>16</v>
      </c>
      <c r="K17" s="171">
        <f>+'1'!K17+'2'!K17+'4'!K17+'3'!K17+'5'!K17+'6'!K17+'7'!K17+'8'!K17+'9'!K17+'10'!K17</f>
        <v>0</v>
      </c>
      <c r="L17" s="174">
        <f>+'1'!L17+'2'!L17+'4'!L17+'3'!L17+'5'!L17+'6'!L17+'7'!L17+'8'!L17+'9'!L17+'10'!L17</f>
        <v>2350.3200000000002</v>
      </c>
      <c r="M17" s="117">
        <f t="shared" ref="M17:M23" si="2">I17-K17-L17</f>
        <v>14437.68</v>
      </c>
      <c r="N17" s="100">
        <f>+'1'!N17+'2'!N17+'4'!N17+'3'!N17+'5'!N17+'6'!N17+'7'!N17+'8'!N17+'9'!N17+'10'!N17</f>
        <v>2749.8744000000002</v>
      </c>
      <c r="O17" s="100">
        <f>+'1'!O17+'2'!O17+'4'!O17+'3'!O17+'5'!O17+'6'!O17+'7'!O17+'8'!O17+'9'!O17+'10'!O17</f>
        <v>85.93777200000001</v>
      </c>
      <c r="P17" s="119">
        <f t="shared" si="0"/>
        <v>17273.492172000002</v>
      </c>
      <c r="S17" s="64"/>
      <c r="T17" s="162" t="str">
        <f>+'3'!A5</f>
        <v>Customer Name : Rainbow Cash &amp; Carry</v>
      </c>
      <c r="U17" s="163">
        <f>+'3'!P35</f>
        <v>0</v>
      </c>
      <c r="XFD17" t="s">
        <v>83</v>
      </c>
    </row>
    <row r="18" spans="1:21 16384:16384" ht="29.25" customHeight="1" x14ac:dyDescent="0.6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71">
        <f>+'1'!H18+'2'!H18+'4'!H18+'3'!H18+'5'!H18+'6'!H18+'7'!H18+'8'!H18+'9'!H18+'10'!H18+'11'!H18+'12'!H18+'13'!H18+'14'!H18+'15'!H18+'16'!H18+'17'!H18+'18'!H18</f>
        <v>0</v>
      </c>
      <c r="I18" s="1">
        <f t="shared" si="1"/>
        <v>0</v>
      </c>
      <c r="J18" s="171">
        <f>+'1'!J18+'2'!J18+'4'!J18+'3'!J18+'5'!J18+'6'!J18+'7'!J18+'8'!J18+'9'!J18+'10'!J18+'11'!J18+'12'!J18+'13'!J18+'14'!J18+'15'!J18+'16'!J18+'17'!J18+'18'!J18</f>
        <v>0</v>
      </c>
      <c r="K18" s="171">
        <f>+'1'!K18+'2'!K18+'4'!K18+'3'!K18+'5'!K18+'6'!K18+'7'!K18+'8'!K18+'9'!K18+'10'!K18</f>
        <v>0</v>
      </c>
      <c r="L18" s="174">
        <f>+'1'!L18+'2'!L18+'4'!L18+'3'!L18+'5'!L18+'6'!L18+'7'!L18+'8'!L18+'9'!L18+'10'!L18</f>
        <v>0</v>
      </c>
      <c r="M18" s="117">
        <f t="shared" si="2"/>
        <v>0</v>
      </c>
      <c r="N18" s="100">
        <f>+'1'!N18+'2'!N18+'4'!N18+'3'!N18+'5'!N18+'6'!N18+'7'!N18+'8'!N18+'9'!N18+'10'!N18</f>
        <v>0</v>
      </c>
      <c r="O18" s="100">
        <f>+'1'!O18+'2'!O18+'4'!O18+'3'!O18+'5'!O18+'6'!O18+'7'!O18+'8'!O18+'9'!O18+'10'!O18</f>
        <v>0</v>
      </c>
      <c r="P18" s="119">
        <f t="shared" si="0"/>
        <v>0</v>
      </c>
      <c r="T18" s="162" t="str">
        <f>+'5'!A5</f>
        <v>Customer Name : Rainbow Cash &amp; Carry</v>
      </c>
      <c r="U18" s="163">
        <f>+'5'!P35</f>
        <v>0</v>
      </c>
    </row>
    <row r="19" spans="1:21 16384:16384" ht="29.25" customHeight="1" x14ac:dyDescent="0.6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71">
        <f>+'1'!H19+'2'!H19+'4'!H19+'3'!H19+'5'!H19+'6'!H19+'7'!H19+'8'!H19+'9'!H19+'10'!H19+'11'!H19+'12'!H19+'13'!H19+'14'!H19+'15'!H19+'16'!H19+'17'!H19+'18'!H19</f>
        <v>320</v>
      </c>
      <c r="I19" s="1">
        <f t="shared" si="1"/>
        <v>23244.799999999999</v>
      </c>
      <c r="J19" s="171">
        <f>+'1'!J19+'2'!J19+'4'!J19+'3'!J19+'5'!J19+'6'!J19+'7'!J19+'8'!J19+'9'!J19+'10'!J19+'11'!J19+'12'!J19+'13'!J19+'14'!J19+'15'!J19+'16'!J19+'17'!J19+'18'!J19</f>
        <v>16</v>
      </c>
      <c r="K19" s="171">
        <f>+'1'!K19+'2'!K19+'4'!K19+'3'!K19+'5'!K19+'6'!K19+'7'!K19+'8'!K19+'9'!K19+'10'!K19</f>
        <v>0</v>
      </c>
      <c r="L19" s="174">
        <f>+'1'!L19+'2'!L19+'4'!L19+'3'!L19+'5'!L19+'6'!L19+'7'!L19+'8'!L19+'9'!L19+'10'!L19</f>
        <v>3254.2720000000004</v>
      </c>
      <c r="M19" s="117">
        <f t="shared" si="2"/>
        <v>19990.527999999998</v>
      </c>
      <c r="N19" s="100">
        <f>+'1'!N19+'2'!N19+'4'!N19+'3'!N19+'5'!N19+'6'!N19+'7'!N19+'8'!N19+'9'!N19+'10'!N19</f>
        <v>3807.4982399999994</v>
      </c>
      <c r="O19" s="100">
        <f>+'1'!O19+'2'!O19+'4'!O19+'3'!O19+'5'!O19+'6'!O19+'7'!O19+'8'!O19+'9'!O19+'10'!O19</f>
        <v>118.99013119999999</v>
      </c>
      <c r="P19" s="119">
        <f t="shared" si="0"/>
        <v>23917.016371199999</v>
      </c>
      <c r="T19" s="162" t="str">
        <f>+'6'!A5</f>
        <v>Customer Name : Rainbow Cash &amp; Carry</v>
      </c>
      <c r="U19" s="163">
        <f>+'6'!P35</f>
        <v>0</v>
      </c>
    </row>
    <row r="20" spans="1:21 16384:16384" ht="29.25" customHeight="1" x14ac:dyDescent="0.6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71">
        <f>+'1'!H20+'2'!H20+'4'!H20+'3'!H20+'5'!H20+'6'!H20+'7'!H20+'8'!H20+'9'!H20+'10'!H20+'11'!H20+'12'!H20+'13'!H20+'14'!H20+'15'!H20+'16'!H20+'17'!H20+'18'!H20</f>
        <v>0</v>
      </c>
      <c r="I20" s="1">
        <f t="shared" si="1"/>
        <v>0</v>
      </c>
      <c r="J20" s="171">
        <f>+'1'!J20+'2'!J20+'4'!J20+'3'!J20+'5'!J20+'6'!J20+'7'!J20+'8'!J20+'9'!J20+'10'!J20+'11'!J20+'12'!J20+'13'!J20+'14'!J20+'15'!J20+'16'!J20+'17'!J20+'18'!J20</f>
        <v>0</v>
      </c>
      <c r="K20" s="171">
        <f>+'1'!K20+'2'!K20+'4'!K20+'3'!K20+'5'!K20+'6'!K20+'7'!K20+'8'!K20+'9'!K20+'10'!K20</f>
        <v>0</v>
      </c>
      <c r="L20" s="174">
        <f>+'1'!L20+'2'!L20+'4'!L20+'3'!L20+'5'!L20+'6'!L20+'7'!L20+'8'!L20+'9'!L20+'10'!L20</f>
        <v>0</v>
      </c>
      <c r="M20" s="117">
        <f t="shared" si="2"/>
        <v>0</v>
      </c>
      <c r="N20" s="100">
        <f>+'1'!N20+'2'!N20+'4'!N20+'3'!N20+'5'!N20+'6'!N20+'7'!N20+'8'!N20+'9'!N20+'10'!N20</f>
        <v>0</v>
      </c>
      <c r="O20" s="100">
        <f>+'1'!O20+'2'!O20+'4'!O20+'3'!O20+'5'!O20+'6'!O20+'7'!O20+'8'!O20+'9'!O20+'10'!O20</f>
        <v>0</v>
      </c>
      <c r="P20" s="119">
        <f t="shared" si="0"/>
        <v>0</v>
      </c>
      <c r="T20" s="162" t="str">
        <f>+'7'!A5</f>
        <v>Customer Name : Rainbow Cash &amp; Carry</v>
      </c>
      <c r="U20" s="163">
        <f>+'7'!P35</f>
        <v>0</v>
      </c>
    </row>
    <row r="21" spans="1:21 16384:16384" ht="29.25" customHeight="1" x14ac:dyDescent="0.6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71">
        <f>+'1'!H21+'2'!H21+'4'!H21+'3'!H21+'5'!H21+'6'!H21+'7'!H21+'8'!H21+'9'!H21+'10'!H21+'11'!H21+'12'!H21+'13'!H21+'14'!H21+'15'!H21+'16'!H21+'17'!H21+'18'!H21</f>
        <v>520</v>
      </c>
      <c r="I21" s="1">
        <f t="shared" si="1"/>
        <v>37772.800000000003</v>
      </c>
      <c r="J21" s="171">
        <f>+'1'!J21+'2'!J21+'4'!J21+'3'!J21+'5'!J21+'6'!J21+'7'!J21+'8'!J21+'9'!J21+'10'!J21+'11'!J21+'12'!J21+'13'!J21+'14'!J21+'15'!J21+'16'!J21+'17'!J21+'18'!J21</f>
        <v>26</v>
      </c>
      <c r="K21" s="171">
        <f>+'1'!K21+'2'!K21+'4'!K21+'3'!K21+'5'!K21+'6'!K21+'7'!K21+'8'!K21+'9'!K21+'10'!K21</f>
        <v>0</v>
      </c>
      <c r="L21" s="174">
        <f>+'1'!L21+'2'!L21+'4'!L21+'3'!L21+'5'!L21+'6'!L21+'7'!L21+'8'!L21+'9'!L21+'10'!L21</f>
        <v>5288.1920000000009</v>
      </c>
      <c r="M21" s="117">
        <f t="shared" si="2"/>
        <v>32484.608</v>
      </c>
      <c r="N21" s="100">
        <f>+'1'!N21+'2'!N21+'4'!N21+'3'!N21+'5'!N21+'6'!N21+'7'!N21+'8'!N21+'9'!N21+'10'!N21</f>
        <v>6187.1846400000004</v>
      </c>
      <c r="O21" s="100">
        <f>+'1'!O21+'2'!O21+'4'!O21+'3'!O21+'5'!O21+'6'!O21+'7'!O21+'8'!O21+'9'!O21+'10'!O21</f>
        <v>193.35896320000001</v>
      </c>
      <c r="P21" s="119">
        <f t="shared" si="0"/>
        <v>38865.1516032</v>
      </c>
      <c r="T21" s="162" t="str">
        <f>+'8'!A5</f>
        <v>Customer Name : Rainbow Cash &amp; Carry</v>
      </c>
      <c r="U21" s="163">
        <f>+'8'!P35</f>
        <v>0</v>
      </c>
    </row>
    <row r="22" spans="1:21 16384:16384" ht="29.25" customHeight="1" x14ac:dyDescent="0.6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71">
        <f>+'1'!H22+'2'!H22+'4'!H22+'3'!H22+'5'!H22+'6'!H22+'7'!H22+'8'!H22+'9'!H22+'10'!H22+'11'!H22+'12'!H22+'13'!H22+'14'!H22+'15'!H22+'16'!H22+'17'!H22+'18'!H22</f>
        <v>0</v>
      </c>
      <c r="I22" s="1">
        <f t="shared" si="1"/>
        <v>0</v>
      </c>
      <c r="J22" s="171">
        <f>+'1'!J22+'2'!J22+'4'!J22+'3'!J22+'5'!J22+'6'!J22+'7'!J22+'8'!J22+'9'!J22+'10'!J22+'11'!J22+'12'!J22+'13'!J22+'14'!J22+'15'!J22+'16'!J22+'17'!J22+'18'!J22</f>
        <v>0</v>
      </c>
      <c r="K22" s="171">
        <f>+'1'!K22+'2'!K22+'4'!K22+'3'!K22+'5'!K22+'6'!K22+'7'!K22+'8'!K22+'9'!K22+'10'!K22</f>
        <v>0</v>
      </c>
      <c r="L22" s="174">
        <f>+'1'!L22+'2'!L22+'4'!L22+'3'!L22+'5'!L22+'6'!L22+'7'!L22+'8'!L22+'9'!L22+'10'!L22</f>
        <v>0</v>
      </c>
      <c r="M22" s="117">
        <f t="shared" si="2"/>
        <v>0</v>
      </c>
      <c r="N22" s="100">
        <f>+'1'!N22+'2'!N22+'4'!N22+'3'!N22+'5'!N22+'6'!N22+'7'!N22+'8'!N22+'9'!N22+'10'!N22</f>
        <v>0</v>
      </c>
      <c r="O22" s="100">
        <f>+'1'!O22+'2'!O22+'4'!O22+'3'!O22+'5'!O22+'6'!O22+'7'!O22+'8'!O22+'9'!O22+'10'!O22</f>
        <v>0</v>
      </c>
      <c r="P22" s="119">
        <f t="shared" si="0"/>
        <v>0</v>
      </c>
      <c r="T22" s="162" t="str">
        <f>+'9'!A5</f>
        <v>Customer Name : Rainbow Cash &amp; Carry</v>
      </c>
      <c r="U22" s="163">
        <f>+'9'!P35</f>
        <v>0</v>
      </c>
    </row>
    <row r="23" spans="1:21 16384:16384" ht="29.25" customHeight="1" x14ac:dyDescent="0.6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71">
        <f>+'1'!H23+'2'!H23+'4'!H23+'3'!H23+'5'!H23+'6'!H23+'7'!H23+'8'!H23+'9'!H23+'10'!H23+'11'!H23+'12'!H23+'13'!H23+'14'!H23+'15'!H23+'16'!H23+'17'!H23+'18'!H23</f>
        <v>0</v>
      </c>
      <c r="I23" s="1">
        <f t="shared" si="1"/>
        <v>0</v>
      </c>
      <c r="J23" s="171">
        <f>+'1'!J23+'2'!J23+'4'!J23+'3'!J23+'5'!J23+'6'!J23+'7'!J23+'8'!J23+'9'!J23+'10'!J23+'11'!J23+'12'!J23+'13'!J23+'14'!J23+'15'!J23+'16'!J23+'17'!J23+'18'!J23</f>
        <v>0</v>
      </c>
      <c r="K23" s="171">
        <f>+'1'!K23+'2'!K23+'4'!K23+'3'!K23+'5'!K23+'6'!K23+'7'!K23+'8'!K23+'9'!K23+'10'!K23</f>
        <v>0</v>
      </c>
      <c r="L23" s="174">
        <f>+'1'!L23+'2'!L23+'4'!L23+'3'!L23+'5'!L23+'6'!L23+'7'!L23+'8'!L23+'9'!L23+'10'!L23</f>
        <v>0</v>
      </c>
      <c r="M23" s="117">
        <f t="shared" si="2"/>
        <v>0</v>
      </c>
      <c r="N23" s="100">
        <f>+'1'!N23+'2'!N23+'4'!N23+'3'!N23+'5'!N23+'6'!N23+'7'!N23+'8'!N23+'9'!N23+'10'!N23</f>
        <v>0</v>
      </c>
      <c r="O23" s="100">
        <f>+'1'!O23+'2'!O23+'4'!O23+'3'!O23+'5'!O23+'6'!O23+'7'!O23+'8'!O23+'9'!O23+'10'!O23</f>
        <v>0</v>
      </c>
      <c r="P23" s="119">
        <f t="shared" si="0"/>
        <v>0</v>
      </c>
      <c r="T23" s="162" t="str">
        <f>+'10'!A5</f>
        <v>Customer Name : Rainbow Cash &amp; Carry</v>
      </c>
      <c r="U23" s="163">
        <f>+'10'!P35</f>
        <v>0</v>
      </c>
    </row>
    <row r="24" spans="1:21 16384:16384" ht="29.25" customHeight="1" thickBot="1" x14ac:dyDescent="0.65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13"/>
      <c r="H24" s="171">
        <f>+'1'!H24+'2'!H24+'4'!H24+'3'!H24+'5'!H24+'6'!H24+'7'!H24+'8'!H24+'9'!H24+'10'!H24+'11'!H24+'12'!H24+'13'!H24+'14'!H24+'15'!H24+'16'!H24+'17'!H24+'18'!H24</f>
        <v>0</v>
      </c>
      <c r="I24" s="1">
        <f>(G24*D24)*F24+H24*F24</f>
        <v>0</v>
      </c>
      <c r="J24" s="171">
        <f>+'1'!J24+'2'!J24+'4'!J24+'3'!J24+'5'!J24+'6'!J24+'7'!J24+'8'!J24+'9'!J24+'10'!J24+'11'!J24+'12'!J24+'13'!J24+'14'!J24+'15'!J24+'16'!J24+'17'!J24+'18'!J24</f>
        <v>0</v>
      </c>
      <c r="K24" s="171">
        <f>+'1'!K24+'2'!K24+'4'!K24+'3'!K24+'5'!K24+'6'!K24+'7'!K24+'8'!K24+'9'!K24+'10'!K24</f>
        <v>0</v>
      </c>
      <c r="L24" s="174">
        <f>+'1'!L24+'2'!L24+'4'!L24+'3'!L24+'5'!L24+'6'!L24+'7'!L24+'8'!L24+'9'!L24+'10'!L24</f>
        <v>0</v>
      </c>
      <c r="M24" s="132">
        <f>I24-K24-L24</f>
        <v>0</v>
      </c>
      <c r="N24" s="100">
        <f>+'1'!N24+'2'!N24+'4'!N24+'3'!N24+'5'!N24+'6'!N24+'7'!N24+'8'!N24+'9'!N24+'10'!N24</f>
        <v>0</v>
      </c>
      <c r="O24" s="100">
        <f>+'1'!O24+'2'!O24+'4'!O24+'3'!O24+'5'!O24+'6'!O24+'7'!O24+'8'!O24+'9'!O24+'10'!O24</f>
        <v>0</v>
      </c>
      <c r="P24" s="131">
        <f t="shared" si="0"/>
        <v>0</v>
      </c>
      <c r="T24" s="162" t="str">
        <f>+'11'!A5</f>
        <v>Customer Name : Rainbow Cash &amp; Carry</v>
      </c>
      <c r="U24" s="163">
        <f>+'11'!P35</f>
        <v>0</v>
      </c>
    </row>
    <row r="25" spans="1:21 16384:16384" ht="26.5" thickBot="1" x14ac:dyDescent="0.65">
      <c r="A25" s="226" t="s">
        <v>84</v>
      </c>
      <c r="B25" s="227"/>
      <c r="C25" s="228">
        <f>H25/40</f>
        <v>34</v>
      </c>
      <c r="D25" s="222"/>
      <c r="E25" s="222"/>
      <c r="F25" s="222"/>
      <c r="G25" s="175">
        <f t="shared" ref="G25:M25" si="3">SUM(G16:G24)</f>
        <v>0</v>
      </c>
      <c r="H25" s="176">
        <f t="shared" si="3"/>
        <v>1360</v>
      </c>
      <c r="I25" s="177">
        <f t="shared" si="3"/>
        <v>88298.1</v>
      </c>
      <c r="J25" s="176">
        <f t="shared" si="3"/>
        <v>68</v>
      </c>
      <c r="K25" s="177">
        <f t="shared" si="3"/>
        <v>367.23750000000001</v>
      </c>
      <c r="L25" s="178">
        <f t="shared" si="3"/>
        <v>12361.734000000002</v>
      </c>
      <c r="M25" s="140">
        <f t="shared" si="3"/>
        <v>75569.128499999992</v>
      </c>
      <c r="N25" s="141">
        <f>SUM(N16:N24)</f>
        <v>14397.126029999999</v>
      </c>
      <c r="O25" s="142">
        <f>SUM(O16:O24)</f>
        <v>449.83127265000002</v>
      </c>
      <c r="P25" s="143">
        <f>SUM(P16:P24)</f>
        <v>90416.085802649992</v>
      </c>
      <c r="T25" s="162" t="str">
        <f>+'12'!A5</f>
        <v>Customer Name : Rainbow Cash &amp; Carry</v>
      </c>
      <c r="U25" s="163">
        <f>+'12'!P35</f>
        <v>0</v>
      </c>
    </row>
    <row r="26" spans="1:21 16384:16384" ht="26" x14ac:dyDescent="0.6">
      <c r="A26" s="144"/>
      <c r="B26" s="144"/>
      <c r="C26" s="144"/>
      <c r="D26" s="144"/>
      <c r="E26" s="144"/>
      <c r="F26" s="144"/>
      <c r="G26" s="145"/>
      <c r="H26" s="145"/>
      <c r="I26" s="146"/>
      <c r="J26" s="145"/>
      <c r="K26" s="146"/>
      <c r="L26" s="147"/>
      <c r="M26" s="145"/>
      <c r="N26" s="145"/>
      <c r="O26" s="147"/>
      <c r="P26" s="146"/>
      <c r="T26" s="162" t="str">
        <f>+'13'!A5</f>
        <v>Customer Name : Rainbow Cash &amp; Carry</v>
      </c>
      <c r="U26" s="163">
        <f>+'13'!P35</f>
        <v>0</v>
      </c>
    </row>
    <row r="27" spans="1:21 16384:16384" ht="26" x14ac:dyDescent="0.6">
      <c r="A27" s="144"/>
      <c r="B27" s="144"/>
      <c r="C27" s="144"/>
      <c r="D27" s="144"/>
      <c r="E27" s="144"/>
      <c r="F27" s="144"/>
      <c r="G27" s="145"/>
      <c r="H27" s="145"/>
      <c r="I27" s="146"/>
      <c r="J27" s="145"/>
      <c r="K27" s="146"/>
      <c r="L27" s="147"/>
      <c r="M27" s="145"/>
      <c r="N27" s="145"/>
      <c r="O27" s="147"/>
      <c r="P27" s="146"/>
      <c r="T27" s="162" t="str">
        <f>+'14'!A5</f>
        <v>Customer Name : Rainbow Cash &amp; Carry</v>
      </c>
      <c r="U27" s="163">
        <f>+'14'!P35</f>
        <v>0</v>
      </c>
    </row>
    <row r="28" spans="1:21 16384:16384" ht="26" x14ac:dyDescent="0.6">
      <c r="A28" s="144"/>
      <c r="B28" s="144"/>
      <c r="C28" s="144"/>
      <c r="D28" s="144"/>
      <c r="E28" s="144"/>
      <c r="F28" s="144"/>
      <c r="G28" s="145"/>
      <c r="H28" s="145"/>
      <c r="I28" s="146"/>
      <c r="J28" s="145"/>
      <c r="K28" s="146"/>
      <c r="L28" s="147"/>
      <c r="M28" s="145"/>
      <c r="N28" s="145"/>
      <c r="O28" s="147"/>
      <c r="P28" s="146"/>
      <c r="T28" s="162" t="str">
        <f>+'15'!A5</f>
        <v>Customer Name : Rainbow Cash &amp; Carry</v>
      </c>
      <c r="U28" s="181">
        <f>+'15'!P35</f>
        <v>0</v>
      </c>
    </row>
    <row r="29" spans="1:21 16384:16384" ht="26" x14ac:dyDescent="0.6">
      <c r="A29" s="144"/>
      <c r="B29" s="144"/>
      <c r="C29" s="144"/>
      <c r="D29" s="144"/>
      <c r="E29" s="144"/>
      <c r="F29" s="144"/>
      <c r="G29" s="145"/>
      <c r="H29" s="145"/>
      <c r="I29" s="146"/>
      <c r="J29" s="145"/>
      <c r="K29" s="146"/>
      <c r="L29" s="147"/>
      <c r="M29" s="145"/>
      <c r="N29" s="145"/>
      <c r="O29" s="147"/>
      <c r="P29" s="146"/>
      <c r="T29" s="180" t="str">
        <f>+'16'!A5</f>
        <v>Customer Name : Rainbow Cash &amp; Carry</v>
      </c>
      <c r="U29" s="181">
        <f>+'16'!P35</f>
        <v>0</v>
      </c>
    </row>
    <row r="30" spans="1:21 16384:16384" ht="26" x14ac:dyDescent="0.6">
      <c r="A30" s="144"/>
      <c r="B30" s="144"/>
      <c r="C30" s="144"/>
      <c r="D30" s="144"/>
      <c r="E30" s="144"/>
      <c r="F30" s="144"/>
      <c r="G30" s="145"/>
      <c r="H30" s="145"/>
      <c r="I30" s="146"/>
      <c r="J30" s="145"/>
      <c r="K30" s="146"/>
      <c r="L30" s="147"/>
      <c r="M30" s="145"/>
      <c r="N30" s="145"/>
      <c r="O30" s="147"/>
      <c r="P30" s="146"/>
      <c r="T30" s="180" t="str">
        <f>+'17'!A5</f>
        <v>Customer Name : Rainbow Cash &amp; Carry</v>
      </c>
      <c r="U30" s="181">
        <f>+'17'!P35</f>
        <v>0</v>
      </c>
    </row>
    <row r="31" spans="1:21 16384:16384" ht="26" x14ac:dyDescent="0.6">
      <c r="A31" s="144"/>
      <c r="B31" s="144"/>
      <c r="C31" s="144"/>
      <c r="D31" s="144"/>
      <c r="E31" s="144"/>
      <c r="F31" s="144"/>
      <c r="G31" s="145"/>
      <c r="H31" s="145"/>
      <c r="I31" s="146"/>
      <c r="J31" s="145"/>
      <c r="K31" s="146"/>
      <c r="L31" s="147"/>
      <c r="M31" s="145"/>
      <c r="N31" s="145"/>
      <c r="O31" s="147"/>
      <c r="P31" s="146"/>
      <c r="T31" s="180" t="str">
        <f>+'18'!A5</f>
        <v>Customer Name : Rainbow Cash &amp; Carry</v>
      </c>
      <c r="U31" s="181">
        <f>+'18'!P35</f>
        <v>0</v>
      </c>
    </row>
    <row r="32" spans="1:21 16384:16384" ht="26" x14ac:dyDescent="0.6">
      <c r="A32" s="144"/>
      <c r="B32" s="144"/>
      <c r="C32" s="144"/>
      <c r="D32" s="144"/>
      <c r="E32" s="144"/>
      <c r="F32" s="144"/>
      <c r="G32" s="145"/>
      <c r="H32" s="145"/>
      <c r="I32" s="146"/>
      <c r="J32" s="145"/>
      <c r="K32" s="146"/>
      <c r="L32" s="147"/>
      <c r="M32" s="145"/>
      <c r="N32" s="145"/>
      <c r="O32" s="147"/>
      <c r="P32" s="146"/>
      <c r="T32" s="180"/>
      <c r="U32" s="181"/>
    </row>
    <row r="33" spans="1:21" ht="26.5" thickBot="1" x14ac:dyDescent="0.65">
      <c r="A33" s="144"/>
      <c r="B33" s="144"/>
      <c r="C33" s="144"/>
      <c r="D33" s="144"/>
      <c r="E33" s="144"/>
      <c r="F33" s="144"/>
      <c r="G33" s="145"/>
      <c r="H33" s="145"/>
      <c r="I33" s="146"/>
      <c r="K33" s="147"/>
      <c r="L33" s="147"/>
      <c r="M33" s="147"/>
      <c r="N33" s="147"/>
      <c r="O33" s="148"/>
      <c r="P33" s="147"/>
      <c r="T33" s="165" t="s">
        <v>84</v>
      </c>
      <c r="U33" s="164">
        <f>SUM(U14:U28)</f>
        <v>90416.085802650006</v>
      </c>
    </row>
    <row r="34" spans="1:21" ht="15" thickBot="1" x14ac:dyDescent="0.4">
      <c r="A34" s="69"/>
      <c r="B34" s="69"/>
      <c r="C34" s="149"/>
      <c r="D34" s="149"/>
      <c r="E34" s="149"/>
      <c r="F34" s="149"/>
      <c r="G34" s="150"/>
      <c r="H34" s="150"/>
    </row>
    <row r="35" spans="1:21" x14ac:dyDescent="0.35">
      <c r="B35" s="229" t="s">
        <v>85</v>
      </c>
      <c r="C35" s="230"/>
      <c r="D35" s="230"/>
      <c r="E35" s="230"/>
      <c r="F35" s="230"/>
      <c r="G35" s="230"/>
      <c r="H35" s="230"/>
      <c r="I35" s="230"/>
      <c r="J35" s="230"/>
      <c r="K35" s="230"/>
      <c r="L35" s="231"/>
      <c r="N35" s="238" t="s">
        <v>86</v>
      </c>
      <c r="O35" s="239"/>
      <c r="P35" s="151">
        <f>I25</f>
        <v>88298.1</v>
      </c>
    </row>
    <row r="36" spans="1:21" ht="15" customHeight="1" x14ac:dyDescent="0.35">
      <c r="B36" s="232"/>
      <c r="C36" s="233"/>
      <c r="D36" s="233"/>
      <c r="E36" s="233"/>
      <c r="F36" s="233"/>
      <c r="G36" s="233"/>
      <c r="H36" s="233"/>
      <c r="I36" s="233"/>
      <c r="J36" s="233"/>
      <c r="K36" s="233"/>
      <c r="L36" s="234"/>
      <c r="N36" s="240" t="s">
        <v>87</v>
      </c>
      <c r="O36" s="241"/>
      <c r="P36" s="152">
        <f>L25</f>
        <v>12361.734000000002</v>
      </c>
    </row>
    <row r="37" spans="1:21" ht="15" customHeight="1" x14ac:dyDescent="0.35">
      <c r="B37" s="232"/>
      <c r="C37" s="233"/>
      <c r="D37" s="233"/>
      <c r="E37" s="233"/>
      <c r="F37" s="233"/>
      <c r="G37" s="233"/>
      <c r="H37" s="233"/>
      <c r="I37" s="233"/>
      <c r="J37" s="233"/>
      <c r="K37" s="233"/>
      <c r="L37" s="234"/>
      <c r="N37" s="240" t="s">
        <v>4</v>
      </c>
      <c r="O37" s="241"/>
      <c r="P37" s="153">
        <f>K25</f>
        <v>367.23750000000001</v>
      </c>
    </row>
    <row r="38" spans="1:21" ht="15" customHeight="1" x14ac:dyDescent="0.35">
      <c r="B38" s="232"/>
      <c r="C38" s="233"/>
      <c r="D38" s="233"/>
      <c r="E38" s="233"/>
      <c r="F38" s="233"/>
      <c r="G38" s="233"/>
      <c r="H38" s="233"/>
      <c r="I38" s="233"/>
      <c r="J38" s="233"/>
      <c r="K38" s="233"/>
      <c r="L38" s="234"/>
      <c r="M38" s="2"/>
      <c r="N38" s="240" t="s">
        <v>88</v>
      </c>
      <c r="O38" s="241"/>
      <c r="P38" s="152">
        <f>P35-P36-P37</f>
        <v>75569.128500000006</v>
      </c>
    </row>
    <row r="39" spans="1:21" ht="15" customHeight="1" x14ac:dyDescent="0.35">
      <c r="B39" s="232"/>
      <c r="C39" s="233"/>
      <c r="D39" s="233"/>
      <c r="E39" s="233"/>
      <c r="F39" s="233"/>
      <c r="G39" s="233"/>
      <c r="H39" s="233"/>
      <c r="I39" s="233"/>
      <c r="J39" s="233"/>
      <c r="K39" s="233"/>
      <c r="L39" s="234"/>
      <c r="M39" s="2"/>
      <c r="N39" s="154" t="s">
        <v>89</v>
      </c>
      <c r="O39" s="155">
        <f>IF(B12="Registered",18%,22%)</f>
        <v>0.22</v>
      </c>
      <c r="P39" s="152">
        <f>N25</f>
        <v>14397.126029999999</v>
      </c>
    </row>
    <row r="40" spans="1:21" ht="15" customHeight="1" x14ac:dyDescent="0.35">
      <c r="B40" s="232"/>
      <c r="C40" s="233"/>
      <c r="D40" s="233"/>
      <c r="E40" s="233"/>
      <c r="F40" s="233"/>
      <c r="G40" s="233"/>
      <c r="H40" s="233"/>
      <c r="I40" s="233"/>
      <c r="J40" s="233"/>
      <c r="K40" s="233"/>
      <c r="L40" s="234"/>
      <c r="M40" s="2"/>
      <c r="N40" s="242" t="s">
        <v>90</v>
      </c>
      <c r="O40" s="243"/>
      <c r="P40" s="152">
        <f>P38+P39</f>
        <v>89966.254530000006</v>
      </c>
    </row>
    <row r="41" spans="1:21" ht="15" customHeight="1" thickBot="1" x14ac:dyDescent="0.4">
      <c r="B41" s="235"/>
      <c r="C41" s="236"/>
      <c r="D41" s="236"/>
      <c r="E41" s="236"/>
      <c r="F41" s="236"/>
      <c r="G41" s="236"/>
      <c r="H41" s="236"/>
      <c r="I41" s="236"/>
      <c r="J41" s="236"/>
      <c r="K41" s="236"/>
      <c r="L41" s="237"/>
      <c r="M41" s="156"/>
      <c r="N41" s="157" t="s">
        <v>91</v>
      </c>
      <c r="O41" s="158">
        <f>IF(B11="Filer",0.5%,2.5%)</f>
        <v>2.5000000000000001E-2</v>
      </c>
      <c r="P41" s="152">
        <f>O41*P40</f>
        <v>2249.1563632500001</v>
      </c>
    </row>
    <row r="42" spans="1:21" ht="15.75" customHeight="1" thickBot="1" x14ac:dyDescent="0.4">
      <c r="N42" s="220" t="s">
        <v>92</v>
      </c>
      <c r="O42" s="221"/>
      <c r="P42" s="159">
        <f>P40+P41</f>
        <v>92215.410893250009</v>
      </c>
    </row>
    <row r="43" spans="1:21" ht="15" thickBot="1" x14ac:dyDescent="0.4">
      <c r="B43" s="160" t="s">
        <v>93</v>
      </c>
      <c r="C43" s="222"/>
      <c r="D43" s="222"/>
      <c r="E43" s="222"/>
      <c r="F43" s="222"/>
      <c r="G43" s="222"/>
      <c r="H43" s="222"/>
      <c r="I43" s="223"/>
      <c r="J43" s="224"/>
      <c r="K43" s="225"/>
    </row>
    <row r="44" spans="1:21" ht="15.75" customHeight="1" x14ac:dyDescent="0.35"/>
  </sheetData>
  <mergeCells count="47">
    <mergeCell ref="T12:U13"/>
    <mergeCell ref="N42:O42"/>
    <mergeCell ref="C43:I43"/>
    <mergeCell ref="J43:K43"/>
    <mergeCell ref="A25:B25"/>
    <mergeCell ref="C25:F25"/>
    <mergeCell ref="B35:L41"/>
    <mergeCell ref="N35:O35"/>
    <mergeCell ref="N36:O36"/>
    <mergeCell ref="N37:O37"/>
    <mergeCell ref="N38:O38"/>
    <mergeCell ref="N40:O40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K5:M5"/>
    <mergeCell ref="N5:P5"/>
    <mergeCell ref="K6:M6"/>
    <mergeCell ref="N6:P6"/>
    <mergeCell ref="A5:C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abSelected="1" workbookViewId="0">
      <selection activeCell="F8" sqref="F8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8.36328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1001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46220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105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46219</v>
      </c>
      <c r="O5" s="201"/>
      <c r="P5" s="201"/>
      <c r="R5" s="70"/>
      <c r="S5" s="71"/>
    </row>
    <row r="6" spans="1:19 16383:16384" ht="15" customHeight="1" x14ac:dyDescent="0.35">
      <c r="A6" s="202" t="s">
        <v>106</v>
      </c>
      <c r="B6" s="202"/>
      <c r="C6" s="202"/>
      <c r="F6" s="70"/>
      <c r="G6" s="74"/>
      <c r="K6" s="202" t="s">
        <v>52</v>
      </c>
      <c r="L6" s="202"/>
      <c r="M6" s="202"/>
      <c r="N6" s="204" t="s">
        <v>101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 t="s">
        <v>104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48</v>
      </c>
      <c r="C11" s="77" t="str">
        <f>IF($O34&gt;2.49%,"No","Yes")</f>
        <v>Yes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167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200</v>
      </c>
      <c r="I16" s="101">
        <f>(G16*D16)*F16+H16*F16</f>
        <v>10492.5</v>
      </c>
      <c r="J16" s="102">
        <f>H16/20</f>
        <v>10</v>
      </c>
      <c r="K16" s="103">
        <f>I16*3.5%</f>
        <v>367.23750000000001</v>
      </c>
      <c r="L16" s="104">
        <f>I16*14%</f>
        <v>1468.95</v>
      </c>
      <c r="M16" s="105">
        <f>I16-K16-L16</f>
        <v>8656.3125</v>
      </c>
      <c r="N16" s="105">
        <f t="shared" ref="N16:N24" si="0">(M16*$N$15)+(J16*F16)*$N$15</f>
        <v>1652.5687499999999</v>
      </c>
      <c r="O16" s="106">
        <f t="shared" ref="O16:O24" si="1">(N16+M16)*$O$15</f>
        <v>51.544406250000002</v>
      </c>
      <c r="P16" s="104">
        <f t="shared" ref="P16:P24" si="2">M16+N16+O16</f>
        <v>10360.42565625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320</v>
      </c>
      <c r="I17" s="115">
        <f t="shared" ref="I17:I23" si="3">(G17*D17)*F17+H17*F17</f>
        <v>16788</v>
      </c>
      <c r="J17" s="102">
        <f t="shared" ref="J17:J21" si="4">H17/20</f>
        <v>16</v>
      </c>
      <c r="K17" s="1">
        <f t="shared" ref="K17:K21" si="5">I17*$K$13</f>
        <v>0</v>
      </c>
      <c r="L17" s="104">
        <f t="shared" ref="L17:L21" si="6">I17*14%</f>
        <v>2350.3200000000002</v>
      </c>
      <c r="M17" s="117">
        <f t="shared" ref="M17:M23" si="7">I17-K17-L17</f>
        <v>14437.68</v>
      </c>
      <c r="N17" s="117">
        <f t="shared" si="0"/>
        <v>2749.8744000000002</v>
      </c>
      <c r="O17" s="118">
        <f t="shared" si="1"/>
        <v>85.93777200000001</v>
      </c>
      <c r="P17" s="119">
        <f t="shared" si="2"/>
        <v>17273.492172000002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3"/>
        <v>0</v>
      </c>
      <c r="J18" s="102">
        <f t="shared" si="4"/>
        <v>0</v>
      </c>
      <c r="K18" s="1">
        <f t="shared" si="5"/>
        <v>0</v>
      </c>
      <c r="L18" s="104">
        <f t="shared" si="6"/>
        <v>0</v>
      </c>
      <c r="M18" s="117">
        <f t="shared" si="7"/>
        <v>0</v>
      </c>
      <c r="N18" s="117">
        <f t="shared" si="0"/>
        <v>0</v>
      </c>
      <c r="O18" s="118">
        <f t="shared" si="1"/>
        <v>0</v>
      </c>
      <c r="P18" s="119">
        <f t="shared" si="2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320</v>
      </c>
      <c r="I19" s="115">
        <f t="shared" si="3"/>
        <v>23244.799999999999</v>
      </c>
      <c r="J19" s="102">
        <f t="shared" si="4"/>
        <v>16</v>
      </c>
      <c r="K19" s="1">
        <f t="shared" si="5"/>
        <v>0</v>
      </c>
      <c r="L19" s="104">
        <f t="shared" si="6"/>
        <v>3254.2720000000004</v>
      </c>
      <c r="M19" s="117">
        <f t="shared" si="7"/>
        <v>19990.527999999998</v>
      </c>
      <c r="N19" s="117">
        <f t="shared" si="0"/>
        <v>3807.4982399999994</v>
      </c>
      <c r="O19" s="118">
        <f t="shared" si="1"/>
        <v>118.99013119999999</v>
      </c>
      <c r="P19" s="119">
        <f t="shared" si="2"/>
        <v>23917.016371199999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3"/>
        <v>0</v>
      </c>
      <c r="J20" s="102">
        <f t="shared" si="4"/>
        <v>0</v>
      </c>
      <c r="K20" s="1">
        <f t="shared" si="5"/>
        <v>0</v>
      </c>
      <c r="L20" s="104">
        <f t="shared" si="6"/>
        <v>0</v>
      </c>
      <c r="M20" s="117">
        <f t="shared" si="7"/>
        <v>0</v>
      </c>
      <c r="N20" s="117">
        <f t="shared" si="0"/>
        <v>0</v>
      </c>
      <c r="O20" s="118">
        <f t="shared" si="1"/>
        <v>0</v>
      </c>
      <c r="P20" s="119">
        <f t="shared" si="2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520</v>
      </c>
      <c r="I21" s="115">
        <f t="shared" si="3"/>
        <v>37772.800000000003</v>
      </c>
      <c r="J21" s="102">
        <f t="shared" si="4"/>
        <v>26</v>
      </c>
      <c r="K21" s="1">
        <f t="shared" si="5"/>
        <v>0</v>
      </c>
      <c r="L21" s="104">
        <f t="shared" si="6"/>
        <v>5288.1920000000009</v>
      </c>
      <c r="M21" s="117">
        <f t="shared" si="7"/>
        <v>32484.608</v>
      </c>
      <c r="N21" s="117">
        <f t="shared" si="0"/>
        <v>6187.1846400000004</v>
      </c>
      <c r="O21" s="118">
        <f t="shared" si="1"/>
        <v>193.35896320000001</v>
      </c>
      <c r="P21" s="119">
        <f t="shared" si="2"/>
        <v>38865.1516032</v>
      </c>
    </row>
    <row r="22" spans="1:19 16384:16384" ht="15" thickBot="1" x14ac:dyDescent="0.4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3"/>
        <v>0</v>
      </c>
      <c r="J22" s="116"/>
      <c r="K22" s="1">
        <f>I22*3.5%</f>
        <v>0</v>
      </c>
      <c r="L22" s="119">
        <f>I22*5%</f>
        <v>0</v>
      </c>
      <c r="M22" s="117">
        <f t="shared" si="7"/>
        <v>0</v>
      </c>
      <c r="N22" s="117">
        <f t="shared" si="0"/>
        <v>0</v>
      </c>
      <c r="O22" s="118">
        <f t="shared" si="1"/>
        <v>0</v>
      </c>
      <c r="P22" s="119">
        <f t="shared" si="2"/>
        <v>0</v>
      </c>
    </row>
    <row r="23" spans="1:19 16384:16384" ht="15" hidden="1" thickBot="1" x14ac:dyDescent="0.4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3"/>
        <v>0</v>
      </c>
      <c r="J23" s="116"/>
      <c r="K23" s="1">
        <f t="shared" ref="K23:K24" si="8">I23*3.5%</f>
        <v>0</v>
      </c>
      <c r="L23" s="119">
        <f t="shared" ref="L23:L24" si="9">I23*$L$13</f>
        <v>0</v>
      </c>
      <c r="M23" s="117">
        <f t="shared" si="7"/>
        <v>0</v>
      </c>
      <c r="N23" s="117">
        <f t="shared" si="0"/>
        <v>0</v>
      </c>
      <c r="O23" s="118">
        <f t="shared" si="1"/>
        <v>0</v>
      </c>
      <c r="P23" s="119">
        <f t="shared" si="2"/>
        <v>0</v>
      </c>
    </row>
    <row r="24" spans="1:19 16384:16384" ht="15" hidden="1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8"/>
        <v>0</v>
      </c>
      <c r="L24" s="131">
        <f t="shared" si="9"/>
        <v>0</v>
      </c>
      <c r="M24" s="132">
        <f>I24-K24-L24</f>
        <v>0</v>
      </c>
      <c r="N24" s="132">
        <f t="shared" si="0"/>
        <v>0</v>
      </c>
      <c r="O24" s="133">
        <f t="shared" si="1"/>
        <v>0</v>
      </c>
      <c r="P24" s="131">
        <f t="shared" si="2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10">SUM(G16:G24)</f>
        <v>0</v>
      </c>
      <c r="H25" s="135">
        <f t="shared" si="10"/>
        <v>1360</v>
      </c>
      <c r="I25" s="136">
        <f t="shared" si="10"/>
        <v>88298.1</v>
      </c>
      <c r="J25" s="182">
        <f>SUM(J16:J21)</f>
        <v>68</v>
      </c>
      <c r="K25" s="138">
        <f t="shared" si="10"/>
        <v>367.23750000000001</v>
      </c>
      <c r="L25" s="139">
        <f t="shared" si="10"/>
        <v>12361.734000000002</v>
      </c>
      <c r="M25" s="140">
        <f t="shared" si="10"/>
        <v>75569.128499999992</v>
      </c>
      <c r="N25" s="141">
        <f>SUM(N16:N24)</f>
        <v>14397.126029999999</v>
      </c>
      <c r="O25" s="142">
        <f>SUM(O16:O24)</f>
        <v>449.83127265000002</v>
      </c>
      <c r="P25" s="143">
        <f>SUM(P16:P24)</f>
        <v>90416.085802649992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88298.1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12361.734000000002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367.23750000000001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75569.128500000006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0.18</v>
      </c>
      <c r="P32" s="152">
        <f>N25</f>
        <v>14397.126029999999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89966.254530000006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5.0000000000000001E-3</v>
      </c>
      <c r="P34" s="152">
        <f>O34*P33</f>
        <v>449.83127265000002</v>
      </c>
    </row>
    <row r="35" spans="2:16" ht="15.75" customHeight="1" thickBot="1" x14ac:dyDescent="0.4">
      <c r="N35" s="220" t="s">
        <v>92</v>
      </c>
      <c r="O35" s="221"/>
      <c r="P35" s="159">
        <f>P33+P34</f>
        <v>90416.085802650006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9" workbookViewId="0">
      <selection activeCell="H16" sqref="H1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2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46220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105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46219</v>
      </c>
      <c r="O5" s="201"/>
      <c r="P5" s="201"/>
      <c r="R5" s="70"/>
      <c r="S5" s="71"/>
    </row>
    <row r="6" spans="1:19 16383:16384" ht="15" customHeight="1" x14ac:dyDescent="0.35">
      <c r="A6" s="202" t="s">
        <v>106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/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167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I16*3.5%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19" workbookViewId="0">
      <selection activeCell="H16" sqref="H1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4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46220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105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46219</v>
      </c>
      <c r="O5" s="201"/>
      <c r="P5" s="201"/>
      <c r="R5" s="70"/>
      <c r="S5" s="71"/>
    </row>
    <row r="6" spans="1:19 16383:16384" ht="15" customHeight="1" x14ac:dyDescent="0.35">
      <c r="A6" s="202" t="s">
        <v>106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168"/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56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I16*3.5%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16" workbookViewId="0">
      <selection activeCell="H16" sqref="H1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3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46220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105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46219</v>
      </c>
      <c r="O5" s="201"/>
      <c r="P5" s="201"/>
      <c r="R5" s="70"/>
      <c r="S5" s="71"/>
    </row>
    <row r="6" spans="1:19 16383:16384" ht="15" customHeight="1" x14ac:dyDescent="0.35">
      <c r="A6" s="202" t="s">
        <v>106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/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I16*3.5%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ht="15" thickBot="1" x14ac:dyDescent="0.4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hidden="1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hidden="1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10" workbookViewId="0">
      <selection activeCell="H16" sqref="H1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5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46220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105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46219</v>
      </c>
      <c r="O5" s="201"/>
      <c r="P5" s="201"/>
      <c r="R5" s="70"/>
      <c r="S5" s="71"/>
    </row>
    <row r="6" spans="1:19 16383:16384" ht="15" customHeight="1" x14ac:dyDescent="0.35">
      <c r="A6" s="202" t="s">
        <v>106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168"/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I16*3.5%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disablePrompts="1"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legacyDrawing r:id="rId2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7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10" workbookViewId="0">
      <selection activeCell="H16" sqref="H1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6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46220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105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46219</v>
      </c>
      <c r="O5" s="201"/>
      <c r="P5" s="201"/>
      <c r="R5" s="70"/>
      <c r="S5" s="71"/>
    </row>
    <row r="6" spans="1:19 16383:16384" ht="15" customHeight="1" x14ac:dyDescent="0.35">
      <c r="A6" s="202" t="s">
        <v>106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/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48</v>
      </c>
      <c r="C11" s="77" t="str">
        <f>IF($O34&gt;2.49%,"No","Yes")</f>
        <v>Yes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I16*3.5%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workbookViewId="0">
      <selection activeCell="H16" sqref="H1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7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46220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105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46219</v>
      </c>
      <c r="O5" s="201"/>
      <c r="P5" s="201"/>
      <c r="R5" s="70"/>
      <c r="S5" s="71"/>
    </row>
    <row r="6" spans="1:19 16383:16384" ht="15" customHeight="1" x14ac:dyDescent="0.35">
      <c r="A6" s="202" t="s">
        <v>106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168"/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48</v>
      </c>
      <c r="C11" s="77" t="str">
        <f>IF($O34&gt;2.49%,"No","Yes")</f>
        <v>Yes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I16*3.5%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10" workbookViewId="0">
      <selection activeCell="H16" sqref="H1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8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46220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105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46219</v>
      </c>
      <c r="O5" s="201"/>
      <c r="P5" s="201"/>
      <c r="R5" s="70"/>
      <c r="S5" s="71"/>
    </row>
    <row r="6" spans="1:19 16383:16384" ht="15" customHeight="1" x14ac:dyDescent="0.35">
      <c r="A6" s="202" t="s">
        <v>106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/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48</v>
      </c>
      <c r="C11" s="77" t="str">
        <f>IF($O34&gt;2.49%,"No","Yes")</f>
        <v>Yes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75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I16*3.5%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19" workbookViewId="0">
      <selection activeCell="H16" sqref="H1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9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46220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105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46219</v>
      </c>
      <c r="O5" s="201"/>
      <c r="P5" s="201"/>
      <c r="R5" s="70"/>
      <c r="S5" s="71"/>
    </row>
    <row r="6" spans="1:19 16383:16384" ht="15" customHeight="1" x14ac:dyDescent="0.35">
      <c r="A6" s="202" t="s">
        <v>106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166"/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48</v>
      </c>
      <c r="C11" s="77" t="str">
        <f>IF($O34&gt;2.49%,"No","Yes")</f>
        <v>Yes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I16*3.5%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E19" workbookViewId="0">
      <selection activeCell="H16" sqref="H1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46220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105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46219</v>
      </c>
      <c r="O5" s="201"/>
      <c r="P5" s="201"/>
      <c r="R5" s="70"/>
      <c r="S5" s="71"/>
    </row>
    <row r="6" spans="1:19 16383:16384" ht="15" customHeight="1" x14ac:dyDescent="0.35">
      <c r="A6" s="202" t="s">
        <v>106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/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I16*3.5%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workbookViewId="0">
      <selection activeCell="H16" sqref="H1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46220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105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46219</v>
      </c>
      <c r="O5" s="201"/>
      <c r="P5" s="201"/>
      <c r="R5" s="70"/>
      <c r="S5" s="71"/>
    </row>
    <row r="6" spans="1:19 16383:16384" ht="15" customHeight="1" x14ac:dyDescent="0.35">
      <c r="A6" s="202" t="s">
        <v>106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/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I16*3.5%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19" workbookViewId="0">
      <selection activeCell="H16" sqref="H1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46220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105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46219</v>
      </c>
      <c r="O5" s="201"/>
      <c r="P5" s="201"/>
      <c r="R5" s="70"/>
      <c r="S5" s="71"/>
    </row>
    <row r="6" spans="1:19 16383:16384" ht="15" customHeight="1" x14ac:dyDescent="0.35">
      <c r="A6" s="202" t="s">
        <v>106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/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I16*3.5%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sheetPr>
    <pageSetUpPr fitToPage="1"/>
  </sheetPr>
  <dimension ref="A2:XFD37"/>
  <sheetViews>
    <sheetView topLeftCell="A12" workbookViewId="0">
      <selection activeCell="H16" sqref="H1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46220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105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46219</v>
      </c>
      <c r="O5" s="201"/>
      <c r="P5" s="201"/>
      <c r="R5" s="70"/>
      <c r="S5" s="71"/>
    </row>
    <row r="6" spans="1:19 16383:16384" ht="15" customHeight="1" x14ac:dyDescent="0.35">
      <c r="A6" s="202" t="s">
        <v>106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/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75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I16*3.5%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sheetPr>
    <pageSetUpPr fitToPage="1"/>
  </sheetPr>
  <dimension ref="A2:XFD37"/>
  <sheetViews>
    <sheetView topLeftCell="A19" workbookViewId="0">
      <selection activeCell="H16" sqref="H1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46220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105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46219</v>
      </c>
      <c r="O5" s="201"/>
      <c r="P5" s="201"/>
      <c r="R5" s="70"/>
      <c r="S5" s="71"/>
    </row>
    <row r="6" spans="1:19 16383:16384" ht="15" customHeight="1" x14ac:dyDescent="0.35">
      <c r="A6" s="202" t="s">
        <v>106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/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I16*3.5%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sheetPr>
    <pageSetUpPr fitToPage="1"/>
  </sheetPr>
  <dimension ref="A2:XFD37"/>
  <sheetViews>
    <sheetView topLeftCell="A19" workbookViewId="0">
      <selection activeCell="H16" sqref="H1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46220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105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46219</v>
      </c>
      <c r="O5" s="201"/>
      <c r="P5" s="201"/>
      <c r="R5" s="70"/>
      <c r="S5" s="71"/>
    </row>
    <row r="6" spans="1:19 16383:16384" ht="15" customHeight="1" x14ac:dyDescent="0.35">
      <c r="A6" s="202" t="s">
        <v>106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179"/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I16*3.5%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sheetPr>
    <pageSetUpPr fitToPage="1"/>
  </sheetPr>
  <dimension ref="A2:XFD37"/>
  <sheetViews>
    <sheetView topLeftCell="A18" workbookViewId="0">
      <selection activeCell="H16" sqref="H1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46220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105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46219</v>
      </c>
      <c r="O5" s="201"/>
      <c r="P5" s="201"/>
      <c r="R5" s="70"/>
      <c r="S5" s="71"/>
    </row>
    <row r="6" spans="1:19 16383:16384" ht="15" customHeight="1" x14ac:dyDescent="0.35">
      <c r="A6" s="202" t="s">
        <v>106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/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I16*3.5%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sheetPr>
    <pageSetUpPr fitToPage="1"/>
  </sheetPr>
  <dimension ref="A2:XFD37"/>
  <sheetViews>
    <sheetView topLeftCell="A19" workbookViewId="0">
      <selection activeCell="H16" sqref="H1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46220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105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46219</v>
      </c>
      <c r="O5" s="201"/>
      <c r="P5" s="201"/>
      <c r="R5" s="70"/>
      <c r="S5" s="71"/>
    </row>
    <row r="6" spans="1:19 16383:16384" ht="15" customHeight="1" x14ac:dyDescent="0.35">
      <c r="A6" s="202" t="s">
        <v>106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/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I16*3.5%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topLeftCell="A7" workbookViewId="0">
      <selection activeCell="H16" sqref="H1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46220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105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46219</v>
      </c>
      <c r="O5" s="201"/>
      <c r="P5" s="201"/>
      <c r="R5" s="70"/>
      <c r="S5" s="71"/>
    </row>
    <row r="6" spans="1:19 16383:16384" ht="15" customHeight="1" x14ac:dyDescent="0.35">
      <c r="A6" s="202" t="s">
        <v>106</v>
      </c>
      <c r="B6" s="202"/>
      <c r="C6" s="202"/>
      <c r="F6" s="70"/>
      <c r="G6" s="74"/>
      <c r="K6" s="202" t="s">
        <v>52</v>
      </c>
      <c r="L6" s="202"/>
      <c r="M6" s="202"/>
      <c r="N6" s="204" t="s">
        <v>97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/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I16*3.5%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workbookViewId="0">
      <selection activeCell="H16" sqref="H1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46220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105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46219</v>
      </c>
      <c r="O5" s="201"/>
      <c r="P5" s="201"/>
      <c r="R5" s="70"/>
      <c r="S5" s="71"/>
    </row>
    <row r="6" spans="1:19 16383:16384" ht="15" customHeight="1" x14ac:dyDescent="0.35">
      <c r="A6" s="202" t="s">
        <v>106</v>
      </c>
      <c r="B6" s="202"/>
      <c r="C6" s="202"/>
      <c r="F6" s="70"/>
      <c r="G6" s="74"/>
      <c r="K6" s="202" t="s">
        <v>52</v>
      </c>
      <c r="L6" s="202"/>
      <c r="M6" s="202"/>
      <c r="N6" s="204" t="s">
        <v>97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/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I16*3.5%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workbookViewId="0">
      <selection activeCell="H16" sqref="H1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46220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105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46219</v>
      </c>
      <c r="O5" s="201"/>
      <c r="P5" s="201"/>
      <c r="R5" s="70"/>
      <c r="S5" s="71"/>
    </row>
    <row r="6" spans="1:19 16383:16384" ht="15" customHeight="1" x14ac:dyDescent="0.35">
      <c r="A6" s="202" t="s">
        <v>106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/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I16*3.5%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2026-07-17T04:20:37Z</dcterms:modified>
</cp:coreProperties>
</file>