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5D683A9D-AD26-4572-AE86-9D4EE214B528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J17" i="16" l="1"/>
  <c r="J18" i="16"/>
  <c r="J19" i="16"/>
  <c r="J19" i="15" s="1"/>
  <c r="J20" i="16"/>
  <c r="J25" i="16" s="1"/>
  <c r="J21" i="16"/>
  <c r="J16" i="16"/>
  <c r="J16" i="15" s="1"/>
  <c r="K17" i="35"/>
  <c r="K18" i="35"/>
  <c r="K19" i="35"/>
  <c r="K20" i="35"/>
  <c r="K21" i="35"/>
  <c r="K17" i="34"/>
  <c r="K18" i="34"/>
  <c r="K19" i="34"/>
  <c r="K20" i="34"/>
  <c r="K21" i="34"/>
  <c r="K17" i="33"/>
  <c r="K18" i="33"/>
  <c r="K19" i="33"/>
  <c r="K20" i="33"/>
  <c r="K21" i="33"/>
  <c r="K17" i="32"/>
  <c r="K18" i="32"/>
  <c r="K19" i="32"/>
  <c r="K20" i="32"/>
  <c r="K21" i="32"/>
  <c r="K17" i="31"/>
  <c r="K18" i="31"/>
  <c r="K19" i="31"/>
  <c r="K20" i="31"/>
  <c r="K21" i="31"/>
  <c r="K17" i="30"/>
  <c r="K18" i="30"/>
  <c r="K19" i="30"/>
  <c r="K20" i="30"/>
  <c r="K21" i="30"/>
  <c r="K17" i="29"/>
  <c r="K18" i="29"/>
  <c r="K19" i="29"/>
  <c r="K20" i="29"/>
  <c r="K21" i="29"/>
  <c r="K17" i="28"/>
  <c r="K18" i="28"/>
  <c r="K19" i="28"/>
  <c r="K20" i="28"/>
  <c r="K21" i="28"/>
  <c r="K17" i="27"/>
  <c r="K18" i="27"/>
  <c r="K19" i="27"/>
  <c r="K20" i="27"/>
  <c r="K21" i="27"/>
  <c r="K17" i="26"/>
  <c r="K18" i="26"/>
  <c r="K19" i="26"/>
  <c r="K20" i="26"/>
  <c r="K21" i="26"/>
  <c r="K17" i="25"/>
  <c r="K18" i="25"/>
  <c r="K19" i="25"/>
  <c r="K20" i="25"/>
  <c r="K21" i="25"/>
  <c r="K17" i="24"/>
  <c r="K18" i="24"/>
  <c r="K19" i="24"/>
  <c r="K20" i="24"/>
  <c r="K21" i="24"/>
  <c r="K17" i="23"/>
  <c r="K18" i="23"/>
  <c r="K19" i="23"/>
  <c r="K20" i="23"/>
  <c r="K21" i="23"/>
  <c r="K17" i="22"/>
  <c r="K18" i="22"/>
  <c r="K19" i="22"/>
  <c r="K20" i="22"/>
  <c r="K21" i="22"/>
  <c r="K17" i="21"/>
  <c r="K18" i="21"/>
  <c r="K19" i="21"/>
  <c r="K20" i="21"/>
  <c r="K21" i="21"/>
  <c r="K17" i="20"/>
  <c r="K18" i="20"/>
  <c r="K19" i="20"/>
  <c r="K20" i="20"/>
  <c r="K21" i="20"/>
  <c r="K17" i="18"/>
  <c r="K18" i="18"/>
  <c r="K19" i="18"/>
  <c r="K20" i="18"/>
  <c r="K21" i="18"/>
  <c r="K17" i="19"/>
  <c r="K18" i="19"/>
  <c r="K19" i="19"/>
  <c r="K20" i="19"/>
  <c r="K21" i="19"/>
  <c r="K17" i="17"/>
  <c r="K18" i="17"/>
  <c r="K19" i="17"/>
  <c r="K20" i="17"/>
  <c r="K21" i="17"/>
  <c r="K16" i="17"/>
  <c r="K16" i="19"/>
  <c r="K16" i="18"/>
  <c r="K16" i="20"/>
  <c r="K16" i="21"/>
  <c r="K16" i="22"/>
  <c r="K16" i="23"/>
  <c r="K16" i="24"/>
  <c r="K16" i="25"/>
  <c r="K16" i="26"/>
  <c r="K16" i="27"/>
  <c r="K16" i="28"/>
  <c r="K16" i="29"/>
  <c r="K16" i="30"/>
  <c r="K16" i="31"/>
  <c r="K16" i="32"/>
  <c r="K16" i="33"/>
  <c r="K16" i="34"/>
  <c r="K16" i="35"/>
  <c r="L17" i="17"/>
  <c r="L18" i="17"/>
  <c r="L19" i="17"/>
  <c r="L20" i="17"/>
  <c r="L21" i="17"/>
  <c r="L17" i="19"/>
  <c r="L18" i="19"/>
  <c r="L19" i="19"/>
  <c r="L20" i="19"/>
  <c r="L21" i="19"/>
  <c r="L17" i="18"/>
  <c r="L18" i="18"/>
  <c r="L19" i="18"/>
  <c r="L20" i="18"/>
  <c r="L21" i="18"/>
  <c r="L17" i="20"/>
  <c r="L18" i="20"/>
  <c r="L19" i="20"/>
  <c r="L20" i="20"/>
  <c r="L21" i="20"/>
  <c r="L17" i="21"/>
  <c r="L18" i="21"/>
  <c r="L19" i="21"/>
  <c r="L20" i="21"/>
  <c r="L21" i="21"/>
  <c r="L17" i="22"/>
  <c r="L18" i="22"/>
  <c r="L19" i="22"/>
  <c r="L20" i="22"/>
  <c r="L21" i="22"/>
  <c r="L17" i="23"/>
  <c r="L18" i="23"/>
  <c r="L19" i="23"/>
  <c r="L20" i="23"/>
  <c r="L21" i="23"/>
  <c r="L17" i="24"/>
  <c r="L18" i="24"/>
  <c r="L19" i="24"/>
  <c r="L20" i="24"/>
  <c r="L21" i="24"/>
  <c r="L17" i="25"/>
  <c r="L18" i="25"/>
  <c r="L19" i="25"/>
  <c r="L20" i="25"/>
  <c r="L21" i="25"/>
  <c r="L17" i="26"/>
  <c r="L18" i="26"/>
  <c r="L19" i="26"/>
  <c r="L20" i="26"/>
  <c r="L21" i="26"/>
  <c r="L17" i="27"/>
  <c r="L18" i="27"/>
  <c r="L19" i="27"/>
  <c r="L20" i="27"/>
  <c r="L21" i="27"/>
  <c r="L17" i="28"/>
  <c r="L18" i="28"/>
  <c r="L19" i="28"/>
  <c r="L20" i="28"/>
  <c r="L21" i="28"/>
  <c r="L17" i="29"/>
  <c r="L18" i="29"/>
  <c r="L19" i="29"/>
  <c r="L20" i="29"/>
  <c r="L21" i="29"/>
  <c r="L17" i="30"/>
  <c r="L18" i="30"/>
  <c r="L19" i="30"/>
  <c r="L20" i="30"/>
  <c r="L21" i="30"/>
  <c r="L17" i="31"/>
  <c r="L18" i="31"/>
  <c r="L19" i="31"/>
  <c r="L20" i="31"/>
  <c r="L21" i="31"/>
  <c r="L17" i="32"/>
  <c r="L18" i="32"/>
  <c r="L19" i="32"/>
  <c r="L20" i="32"/>
  <c r="L21" i="32"/>
  <c r="L17" i="33"/>
  <c r="L18" i="33"/>
  <c r="L19" i="33"/>
  <c r="L20" i="33"/>
  <c r="L21" i="33"/>
  <c r="L17" i="34"/>
  <c r="L18" i="34"/>
  <c r="L19" i="34"/>
  <c r="L20" i="34"/>
  <c r="L21" i="34"/>
  <c r="L17" i="35"/>
  <c r="L18" i="35"/>
  <c r="L19" i="35"/>
  <c r="L20" i="35"/>
  <c r="L21" i="35"/>
  <c r="L16" i="17"/>
  <c r="L16" i="19"/>
  <c r="L16" i="18"/>
  <c r="L16" i="20"/>
  <c r="L16" i="21"/>
  <c r="L16" i="22"/>
  <c r="L16" i="23"/>
  <c r="L16" i="24"/>
  <c r="L16" i="25"/>
  <c r="L16" i="26"/>
  <c r="L16" i="27"/>
  <c r="L16" i="28"/>
  <c r="L16" i="29"/>
  <c r="L16" i="30"/>
  <c r="L16" i="31"/>
  <c r="L16" i="32"/>
  <c r="L16" i="33"/>
  <c r="L16" i="34"/>
  <c r="L16" i="35"/>
  <c r="H17" i="15"/>
  <c r="H18" i="15"/>
  <c r="H19" i="15"/>
  <c r="H20" i="15"/>
  <c r="H21" i="15"/>
  <c r="H22" i="15"/>
  <c r="H23" i="15"/>
  <c r="H24" i="15"/>
  <c r="H16" i="15"/>
  <c r="T31" i="15"/>
  <c r="T30" i="15"/>
  <c r="T29" i="15"/>
  <c r="J17" i="15"/>
  <c r="J18" i="15"/>
  <c r="J21" i="15"/>
  <c r="J22" i="15"/>
  <c r="J23" i="15"/>
  <c r="J24" i="15"/>
  <c r="J20" i="15" l="1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C18" i="33"/>
  <c r="B18" i="33"/>
  <c r="F17" i="33"/>
  <c r="I17" i="33" s="1"/>
  <c r="E17" i="33"/>
  <c r="D17" i="33"/>
  <c r="B17" i="33"/>
  <c r="C17" i="33" s="1"/>
  <c r="F16" i="33"/>
  <c r="E16" i="33"/>
  <c r="D16" i="33"/>
  <c r="I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I20" i="31"/>
  <c r="I21" i="31"/>
  <c r="I22" i="31"/>
  <c r="K22" i="31" s="1"/>
  <c r="I23" i="31"/>
  <c r="K23" i="31" s="1"/>
  <c r="I24" i="31"/>
  <c r="I23" i="32"/>
  <c r="I22" i="33"/>
  <c r="I16" i="34"/>
  <c r="I17" i="34"/>
  <c r="I18" i="34"/>
  <c r="I19" i="34"/>
  <c r="I20" i="34"/>
  <c r="I21" i="34"/>
  <c r="I22" i="34"/>
  <c r="I23" i="34"/>
  <c r="I24" i="34"/>
  <c r="L24" i="34" s="1"/>
  <c r="M24" i="34" s="1"/>
  <c r="I16" i="29"/>
  <c r="I17" i="29"/>
  <c r="I18" i="29"/>
  <c r="I19" i="29"/>
  <c r="I20" i="29"/>
  <c r="I21" i="29"/>
  <c r="I22" i="29"/>
  <c r="L22" i="29" s="1"/>
  <c r="I23" i="29"/>
  <c r="L23" i="29" s="1"/>
  <c r="I24" i="29"/>
  <c r="I24" i="32"/>
  <c r="I19" i="33"/>
  <c r="I23" i="33"/>
  <c r="L23" i="33" s="1"/>
  <c r="I25" i="35"/>
  <c r="P28" i="35" s="1"/>
  <c r="M17" i="35"/>
  <c r="M18" i="35"/>
  <c r="K22" i="35"/>
  <c r="L22" i="35"/>
  <c r="M22" i="35"/>
  <c r="K23" i="35"/>
  <c r="L23" i="35"/>
  <c r="M23" i="35" s="1"/>
  <c r="K24" i="35"/>
  <c r="M24" i="35" s="1"/>
  <c r="L24" i="35"/>
  <c r="K22" i="34"/>
  <c r="L22" i="34"/>
  <c r="K23" i="34"/>
  <c r="M23" i="34"/>
  <c r="L23" i="34"/>
  <c r="K24" i="34"/>
  <c r="K22" i="33"/>
  <c r="L22" i="33"/>
  <c r="K23" i="33"/>
  <c r="K24" i="33"/>
  <c r="M24" i="33" s="1"/>
  <c r="L24" i="33"/>
  <c r="M17" i="33"/>
  <c r="M18" i="33"/>
  <c r="K24" i="32"/>
  <c r="M24" i="32" s="1"/>
  <c r="L24" i="32"/>
  <c r="I25" i="32"/>
  <c r="P28" i="32" s="1"/>
  <c r="K23" i="32"/>
  <c r="L23" i="32"/>
  <c r="M23" i="32" s="1"/>
  <c r="K22" i="32"/>
  <c r="L22" i="32"/>
  <c r="K24" i="31"/>
  <c r="L24" i="31"/>
  <c r="M24" i="31" s="1"/>
  <c r="L23" i="31"/>
  <c r="M21" i="30"/>
  <c r="K23" i="30"/>
  <c r="M23" i="30" s="1"/>
  <c r="L23" i="30"/>
  <c r="I25" i="30"/>
  <c r="P28" i="30" s="1"/>
  <c r="K22" i="30"/>
  <c r="L22" i="30"/>
  <c r="K24" i="30"/>
  <c r="M24" i="30" s="1"/>
  <c r="L24" i="30"/>
  <c r="K24" i="29"/>
  <c r="M24" i="29"/>
  <c r="L24" i="29"/>
  <c r="K22" i="29"/>
  <c r="K23" i="29"/>
  <c r="I25" i="28"/>
  <c r="P28" i="28" s="1"/>
  <c r="M17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2" i="33" l="1"/>
  <c r="L22" i="31"/>
  <c r="M21" i="35"/>
  <c r="M19" i="34"/>
  <c r="N19" i="34" s="1"/>
  <c r="O19" i="34" s="1"/>
  <c r="I25" i="34"/>
  <c r="P28" i="34" s="1"/>
  <c r="M17" i="31"/>
  <c r="M22" i="31"/>
  <c r="N22" i="31" s="1"/>
  <c r="O22" i="31" s="1"/>
  <c r="P22" i="31" s="1"/>
  <c r="M22" i="29"/>
  <c r="M23" i="33"/>
  <c r="I16" i="26"/>
  <c r="I17" i="26"/>
  <c r="I18" i="26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N17" i="32" s="1"/>
  <c r="O17" i="32" s="1"/>
  <c r="M16" i="34"/>
  <c r="N16" i="34" s="1"/>
  <c r="I25" i="33"/>
  <c r="P28" i="33" s="1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28"/>
  <c r="N19" i="28" s="1"/>
  <c r="O19" i="28" s="1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N21" i="31" s="1"/>
  <c r="O21" i="31" s="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N23" i="34"/>
  <c r="O23" i="34" s="1"/>
  <c r="P23" i="34" s="1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23" i="32"/>
  <c r="O23" i="32" s="1"/>
  <c r="N24" i="32"/>
  <c r="O24" i="32" s="1"/>
  <c r="P24" i="32" s="1"/>
  <c r="L25" i="32"/>
  <c r="P29" i="32" s="1"/>
  <c r="K25" i="32"/>
  <c r="P30" i="32" s="1"/>
  <c r="N24" i="31"/>
  <c r="O24" i="31" s="1"/>
  <c r="P24" i="31"/>
  <c r="N23" i="31"/>
  <c r="O23" i="31" s="1"/>
  <c r="N17" i="31"/>
  <c r="O17" i="31" s="1"/>
  <c r="M16" i="31"/>
  <c r="K25" i="31"/>
  <c r="P30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L25" i="28"/>
  <c r="P29" i="28" s="1"/>
  <c r="M16" i="28"/>
  <c r="N21" i="28"/>
  <c r="O21" i="28" s="1"/>
  <c r="N17" i="28"/>
  <c r="O17" i="28" s="1"/>
  <c r="J25" i="15"/>
  <c r="I25" i="27"/>
  <c r="P28" i="27" s="1"/>
  <c r="K22" i="27"/>
  <c r="L22" i="27"/>
  <c r="K23" i="27"/>
  <c r="L23" i="27"/>
  <c r="K24" i="27"/>
  <c r="L24" i="27"/>
  <c r="K23" i="26"/>
  <c r="L23" i="26"/>
  <c r="K24" i="26"/>
  <c r="L24" i="26"/>
  <c r="M24" i="26" s="1"/>
  <c r="T23" i="15"/>
  <c r="T22" i="15"/>
  <c r="T21" i="15"/>
  <c r="T20" i="15"/>
  <c r="T19" i="15"/>
  <c r="T18" i="15"/>
  <c r="T17" i="15"/>
  <c r="T16" i="15"/>
  <c r="T15" i="15"/>
  <c r="T14" i="15"/>
  <c r="K25" i="34" l="1"/>
  <c r="P30" i="34" s="1"/>
  <c r="L22" i="26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I20" i="19"/>
  <c r="I21" i="19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I19" i="20"/>
  <c r="I21" i="20"/>
  <c r="I23" i="20"/>
  <c r="L23" i="20" s="1"/>
  <c r="M25" i="27"/>
  <c r="P24" i="27"/>
  <c r="P31" i="26"/>
  <c r="I16" i="24"/>
  <c r="I17" i="24"/>
  <c r="I18" i="24"/>
  <c r="I19" i="24"/>
  <c r="I20" i="24"/>
  <c r="I21" i="24"/>
  <c r="I22" i="24"/>
  <c r="K22" i="24" s="1"/>
  <c r="I21" i="23"/>
  <c r="I23" i="23"/>
  <c r="I17" i="21"/>
  <c r="I19" i="21"/>
  <c r="I21" i="21"/>
  <c r="O21" i="27"/>
  <c r="P21" i="27" s="1"/>
  <c r="P31" i="27"/>
  <c r="P23" i="27"/>
  <c r="P18" i="27"/>
  <c r="I21" i="25"/>
  <c r="I23" i="24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I19" i="23"/>
  <c r="I23" i="22"/>
  <c r="K23" i="22" s="1"/>
  <c r="I24" i="22"/>
  <c r="L24" i="22" s="1"/>
  <c r="I23" i="21"/>
  <c r="K23" i="21" s="1"/>
  <c r="I16" i="23"/>
  <c r="I18" i="23"/>
  <c r="I20" i="23"/>
  <c r="I22" i="23"/>
  <c r="K22" i="23" s="1"/>
  <c r="I24" i="23"/>
  <c r="L24" i="23" s="1"/>
  <c r="I16" i="20"/>
  <c r="I18" i="20"/>
  <c r="I20" i="20"/>
  <c r="I22" i="20"/>
  <c r="K22" i="20" s="1"/>
  <c r="I24" i="20"/>
  <c r="K24" i="20" s="1"/>
  <c r="I16" i="21"/>
  <c r="I18" i="21"/>
  <c r="I20" i="21"/>
  <c r="I22" i="21"/>
  <c r="K22" i="21" s="1"/>
  <c r="I24" i="21"/>
  <c r="K24" i="21" s="1"/>
  <c r="I16" i="17"/>
  <c r="I17" i="17"/>
  <c r="I18" i="17"/>
  <c r="I19" i="17"/>
  <c r="I20" i="17"/>
  <c r="I21" i="17"/>
  <c r="I22" i="17"/>
  <c r="L22" i="17" s="1"/>
  <c r="I23" i="17"/>
  <c r="K23" i="17" s="1"/>
  <c r="I24" i="17"/>
  <c r="K24" i="17" s="1"/>
  <c r="I19" i="18"/>
  <c r="I23" i="18"/>
  <c r="L23" i="18" s="1"/>
  <c r="K24" i="25"/>
  <c r="L22" i="25"/>
  <c r="L23" i="25"/>
  <c r="K23" i="25"/>
  <c r="L23" i="24"/>
  <c r="K23" i="24"/>
  <c r="L23" i="23"/>
  <c r="K23" i="23"/>
  <c r="K22" i="22"/>
  <c r="L22" i="22"/>
  <c r="L24" i="20"/>
  <c r="K23" i="20"/>
  <c r="K24" i="19"/>
  <c r="L24" i="19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1" i="15"/>
  <c r="O39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I25" i="25" l="1"/>
  <c r="P28" i="25" s="1"/>
  <c r="K22" i="18"/>
  <c r="M22" i="18" s="1"/>
  <c r="L22" i="19"/>
  <c r="K23" i="19"/>
  <c r="M23" i="19" s="1"/>
  <c r="N23" i="19" s="1"/>
  <c r="O23" i="19" s="1"/>
  <c r="L23" i="22"/>
  <c r="L25" i="22" s="1"/>
  <c r="P29" i="22" s="1"/>
  <c r="L25" i="25"/>
  <c r="P29" i="25" s="1"/>
  <c r="K25" i="25"/>
  <c r="P30" i="25" s="1"/>
  <c r="M18" i="18"/>
  <c r="N18" i="18" s="1"/>
  <c r="O18" i="18" s="1"/>
  <c r="M21" i="20"/>
  <c r="N21" i="20" s="1"/>
  <c r="O21" i="20" s="1"/>
  <c r="M21" i="21"/>
  <c r="N21" i="21" s="1"/>
  <c r="O25" i="35"/>
  <c r="P16" i="35"/>
  <c r="P25" i="35" s="1"/>
  <c r="P34" i="35"/>
  <c r="P35" i="3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M19" i="24"/>
  <c r="N19" i="24" s="1"/>
  <c r="O19" i="24" s="1"/>
  <c r="P19" i="24" s="1"/>
  <c r="L24" i="21"/>
  <c r="M17" i="20"/>
  <c r="N17" i="20" s="1"/>
  <c r="O17" i="20" s="1"/>
  <c r="M20" i="18"/>
  <c r="N20" i="18" s="1"/>
  <c r="O20" i="18" s="1"/>
  <c r="M17" i="17"/>
  <c r="N17" i="17" s="1"/>
  <c r="O17" i="17" s="1"/>
  <c r="M19" i="20"/>
  <c r="N19" i="20" s="1"/>
  <c r="O19" i="20" s="1"/>
  <c r="M16" i="23"/>
  <c r="N16" i="23" s="1"/>
  <c r="L24" i="24"/>
  <c r="L22" i="21"/>
  <c r="M22" i="21" s="1"/>
  <c r="N22" i="21" s="1"/>
  <c r="O22" i="21" s="1"/>
  <c r="M18" i="21"/>
  <c r="N18" i="21" s="1"/>
  <c r="O18" i="21" s="1"/>
  <c r="M16" i="20"/>
  <c r="N16" i="20" s="1"/>
  <c r="K22" i="17"/>
  <c r="M22" i="17" s="1"/>
  <c r="N22" i="17" s="1"/>
  <c r="O22" i="17" s="1"/>
  <c r="M19" i="21"/>
  <c r="N19" i="21" s="1"/>
  <c r="O19" i="21" s="1"/>
  <c r="M17" i="21"/>
  <c r="N17" i="21" s="1"/>
  <c r="O17" i="21" s="1"/>
  <c r="P17" i="21" s="1"/>
  <c r="M18" i="23"/>
  <c r="N18" i="23" s="1"/>
  <c r="O18" i="23" s="1"/>
  <c r="M19" i="17"/>
  <c r="N19" i="17" s="1"/>
  <c r="O19" i="17" s="1"/>
  <c r="P19" i="17" s="1"/>
  <c r="M20" i="17"/>
  <c r="N20" i="17" s="1"/>
  <c r="O20" i="17" s="1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M18" i="20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M16" i="2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K18" i="16" s="1"/>
  <c r="I19" i="16"/>
  <c r="K19" i="16" s="1"/>
  <c r="I20" i="16"/>
  <c r="K20" i="16" s="1"/>
  <c r="I21" i="16"/>
  <c r="K21" i="16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M16" i="25"/>
  <c r="N23" i="25"/>
  <c r="O23" i="25" s="1"/>
  <c r="P23" i="25" s="1"/>
  <c r="N23" i="24"/>
  <c r="O23" i="24" s="1"/>
  <c r="N24" i="24"/>
  <c r="O24" i="24" s="1"/>
  <c r="K25" i="24"/>
  <c r="P30" i="24" s="1"/>
  <c r="M16" i="22"/>
  <c r="M17" i="19"/>
  <c r="N17" i="19" s="1"/>
  <c r="O17" i="19" s="1"/>
  <c r="M21" i="19"/>
  <c r="N24" i="19"/>
  <c r="O24" i="19" s="1"/>
  <c r="L25" i="19"/>
  <c r="P29" i="19" s="1"/>
  <c r="N24" i="18"/>
  <c r="O24" i="18" s="1"/>
  <c r="N22" i="18"/>
  <c r="O22" i="18" s="1"/>
  <c r="M16" i="17"/>
  <c r="I23" i="15"/>
  <c r="L17" i="16" l="1"/>
  <c r="L17" i="15" s="1"/>
  <c r="L19" i="16"/>
  <c r="L19" i="15" s="1"/>
  <c r="K19" i="15"/>
  <c r="L20" i="16"/>
  <c r="L20" i="15" s="1"/>
  <c r="L21" i="16"/>
  <c r="L21" i="15" s="1"/>
  <c r="K18" i="15"/>
  <c r="L18" i="16"/>
  <c r="L18" i="15" s="1"/>
  <c r="K16" i="15"/>
  <c r="L16" i="16"/>
  <c r="L16" i="15" s="1"/>
  <c r="K25" i="19"/>
  <c r="P30" i="19" s="1"/>
  <c r="K22" i="15"/>
  <c r="M19" i="18"/>
  <c r="N19" i="18" s="1"/>
  <c r="O19" i="18" s="1"/>
  <c r="L25" i="24"/>
  <c r="P29" i="24" s="1"/>
  <c r="P31" i="24" s="1"/>
  <c r="L23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25" i="21"/>
  <c r="P29" i="21" s="1"/>
  <c r="L22" i="16"/>
  <c r="L22" i="15" s="1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P23" i="22"/>
  <c r="I25" i="15"/>
  <c r="P35" i="15" s="1"/>
  <c r="M24" i="16"/>
  <c r="N24" i="16" s="1"/>
  <c r="K23" i="16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19" i="18" l="1"/>
  <c r="M16" i="16"/>
  <c r="N16" i="16" s="1"/>
  <c r="O16" i="16" s="1"/>
  <c r="M18" i="15"/>
  <c r="M21" i="15"/>
  <c r="M25" i="18"/>
  <c r="M16" i="15"/>
  <c r="P22" i="20"/>
  <c r="M22" i="15"/>
  <c r="N16" i="18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6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O16" i="18"/>
  <c r="O16" i="17"/>
  <c r="O25" i="17" s="1"/>
  <c r="N25" i="17"/>
  <c r="P32" i="17" s="1"/>
  <c r="N16" i="15" l="1"/>
  <c r="N18" i="15"/>
  <c r="P18" i="15" s="1"/>
  <c r="O22" i="16"/>
  <c r="O22" i="15" s="1"/>
  <c r="P22" i="15" s="1"/>
  <c r="N25" i="18"/>
  <c r="P32" i="18" s="1"/>
  <c r="P33" i="18" s="1"/>
  <c r="P34" i="18" s="1"/>
  <c r="P35" i="18" s="1"/>
  <c r="U16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7" i="15" s="1"/>
  <c r="P38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16" i="17"/>
  <c r="P25" i="17" s="1"/>
  <c r="P16" i="16"/>
  <c r="P33" i="16" l="1"/>
  <c r="P34" i="16" s="1"/>
  <c r="P35" i="16" s="1"/>
  <c r="U14" i="15" s="1"/>
  <c r="U33" i="15" s="1"/>
  <c r="N25" i="15"/>
  <c r="P39" i="15" s="1"/>
  <c r="P40" i="15" s="1"/>
  <c r="P41" i="15" s="1"/>
  <c r="P42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901B9E75-599C-4938-9F4E-741283D87F71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Nishat </t>
        </r>
      </text>
    </comment>
  </commentList>
</comments>
</file>

<file path=xl/sharedStrings.xml><?xml version="1.0" encoding="utf-8"?>
<sst xmlns="http://schemas.openxmlformats.org/spreadsheetml/2006/main" count="1560" uniqueCount="107">
  <si>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</si>
  <si>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</si>
  <si>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</si>
  <si>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</si>
  <si>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</si>
  <si>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</si>
  <si>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</si>
  <si>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</si>
  <si>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</si>
  <si>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</si>
  <si>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</si>
  <si>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</si>
  <si>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</si>
  <si>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</si>
  <si>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</si>
  <si>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</si>
  <si>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</si>
  <si>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</si>
  <si>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</si>
  <si>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</si>
  <si>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</si>
  <si>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</si>
  <si>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</si>
  <si>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</si>
  <si>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</si>
  <si>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</si>
  <si>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</si>
  <si>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</si>
  <si>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</si>
  <si>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</si>
  <si>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</si>
  <si>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</si>
  <si>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</si>
  <si>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</si>
  <si>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</si>
  <si>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</si>
  <si>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</si>
  <si>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</si>
  <si>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</si>
  <si>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</si>
  <si>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</si>
  <si>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</si>
  <si>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</si>
  <si>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</si>
  <si>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</si>
  <si>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</si>
  <si>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</si>
  <si>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</si>
  <si>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</si>
  <si>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</si>
  <si>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</si>
  <si>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</si>
  <si>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</si>
  <si>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</si>
  <si>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</si>
  <si>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</si>
  <si>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</si>
  <si>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</si>
  <si>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</si>
  <si>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</si>
  <si>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</si>
  <si>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</si>
  <si>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</si>
  <si>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</si>
  <si>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</si>
  <si>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</si>
  <si>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</si>
  <si>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</si>
  <si>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</si>
  <si>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</si>
  <si>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</si>
  <si>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</si>
  <si>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</si>
  <si>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</si>
  <si>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</si>
  <si>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</si>
  <si>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</si>
  <si>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</si>
  <si>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</si>
  <si>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</si>
  <si>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</si>
  <si>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</si>
  <si>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</si>
  <si>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</si>
  <si>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</si>
  <si>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</si>
  <si>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</si>
  <si>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</si>
  <si>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</si>
  <si>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</si>
  <si>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</si>
  <si>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</si>
  <si>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</si>
  <si>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</si>
  <si>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</si>
  <si>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</si>
  <si>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</si>
  <si>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</si>
  <si>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</si>
  <si>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</si>
  <si>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</si>
  <si>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</si>
  <si>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Vacant__LMT</t>
  </si>
  <si>
    <t>Shop Bill Summary (LMT)</t>
  </si>
  <si>
    <t>3344916-3</t>
  </si>
  <si>
    <t xml:space="preserve">Customer Name : Rainbow Cash &amp; Carry </t>
  </si>
  <si>
    <t>Address: Barki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</si>
</sst>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0" borderId="42" xfId="0" applyBorder="1" applyAlignment="1">
      <alignment horizontal="center"/>
    </xf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E1" sqref="E1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E1" sqref="E1"/>
      <selection pane="topRight" activeCell="E1" sqref="E1"/>
      <selection pane="bottomLeft" activeCell="E1" sqref="E1"/>
      <selection pane="bottomRight" activeCell="E1" sqref="E1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4"/>
      <c r="B3" s="184"/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9" x14ac:dyDescent="0.35">
      <c r="A4" s="186" t="s">
        <v>6</v>
      </c>
      <c r="B4" s="5" t="s">
        <v>7</v>
      </c>
      <c r="C4" s="5"/>
      <c r="D4" s="188" t="s">
        <v>8</v>
      </c>
      <c r="E4" s="190" t="s">
        <v>9</v>
      </c>
      <c r="F4" s="192" t="s">
        <v>3</v>
      </c>
      <c r="G4" s="192"/>
      <c r="H4" s="193" t="s">
        <v>10</v>
      </c>
      <c r="I4" s="193"/>
      <c r="J4" s="194" t="s">
        <v>11</v>
      </c>
      <c r="K4" s="195"/>
      <c r="L4" s="194" t="s">
        <v>12</v>
      </c>
      <c r="M4" s="195"/>
      <c r="N4" s="196" t="s">
        <v>13</v>
      </c>
      <c r="O4" s="196"/>
      <c r="P4" s="194" t="s">
        <v>4</v>
      </c>
      <c r="Q4" s="195"/>
      <c r="R4" s="194" t="s">
        <v>14</v>
      </c>
      <c r="S4" s="195"/>
      <c r="T4" s="197" t="s">
        <v>15</v>
      </c>
      <c r="U4" s="197"/>
      <c r="V4" s="198" t="s">
        <v>16</v>
      </c>
      <c r="W4" s="199"/>
      <c r="X4" s="198" t="s">
        <v>17</v>
      </c>
      <c r="Y4" s="199"/>
    </row>
    <row r="5" spans="1:29" ht="26.25" customHeight="1" thickBot="1" x14ac:dyDescent="0.4">
      <c r="A5" s="187"/>
      <c r="B5" s="7" t="s">
        <v>18</v>
      </c>
      <c r="C5" s="7" t="s">
        <v>8</v>
      </c>
      <c r="D5" s="189"/>
      <c r="E5" s="1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4"/>
  <sheetViews>
    <sheetView topLeftCell="A10" zoomScale="70" zoomScaleNormal="70" workbookViewId="0">
      <selection activeCell="E1" sqref="E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55.26953125" bestFit="1" customWidth="1"/>
    <col min="21" max="21" width="12.453125" bestFit="1" customWidth="1"/>
  </cols>
  <sheetData>
    <row r="2" spans="1:21 16383:16384" ht="21" x14ac:dyDescent="0.5">
      <c r="A2" s="246" t="s">
        <v>45</v>
      </c>
      <c r="B2" s="246"/>
      <c r="C2" s="246"/>
    </row>
    <row r="3" spans="1:21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5" t="s">
        <v>102</v>
      </c>
      <c r="B5" s="245"/>
      <c r="C5" s="245"/>
      <c r="F5" s="70"/>
      <c r="G5" s="71"/>
      <c r="K5" s="230" t="s">
        <v>51</v>
      </c>
      <c r="L5" s="230"/>
      <c r="M5" s="230"/>
      <c r="N5" s="244">
        <f ca="1">N4-1</f>
        <v>46226</v>
      </c>
      <c r="O5" s="231"/>
      <c r="P5" s="231"/>
      <c r="R5" s="70"/>
      <c r="S5" s="71"/>
    </row>
    <row r="6" spans="1:21 16383:16384" ht="15" customHeight="1" x14ac:dyDescent="0.35">
      <c r="A6" s="245"/>
      <c r="B6" s="245"/>
      <c r="C6" s="245"/>
      <c r="F6" s="70"/>
      <c r="G6" s="74"/>
      <c r="K6" s="230" t="s">
        <v>52</v>
      </c>
      <c r="L6" s="230"/>
      <c r="M6" s="230"/>
      <c r="N6" s="243" t="s">
        <v>42</v>
      </c>
      <c r="O6" s="243"/>
      <c r="P6" s="24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21 16383:16384" hidden="1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21 16383:16384" x14ac:dyDescent="0.35">
      <c r="A10" s="228"/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21 16383:16384" ht="15" thickBot="1" x14ac:dyDescent="0.4">
      <c r="A11" s="228"/>
      <c r="B11" s="76"/>
      <c r="C11" s="77"/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21 16383:16384" ht="14.65" customHeight="1" x14ac:dyDescent="0.35">
      <c r="A12" s="228"/>
      <c r="B12" s="76"/>
      <c r="C12" s="77"/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T12" s="200" t="s">
        <v>103</v>
      </c>
      <c r="U12" s="201"/>
      <c r="XFD12" t="s">
        <v>62</v>
      </c>
    </row>
    <row r="13" spans="1:21 16383:16384" ht="15" thickBot="1" x14ac:dyDescent="0.4">
      <c r="A13" s="229"/>
      <c r="J13" s="78"/>
      <c r="K13" s="78"/>
      <c r="L13" s="79">
        <v>0.05</v>
      </c>
      <c r="T13" s="202"/>
      <c r="U13" s="203"/>
      <c r="XFD13" t="s">
        <v>63</v>
      </c>
    </row>
    <row r="14" spans="1:21 16383:16384" ht="29.25" customHeight="1" x14ac:dyDescent="0.6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38" t="s">
        <v>68</v>
      </c>
      <c r="H14" s="239"/>
      <c r="I14" s="239" t="s">
        <v>69</v>
      </c>
      <c r="J14" s="239" t="s">
        <v>70</v>
      </c>
      <c r="K14" s="239"/>
      <c r="L14" s="241"/>
      <c r="M14" s="233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 xml:space="preserve">Customer Name : Rainbow Cash &amp; Carry </v>
      </c>
      <c r="U14" s="163">
        <f>+'1'!P35</f>
        <v>14948.135232000001</v>
      </c>
      <c r="XFD14" t="s">
        <v>75</v>
      </c>
    </row>
    <row r="15" spans="1:21 16383:16384" ht="29.25" customHeight="1" thickBot="1" x14ac:dyDescent="0.65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40"/>
      <c r="J15" s="170" t="s">
        <v>78</v>
      </c>
      <c r="K15" s="170" t="s">
        <v>79</v>
      </c>
      <c r="L15" s="173" t="s">
        <v>80</v>
      </c>
      <c r="M15" s="235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 xml:space="preserve">Customer Name : Rainbow Cash &amp; Carry 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</f>
        <v>0</v>
      </c>
      <c r="I16" s="1">
        <f>(G16*D16)*F16+H16*F16</f>
        <v>0</v>
      </c>
      <c r="J16" s="171">
        <f>+'1'!J16+'2'!J16+'4'!J16+'3'!J16+'5'!J16+'6'!J16+'7'!J16+'8'!J16+'9'!J16+'10'!J16+'11'!J16+'12'!J16+'13'!J16+'14'!J16+'15'!J16+'16'!J16+'17'!J16+'18'!J16</f>
        <v>0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0</v>
      </c>
      <c r="M16" s="105">
        <f>I16-K16-L16</f>
        <v>0</v>
      </c>
      <c r="N16" s="100">
        <f>+'1'!N16+'2'!N16+'4'!N16+'3'!N16+'5'!N16+'6'!N16+'7'!N16+'8'!N16+'9'!N16+'10'!N16</f>
        <v>0</v>
      </c>
      <c r="O16" s="100">
        <f>+'1'!O16+'2'!O16+'4'!O16+'3'!O16+'5'!O16+'6'!O16+'7'!O16+'8'!O16+'9'!O16+'10'!O16</f>
        <v>0</v>
      </c>
      <c r="P16" s="104">
        <f t="shared" ref="P16:P24" si="0">M16+N16+O16</f>
        <v>0</v>
      </c>
      <c r="Q16" s="107"/>
      <c r="T16" s="162" t="str">
        <f>+'4'!A5</f>
        <v xml:space="preserve">Customer Name : Rainbow Cash &amp; Carry 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</f>
        <v>0</v>
      </c>
      <c r="I17" s="1">
        <f t="shared" ref="I17:I23" si="1">(G17*D17)*F17+H17*F17</f>
        <v>0</v>
      </c>
      <c r="J17" s="171">
        <f>+'1'!J17+'2'!J17+'4'!J17+'3'!J17+'5'!J17+'6'!J17+'7'!J17+'8'!J17+'9'!J17+'10'!J17+'11'!J17+'12'!J17+'13'!J17+'14'!J17+'15'!J17+'16'!J17+'17'!J17+'18'!J17</f>
        <v>0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0</v>
      </c>
      <c r="M17" s="117">
        <f t="shared" ref="M17:M23" si="2">I17-K17-L17</f>
        <v>0</v>
      </c>
      <c r="N17" s="100">
        <f>+'1'!N17+'2'!N17+'4'!N17+'3'!N17+'5'!N17+'6'!N17+'7'!N17+'8'!N17+'9'!N17+'10'!N17</f>
        <v>0</v>
      </c>
      <c r="O17" s="100">
        <f>+'1'!O17+'2'!O17+'4'!O17+'3'!O17+'5'!O17+'6'!O17+'7'!O17+'8'!O17+'9'!O17+'10'!O17</f>
        <v>0</v>
      </c>
      <c r="P17" s="119">
        <f t="shared" si="0"/>
        <v>0</v>
      </c>
      <c r="S17" s="64"/>
      <c r="T17" s="162" t="str">
        <f>+'3'!A5</f>
        <v xml:space="preserve">Customer Name : Rainbow Cash &amp; Carry 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 xml:space="preserve">Customer Name : Rainbow Cash &amp; Carry 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</f>
        <v>0</v>
      </c>
      <c r="I19" s="1">
        <f t="shared" si="1"/>
        <v>0</v>
      </c>
      <c r="J19" s="171">
        <f>+'1'!J19+'2'!J19+'4'!J19+'3'!J19+'5'!J19+'6'!J19+'7'!J19+'8'!J19+'9'!J19+'10'!J19+'11'!J19+'12'!J19+'13'!J19+'14'!J19+'15'!J19+'16'!J19+'17'!J19+'18'!J19</f>
        <v>0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0</v>
      </c>
      <c r="M19" s="117">
        <f t="shared" si="2"/>
        <v>0</v>
      </c>
      <c r="N19" s="100">
        <f>+'1'!N19+'2'!N19+'4'!N19+'3'!N19+'5'!N19+'6'!N19+'7'!N19+'8'!N19+'9'!N19+'10'!N19</f>
        <v>0</v>
      </c>
      <c r="O19" s="100">
        <f>+'1'!O19+'2'!O19+'4'!O19+'3'!O19+'5'!O19+'6'!O19+'7'!O19+'8'!O19+'9'!O19+'10'!O19</f>
        <v>0</v>
      </c>
      <c r="P19" s="119">
        <f t="shared" si="0"/>
        <v>0</v>
      </c>
      <c r="T19" s="162" t="str">
        <f>+'6'!A5</f>
        <v xml:space="preserve">Customer Name : Rainbow Cash &amp; Carry 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</f>
        <v>0</v>
      </c>
      <c r="I20" s="1">
        <f t="shared" si="1"/>
        <v>0</v>
      </c>
      <c r="J20" s="171">
        <f>+'1'!J20+'2'!J20+'4'!J20+'3'!J20+'5'!J20+'6'!J20+'7'!J20+'8'!J20+'9'!J20+'10'!J20+'11'!J20+'12'!J20+'13'!J20+'14'!J20+'15'!J20+'16'!J20+'17'!J20+'18'!J20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0</v>
      </c>
      <c r="M20" s="117">
        <f t="shared" si="2"/>
        <v>0</v>
      </c>
      <c r="N20" s="100">
        <f>+'1'!N20+'2'!N20+'4'!N20+'3'!N20+'5'!N20+'6'!N20+'7'!N20+'8'!N20+'9'!N20+'10'!N20</f>
        <v>0</v>
      </c>
      <c r="O20" s="100">
        <f>+'1'!O20+'2'!O20+'4'!O20+'3'!O20+'5'!O20+'6'!O20+'7'!O20+'8'!O20+'9'!O20+'10'!O20</f>
        <v>0</v>
      </c>
      <c r="P20" s="119">
        <f t="shared" si="0"/>
        <v>0</v>
      </c>
      <c r="T20" s="162" t="str">
        <f>+'7'!A5</f>
        <v xml:space="preserve">Customer Name : Rainbow Cash &amp; Carry 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</f>
        <v>200</v>
      </c>
      <c r="I21" s="1">
        <f t="shared" si="1"/>
        <v>14528</v>
      </c>
      <c r="J21" s="171">
        <f>+'1'!J21+'2'!J21+'4'!J21+'3'!J21+'5'!J21+'6'!J21+'7'!J21+'8'!J21+'9'!J21+'10'!J21+'11'!J21+'12'!J21+'13'!J21+'14'!J21+'15'!J21+'16'!J21+'17'!J21+'18'!J21</f>
        <v>10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2033.9200000000003</v>
      </c>
      <c r="M21" s="117">
        <f t="shared" si="2"/>
        <v>12494.08</v>
      </c>
      <c r="N21" s="100">
        <f>+'1'!N21+'2'!N21+'4'!N21+'3'!N21+'5'!N21+'6'!N21+'7'!N21+'8'!N21+'9'!N21+'10'!N21</f>
        <v>2379.6864</v>
      </c>
      <c r="O21" s="100">
        <f>+'1'!O21+'2'!O21+'4'!O21+'3'!O21+'5'!O21+'6'!O21+'7'!O21+'8'!O21+'9'!O21+'10'!O21</f>
        <v>74.368831999999998</v>
      </c>
      <c r="P21" s="119">
        <f t="shared" si="0"/>
        <v>14948.135232000001</v>
      </c>
      <c r="T21" s="162" t="str">
        <f>+'8'!A5</f>
        <v xml:space="preserve">Customer Name : Rainbow Cash &amp; Carry 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 xml:space="preserve">Customer Name : Rainbow Cash &amp; Carry 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 xml:space="preserve">Customer Name : Rainbow Cash &amp; Carry 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 xml:space="preserve">Customer Name : Rainbow Cash &amp; Carry </v>
      </c>
      <c r="U24" s="163">
        <f>+'11'!P35</f>
        <v>0</v>
      </c>
    </row>
    <row r="25" spans="1:21 16384:16384" ht="26.5" thickBot="1" x14ac:dyDescent="0.65">
      <c r="A25" s="210" t="s">
        <v>84</v>
      </c>
      <c r="B25" s="211"/>
      <c r="C25" s="212">
        <f>H25/40</f>
        <v>5</v>
      </c>
      <c r="D25" s="206"/>
      <c r="E25" s="206"/>
      <c r="F25" s="206"/>
      <c r="G25" s="175">
        <f t="shared" ref="G25:M25" si="3">SUM(G16:G24)</f>
        <v>0</v>
      </c>
      <c r="H25" s="176">
        <f t="shared" si="3"/>
        <v>200</v>
      </c>
      <c r="I25" s="177">
        <f t="shared" si="3"/>
        <v>14528</v>
      </c>
      <c r="J25" s="176">
        <f t="shared" si="3"/>
        <v>10</v>
      </c>
      <c r="K25" s="177">
        <f t="shared" si="3"/>
        <v>0</v>
      </c>
      <c r="L25" s="178">
        <f t="shared" si="3"/>
        <v>2033.9200000000003</v>
      </c>
      <c r="M25" s="140">
        <f t="shared" si="3"/>
        <v>12494.08</v>
      </c>
      <c r="N25" s="141">
        <f>SUM(N16:N24)</f>
        <v>2379.6864</v>
      </c>
      <c r="O25" s="142">
        <f>SUM(O16:O24)</f>
        <v>74.368831999999998</v>
      </c>
      <c r="P25" s="143">
        <f>SUM(P16:P24)</f>
        <v>14948.135232000001</v>
      </c>
      <c r="T25" s="162" t="str">
        <f>+'12'!A5</f>
        <v xml:space="preserve">Customer Name : Rainbow Cash &amp; Carry 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 xml:space="preserve">Customer Name : Rainbow Cash &amp; Carry 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 xml:space="preserve">Customer Name : Rainbow Cash &amp; Carry 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 xml:space="preserve">Customer Name : Rainbow Cash &amp; Carry 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 t="str">
        <f>+'16'!A5</f>
        <v xml:space="preserve">Customer Name : Rainbow Cash &amp; Carry 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80" t="str">
        <f>+'17'!A5</f>
        <v xml:space="preserve">Customer Name : Rainbow Cash &amp; Carry 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80" t="str">
        <f>+'18'!A5</f>
        <v xml:space="preserve">Customer Name : Rainbow Cash &amp; Carry 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80"/>
      <c r="U32" s="181"/>
    </row>
    <row r="33" spans="1:21" ht="26.5" thickBot="1" x14ac:dyDescent="0.65">
      <c r="A33" s="144"/>
      <c r="B33" s="144"/>
      <c r="C33" s="144"/>
      <c r="D33" s="144"/>
      <c r="E33" s="144"/>
      <c r="F33" s="144"/>
      <c r="G33" s="145"/>
      <c r="H33" s="145"/>
      <c r="I33" s="146"/>
      <c r="K33" s="147"/>
      <c r="L33" s="147"/>
      <c r="M33" s="147"/>
      <c r="N33" s="147"/>
      <c r="O33" s="148"/>
      <c r="P33" s="147"/>
      <c r="T33" s="165" t="s">
        <v>84</v>
      </c>
      <c r="U33" s="164">
        <f>SUM(U14:U28)</f>
        <v>14948.135232000001</v>
      </c>
    </row>
    <row r="34" spans="1:21" ht="15" thickBot="1" x14ac:dyDescent="0.4">
      <c r="A34" s="69"/>
      <c r="B34" s="69"/>
      <c r="C34" s="149"/>
      <c r="D34" s="149"/>
      <c r="E34" s="149"/>
      <c r="F34" s="149"/>
      <c r="G34" s="150"/>
      <c r="H34" s="150"/>
    </row>
    <row r="35" spans="1:21" x14ac:dyDescent="0.35">
      <c r="B35" s="213" t="s">
        <v>85</v>
      </c>
      <c r="C35" s="214"/>
      <c r="D35" s="214"/>
      <c r="E35" s="214"/>
      <c r="F35" s="214"/>
      <c r="G35" s="214"/>
      <c r="H35" s="214"/>
      <c r="I35" s="214"/>
      <c r="J35" s="214"/>
      <c r="K35" s="214"/>
      <c r="L35" s="215"/>
      <c r="N35" s="222" t="s">
        <v>86</v>
      </c>
      <c r="O35" s="223"/>
      <c r="P35" s="151">
        <f>I25</f>
        <v>14528</v>
      </c>
    </row>
    <row r="36" spans="1:21" ht="15" customHeight="1" x14ac:dyDescent="0.35">
      <c r="B36" s="216"/>
      <c r="C36" s="217"/>
      <c r="D36" s="217"/>
      <c r="E36" s="217"/>
      <c r="F36" s="217"/>
      <c r="G36" s="217"/>
      <c r="H36" s="217"/>
      <c r="I36" s="217"/>
      <c r="J36" s="217"/>
      <c r="K36" s="217"/>
      <c r="L36" s="218"/>
      <c r="N36" s="224" t="s">
        <v>87</v>
      </c>
      <c r="O36" s="225"/>
      <c r="P36" s="152">
        <f>L25</f>
        <v>2033.9200000000003</v>
      </c>
    </row>
    <row r="37" spans="1:21" ht="15" customHeight="1" x14ac:dyDescent="0.35">
      <c r="B37" s="216"/>
      <c r="C37" s="217"/>
      <c r="D37" s="217"/>
      <c r="E37" s="217"/>
      <c r="F37" s="217"/>
      <c r="G37" s="217"/>
      <c r="H37" s="217"/>
      <c r="I37" s="217"/>
      <c r="J37" s="217"/>
      <c r="K37" s="217"/>
      <c r="L37" s="218"/>
      <c r="N37" s="224" t="s">
        <v>4</v>
      </c>
      <c r="O37" s="225"/>
      <c r="P37" s="153">
        <f>K25</f>
        <v>0</v>
      </c>
    </row>
    <row r="38" spans="1:21" ht="15" customHeight="1" x14ac:dyDescent="0.35">
      <c r="B38" s="216"/>
      <c r="C38" s="217"/>
      <c r="D38" s="217"/>
      <c r="E38" s="217"/>
      <c r="F38" s="217"/>
      <c r="G38" s="217"/>
      <c r="H38" s="217"/>
      <c r="I38" s="217"/>
      <c r="J38" s="217"/>
      <c r="K38" s="217"/>
      <c r="L38" s="218"/>
      <c r="M38" s="2"/>
      <c r="N38" s="224" t="s">
        <v>88</v>
      </c>
      <c r="O38" s="225"/>
      <c r="P38" s="152">
        <f>P35-P36-P37</f>
        <v>12494.08</v>
      </c>
    </row>
    <row r="39" spans="1:21" ht="15" customHeight="1" x14ac:dyDescent="0.35">
      <c r="B39" s="216"/>
      <c r="C39" s="217"/>
      <c r="D39" s="217"/>
      <c r="E39" s="217"/>
      <c r="F39" s="217"/>
      <c r="G39" s="217"/>
      <c r="H39" s="217"/>
      <c r="I39" s="217"/>
      <c r="J39" s="217"/>
      <c r="K39" s="217"/>
      <c r="L39" s="218"/>
      <c r="M39" s="2"/>
      <c r="N39" s="154" t="s">
        <v>89</v>
      </c>
      <c r="O39" s="155">
        <f>IF(B12="Registered",18%,22%)</f>
        <v>0.22</v>
      </c>
      <c r="P39" s="152">
        <f>N25</f>
        <v>2379.6864</v>
      </c>
    </row>
    <row r="40" spans="1:21" ht="15" customHeight="1" x14ac:dyDescent="0.35">
      <c r="B40" s="216"/>
      <c r="C40" s="217"/>
      <c r="D40" s="217"/>
      <c r="E40" s="217"/>
      <c r="F40" s="217"/>
      <c r="G40" s="217"/>
      <c r="H40" s="217"/>
      <c r="I40" s="217"/>
      <c r="J40" s="217"/>
      <c r="K40" s="217"/>
      <c r="L40" s="218"/>
      <c r="M40" s="2"/>
      <c r="N40" s="226" t="s">
        <v>90</v>
      </c>
      <c r="O40" s="227"/>
      <c r="P40" s="152">
        <f>P38+P39</f>
        <v>14873.7664</v>
      </c>
    </row>
    <row r="41" spans="1:21" ht="15" customHeight="1" thickBot="1" x14ac:dyDescent="0.4">
      <c r="B41" s="219"/>
      <c r="C41" s="220"/>
      <c r="D41" s="220"/>
      <c r="E41" s="220"/>
      <c r="F41" s="220"/>
      <c r="G41" s="220"/>
      <c r="H41" s="220"/>
      <c r="I41" s="220"/>
      <c r="J41" s="220"/>
      <c r="K41" s="220"/>
      <c r="L41" s="221"/>
      <c r="M41" s="156"/>
      <c r="N41" s="157" t="s">
        <v>91</v>
      </c>
      <c r="O41" s="158">
        <f>IF(B11="Filer",0.5%,2.5%)</f>
        <v>2.5000000000000001E-2</v>
      </c>
      <c r="P41" s="152">
        <f>O41*P40</f>
        <v>371.84416000000004</v>
      </c>
    </row>
    <row r="42" spans="1:21" ht="15.75" customHeight="1" thickBot="1" x14ac:dyDescent="0.4">
      <c r="N42" s="204" t="s">
        <v>92</v>
      </c>
      <c r="O42" s="205"/>
      <c r="P42" s="159">
        <f>P40+P41</f>
        <v>15245.610560000001</v>
      </c>
    </row>
    <row r="43" spans="1:21" ht="15" thickBot="1" x14ac:dyDescent="0.4">
      <c r="B43" s="160" t="s">
        <v>93</v>
      </c>
      <c r="C43" s="206"/>
      <c r="D43" s="206"/>
      <c r="E43" s="206"/>
      <c r="F43" s="206"/>
      <c r="G43" s="206"/>
      <c r="H43" s="206"/>
      <c r="I43" s="207"/>
      <c r="J43" s="208"/>
      <c r="K43" s="209"/>
    </row>
    <row r="44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2:O42"/>
    <mergeCell ref="C43:I43"/>
    <mergeCell ref="J43:K43"/>
    <mergeCell ref="A25:B25"/>
    <mergeCell ref="C25:F25"/>
    <mergeCell ref="B35:L41"/>
    <mergeCell ref="N35:O35"/>
    <mergeCell ref="N36:O36"/>
    <mergeCell ref="N37:O37"/>
    <mergeCell ref="N38:O38"/>
    <mergeCell ref="N40:O40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workbookViewId="0">
      <selection activeCell="I10" sqref="I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1001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46226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101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>
        <f>H16/20</f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 t="shared" ref="O16:O24" si="1">(N16+M16)*$O$15</f>
        <v>0</v>
      </c>
      <c r="P16" s="104">
        <f t="shared" ref="P16:P24" si="2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3">(G17*D17)*F17+H17*F17</f>
        <v>0</v>
      </c>
      <c r="J17" s="102">
        <f t="shared" ref="J17:J21" si="4">H17/20</f>
        <v>0</v>
      </c>
      <c r="K17" s="1">
        <f t="shared" ref="K17:K21" si="5">I17*$K$13</f>
        <v>0</v>
      </c>
      <c r="L17" s="104">
        <f t="shared" ref="L17:L21" si="6">I17*14%</f>
        <v>0</v>
      </c>
      <c r="M17" s="117">
        <f t="shared" ref="M17:M23" si="7">I17-K17-L17</f>
        <v>0</v>
      </c>
      <c r="N17" s="117">
        <f t="shared" si="0"/>
        <v>0</v>
      </c>
      <c r="O17" s="118">
        <f t="shared" si="1"/>
        <v>0</v>
      </c>
      <c r="P17" s="119">
        <f t="shared" si="2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3"/>
        <v>0</v>
      </c>
      <c r="J18" s="102">
        <f t="shared" si="4"/>
        <v>0</v>
      </c>
      <c r="K18" s="1">
        <f t="shared" si="5"/>
        <v>0</v>
      </c>
      <c r="L18" s="104">
        <f t="shared" si="6"/>
        <v>0</v>
      </c>
      <c r="M18" s="117">
        <f t="shared" si="7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3"/>
        <v>0</v>
      </c>
      <c r="J19" s="102">
        <f t="shared" si="4"/>
        <v>0</v>
      </c>
      <c r="K19" s="1">
        <f t="shared" si="5"/>
        <v>0</v>
      </c>
      <c r="L19" s="104">
        <f t="shared" si="6"/>
        <v>0</v>
      </c>
      <c r="M19" s="117">
        <f t="shared" si="7"/>
        <v>0</v>
      </c>
      <c r="N19" s="117">
        <f t="shared" si="0"/>
        <v>0</v>
      </c>
      <c r="O19" s="118">
        <f t="shared" si="1"/>
        <v>0</v>
      </c>
      <c r="P19" s="119">
        <f t="shared" si="2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3"/>
        <v>0</v>
      </c>
      <c r="J20" s="102">
        <f t="shared" si="4"/>
        <v>0</v>
      </c>
      <c r="K20" s="1">
        <f t="shared" si="5"/>
        <v>0</v>
      </c>
      <c r="L20" s="104">
        <f t="shared" si="6"/>
        <v>0</v>
      </c>
      <c r="M20" s="117">
        <f t="shared" si="7"/>
        <v>0</v>
      </c>
      <c r="N20" s="117">
        <f t="shared" si="0"/>
        <v>0</v>
      </c>
      <c r="O20" s="118">
        <f t="shared" si="1"/>
        <v>0</v>
      </c>
      <c r="P20" s="119">
        <f t="shared" si="2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200</v>
      </c>
      <c r="I21" s="115">
        <f t="shared" si="3"/>
        <v>14528</v>
      </c>
      <c r="J21" s="102">
        <f t="shared" si="4"/>
        <v>10</v>
      </c>
      <c r="K21" s="1">
        <f t="shared" si="5"/>
        <v>0</v>
      </c>
      <c r="L21" s="104">
        <f t="shared" si="6"/>
        <v>2033.9200000000003</v>
      </c>
      <c r="M21" s="117">
        <f t="shared" si="7"/>
        <v>12494.08</v>
      </c>
      <c r="N21" s="117">
        <f t="shared" si="0"/>
        <v>2379.6864</v>
      </c>
      <c r="O21" s="118">
        <f t="shared" si="1"/>
        <v>74.368831999999998</v>
      </c>
      <c r="P21" s="119">
        <f t="shared" si="2"/>
        <v>14948.135232000001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7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8">I23*3.5%</f>
        <v>0</v>
      </c>
      <c r="L23" s="119">
        <f t="shared" ref="L23:L24" si="9">I23*$L$13</f>
        <v>0</v>
      </c>
      <c r="M23" s="117">
        <f t="shared" si="7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8"/>
        <v>0</v>
      </c>
      <c r="L24" s="131">
        <f t="shared" si="9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10">SUM(G16:G24)</f>
        <v>0</v>
      </c>
      <c r="H25" s="135">
        <f t="shared" si="10"/>
        <v>200</v>
      </c>
      <c r="I25" s="136">
        <f t="shared" si="10"/>
        <v>14528</v>
      </c>
      <c r="J25" s="182">
        <f>SUM(J16:J21)</f>
        <v>10</v>
      </c>
      <c r="K25" s="138">
        <f t="shared" si="10"/>
        <v>0</v>
      </c>
      <c r="L25" s="139">
        <f t="shared" si="10"/>
        <v>2033.9200000000003</v>
      </c>
      <c r="M25" s="140">
        <f t="shared" si="10"/>
        <v>12494.08</v>
      </c>
      <c r="N25" s="141">
        <f>SUM(N16:N24)</f>
        <v>2379.6864</v>
      </c>
      <c r="O25" s="142">
        <f>SUM(O16:O24)</f>
        <v>74.368831999999998</v>
      </c>
      <c r="P25" s="143">
        <f>SUM(P16:P24)</f>
        <v>14948.135232000001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14528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2033.9200000000003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12494.08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2379.6864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14873.7664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74.368831999999998</v>
      </c>
    </row>
    <row r="35" spans="2:16" ht="15.75" customHeight="1" thickBot="1" x14ac:dyDescent="0.4">
      <c r="N35" s="204" t="s">
        <v>92</v>
      </c>
      <c r="O35" s="205"/>
      <c r="P35" s="159">
        <f>P33+P34</f>
        <v>14948.135232000001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9"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2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46226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9"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4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46226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3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46226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5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46226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0"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6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46226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7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46226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0"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8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46226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9"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9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46226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6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E19"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46226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46226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9"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46226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12"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46226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19"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46226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19"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46226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79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46226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9"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46226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topLeftCell="A7"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46226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46226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46226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2026-07-24T05:54:53Z</dcterms:modified>
</cp:coreProperties>
</file>