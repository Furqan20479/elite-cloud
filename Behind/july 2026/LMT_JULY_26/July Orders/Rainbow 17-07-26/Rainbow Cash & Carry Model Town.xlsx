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F92C41D-3AE5-4D17-A55D-635C2F29728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6" l="1"/>
  <c r="K18" i="16"/>
  <c r="K19" i="16"/>
  <c r="K20" i="16"/>
  <c r="K21" i="16"/>
  <c r="K16" i="16"/>
  <c r="J17" i="16"/>
  <c r="J18" i="16"/>
  <c r="J19" i="16"/>
  <c r="J20" i="16"/>
  <c r="J21" i="16"/>
  <c r="J16" i="16"/>
  <c r="K22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25" i="16" l="1"/>
  <c r="J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17" i="33" l="1"/>
  <c r="L17" i="33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I22" i="32"/>
  <c r="K22" i="32" s="1"/>
  <c r="I18" i="33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K23" i="30" s="1"/>
  <c r="M23" i="30" s="1"/>
  <c r="I24" i="30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L23" i="32" s="1"/>
  <c r="M23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M22" i="35" s="1"/>
  <c r="L22" i="35"/>
  <c r="K23" i="35"/>
  <c r="L23" i="35"/>
  <c r="M23" i="35" s="1"/>
  <c r="K24" i="35"/>
  <c r="L24" i="35"/>
  <c r="K17" i="34"/>
  <c r="K18" i="34"/>
  <c r="K21" i="34"/>
  <c r="K23" i="34"/>
  <c r="M23" i="34" s="1"/>
  <c r="L23" i="34"/>
  <c r="K21" i="33"/>
  <c r="K22" i="33"/>
  <c r="L22" i="33"/>
  <c r="K23" i="33"/>
  <c r="K20" i="33"/>
  <c r="K24" i="33"/>
  <c r="M24" i="33" s="1"/>
  <c r="L24" i="33"/>
  <c r="M17" i="33"/>
  <c r="K16" i="33"/>
  <c r="L24" i="32"/>
  <c r="K18" i="32"/>
  <c r="K19" i="32"/>
  <c r="K23" i="32"/>
  <c r="K17" i="31"/>
  <c r="K24" i="31"/>
  <c r="L24" i="31"/>
  <c r="K16" i="31"/>
  <c r="K20" i="31"/>
  <c r="L23" i="31"/>
  <c r="K20" i="30"/>
  <c r="L23" i="30"/>
  <c r="K16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K16" i="28"/>
  <c r="K19" i="28"/>
  <c r="K20" i="28"/>
  <c r="L22" i="28"/>
  <c r="K23" i="28"/>
  <c r="M23" i="28" s="1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8" i="28" l="1"/>
  <c r="I25" i="28"/>
  <c r="P28" i="28" s="1"/>
  <c r="M24" i="30"/>
  <c r="K17" i="30"/>
  <c r="K18" i="30"/>
  <c r="M18" i="30" s="1"/>
  <c r="N18" i="30" s="1"/>
  <c r="O18" i="30" s="1"/>
  <c r="P18" i="30" s="1"/>
  <c r="M24" i="31"/>
  <c r="P24" i="31" s="1"/>
  <c r="L22" i="32"/>
  <c r="K21" i="32"/>
  <c r="K17" i="32"/>
  <c r="K19" i="33"/>
  <c r="M19" i="33" s="1"/>
  <c r="N19" i="33" s="1"/>
  <c r="O19" i="33" s="1"/>
  <c r="K24" i="34"/>
  <c r="L22" i="34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L22" i="27" s="1"/>
  <c r="I23" i="27"/>
  <c r="I24" i="27"/>
  <c r="L24" i="27" s="1"/>
  <c r="K21" i="28"/>
  <c r="M17" i="28"/>
  <c r="N17" i="28" s="1"/>
  <c r="O17" i="28" s="1"/>
  <c r="K17" i="29"/>
  <c r="K21" i="29"/>
  <c r="K20" i="32"/>
  <c r="M20" i="32" s="1"/>
  <c r="N20" i="32" s="1"/>
  <c r="O20" i="32" s="1"/>
  <c r="K16" i="32"/>
  <c r="K19" i="29"/>
  <c r="L19" i="29"/>
  <c r="L25" i="29" s="1"/>
  <c r="P29" i="29" s="1"/>
  <c r="M24" i="34"/>
  <c r="N24" i="34" s="1"/>
  <c r="K20" i="34"/>
  <c r="L20" i="34"/>
  <c r="K19" i="31"/>
  <c r="L19" i="31"/>
  <c r="K17" i="28"/>
  <c r="I25" i="30"/>
  <c r="P28" i="30" s="1"/>
  <c r="K21" i="30"/>
  <c r="M21" i="30" s="1"/>
  <c r="N21" i="30" s="1"/>
  <c r="O21" i="30" s="1"/>
  <c r="K21" i="31"/>
  <c r="M21" i="31" s="1"/>
  <c r="N21" i="31" s="1"/>
  <c r="O21" i="31" s="1"/>
  <c r="I25" i="32"/>
  <c r="P28" i="32" s="1"/>
  <c r="M24" i="35"/>
  <c r="K18" i="31"/>
  <c r="K25" i="31" s="1"/>
  <c r="P30" i="31" s="1"/>
  <c r="L18" i="31"/>
  <c r="K18" i="33"/>
  <c r="L18" i="33"/>
  <c r="M22" i="33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L25" i="33"/>
  <c r="P29" i="33" s="1"/>
  <c r="L25" i="31"/>
  <c r="P29" i="31" s="1"/>
  <c r="K25" i="33"/>
  <c r="P30" i="33" s="1"/>
  <c r="M19" i="29"/>
  <c r="N19" i="29" s="1"/>
  <c r="O19" i="29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N23" i="31"/>
  <c r="O23" i="31" s="1"/>
  <c r="N17" i="31"/>
  <c r="O17" i="31" s="1"/>
  <c r="M16" i="3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J25" i="15"/>
  <c r="I25" i="27"/>
  <c r="P28" i="27" s="1"/>
  <c r="K16" i="27"/>
  <c r="K20" i="27"/>
  <c r="K21" i="27"/>
  <c r="K22" i="27"/>
  <c r="K23" i="27"/>
  <c r="L23" i="27"/>
  <c r="K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/>
  <c r="K18" i="26"/>
  <c r="L18" i="26"/>
  <c r="L25" i="26" s="1"/>
  <c r="P29" i="26" s="1"/>
  <c r="K19" i="26"/>
  <c r="K17" i="27"/>
  <c r="M18" i="33"/>
  <c r="N18" i="33" s="1"/>
  <c r="O18" i="33" s="1"/>
  <c r="K16" i="26"/>
  <c r="M16" i="26" s="1"/>
  <c r="L16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18" i="26" l="1"/>
  <c r="N18" i="26" s="1"/>
  <c r="O18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20" i="21"/>
  <c r="L20" i="21"/>
  <c r="M20" i="21" s="1"/>
  <c r="N20" i="21" s="1"/>
  <c r="O20" i="21" s="1"/>
  <c r="K18" i="24"/>
  <c r="M18" i="24" s="1"/>
  <c r="N18" i="24" s="1"/>
  <c r="O18" i="24" s="1"/>
  <c r="L18" i="24"/>
  <c r="K17" i="17"/>
  <c r="L17" i="17"/>
  <c r="M17" i="17" s="1"/>
  <c r="N17" i="17" s="1"/>
  <c r="O17" i="17" s="1"/>
  <c r="K19" i="23"/>
  <c r="M19" i="23" s="1"/>
  <c r="N19" i="23" s="1"/>
  <c r="O19" i="23" s="1"/>
  <c r="L19" i="23"/>
  <c r="K19" i="21"/>
  <c r="L19" i="21"/>
  <c r="K20" i="17"/>
  <c r="M20" i="17" s="1"/>
  <c r="N20" i="17" s="1"/>
  <c r="O20" i="17" s="1"/>
  <c r="L20" i="17"/>
  <c r="K18" i="21"/>
  <c r="L18" i="21"/>
  <c r="K17" i="20"/>
  <c r="M17" i="20" s="1"/>
  <c r="N17" i="20" s="1"/>
  <c r="O17" i="20" s="1"/>
  <c r="L17" i="20"/>
  <c r="K24" i="18"/>
  <c r="M24" i="18" s="1"/>
  <c r="K18" i="19"/>
  <c r="K19" i="17"/>
  <c r="M19" i="17" s="1"/>
  <c r="N19" i="17" s="1"/>
  <c r="O19" i="17" s="1"/>
  <c r="P19" i="17" s="1"/>
  <c r="L19" i="17"/>
  <c r="K18" i="20"/>
  <c r="L18" i="20"/>
  <c r="M18" i="20" s="1"/>
  <c r="N18" i="20" s="1"/>
  <c r="O18" i="20" s="1"/>
  <c r="K20" i="24"/>
  <c r="K25" i="24" s="1"/>
  <c r="P30" i="24" s="1"/>
  <c r="L20" i="24"/>
  <c r="K19" i="20"/>
  <c r="L19" i="20"/>
  <c r="K18" i="25"/>
  <c r="L18" i="25"/>
  <c r="K16" i="17"/>
  <c r="L16" i="17"/>
  <c r="K21" i="24"/>
  <c r="M21" i="24" s="1"/>
  <c r="N21" i="24" s="1"/>
  <c r="O21" i="24" s="1"/>
  <c r="K18" i="17"/>
  <c r="L18" i="17"/>
  <c r="K21" i="21"/>
  <c r="M21" i="21" s="1"/>
  <c r="N21" i="21" s="1"/>
  <c r="L21" i="21"/>
  <c r="K21" i="23"/>
  <c r="L21" i="23"/>
  <c r="K21" i="18"/>
  <c r="M21" i="18" s="1"/>
  <c r="N21" i="18" s="1"/>
  <c r="O21" i="18" s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N24" i="24" s="1"/>
  <c r="O24" i="24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M16" i="22"/>
  <c r="M21" i="19"/>
  <c r="L25" i="19"/>
  <c r="P29" i="19" s="1"/>
  <c r="N24" i="18"/>
  <c r="O24" i="18" s="1"/>
  <c r="N22" i="18"/>
  <c r="O22" i="18" s="1"/>
  <c r="M16" i="17"/>
  <c r="I23" i="15"/>
  <c r="L19" i="16" l="1"/>
  <c r="K19" i="15"/>
  <c r="L17" i="16"/>
  <c r="K25" i="25"/>
  <c r="P30" i="25" s="1"/>
  <c r="L20" i="16"/>
  <c r="L20" i="15" s="1"/>
  <c r="L21" i="16"/>
  <c r="L21" i="15" s="1"/>
  <c r="L18" i="16"/>
  <c r="L18" i="15" s="1"/>
  <c r="K16" i="15"/>
  <c r="L16" i="16"/>
  <c r="M16" i="16" s="1"/>
  <c r="N16" i="16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<sst xmlns="http://schemas.openxmlformats.org/spreadsheetml/2006/main" count="1579" uniqueCount="107">
  <si>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</si>
  <si>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</si>
  <si>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</si>
  <si>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</si>
  <si>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</si>
  <si>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</si>
  <si>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</si>
  <si>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</si>
  <si>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</si>
  <si>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</si>
  <si>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</si>
  <si>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</si>
  <si>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</si>
  <si>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</si>
  <si>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</si>
  <si>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</si>
  <si>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</si>
  <si>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</si>
  <si>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</si>
  <si>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</si>
  <si>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</si>
  <si>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</si>
  <si>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</si>
  <si>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</si>
  <si>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</si>
  <si>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</si>
  <si>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</si>
  <si>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</si>
  <si>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</si>
  <si>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</si>
  <si>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</si>
  <si>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</si>
  <si>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</si>
  <si>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</si>
  <si>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</si>
  <si>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</si>
  <si>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</si>
  <si>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</si>
  <si>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</si>
  <si>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</si>
  <si>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</si>
  <si>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</si>
  <si>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</si>
  <si>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</si>
  <si>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</si>
  <si>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</si>
  <si>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</si>
  <si>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</si>
  <si>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</si>
  <si>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</si>
  <si>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</si>
  <si>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</si>
  <si>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</si>
  <si>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</si>
  <si>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</si>
  <si>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</si>
  <si>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</si>
  <si>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</si>
  <si>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</si>
  <si>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</si>
  <si>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</si>
  <si>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</si>
  <si>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</si>
  <si>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</si>
  <si>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</si>
  <si>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</si>
  <si>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</si>
  <si>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</si>
  <si>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</si>
  <si>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</si>
  <si>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</si>
  <si>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</si>
  <si>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</si>
  <si>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</si>
  <si>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</si>
  <si>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</si>
  <si>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</si>
  <si>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</si>
  <si>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</si>
  <si>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</si>
  <si>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</si>
  <si>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</si>
  <si>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</si>
  <si>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</si>
  <si>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</si>
  <si>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</si>
  <si>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</si>
  <si>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</si>
  <si>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</si>
  <si>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</si>
  <si>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</si>
  <si>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</si>
  <si>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</si>
  <si>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</si>
  <si>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</si>
  <si>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</si>
  <si>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</si>
  <si>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</si>
  <si>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</si>
  <si>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</si>
  <si>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</si>
  <si>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</si>
  <si>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</si>
  <si>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</si>
  <si>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Model Town </t>
  </si>
  <si>
    <t>3344916-3</t>
  </si>
  <si>
    <t>Customer Name : Rainbow Cash &amp; Carry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</si>
</sst>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4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24415.321842899997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687.46860000000004</v>
      </c>
      <c r="O16" s="100">
        <f>+'1'!O16+'2'!O16+'4'!O16+'3'!O16+'5'!O16+'6'!O16+'7'!O16+'8'!O16+'9'!O16+'10'!O16</f>
        <v>21.484443000000002</v>
      </c>
      <c r="P16" s="104">
        <f t="shared" ref="P16:P24" si="0">M16+N16+O16</f>
        <v>4318.3730430000005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1804.71</v>
      </c>
      <c r="N17" s="100">
        <f>+'1'!N17+'2'!N17+'4'!N17+'3'!N17+'5'!N17+'6'!N17+'7'!N17+'8'!N17+'9'!N17+'10'!N17</f>
        <v>343.73430000000002</v>
      </c>
      <c r="O17" s="100">
        <f>+'1'!O17+'2'!O17+'4'!O17+'3'!O17+'5'!O17+'6'!O17+'7'!O17+'8'!O17+'9'!O17+'10'!O17</f>
        <v>10.742221500000001</v>
      </c>
      <c r="P17" s="119">
        <f t="shared" si="0"/>
        <v>2159.1865215000003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1220.3520000000001</v>
      </c>
      <c r="M19" s="117">
        <f t="shared" si="2"/>
        <v>7496.4479999999994</v>
      </c>
      <c r="N19" s="100">
        <f>+'1'!N19+'2'!N19+'4'!N19+'3'!N19+'5'!N19+'6'!N19+'7'!N19+'8'!N19+'9'!N19+'10'!N19</f>
        <v>1427.8118399999998</v>
      </c>
      <c r="O19" s="100">
        <f>+'1'!O19+'2'!O19+'4'!O19+'3'!O19+'5'!O19+'6'!O19+'7'!O19+'8'!O19+'9'!O19+'10'!O19</f>
        <v>44.621299199999996</v>
      </c>
      <c r="P19" s="119">
        <f t="shared" si="0"/>
        <v>8968.8811391999989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1427.8118399999998</v>
      </c>
      <c r="O21" s="100">
        <f>+'1'!O21+'2'!O21+'4'!O21+'3'!O21+'5'!O21+'6'!O21+'7'!O21+'8'!O21+'9'!O21+'10'!O21</f>
        <v>44.621299199999996</v>
      </c>
      <c r="P21" s="119">
        <f t="shared" si="0"/>
        <v>8968.8811391999989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9</v>
      </c>
      <c r="D25" s="222"/>
      <c r="E25" s="222"/>
      <c r="F25" s="222"/>
      <c r="G25" s="175">
        <f t="shared" ref="G25:M25" si="3">SUM(G16:G24)</f>
        <v>0</v>
      </c>
      <c r="H25" s="176">
        <f t="shared" si="3"/>
        <v>360</v>
      </c>
      <c r="I25" s="177">
        <f t="shared" si="3"/>
        <v>23729.1</v>
      </c>
      <c r="J25" s="176">
        <f t="shared" si="3"/>
        <v>18</v>
      </c>
      <c r="K25" s="177">
        <f t="shared" si="3"/>
        <v>0</v>
      </c>
      <c r="L25" s="178">
        <f t="shared" si="3"/>
        <v>3322.0740000000005</v>
      </c>
      <c r="M25" s="140">
        <f t="shared" si="3"/>
        <v>20407.025999999998</v>
      </c>
      <c r="N25" s="141">
        <f>SUM(N16:N24)</f>
        <v>3886.8265799999995</v>
      </c>
      <c r="O25" s="142">
        <f>SUM(O16:O24)</f>
        <v>121.4692629</v>
      </c>
      <c r="P25" s="143">
        <f>SUM(P16:P24)</f>
        <v>24415.321842899997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24415.321842899997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23729.1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3322.0740000000005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0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20407.025999999998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3886.8265799999995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24293.852579999999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607.34631449999995</v>
      </c>
    </row>
    <row r="42" spans="1:21" ht="15.75" customHeight="1" thickBot="1" x14ac:dyDescent="0.4">
      <c r="N42" s="220" t="s">
        <v>92</v>
      </c>
      <c r="O42" s="221"/>
      <c r="P42" s="159">
        <f>P40+P41</f>
        <v>24901.198894499998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2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f>H16/20</f>
        <v>4</v>
      </c>
      <c r="K16" s="103">
        <f>I168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687.46860000000004</v>
      </c>
      <c r="O16" s="106">
        <f t="shared" ref="O16:O24" si="1">(N16+M16)*$O$15</f>
        <v>21.484443000000002</v>
      </c>
      <c r="P16" s="104">
        <f t="shared" ref="P16:P24" si="2">M16+N16+O16</f>
        <v>4318.3730430000005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02">
        <f t="shared" ref="J17:J21" si="4">H17/20</f>
        <v>2</v>
      </c>
      <c r="K17" s="103">
        <f t="shared" ref="K17:K21" si="5">I169</f>
        <v>0</v>
      </c>
      <c r="L17" s="104">
        <f t="shared" ref="L17:L21" si="6">I17*14%</f>
        <v>293.79000000000002</v>
      </c>
      <c r="M17" s="117">
        <f t="shared" ref="M17:M23" si="7">I17-K17-L17</f>
        <v>1804.71</v>
      </c>
      <c r="N17" s="117">
        <f t="shared" si="0"/>
        <v>343.73430000000002</v>
      </c>
      <c r="O17" s="118">
        <f t="shared" si="1"/>
        <v>10.742221500000001</v>
      </c>
      <c r="P17" s="119">
        <f t="shared" si="2"/>
        <v>2159.1865215000003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03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02">
        <f t="shared" si="4"/>
        <v>6</v>
      </c>
      <c r="K19" s="103">
        <f t="shared" si="5"/>
        <v>0</v>
      </c>
      <c r="L19" s="104">
        <f t="shared" si="6"/>
        <v>1220.3520000000001</v>
      </c>
      <c r="M19" s="117">
        <f t="shared" si="7"/>
        <v>7496.4479999999994</v>
      </c>
      <c r="N19" s="117">
        <f t="shared" si="0"/>
        <v>1427.8118399999998</v>
      </c>
      <c r="O19" s="118">
        <f t="shared" si="1"/>
        <v>44.621299199999996</v>
      </c>
      <c r="P19" s="119">
        <f t="shared" si="2"/>
        <v>8968.8811391999989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03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02">
        <f t="shared" si="4"/>
        <v>6</v>
      </c>
      <c r="K21" s="103">
        <f t="shared" si="5"/>
        <v>0</v>
      </c>
      <c r="L21" s="104">
        <f t="shared" si="6"/>
        <v>1220.3520000000001</v>
      </c>
      <c r="M21" s="117">
        <f t="shared" si="7"/>
        <v>7496.4479999999994</v>
      </c>
      <c r="N21" s="117">
        <f t="shared" si="0"/>
        <v>1427.8118399999998</v>
      </c>
      <c r="O21" s="118">
        <f t="shared" si="1"/>
        <v>44.621299199999996</v>
      </c>
      <c r="P21" s="119">
        <f t="shared" si="2"/>
        <v>8968.8811391999989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03">
        <f t="shared" ref="K22" si="8"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9">I23*3.5%</f>
        <v>0</v>
      </c>
      <c r="L23" s="119">
        <f t="shared" ref="L23:L24" si="10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9"/>
        <v>0</v>
      </c>
      <c r="L24" s="131">
        <f t="shared" si="10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1">SUM(G16:G24)</f>
        <v>0</v>
      </c>
      <c r="H25" s="135">
        <f t="shared" si="11"/>
        <v>360</v>
      </c>
      <c r="I25" s="136">
        <f t="shared" si="11"/>
        <v>23729.1</v>
      </c>
      <c r="J25" s="182">
        <f>SUM(J16:J21)</f>
        <v>18</v>
      </c>
      <c r="K25" s="138">
        <f t="shared" si="11"/>
        <v>0</v>
      </c>
      <c r="L25" s="139">
        <f t="shared" si="11"/>
        <v>3322.0740000000005</v>
      </c>
      <c r="M25" s="140">
        <f t="shared" si="11"/>
        <v>20407.025999999998</v>
      </c>
      <c r="N25" s="141">
        <f>SUM(N16:N24)</f>
        <v>3886.8265799999995</v>
      </c>
      <c r="O25" s="142">
        <f>SUM(O16:O24)</f>
        <v>121.4692629</v>
      </c>
      <c r="P25" s="143">
        <f>SUM(P16:P24)</f>
        <v>24415.321842899997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23729.1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3322.0740000000005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20407.025999999998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3886.8265799999995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24293.852579999999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121.46926289999999</v>
      </c>
    </row>
    <row r="35" spans="2:16" ht="15.75" customHeight="1" thickBot="1" x14ac:dyDescent="0.4">
      <c r="N35" s="220" t="s">
        <v>92</v>
      </c>
      <c r="O35" s="221"/>
      <c r="P35" s="159">
        <f>P33+P34</f>
        <v>24415.321842899997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106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104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2026-07-17T10:57:17Z</dcterms:modified>
</cp:coreProperties>
</file>