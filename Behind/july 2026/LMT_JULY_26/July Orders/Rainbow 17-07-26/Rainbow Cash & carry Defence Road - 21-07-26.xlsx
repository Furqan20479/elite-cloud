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6EA7DCC-8955-42AD-A7D4-325CF02597D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6" l="1"/>
  <c r="J20" i="15"/>
  <c r="J21" i="15"/>
  <c r="K17" i="35"/>
  <c r="K18" i="35"/>
  <c r="K17" i="34"/>
  <c r="K18" i="34"/>
  <c r="K17" i="33"/>
  <c r="K18" i="33"/>
  <c r="K17" i="32"/>
  <c r="K18" i="32"/>
  <c r="K17" i="31"/>
  <c r="K18" i="31"/>
  <c r="K17" i="30"/>
  <c r="K18" i="30"/>
  <c r="K17" i="29"/>
  <c r="K18" i="29"/>
  <c r="K17" i="28"/>
  <c r="K18" i="28"/>
  <c r="K17" i="27"/>
  <c r="K18" i="27"/>
  <c r="K17" i="26"/>
  <c r="K18" i="26"/>
  <c r="K17" i="25"/>
  <c r="K18" i="25"/>
  <c r="K17" i="24"/>
  <c r="K18" i="24"/>
  <c r="K17" i="23"/>
  <c r="K18" i="23"/>
  <c r="K17" i="22"/>
  <c r="K18" i="22"/>
  <c r="K17" i="21"/>
  <c r="K18" i="21"/>
  <c r="K17" i="20"/>
  <c r="K18" i="20"/>
  <c r="K17" i="18"/>
  <c r="K18" i="18"/>
  <c r="K17" i="19"/>
  <c r="K18" i="19"/>
  <c r="K17" i="17"/>
  <c r="K18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7" i="19"/>
  <c r="L18" i="19"/>
  <c r="L17" i="18"/>
  <c r="L18" i="18"/>
  <c r="L17" i="20"/>
  <c r="L18" i="20"/>
  <c r="L17" i="21"/>
  <c r="L18" i="21"/>
  <c r="L17" i="22"/>
  <c r="L18" i="22"/>
  <c r="L17" i="23"/>
  <c r="L18" i="23"/>
  <c r="L17" i="24"/>
  <c r="L18" i="24"/>
  <c r="L17" i="25"/>
  <c r="L18" i="25"/>
  <c r="L17" i="26"/>
  <c r="L18" i="26"/>
  <c r="L17" i="27"/>
  <c r="L18" i="27"/>
  <c r="L17" i="28"/>
  <c r="L18" i="28"/>
  <c r="L17" i="29"/>
  <c r="L18" i="29"/>
  <c r="L17" i="30"/>
  <c r="L18" i="30"/>
  <c r="L17" i="31"/>
  <c r="L18" i="31"/>
  <c r="L17" i="32"/>
  <c r="L18" i="32"/>
  <c r="L17" i="33"/>
  <c r="L18" i="33"/>
  <c r="L17" i="34"/>
  <c r="L18" i="34"/>
  <c r="L17" i="35"/>
  <c r="L18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2" i="15"/>
  <c r="J23" i="15"/>
  <c r="J24" i="15"/>
  <c r="J16" i="15"/>
  <c r="J25" i="16" l="1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K21" i="30" l="1"/>
  <c r="M21" i="30" s="1"/>
  <c r="L21" i="30"/>
  <c r="K19" i="28"/>
  <c r="L19" i="28"/>
  <c r="L20" i="28"/>
  <c r="K20" i="28"/>
  <c r="L21" i="28"/>
  <c r="K21" i="28"/>
  <c r="K20" i="33"/>
  <c r="L20" i="33"/>
  <c r="K21" i="33"/>
  <c r="L21" i="33"/>
  <c r="K19" i="35"/>
  <c r="L19" i="35"/>
  <c r="K20" i="35"/>
  <c r="L20" i="35"/>
  <c r="K21" i="35"/>
  <c r="L21" i="35"/>
  <c r="L19" i="30"/>
  <c r="K19" i="30"/>
  <c r="K20" i="30"/>
  <c r="L20" i="30"/>
  <c r="K19" i="32"/>
  <c r="L19" i="32"/>
  <c r="L20" i="32"/>
  <c r="K20" i="32"/>
  <c r="L21" i="32"/>
  <c r="K21" i="32"/>
  <c r="I16" i="3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L20" i="29"/>
  <c r="K21" i="34"/>
  <c r="L21" i="34"/>
  <c r="K20" i="31"/>
  <c r="L20" i="31"/>
  <c r="K19" i="27"/>
  <c r="L19" i="27"/>
  <c r="K20" i="27"/>
  <c r="L20" i="27"/>
  <c r="K19" i="29"/>
  <c r="M19" i="29" s="1"/>
  <c r="N19" i="29" s="1"/>
  <c r="O19" i="29" s="1"/>
  <c r="L19" i="29"/>
  <c r="K20" i="34"/>
  <c r="M20" i="34" s="1"/>
  <c r="N20" i="34" s="1"/>
  <c r="O20" i="34" s="1"/>
  <c r="L20" i="34"/>
  <c r="K19" i="31"/>
  <c r="M19" i="31" s="1"/>
  <c r="N19" i="31" s="1"/>
  <c r="O19" i="31" s="1"/>
  <c r="L19" i="31"/>
  <c r="K19" i="33"/>
  <c r="L19" i="33"/>
  <c r="L19" i="34"/>
  <c r="M19" i="34" s="1"/>
  <c r="N19" i="34" s="1"/>
  <c r="O19" i="34" s="1"/>
  <c r="K19" i="34"/>
  <c r="K21" i="29"/>
  <c r="M21" i="29" s="1"/>
  <c r="N21" i="29" s="1"/>
  <c r="O21" i="29" s="1"/>
  <c r="L21" i="29"/>
  <c r="K21" i="31"/>
  <c r="L21" i="31"/>
  <c r="M22" i="33"/>
  <c r="L22" i="31"/>
  <c r="M21" i="35"/>
  <c r="N21" i="35" s="1"/>
  <c r="O21" i="35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19" i="26" l="1"/>
  <c r="K19" i="26"/>
  <c r="K25" i="29"/>
  <c r="P30" i="29" s="1"/>
  <c r="K21" i="27"/>
  <c r="L21" i="27"/>
  <c r="K21" i="26"/>
  <c r="L21" i="26"/>
  <c r="K20" i="26"/>
  <c r="L20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1" i="22" l="1"/>
  <c r="L21" i="22"/>
  <c r="L19" i="22"/>
  <c r="K19" i="22"/>
  <c r="K20" i="22"/>
  <c r="L20" i="22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7" l="1"/>
  <c r="L21" i="17"/>
  <c r="K20" i="21"/>
  <c r="M20" i="21" s="1"/>
  <c r="N20" i="21" s="1"/>
  <c r="O20" i="21" s="1"/>
  <c r="L20" i="21"/>
  <c r="K20" i="17"/>
  <c r="M20" i="17" s="1"/>
  <c r="N20" i="17" s="1"/>
  <c r="O20" i="17" s="1"/>
  <c r="L20" i="17"/>
  <c r="L20" i="20"/>
  <c r="M20" i="20" s="1"/>
  <c r="N20" i="20" s="1"/>
  <c r="O20" i="20" s="1"/>
  <c r="K20" i="20"/>
  <c r="L21" i="24"/>
  <c r="M21" i="24" s="1"/>
  <c r="N21" i="24" s="1"/>
  <c r="O21" i="24" s="1"/>
  <c r="K21" i="24"/>
  <c r="K21" i="19"/>
  <c r="M21" i="19" s="1"/>
  <c r="L21" i="19"/>
  <c r="K19" i="17"/>
  <c r="L19" i="17"/>
  <c r="K20" i="23"/>
  <c r="M20" i="23" s="1"/>
  <c r="N20" i="23" s="1"/>
  <c r="O20" i="23" s="1"/>
  <c r="L20" i="23"/>
  <c r="K21" i="25"/>
  <c r="M21" i="25" s="1"/>
  <c r="N21" i="25" s="1"/>
  <c r="O21" i="25" s="1"/>
  <c r="P21" i="25" s="1"/>
  <c r="L21" i="25"/>
  <c r="L20" i="24"/>
  <c r="K20" i="24"/>
  <c r="K20" i="19"/>
  <c r="M20" i="19" s="1"/>
  <c r="N20" i="19" s="1"/>
  <c r="O20" i="19" s="1"/>
  <c r="L20" i="19"/>
  <c r="K21" i="18"/>
  <c r="M21" i="18" s="1"/>
  <c r="N21" i="18" s="1"/>
  <c r="O21" i="18" s="1"/>
  <c r="L21" i="18"/>
  <c r="K20" i="25"/>
  <c r="L20" i="25"/>
  <c r="K21" i="21"/>
  <c r="M21" i="21" s="1"/>
  <c r="N21" i="21" s="1"/>
  <c r="L21" i="21"/>
  <c r="K21" i="23"/>
  <c r="M21" i="23" s="1"/>
  <c r="N21" i="23" s="1"/>
  <c r="O21" i="23" s="1"/>
  <c r="L21" i="23"/>
  <c r="K19" i="24"/>
  <c r="M19" i="24" s="1"/>
  <c r="N19" i="24" s="1"/>
  <c r="O19" i="24" s="1"/>
  <c r="P19" i="24" s="1"/>
  <c r="L19" i="24"/>
  <c r="L21" i="20"/>
  <c r="K21" i="20"/>
  <c r="K20" i="18"/>
  <c r="L20" i="18"/>
  <c r="L19" i="19"/>
  <c r="L25" i="19" s="1"/>
  <c r="P29" i="19" s="1"/>
  <c r="K19" i="19"/>
  <c r="K19" i="25"/>
  <c r="L19" i="25"/>
  <c r="K19" i="18"/>
  <c r="L19" i="18"/>
  <c r="K19" i="23"/>
  <c r="L19" i="23"/>
  <c r="K19" i="21"/>
  <c r="M19" i="21" s="1"/>
  <c r="N19" i="21" s="1"/>
  <c r="O19" i="21" s="1"/>
  <c r="L19" i="21"/>
  <c r="K19" i="20"/>
  <c r="L19" i="20"/>
  <c r="I25" i="25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N24" i="19"/>
  <c r="O24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<sst xmlns="http://schemas.openxmlformats.org/spreadsheetml/2006/main" count="1560" uniqueCount="107">
  <si>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</si>
  <si>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</si>
  <si>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</si>
  <si>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</si>
  <si>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</si>
  <si>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</si>
  <si>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</si>
  <si>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</si>
  <si>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</si>
  <si>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</si>
  <si>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</si>
  <si>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</si>
  <si>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</si>
  <si>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</si>
  <si>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</si>
  <si>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</si>
  <si>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</si>
  <si>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</si>
  <si>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</si>
  <si>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</si>
  <si>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</si>
  <si>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</si>
  <si>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</si>
  <si>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</si>
  <si>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</si>
  <si>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</si>
  <si>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</si>
  <si>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</si>
  <si>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</si>
  <si>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</si>
  <si>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</si>
  <si>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</si>
  <si>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</si>
  <si>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</si>
  <si>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</si>
  <si>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</si>
  <si>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</si>
  <si>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</si>
  <si>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</si>
  <si>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</si>
  <si>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</si>
  <si>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</si>
  <si>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</si>
  <si>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</si>
  <si>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</si>
  <si>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</si>
  <si>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</si>
  <si>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</si>
  <si>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</si>
  <si>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</si>
  <si>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</si>
  <si>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</si>
  <si>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</si>
  <si>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</si>
  <si>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</si>
  <si>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</si>
  <si>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</si>
  <si>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</si>
  <si>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</si>
  <si>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</si>
  <si>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</si>
  <si>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</si>
  <si>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</si>
  <si>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</si>
  <si>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</si>
  <si>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</si>
  <si>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</si>
  <si>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</si>
  <si>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</si>
  <si>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</si>
  <si>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</si>
  <si>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</si>
  <si>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</si>
  <si>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</si>
  <si>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</si>
  <si>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</si>
  <si>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</si>
  <si>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</si>
  <si>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</si>
  <si>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</si>
  <si>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</si>
  <si>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</si>
  <si>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</si>
  <si>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</si>
  <si>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</si>
  <si>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</si>
  <si>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</si>
  <si>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</si>
  <si>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</si>
  <si>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</si>
  <si>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</si>
  <si>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</si>
  <si>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</si>
  <si>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</si>
  <si>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</si>
  <si>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</si>
  <si>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</si>
  <si>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</si>
  <si>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</si>
  <si>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</si>
  <si>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</si>
  <si>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</si>
  <si>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</si>
  <si>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</si>
  <si>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</si>
  <si>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>Customer Name : Rainbow Cash &amp; Carry</t>
  </si>
  <si>
    <t>Address: Defence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</si>
</sst>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4" sqref="F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F14" sqref="F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114815.43743175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367.23750000000001</v>
      </c>
      <c r="L16" s="174">
        <f>+'1'!L16+'2'!L16+'4'!L16+'3'!L16+'5'!L16+'6'!L16+'7'!L16+'8'!L16+'9'!L16+'10'!L16</f>
        <v>1468.95</v>
      </c>
      <c r="M16" s="105">
        <f>I16-K16-L16</f>
        <v>8656.3125</v>
      </c>
      <c r="N16" s="100">
        <f>+'1'!N16+'2'!N16+'4'!N16+'3'!N16+'5'!N16+'6'!N16+'7'!N16+'8'!N16+'9'!N16+'10'!N16</f>
        <v>1558.13625</v>
      </c>
      <c r="O16" s="100">
        <f>+'1'!O16+'2'!O16+'4'!O16+'3'!O16+'5'!O16+'6'!O16+'7'!O16+'8'!O16+'9'!O16+'10'!O16</f>
        <v>51.072243749999998</v>
      </c>
      <c r="P16" s="104">
        <f t="shared" ref="P16:P24" si="0">M16+N16+O16</f>
        <v>10265.52099375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320</v>
      </c>
      <c r="I17" s="1">
        <f t="shared" ref="I17:I23" si="1">(G17*D17)*F17+H17*F17</f>
        <v>16788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587.58000000000004</v>
      </c>
      <c r="L17" s="174">
        <f>+'1'!L17+'2'!L17+'4'!L17+'3'!L17+'5'!L17+'6'!L17+'7'!L17+'8'!L17+'9'!L17+'10'!L17</f>
        <v>2350.3200000000002</v>
      </c>
      <c r="M17" s="117">
        <f t="shared" ref="M17:M23" si="2">I17-K17-L17</f>
        <v>13850.1</v>
      </c>
      <c r="N17" s="100">
        <f>+'1'!N17+'2'!N17+'4'!N17+'3'!N17+'5'!N17+'6'!N17+'7'!N17+'8'!N17+'9'!N17+'10'!N17</f>
        <v>2493.018</v>
      </c>
      <c r="O17" s="100">
        <f>+'1'!O17+'2'!O17+'4'!O17+'3'!O17+'5'!O17+'6'!O17+'7'!O17+'8'!O17+'9'!O17+'10'!O17</f>
        <v>81.715590000000006</v>
      </c>
      <c r="P17" s="119">
        <f t="shared" si="0"/>
        <v>16424.833590000002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320</v>
      </c>
      <c r="I19" s="1">
        <f t="shared" si="1"/>
        <v>23244.799999999999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813.5680000000001</v>
      </c>
      <c r="L19" s="174">
        <f>+'1'!L19+'2'!L19+'4'!L19+'3'!L19+'5'!L19+'6'!L19+'7'!L19+'8'!L19+'9'!L19+'10'!L19</f>
        <v>3254.2720000000004</v>
      </c>
      <c r="M19" s="117">
        <f t="shared" si="2"/>
        <v>19176.96</v>
      </c>
      <c r="N19" s="100">
        <f>+'1'!N19+'2'!N19+'4'!N19+'3'!N19+'5'!N19+'6'!N19+'7'!N19+'8'!N19+'9'!N19+'10'!N19</f>
        <v>3451.8527999999997</v>
      </c>
      <c r="O19" s="100">
        <f>+'1'!O19+'2'!O19+'4'!O19+'3'!O19+'5'!O19+'6'!O19+'7'!O19+'8'!O19+'9'!O19+'10'!O19</f>
        <v>113.144064</v>
      </c>
      <c r="P19" s="119">
        <f t="shared" si="0"/>
        <v>22741.956864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400</v>
      </c>
      <c r="I20" s="1">
        <f t="shared" si="1"/>
        <v>29056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1016.9600000000002</v>
      </c>
      <c r="L20" s="174">
        <f>+'1'!L20+'2'!L20+'4'!L20+'3'!L20+'5'!L20+'6'!L20+'7'!L20+'8'!L20+'9'!L20+'10'!L20</f>
        <v>4067.8400000000006</v>
      </c>
      <c r="M20" s="117">
        <f t="shared" si="2"/>
        <v>23971.200000000001</v>
      </c>
      <c r="N20" s="100">
        <f>+'1'!N20+'2'!N20+'4'!N20+'3'!N20+'5'!N20+'6'!N20+'7'!N20+'8'!N20+'9'!N20+'10'!N20</f>
        <v>4314.8159999999998</v>
      </c>
      <c r="O20" s="100">
        <f>+'1'!O20+'2'!O20+'4'!O20+'3'!O20+'5'!O20+'6'!O20+'7'!O20+'8'!O20+'9'!O20+'10'!O20</f>
        <v>141.43008</v>
      </c>
      <c r="P20" s="119">
        <f t="shared" si="0"/>
        <v>28427.446079999998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1322.0480000000002</v>
      </c>
      <c r="L21" s="174">
        <f>+'1'!L21+'2'!L21+'4'!L21+'3'!L21+'5'!L21+'6'!L21+'7'!L21+'8'!L21+'9'!L21+'10'!L21</f>
        <v>5288.1920000000009</v>
      </c>
      <c r="M21" s="117">
        <f t="shared" si="2"/>
        <v>31162.559999999998</v>
      </c>
      <c r="N21" s="100">
        <f>+'1'!N21+'2'!N21+'4'!N21+'3'!N21+'5'!N21+'6'!N21+'7'!N21+'8'!N21+'9'!N21+'10'!N21</f>
        <v>5609.2607999999991</v>
      </c>
      <c r="O21" s="100">
        <f>+'1'!O21+'2'!O21+'4'!O21+'3'!O21+'5'!O21+'6'!O21+'7'!O21+'8'!O21+'9'!O21+'10'!O21</f>
        <v>183.85910399999997</v>
      </c>
      <c r="P21" s="119">
        <f t="shared" si="0"/>
        <v>36955.679903999997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44</v>
      </c>
      <c r="D25" s="222"/>
      <c r="E25" s="222"/>
      <c r="F25" s="222"/>
      <c r="G25" s="175">
        <f t="shared" ref="G25:M25" si="3">SUM(G16:G24)</f>
        <v>0</v>
      </c>
      <c r="H25" s="176">
        <f t="shared" si="3"/>
        <v>1760</v>
      </c>
      <c r="I25" s="177">
        <f t="shared" si="3"/>
        <v>117354.1</v>
      </c>
      <c r="J25" s="176">
        <f t="shared" si="3"/>
        <v>0</v>
      </c>
      <c r="K25" s="177">
        <f t="shared" si="3"/>
        <v>4107.3935000000001</v>
      </c>
      <c r="L25" s="178">
        <f t="shared" si="3"/>
        <v>16429.574000000001</v>
      </c>
      <c r="M25" s="140">
        <f t="shared" si="3"/>
        <v>96817.132499999992</v>
      </c>
      <c r="N25" s="141">
        <f>SUM(N16:N24)</f>
        <v>17427.083849999999</v>
      </c>
      <c r="O25" s="142">
        <f>SUM(O16:O24)</f>
        <v>571.22108175000005</v>
      </c>
      <c r="P25" s="143">
        <f>SUM(P16:P24)</f>
        <v>114815.43743175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114815.43743175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117354.1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16429.574000000001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4107.3935000000001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96817.132500000007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17427.083849999999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114244.21635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2856.1054087500002</v>
      </c>
    </row>
    <row r="42" spans="1:21" ht="15.75" customHeight="1" thickBot="1" x14ac:dyDescent="0.4">
      <c r="N42" s="220" t="s">
        <v>92</v>
      </c>
      <c r="O42" s="221"/>
      <c r="P42" s="159">
        <f>P40+P41</f>
        <v>117100.32175875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/>
      <c r="K16" s="103">
        <f>I16*3.5%</f>
        <v>367.23750000000001</v>
      </c>
      <c r="L16" s="104">
        <f>I16*14%</f>
        <v>1468.95</v>
      </c>
      <c r="M16" s="105">
        <f>I16-K16-L16</f>
        <v>8656.3125</v>
      </c>
      <c r="N16" s="105">
        <f t="shared" ref="N16:N24" si="0">(M16*$N$15)+(J16*F16)*$N$15</f>
        <v>1558.13625</v>
      </c>
      <c r="O16" s="106">
        <f t="shared" ref="O16:O24" si="1">(N16+M16)*$O$15</f>
        <v>51.072243749999998</v>
      </c>
      <c r="P16" s="104">
        <f t="shared" ref="P16:P24" si="2">M16+N16+O16</f>
        <v>10265.52099375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320</v>
      </c>
      <c r="I17" s="115">
        <f t="shared" ref="I17:I23" si="3">(G17*D17)*F17+H17*F17</f>
        <v>16788</v>
      </c>
      <c r="J17" s="102"/>
      <c r="K17" s="103">
        <f t="shared" ref="K17:K21" si="4">I17*3.5%</f>
        <v>587.58000000000004</v>
      </c>
      <c r="L17" s="104">
        <f t="shared" ref="L17:L21" si="5">I17*14%</f>
        <v>2350.3200000000002</v>
      </c>
      <c r="M17" s="117">
        <f t="shared" ref="M17:M23" si="6">I17-K17-L17</f>
        <v>13850.1</v>
      </c>
      <c r="N17" s="117">
        <f t="shared" si="0"/>
        <v>2493.018</v>
      </c>
      <c r="O17" s="118">
        <f t="shared" si="1"/>
        <v>81.715590000000006</v>
      </c>
      <c r="P17" s="119">
        <f t="shared" si="2"/>
        <v>16424.833590000002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320</v>
      </c>
      <c r="I19" s="115">
        <f t="shared" si="3"/>
        <v>23244.799999999999</v>
      </c>
      <c r="J19" s="102"/>
      <c r="K19" s="103">
        <f t="shared" si="4"/>
        <v>813.5680000000001</v>
      </c>
      <c r="L19" s="104">
        <f t="shared" si="5"/>
        <v>3254.2720000000004</v>
      </c>
      <c r="M19" s="117">
        <f t="shared" si="6"/>
        <v>19176.96</v>
      </c>
      <c r="N19" s="117">
        <f t="shared" si="0"/>
        <v>3451.8527999999997</v>
      </c>
      <c r="O19" s="118">
        <f t="shared" si="1"/>
        <v>113.144064</v>
      </c>
      <c r="P19" s="119">
        <f t="shared" si="2"/>
        <v>22741.956864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400</v>
      </c>
      <c r="I20" s="115">
        <f t="shared" si="3"/>
        <v>29056</v>
      </c>
      <c r="J20" s="102"/>
      <c r="K20" s="103">
        <f t="shared" si="4"/>
        <v>1016.9600000000002</v>
      </c>
      <c r="L20" s="104">
        <f t="shared" si="5"/>
        <v>4067.8400000000006</v>
      </c>
      <c r="M20" s="117">
        <f t="shared" si="6"/>
        <v>23971.200000000001</v>
      </c>
      <c r="N20" s="117">
        <f t="shared" si="0"/>
        <v>4314.8159999999998</v>
      </c>
      <c r="O20" s="118">
        <f t="shared" si="1"/>
        <v>141.43008</v>
      </c>
      <c r="P20" s="119">
        <f t="shared" si="2"/>
        <v>28427.446079999998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520</v>
      </c>
      <c r="I21" s="115">
        <f t="shared" si="3"/>
        <v>37772.800000000003</v>
      </c>
      <c r="J21" s="102"/>
      <c r="K21" s="103">
        <f t="shared" si="4"/>
        <v>1322.0480000000002</v>
      </c>
      <c r="L21" s="104">
        <f t="shared" si="5"/>
        <v>5288.1920000000009</v>
      </c>
      <c r="M21" s="117">
        <f t="shared" si="6"/>
        <v>31162.559999999998</v>
      </c>
      <c r="N21" s="117">
        <f t="shared" si="0"/>
        <v>5609.2607999999991</v>
      </c>
      <c r="O21" s="118">
        <f t="shared" si="1"/>
        <v>183.85910399999997</v>
      </c>
      <c r="P21" s="119">
        <f t="shared" si="2"/>
        <v>36955.679903999997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1760</v>
      </c>
      <c r="I25" s="136">
        <f t="shared" si="9"/>
        <v>117354.1</v>
      </c>
      <c r="J25" s="182">
        <f>SUM(J16:J21)</f>
        <v>0</v>
      </c>
      <c r="K25" s="138">
        <f t="shared" si="9"/>
        <v>4107.3935000000001</v>
      </c>
      <c r="L25" s="139">
        <f t="shared" si="9"/>
        <v>16429.574000000001</v>
      </c>
      <c r="M25" s="140">
        <f t="shared" si="9"/>
        <v>96817.132499999992</v>
      </c>
      <c r="N25" s="141">
        <f>SUM(N16:N24)</f>
        <v>17427.083849999999</v>
      </c>
      <c r="O25" s="142">
        <f>SUM(O16:O24)</f>
        <v>571.22108175000005</v>
      </c>
      <c r="P25" s="143">
        <f>SUM(P16:P24)</f>
        <v>114815.43743175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117354.1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16429.574000000001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4107.3935000000001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96817.132500000007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17427.083849999999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114244.21635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571.22108175000005</v>
      </c>
    </row>
    <row r="35" spans="2:16" ht="15.75" customHeight="1" thickBot="1" x14ac:dyDescent="0.4">
      <c r="N35" s="220" t="s">
        <v>92</v>
      </c>
      <c r="O35" s="221"/>
      <c r="P35" s="159">
        <f>P33+P34</f>
        <v>114815.43743175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2026-07-22T06:00:28Z</dcterms:modified>
</cp:coreProperties>
</file>