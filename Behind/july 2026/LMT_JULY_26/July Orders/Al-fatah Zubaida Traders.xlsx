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89052796-7BCB-4EDD-871F-F6BE65082B17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3" sheetId="19" r:id="rId5"/>
    <sheet name="2" sheetId="17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22" i="16" l="1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I21" i="33" s="1"/>
  <c r="L21" i="33" s="1"/>
  <c r="C21" i="33"/>
  <c r="B21" i="33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I18" i="33" s="1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L21" i="28" s="1"/>
  <c r="B21" i="28"/>
  <c r="C21" i="28" s="1"/>
  <c r="F20" i="28"/>
  <c r="E20" i="28"/>
  <c r="D20" i="28"/>
  <c r="I20" i="28" s="1"/>
  <c r="L20" i="28" s="1"/>
  <c r="B20" i="28"/>
  <c r="C20" i="28" s="1"/>
  <c r="F19" i="28"/>
  <c r="E19" i="28"/>
  <c r="D19" i="28"/>
  <c r="I19" i="28" s="1"/>
  <c r="L19" i="28" s="1"/>
  <c r="B19" i="28"/>
  <c r="C19" i="28" s="1"/>
  <c r="F18" i="28"/>
  <c r="E18" i="28"/>
  <c r="D18" i="28"/>
  <c r="I18" i="28" s="1"/>
  <c r="L18" i="28" s="1"/>
  <c r="B18" i="28"/>
  <c r="C18" i="28" s="1"/>
  <c r="F17" i="28"/>
  <c r="E17" i="28"/>
  <c r="D17" i="28"/>
  <c r="I17" i="28" s="1"/>
  <c r="L17" i="28" s="1"/>
  <c r="B17" i="28"/>
  <c r="C17" i="28" s="1"/>
  <c r="F16" i="28"/>
  <c r="E16" i="28"/>
  <c r="D16" i="28"/>
  <c r="I16" i="28" s="1"/>
  <c r="L16" i="28" s="1"/>
  <c r="C16" i="28"/>
  <c r="B16" i="28"/>
  <c r="O15" i="28"/>
  <c r="N15" i="28"/>
  <c r="N4" i="28"/>
  <c r="N5" i="28" s="1"/>
  <c r="K18" i="33" l="1"/>
  <c r="L18" i="33"/>
  <c r="K17" i="33"/>
  <c r="L17" i="33"/>
  <c r="M17" i="33" s="1"/>
  <c r="I24" i="33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K22" i="35" s="1"/>
  <c r="I23" i="35"/>
  <c r="I24" i="35"/>
  <c r="I20" i="33"/>
  <c r="L20" i="33" s="1"/>
  <c r="I16" i="30"/>
  <c r="L16" i="30" s="1"/>
  <c r="I17" i="30"/>
  <c r="L17" i="30" s="1"/>
  <c r="I18" i="30"/>
  <c r="L18" i="30" s="1"/>
  <c r="I19" i="30"/>
  <c r="L19" i="30" s="1"/>
  <c r="I20" i="30"/>
  <c r="L20" i="30" s="1"/>
  <c r="I21" i="30"/>
  <c r="L21" i="30" s="1"/>
  <c r="I22" i="30"/>
  <c r="I23" i="30"/>
  <c r="I24" i="30"/>
  <c r="L24" i="30" s="1"/>
  <c r="I16" i="32"/>
  <c r="L16" i="32" s="1"/>
  <c r="I17" i="32"/>
  <c r="L17" i="32" s="1"/>
  <c r="I18" i="32"/>
  <c r="L18" i="32" s="1"/>
  <c r="I19" i="32"/>
  <c r="L19" i="32" s="1"/>
  <c r="I20" i="32"/>
  <c r="L20" i="32" s="1"/>
  <c r="I21" i="32"/>
  <c r="L21" i="32" s="1"/>
  <c r="I16" i="33"/>
  <c r="L16" i="33" s="1"/>
  <c r="I16" i="31"/>
  <c r="L16" i="31" s="1"/>
  <c r="I17" i="31"/>
  <c r="L17" i="31" s="1"/>
  <c r="I18" i="31"/>
  <c r="I19" i="31"/>
  <c r="I20" i="31"/>
  <c r="L20" i="31" s="1"/>
  <c r="I21" i="31"/>
  <c r="L21" i="31" s="1"/>
  <c r="I22" i="31"/>
  <c r="K22" i="31" s="1"/>
  <c r="I23" i="31"/>
  <c r="K23" i="31" s="1"/>
  <c r="I24" i="31"/>
  <c r="K24" i="31" s="1"/>
  <c r="I23" i="32"/>
  <c r="I22" i="33"/>
  <c r="I16" i="34"/>
  <c r="L16" i="34" s="1"/>
  <c r="I17" i="34"/>
  <c r="L17" i="34" s="1"/>
  <c r="I18" i="34"/>
  <c r="L18" i="34" s="1"/>
  <c r="I19" i="34"/>
  <c r="L19" i="34" s="1"/>
  <c r="I20" i="34"/>
  <c r="I21" i="34"/>
  <c r="L21" i="34" s="1"/>
  <c r="I22" i="34"/>
  <c r="I23" i="34"/>
  <c r="I24" i="34"/>
  <c r="L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L22" i="29" s="1"/>
  <c r="I23" i="29"/>
  <c r="L23" i="29" s="1"/>
  <c r="I24" i="29"/>
  <c r="I24" i="32"/>
  <c r="I19" i="33"/>
  <c r="L19" i="33" s="1"/>
  <c r="I23" i="33"/>
  <c r="L23" i="33" s="1"/>
  <c r="I25" i="35"/>
  <c r="P28" i="35" s="1"/>
  <c r="K16" i="35"/>
  <c r="K17" i="35"/>
  <c r="M17" i="35"/>
  <c r="K18" i="35"/>
  <c r="K19" i="35"/>
  <c r="K20" i="35"/>
  <c r="K21" i="35"/>
  <c r="K23" i="35"/>
  <c r="L23" i="35"/>
  <c r="K24" i="35"/>
  <c r="L24" i="35"/>
  <c r="K17" i="34"/>
  <c r="K18" i="34"/>
  <c r="K22" i="34"/>
  <c r="L22" i="34"/>
  <c r="K23" i="34"/>
  <c r="M23" i="34" s="1"/>
  <c r="L23" i="34"/>
  <c r="K24" i="34"/>
  <c r="K21" i="33"/>
  <c r="K22" i="33"/>
  <c r="L22" i="33"/>
  <c r="K19" i="33"/>
  <c r="K20" i="33"/>
  <c r="K24" i="33"/>
  <c r="L24" i="33"/>
  <c r="M18" i="33"/>
  <c r="K16" i="33"/>
  <c r="K24" i="32"/>
  <c r="M24" i="32" s="1"/>
  <c r="L24" i="32"/>
  <c r="K16" i="32"/>
  <c r="K17" i="32"/>
  <c r="K18" i="32"/>
  <c r="K20" i="32"/>
  <c r="K21" i="32"/>
  <c r="K23" i="32"/>
  <c r="L23" i="32"/>
  <c r="M23" i="32" s="1"/>
  <c r="K22" i="32"/>
  <c r="L22" i="32"/>
  <c r="K17" i="31"/>
  <c r="K21" i="31"/>
  <c r="L24" i="31"/>
  <c r="L23" i="31"/>
  <c r="K18" i="30"/>
  <c r="K21" i="30"/>
  <c r="M21" i="30"/>
  <c r="K23" i="30"/>
  <c r="M23" i="30" s="1"/>
  <c r="L23" i="30"/>
  <c r="K17" i="30"/>
  <c r="K19" i="30"/>
  <c r="K22" i="30"/>
  <c r="L22" i="30"/>
  <c r="K24" i="30"/>
  <c r="K21" i="29"/>
  <c r="K24" i="29"/>
  <c r="K17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L23" i="28"/>
  <c r="M23" i="28" s="1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16" i="30" l="1"/>
  <c r="M16" i="30" s="1"/>
  <c r="N16" i="30" s="1"/>
  <c r="M24" i="33"/>
  <c r="N24" i="33" s="1"/>
  <c r="O24" i="33" s="1"/>
  <c r="M22" i="35"/>
  <c r="N22" i="35" s="1"/>
  <c r="O22" i="35" s="1"/>
  <c r="K19" i="29"/>
  <c r="L19" i="29"/>
  <c r="L25" i="29" s="1"/>
  <c r="P29" i="29" s="1"/>
  <c r="M24" i="34"/>
  <c r="N24" i="34" s="1"/>
  <c r="O24" i="34" s="1"/>
  <c r="K20" i="34"/>
  <c r="L20" i="34"/>
  <c r="K19" i="31"/>
  <c r="L19" i="31"/>
  <c r="M19" i="31" s="1"/>
  <c r="N19" i="31" s="1"/>
  <c r="O19" i="31" s="1"/>
  <c r="M24" i="30"/>
  <c r="N24" i="30" s="1"/>
  <c r="O24" i="30" s="1"/>
  <c r="P24" i="30" s="1"/>
  <c r="L24" i="29"/>
  <c r="M24" i="29" s="1"/>
  <c r="N24" i="29" s="1"/>
  <c r="O24" i="29" s="1"/>
  <c r="P24" i="29" s="1"/>
  <c r="K16" i="29"/>
  <c r="I25" i="30"/>
  <c r="P28" i="30" s="1"/>
  <c r="K20" i="31"/>
  <c r="M20" i="31" s="1"/>
  <c r="N20" i="31" s="1"/>
  <c r="O20" i="31" s="1"/>
  <c r="K19" i="32"/>
  <c r="I25" i="32"/>
  <c r="P28" i="32" s="1"/>
  <c r="K21" i="34"/>
  <c r="M24" i="35"/>
  <c r="N24" i="35" s="1"/>
  <c r="O24" i="35" s="1"/>
  <c r="P24" i="35" s="1"/>
  <c r="L22" i="35"/>
  <c r="K18" i="31"/>
  <c r="L18" i="31"/>
  <c r="L25" i="31" s="1"/>
  <c r="P29" i="31" s="1"/>
  <c r="M24" i="31"/>
  <c r="P24" i="31" s="1"/>
  <c r="M24" i="28"/>
  <c r="K20" i="30"/>
  <c r="K16" i="31"/>
  <c r="K25" i="31" s="1"/>
  <c r="P30" i="31" s="1"/>
  <c r="K23" i="33"/>
  <c r="M23" i="33" s="1"/>
  <c r="N23" i="33" s="1"/>
  <c r="O23" i="33" s="1"/>
  <c r="M23" i="35"/>
  <c r="M18" i="35"/>
  <c r="M22" i="33"/>
  <c r="N22" i="33" s="1"/>
  <c r="O22" i="33" s="1"/>
  <c r="L22" i="31"/>
  <c r="M22" i="31" s="1"/>
  <c r="N22" i="31" s="1"/>
  <c r="O22" i="31" s="1"/>
  <c r="P22" i="31" s="1"/>
  <c r="M21" i="35"/>
  <c r="K19" i="34"/>
  <c r="M19" i="34" s="1"/>
  <c r="N19" i="34" s="1"/>
  <c r="O19" i="34" s="1"/>
  <c r="I25" i="34"/>
  <c r="P28" i="34" s="1"/>
  <c r="M17" i="31"/>
  <c r="N17" i="31" s="1"/>
  <c r="O17" i="31" s="1"/>
  <c r="M22" i="29"/>
  <c r="I16" i="26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K23" i="26" s="1"/>
  <c r="I24" i="26"/>
  <c r="K24" i="26" s="1"/>
  <c r="I21" i="27"/>
  <c r="L21" i="27" s="1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N16" i="29" s="1"/>
  <c r="M17" i="30"/>
  <c r="N17" i="30" s="1"/>
  <c r="O17" i="30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23" i="34"/>
  <c r="O23" i="34" s="1"/>
  <c r="P23" i="34" s="1"/>
  <c r="N18" i="33"/>
  <c r="O18" i="33" s="1"/>
  <c r="N21" i="33"/>
  <c r="O21" i="33" s="1"/>
  <c r="N17" i="33"/>
  <c r="O17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M16" i="31"/>
  <c r="N21" i="30"/>
  <c r="O21" i="30" s="1"/>
  <c r="K25" i="30"/>
  <c r="P30" i="30" s="1"/>
  <c r="N22" i="30"/>
  <c r="O22" i="30" s="1"/>
  <c r="P22" i="30" s="1"/>
  <c r="N23" i="30"/>
  <c r="O23" i="30" s="1"/>
  <c r="N22" i="29"/>
  <c r="O22" i="29" s="1"/>
  <c r="N20" i="29"/>
  <c r="O20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L23" i="26"/>
  <c r="K20" i="26"/>
  <c r="K21" i="26"/>
  <c r="T23" i="15"/>
  <c r="T22" i="15"/>
  <c r="T21" i="15"/>
  <c r="T20" i="15"/>
  <c r="T19" i="15"/>
  <c r="T18" i="15"/>
  <c r="T17" i="15"/>
  <c r="T16" i="15"/>
  <c r="T15" i="15"/>
  <c r="T14" i="15"/>
  <c r="K16" i="26" l="1"/>
  <c r="L16" i="26"/>
  <c r="L24" i="26"/>
  <c r="M24" i="26" s="1"/>
  <c r="N24" i="26" s="1"/>
  <c r="O24" i="26" s="1"/>
  <c r="K25" i="33"/>
  <c r="P30" i="33" s="1"/>
  <c r="P31" i="33" s="1"/>
  <c r="P24" i="34"/>
  <c r="K18" i="26"/>
  <c r="L18" i="26"/>
  <c r="M18" i="26" s="1"/>
  <c r="N18" i="26" s="1"/>
  <c r="O18" i="26" s="1"/>
  <c r="K19" i="26"/>
  <c r="M19" i="26" s="1"/>
  <c r="N19" i="26" s="1"/>
  <c r="O19" i="26" s="1"/>
  <c r="K25" i="34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22" i="26"/>
  <c r="N22" i="26" s="1"/>
  <c r="O22" i="26" s="1"/>
  <c r="P22" i="26" s="1"/>
  <c r="N23" i="27"/>
  <c r="O23" i="27" s="1"/>
  <c r="L25" i="27"/>
  <c r="P29" i="27" s="1"/>
  <c r="K25" i="27"/>
  <c r="P30" i="27" s="1"/>
  <c r="L25" i="26"/>
  <c r="P29" i="26" s="1"/>
  <c r="M16" i="26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K25" i="26" l="1"/>
  <c r="P30" i="26" s="1"/>
  <c r="I16" i="25"/>
  <c r="L16" i="25" s="1"/>
  <c r="I17" i="25"/>
  <c r="L17" i="25" s="1"/>
  <c r="I18" i="25"/>
  <c r="I19" i="25"/>
  <c r="L19" i="25" s="1"/>
  <c r="I20" i="25"/>
  <c r="L20" i="25" s="1"/>
  <c r="I22" i="25"/>
  <c r="K22" i="25" s="1"/>
  <c r="I23" i="25"/>
  <c r="L23" i="25" s="1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16" i="25"/>
  <c r="K24" i="25"/>
  <c r="L22" i="25"/>
  <c r="K17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9" i="18" l="1"/>
  <c r="L19" i="18"/>
  <c r="K17" i="17"/>
  <c r="L17" i="17"/>
  <c r="M17" i="17" s="1"/>
  <c r="N17" i="17" s="1"/>
  <c r="O17" i="17" s="1"/>
  <c r="K19" i="23"/>
  <c r="L19" i="23"/>
  <c r="K19" i="21"/>
  <c r="L19" i="21"/>
  <c r="M19" i="21" s="1"/>
  <c r="N19" i="21" s="1"/>
  <c r="O19" i="21" s="1"/>
  <c r="K19" i="20"/>
  <c r="L19" i="20"/>
  <c r="K20" i="17"/>
  <c r="L20" i="17"/>
  <c r="M20" i="17" s="1"/>
  <c r="N20" i="17" s="1"/>
  <c r="O20" i="17" s="1"/>
  <c r="K16" i="17"/>
  <c r="L16" i="17"/>
  <c r="K18" i="21"/>
  <c r="L18" i="21"/>
  <c r="M18" i="21" s="1"/>
  <c r="N18" i="21" s="1"/>
  <c r="O18" i="21" s="1"/>
  <c r="K17" i="20"/>
  <c r="L17" i="20"/>
  <c r="K18" i="24"/>
  <c r="L18" i="24"/>
  <c r="M18" i="24" s="1"/>
  <c r="N18" i="24" s="1"/>
  <c r="O18" i="24" s="1"/>
  <c r="K24" i="18"/>
  <c r="M24" i="18" s="1"/>
  <c r="K19" i="17"/>
  <c r="L19" i="17"/>
  <c r="K18" i="20"/>
  <c r="M18" i="20" s="1"/>
  <c r="N18" i="20" s="1"/>
  <c r="O18" i="20" s="1"/>
  <c r="L18" i="20"/>
  <c r="K20" i="24"/>
  <c r="L20" i="24"/>
  <c r="K20" i="21"/>
  <c r="M20" i="21" s="1"/>
  <c r="N20" i="21" s="1"/>
  <c r="O20" i="21" s="1"/>
  <c r="L20" i="21"/>
  <c r="K18" i="25"/>
  <c r="L18" i="25"/>
  <c r="K18" i="17"/>
  <c r="M18" i="17" s="1"/>
  <c r="N18" i="17" s="1"/>
  <c r="O18" i="17" s="1"/>
  <c r="L18" i="17"/>
  <c r="K21" i="21"/>
  <c r="L21" i="21"/>
  <c r="K21" i="23"/>
  <c r="M21" i="23" s="1"/>
  <c r="N21" i="23" s="1"/>
  <c r="O21" i="23" s="1"/>
  <c r="L21" i="23"/>
  <c r="K21" i="18"/>
  <c r="I25" i="25"/>
  <c r="P28" i="25" s="1"/>
  <c r="K17" i="24"/>
  <c r="K25" i="24" s="1"/>
  <c r="P30" i="24" s="1"/>
  <c r="K22" i="18"/>
  <c r="M22" i="18" s="1"/>
  <c r="L22" i="19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9" i="20"/>
  <c r="N19" i="20" s="1"/>
  <c r="O19" i="20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16" i="25"/>
  <c r="N23" i="25"/>
  <c r="O23" i="25" s="1"/>
  <c r="P23" i="25" s="1"/>
  <c r="N23" i="24"/>
  <c r="O23" i="24" s="1"/>
  <c r="M16" i="22"/>
  <c r="M17" i="19"/>
  <c r="N17" i="19" s="1"/>
  <c r="O17" i="19" s="1"/>
  <c r="M21" i="19"/>
  <c r="L25" i="19"/>
  <c r="P29" i="19" s="1"/>
  <c r="N24" i="18"/>
  <c r="O24" i="18" s="1"/>
  <c r="N18" i="18"/>
  <c r="O18" i="18" s="1"/>
  <c r="N22" i="18"/>
  <c r="O22" i="18" s="1"/>
  <c r="M16" i="17"/>
  <c r="I23" i="15"/>
  <c r="L19" i="16" l="1"/>
  <c r="K19" i="16"/>
  <c r="L17" i="16"/>
  <c r="K17" i="16"/>
  <c r="M21" i="25"/>
  <c r="N21" i="25" s="1"/>
  <c r="O21" i="25" s="1"/>
  <c r="P21" i="25" s="1"/>
  <c r="L20" i="16"/>
  <c r="L20" i="15" s="1"/>
  <c r="L21" i="16"/>
  <c r="L21" i="15" s="1"/>
  <c r="L16" i="16"/>
  <c r="M16" i="16" s="1"/>
  <c r="N16" i="16" s="1"/>
  <c r="L18" i="16"/>
  <c r="L18" i="15" s="1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5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M16" i="15"/>
  <c r="M21" i="15"/>
  <c r="M25" i="18"/>
  <c r="P22" i="20"/>
  <c r="M22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8" i="15" l="1"/>
  <c r="P18" i="15" s="1"/>
  <c r="N22" i="15"/>
  <c r="P22" i="15" s="1"/>
  <c r="P25" i="20"/>
  <c r="P33" i="23"/>
  <c r="P34" i="23" s="1"/>
  <c r="P35" i="23" s="1"/>
  <c r="U21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<sst xmlns="http://schemas.openxmlformats.org/spreadsheetml/2006/main" count="1579" uniqueCount="107">
  <si>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</si>
  <si>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</si>
  <si>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</si>
  <si>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</si>
  <si>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</si>
  <si>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</si>
  <si>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</si>
  <si>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</si>
  <si>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</si>
  <si>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</si>
  <si>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</si>
  <si>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</si>
  <si>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</si>
  <si>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</si>
  <si>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</si>
  <si>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</si>
  <si>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</si>
  <si>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</si>
  <si>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</si>
  <si>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</si>
  <si>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</si>
  <si>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</si>
  <si>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</si>
  <si>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</si>
  <si>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</si>
  <si>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</si>
  <si>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</si>
  <si>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</si>
  <si>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</si>
  <si>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</si>
  <si>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</si>
  <si>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</si>
  <si>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</si>
  <si>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</si>
  <si>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</si>
  <si>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</si>
  <si>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</si>
  <si>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</si>
  <si>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</si>
  <si>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</si>
  <si>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</si>
  <si>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</si>
  <si>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</si>
  <si>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</si>
  <si>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</si>
  <si>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</si>
  <si>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</si>
  <si>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</si>
  <si>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</si>
  <si>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</si>
  <si>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</si>
  <si>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</si>
  <si>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</si>
  <si>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</si>
  <si>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</si>
  <si>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</si>
  <si>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</si>
  <si>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</si>
  <si>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</si>
  <si>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</si>
  <si>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</si>
  <si>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</si>
  <si>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</si>
  <si>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</si>
  <si>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</si>
  <si>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</si>
  <si>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</si>
  <si>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</si>
  <si>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</si>
  <si>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</si>
  <si>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</si>
  <si>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</si>
  <si>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</si>
  <si>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</si>
  <si>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</si>
  <si>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</si>
  <si>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</si>
  <si>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</si>
  <si>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</si>
  <si>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</si>
  <si>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</si>
  <si>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</si>
  <si>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</si>
  <si>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</si>
  <si>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</si>
  <si>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</si>
  <si>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</si>
  <si>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</si>
  <si>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</si>
  <si>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</si>
  <si>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</si>
  <si>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</si>
  <si>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</si>
  <si>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</si>
  <si>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</si>
  <si>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</si>
  <si>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</si>
  <si>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</si>
  <si>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</si>
  <si>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</si>
  <si>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</si>
  <si>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</si>
  <si>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</si>
  <si>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</si>
  <si>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>4269497-3</t>
  </si>
  <si>
    <t>Customer Name : Zubaida Associate</t>
  </si>
  <si>
    <t>Address: Attari Darbar Ferozpur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</si>
</sst>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5" sqref="A5:C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C1" zoomScale="70" zoomScaleNormal="70" workbookViewId="0">
      <selection activeCell="V15" sqref="V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102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46216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103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Zubaida Associate</v>
      </c>
      <c r="U14" s="163">
        <f>+'1'!P35</f>
        <v>776160.87986474996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0"/>
      <c r="J15" s="170" t="s">
        <v>78</v>
      </c>
      <c r="K15" s="170" t="s">
        <v>79</v>
      </c>
      <c r="L15" s="173" t="s">
        <v>80</v>
      </c>
      <c r="M15" s="23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Zubaida Associate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1200</v>
      </c>
      <c r="I16" s="1">
        <f>(G16*D16)*F16+H16*F16</f>
        <v>62955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2203.4250000000002</v>
      </c>
      <c r="L16" s="174">
        <f>+'1'!L16+'2'!L16+'4'!L16+'3'!L16+'5'!L16+'6'!L16+'7'!L16+'8'!L16+'9'!L16+'10'!L16</f>
        <v>11331.9</v>
      </c>
      <c r="M16" s="105">
        <f>I16-K16-L16</f>
        <v>49419.674999999996</v>
      </c>
      <c r="N16" s="100">
        <f>+'1'!N16+'2'!N16+'4'!N16+'3'!N16+'5'!N16+'6'!N16+'7'!N16+'8'!N16+'9'!N16+'10'!N16</f>
        <v>8895.5414999999994</v>
      </c>
      <c r="O16" s="100">
        <f>+'1'!O16+'2'!O16+'4'!O16+'3'!O16+'5'!O16+'6'!O16+'7'!O16+'8'!O16+'9'!O16+'10'!O16</f>
        <v>291.57608249999998</v>
      </c>
      <c r="P16" s="104">
        <f t="shared" ref="P16:P24" si="0">M16+N16+O16</f>
        <v>58606.792582499998</v>
      </c>
      <c r="Q16" s="107"/>
      <c r="T16" s="162" t="str">
        <f>+'4'!A5</f>
        <v>Customer Name : Zubaida Associate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1400</v>
      </c>
      <c r="I17" s="1">
        <f t="shared" ref="I17:I23" si="1">(G17*D17)*F17+H17*F17</f>
        <v>73447.5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2570.6625000000004</v>
      </c>
      <c r="L17" s="174">
        <f>+'1'!L17+'2'!L17+'4'!L17+'3'!L17+'5'!L17+'6'!L17+'7'!L17+'8'!L17+'9'!L17+'10'!L17</f>
        <v>13220.55</v>
      </c>
      <c r="M17" s="117">
        <f t="shared" ref="M17:M23" si="2">I17-K17-L17</f>
        <v>57656.287499999991</v>
      </c>
      <c r="N17" s="100">
        <f>+'1'!N17+'2'!N17+'4'!N17+'3'!N17+'5'!N17+'6'!N17+'7'!N17+'8'!N17+'9'!N17+'10'!N17</f>
        <v>10378.131749999999</v>
      </c>
      <c r="O17" s="100">
        <f>+'1'!O17+'2'!O17+'4'!O17+'3'!O17+'5'!O17+'6'!O17+'7'!O17+'8'!O17+'9'!O17+'10'!O17</f>
        <v>340.17209624999998</v>
      </c>
      <c r="P17" s="119">
        <f t="shared" si="0"/>
        <v>68374.591346249988</v>
      </c>
      <c r="S17" s="64"/>
      <c r="T17" s="162" t="str">
        <f>+'3'!A5</f>
        <v>Customer Name : Zubaida Associate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Zubaida Associate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2400</v>
      </c>
      <c r="I19" s="1">
        <f t="shared" si="1"/>
        <v>174336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6101.76</v>
      </c>
      <c r="L19" s="174">
        <f>+'1'!L19+'2'!L19+'4'!L19+'3'!L19+'5'!L19+'6'!L19+'7'!L19+'8'!L19+'9'!L19+'10'!L19</f>
        <v>31380.48</v>
      </c>
      <c r="M19" s="117">
        <f t="shared" si="2"/>
        <v>136853.75999999998</v>
      </c>
      <c r="N19" s="100">
        <f>+'1'!N19+'2'!N19+'4'!N19+'3'!N19+'5'!N19+'6'!N19+'7'!N19+'8'!N19+'9'!N19+'10'!N19</f>
        <v>24633.676799999994</v>
      </c>
      <c r="O19" s="100">
        <f>+'1'!O19+'2'!O19+'4'!O19+'3'!O19+'5'!O19+'6'!O19+'7'!O19+'8'!O19+'9'!O19+'10'!O19</f>
        <v>807.43718399999989</v>
      </c>
      <c r="P19" s="119">
        <f t="shared" si="0"/>
        <v>162294.87398399998</v>
      </c>
      <c r="T19" s="162" t="str">
        <f>+'6'!A5</f>
        <v>Customer Name : Zubaida Associate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2400</v>
      </c>
      <c r="I20" s="1">
        <f t="shared" si="1"/>
        <v>174336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6101.76</v>
      </c>
      <c r="L20" s="174">
        <f>+'1'!L20+'2'!L20+'4'!L20+'3'!L20+'5'!L20+'6'!L20+'7'!L20+'8'!L20+'9'!L20+'10'!L20</f>
        <v>31380.48</v>
      </c>
      <c r="M20" s="117">
        <f t="shared" si="2"/>
        <v>136853.75999999998</v>
      </c>
      <c r="N20" s="100">
        <f>+'1'!N20+'2'!N20+'4'!N20+'3'!N20+'5'!N20+'6'!N20+'7'!N20+'8'!N20+'9'!N20+'10'!N20</f>
        <v>24633.676799999994</v>
      </c>
      <c r="O20" s="100">
        <f>+'1'!O20+'2'!O20+'4'!O20+'3'!O20+'5'!O20+'6'!O20+'7'!O20+'8'!O20+'9'!O20+'10'!O20</f>
        <v>807.43718399999989</v>
      </c>
      <c r="P20" s="119">
        <f t="shared" si="0"/>
        <v>162294.87398399998</v>
      </c>
      <c r="T20" s="162" t="str">
        <f>+'7'!A5</f>
        <v>Customer Name : Zubaida Associate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4800</v>
      </c>
      <c r="I21" s="1">
        <f t="shared" si="1"/>
        <v>348672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12203.52</v>
      </c>
      <c r="L21" s="174">
        <f>+'1'!L21+'2'!L21+'4'!L21+'3'!L21+'5'!L21+'6'!L21+'7'!L21+'8'!L21+'9'!L21+'10'!L21</f>
        <v>62760.959999999999</v>
      </c>
      <c r="M21" s="117">
        <f t="shared" si="2"/>
        <v>273707.51999999996</v>
      </c>
      <c r="N21" s="100">
        <f>+'1'!N21+'2'!N21+'4'!N21+'3'!N21+'5'!N21+'6'!N21+'7'!N21+'8'!N21+'9'!N21+'10'!N21</f>
        <v>49267.353599999988</v>
      </c>
      <c r="O21" s="100">
        <f>+'1'!O21+'2'!O21+'4'!O21+'3'!O21+'5'!O21+'6'!O21+'7'!O21+'8'!O21+'9'!O21+'10'!O21</f>
        <v>1614.8743679999998</v>
      </c>
      <c r="P21" s="119">
        <f t="shared" si="0"/>
        <v>324589.74796799995</v>
      </c>
      <c r="T21" s="162" t="str">
        <f>+'8'!A5</f>
        <v>Customer Name : Zubaida Associate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Zubaida Associate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Zubaida Associate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Zubaida Associate</v>
      </c>
      <c r="U24" s="163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305</v>
      </c>
      <c r="D25" s="206"/>
      <c r="E25" s="206"/>
      <c r="F25" s="206"/>
      <c r="G25" s="175">
        <f t="shared" ref="G25:M25" si="3">SUM(G16:G24)</f>
        <v>0</v>
      </c>
      <c r="H25" s="176">
        <f t="shared" si="3"/>
        <v>12200</v>
      </c>
      <c r="I25" s="177">
        <f t="shared" si="3"/>
        <v>833746.5</v>
      </c>
      <c r="J25" s="176">
        <f t="shared" si="3"/>
        <v>0</v>
      </c>
      <c r="K25" s="177">
        <f t="shared" si="3"/>
        <v>29181.127499999999</v>
      </c>
      <c r="L25" s="178">
        <f t="shared" si="3"/>
        <v>150074.37</v>
      </c>
      <c r="M25" s="140">
        <f t="shared" si="3"/>
        <v>654491.00249999994</v>
      </c>
      <c r="N25" s="141">
        <f>SUM(N16:N24)</f>
        <v>117808.38044999998</v>
      </c>
      <c r="O25" s="142">
        <f>SUM(O16:O24)</f>
        <v>3861.4969147499996</v>
      </c>
      <c r="P25" s="143">
        <f>SUM(P16:P24)</f>
        <v>776160.87986474996</v>
      </c>
      <c r="T25" s="162" t="str">
        <f>+'12'!A5</f>
        <v>Customer Name : Zubaida Associate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Zubaida Associate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Zubaida Associate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Zubaida Associate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Zubaida Associate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Zubaida Associate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Zubaida Associate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776160.87986474996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1">
        <f>I25</f>
        <v>833746.5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2">
        <f>L25</f>
        <v>150074.37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3">
        <f>K25</f>
        <v>29181.127499999999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2">
        <f>P35-P36-P37</f>
        <v>654491.00250000006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4" t="s">
        <v>89</v>
      </c>
      <c r="O39" s="155">
        <f>IF(B12="Registered",18%,22%)</f>
        <v>0.22</v>
      </c>
      <c r="P39" s="152">
        <f>N25</f>
        <v>117808.38044999998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2">
        <f>P38+P39</f>
        <v>772299.38295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6"/>
      <c r="N41" s="157" t="s">
        <v>91</v>
      </c>
      <c r="O41" s="158">
        <f>IF(B11="Filer",0.5%,2.5%)</f>
        <v>2.5000000000000001E-2</v>
      </c>
      <c r="P41" s="152">
        <f>O41*P40</f>
        <v>19307.48457375</v>
      </c>
    </row>
    <row r="42" spans="1:21" ht="15.75" customHeight="1" thickBot="1" x14ac:dyDescent="0.4">
      <c r="N42" s="204" t="s">
        <v>92</v>
      </c>
      <c r="O42" s="205"/>
      <c r="P42" s="159">
        <f>P40+P41</f>
        <v>791606.86752375006</v>
      </c>
    </row>
    <row r="43" spans="1:21" ht="15" thickBot="1" x14ac:dyDescent="0.4">
      <c r="B43" s="160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H6" sqref="H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11.54296875" customWidth="1"/>
    <col min="10" max="10" width="7.453125" bestFit="1" customWidth="1"/>
    <col min="11" max="11" width="10.81640625" bestFit="1" customWidth="1"/>
    <col min="12" max="12" width="9.36328125" bestFit="1" customWidth="1"/>
    <col min="13" max="13" width="6.81640625" bestFit="1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1200</v>
      </c>
      <c r="I16" s="101">
        <f>(G16*D16)*F16+H16*F16</f>
        <v>62955</v>
      </c>
      <c r="J16" s="102">
        <v>0</v>
      </c>
      <c r="K16" s="103">
        <f>I16*3.5%</f>
        <v>2203.4250000000002</v>
      </c>
      <c r="L16" s="104">
        <f>I16*18%</f>
        <v>11331.9</v>
      </c>
      <c r="M16" s="105">
        <f>I16-K16-L16</f>
        <v>49419.674999999996</v>
      </c>
      <c r="N16" s="105">
        <f t="shared" ref="N16:N24" si="0">(M16*$N$15)+(J16*F16)*$N$15</f>
        <v>8895.5414999999994</v>
      </c>
      <c r="O16" s="106">
        <f t="shared" ref="O16:O24" si="1">(N16+M16)*$O$15</f>
        <v>291.57608249999998</v>
      </c>
      <c r="P16" s="104">
        <f t="shared" ref="P16:P24" si="2">M16+N16+O16</f>
        <v>58606.792582499998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1400</v>
      </c>
      <c r="I17" s="115">
        <f t="shared" ref="I17:I23" si="3">(G17*D17)*F17+H17*F17</f>
        <v>73447.5</v>
      </c>
      <c r="J17" s="116">
        <v>0</v>
      </c>
      <c r="K17" s="103">
        <f t="shared" ref="K17:K21" si="4">I17*3.5%</f>
        <v>2570.6625000000004</v>
      </c>
      <c r="L17" s="104">
        <f t="shared" ref="L17:L21" si="5">I17*18%</f>
        <v>13220.55</v>
      </c>
      <c r="M17" s="117">
        <f t="shared" ref="M17:M23" si="6">I17-K17-L17</f>
        <v>57656.287499999991</v>
      </c>
      <c r="N17" s="117">
        <f t="shared" si="0"/>
        <v>10378.131749999999</v>
      </c>
      <c r="O17" s="118">
        <f t="shared" si="1"/>
        <v>340.17209624999998</v>
      </c>
      <c r="P17" s="119">
        <f t="shared" si="2"/>
        <v>68374.591346249988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>
        <v>0</v>
      </c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2400</v>
      </c>
      <c r="I19" s="115">
        <f t="shared" si="3"/>
        <v>174336</v>
      </c>
      <c r="J19" s="116">
        <v>0</v>
      </c>
      <c r="K19" s="103">
        <f t="shared" si="4"/>
        <v>6101.76</v>
      </c>
      <c r="L19" s="104">
        <f t="shared" si="5"/>
        <v>31380.48</v>
      </c>
      <c r="M19" s="117">
        <f t="shared" si="6"/>
        <v>136853.75999999998</v>
      </c>
      <c r="N19" s="117">
        <f t="shared" si="0"/>
        <v>24633.676799999994</v>
      </c>
      <c r="O19" s="118">
        <f t="shared" si="1"/>
        <v>807.43718399999989</v>
      </c>
      <c r="P19" s="119">
        <f t="shared" si="2"/>
        <v>162294.87398399998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2400</v>
      </c>
      <c r="I20" s="115">
        <f t="shared" si="3"/>
        <v>174336</v>
      </c>
      <c r="J20" s="116">
        <v>0</v>
      </c>
      <c r="K20" s="103">
        <f t="shared" si="4"/>
        <v>6101.76</v>
      </c>
      <c r="L20" s="104">
        <f t="shared" si="5"/>
        <v>31380.48</v>
      </c>
      <c r="M20" s="117">
        <f t="shared" si="6"/>
        <v>136853.75999999998</v>
      </c>
      <c r="N20" s="117">
        <f t="shared" si="0"/>
        <v>24633.676799999994</v>
      </c>
      <c r="O20" s="118">
        <f t="shared" si="1"/>
        <v>807.43718399999989</v>
      </c>
      <c r="P20" s="119">
        <f t="shared" si="2"/>
        <v>162294.87398399998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4800</v>
      </c>
      <c r="I21" s="115">
        <f t="shared" si="3"/>
        <v>348672</v>
      </c>
      <c r="J21" s="116">
        <v>0</v>
      </c>
      <c r="K21" s="103">
        <f t="shared" si="4"/>
        <v>12203.52</v>
      </c>
      <c r="L21" s="104">
        <f t="shared" si="5"/>
        <v>62760.959999999999</v>
      </c>
      <c r="M21" s="117">
        <f t="shared" si="6"/>
        <v>273707.51999999996</v>
      </c>
      <c r="N21" s="117">
        <f t="shared" si="0"/>
        <v>49267.353599999988</v>
      </c>
      <c r="O21" s="118">
        <f t="shared" si="1"/>
        <v>1614.8743679999998</v>
      </c>
      <c r="P21" s="119">
        <f t="shared" si="2"/>
        <v>324589.74796799995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I22*8.6%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12200</v>
      </c>
      <c r="I25" s="136">
        <f t="shared" si="9"/>
        <v>833746.5</v>
      </c>
      <c r="J25" s="182">
        <f>SUM(J16:J21)</f>
        <v>0</v>
      </c>
      <c r="K25" s="138">
        <f t="shared" si="9"/>
        <v>29181.127499999999</v>
      </c>
      <c r="L25" s="139">
        <f t="shared" si="9"/>
        <v>150074.37</v>
      </c>
      <c r="M25" s="140">
        <f t="shared" si="9"/>
        <v>654491.00249999994</v>
      </c>
      <c r="N25" s="141">
        <f>SUM(N16:N24)</f>
        <v>117808.38044999998</v>
      </c>
      <c r="O25" s="142">
        <f>SUM(O16:O24)</f>
        <v>3861.4969147499996</v>
      </c>
      <c r="P25" s="143">
        <f>SUM(P16:P24)</f>
        <v>776160.87986474996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833746.5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150074.37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29181.127499999999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654491.00250000006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117808.38044999998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772299.38295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3861.4969147500001</v>
      </c>
    </row>
    <row r="35" spans="2:16" ht="15.75" customHeight="1" thickBot="1" x14ac:dyDescent="0.4">
      <c r="N35" s="204" t="s">
        <v>92</v>
      </c>
      <c r="O35" s="205"/>
      <c r="P35" s="159">
        <f>P33+P34</f>
        <v>776160.87986474996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6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79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46217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3</vt:lpstr>
      <vt:lpstr>2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2026-07-14T05:42:43Z</dcterms:modified>
</cp:coreProperties>
</file>