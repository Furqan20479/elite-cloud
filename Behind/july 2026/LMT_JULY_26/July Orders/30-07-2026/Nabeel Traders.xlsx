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5D915F04-461F-4639-8C54-0C4803574238}" xr6:coauthVersionLast="47" xr6:coauthVersionMax="47" xr10:uidLastSave="{00000000-0000-0000-0000-000000000000}"/>
  <bookViews>
    <workbookView xWindow="-110" yWindow="-110" windowWidth="19420" windowHeight="10420" tabRatio="594" firstSheet="3" activeTab="5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  <definedName name="_xlnm.Print_Area" localSheetId="4">'1'!$A$1:$P$36</definedName>
  </definedNames>
  <calcPr calcId="191029"/>
</workbook>
</file>

<file path=xl/calcChain.xml><?xml version="1.0" encoding="utf-8"?>
<calcChain xmlns="http://schemas.openxmlformats.org/spreadsheetml/2006/main">
  <c r="H11" i="62" l="1"/>
  <c r="H13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2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4" i="44"/>
  <c r="N5" i="44" s="1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4" i="43"/>
  <c r="N5" i="43" s="1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45" l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<sst xmlns="http://schemas.openxmlformats.org/spreadsheetml/2006/main" count="3975" uniqueCount="519">
  <si>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</si>
  <si>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</si>
  <si>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</si>
  <si>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</si>
  <si>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</si>
  <si>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</si>
  <si>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</si>
  <si>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</si>
  <si>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</si>
  <si>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</si>
  <si>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</si>
  <si>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</si>
  <si>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</si>
  <si>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</si>
  <si>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</si>
  <si>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</si>
  <si>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</si>
  <si>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</si>
  <si>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</si>
  <si>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</si>
  <si>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</si>
  <si>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</si>
  <si>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</si>
  <si>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</si>
  <si>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</si>
  <si>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</si>
  <si>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</si>
  <si>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</si>
  <si>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</si>
  <si>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</si>
  <si>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</si>
  <si>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</si>
  <si>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</si>
  <si>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</si>
  <si>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</si>
  <si>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</si>
  <si>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</si>
  <si>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</si>
  <si>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</si>
  <si>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</si>
  <si>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</si>
  <si>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</si>
  <si>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</si>
  <si>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</si>
  <si>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</si>
  <si>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</si>
  <si>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</si>
  <si>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</si>
  <si>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</si>
  <si>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</si>
  <si>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</si>
  <si>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</si>
  <si>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</si>
  <si>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</si>
  <si>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</si>
  <si>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</si>
  <si>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</si>
  <si>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</si>
  <si>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</si>
  <si>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</si>
  <si>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</si>
  <si>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</si>
  <si>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</si>
  <si>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</si>
  <si>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</si>
  <si>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</si>
  <si>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</si>
  <si>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</si>
  <si>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</si>
  <si>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</si>
  <si>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</si>
  <si>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</si>
  <si>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</si>
  <si>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</si>
  <si>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</si>
  <si>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</si>
  <si>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</si>
  <si>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</si>
  <si>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</si>
  <si>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</si>
  <si>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</si>
  <si>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</si>
  <si>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</si>
  <si>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</si>
  <si>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</si>
  <si>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</si>
  <si>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</si>
  <si>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</si>
  <si>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</si>
  <si>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</si>
  <si>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</si>
  <si>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</si>
  <si>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</si>
  <si>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</si>
  <si>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</si>
  <si>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</si>
  <si>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</si>
  <si>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</si>
  <si>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</si>
  <si>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</si>
  <si>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</si>
  <si>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</si>
  <si>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</si>
  <si>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</si>
  <si>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</si>
  <si>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</si>
  <si>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</si>
  <si>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</si>
  <si>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</si>
  <si>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</si>
  <si>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</si>
  <si>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</si>
  <si>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</si>
  <si>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</si>
  <si>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</si>
  <si>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</si>
  <si>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</si>
  <si>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</si>
  <si>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</si>
  <si>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</si>
  <si>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</si>
  <si>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</si>
  <si>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</si>
  <si>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</si>
  <si>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</si>
  <si>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</si>
  <si>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</si>
  <si>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</si>
  <si>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</si>
  <si>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</si>
  <si>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</si>
  <si>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</si>
  <si>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</si>
  <si>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</si>
  <si>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</si>
  <si>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</si>
  <si>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</si>
  <si>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</si>
  <si>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</si>
  <si>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</si>
  <si>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</si>
  <si>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</si>
  <si>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</si>
  <si>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</si>
  <si>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</si>
  <si>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</si>
  <si>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</si>
  <si>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</si>
  <si>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</si>
  <si>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</si>
  <si>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</si>
  <si>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</si>
  <si>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</si>
  <si>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</si>
  <si>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</si>
  <si>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</si>
  <si>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</si>
  <si>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</si>
  <si>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</si>
  <si>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</si>
  <si>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</si>
  <si>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</si>
  <si>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</si>
  <si>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</si>
  <si>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</si>
  <si>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</si>
  <si>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</si>
  <si>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</si>
  <si>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</si>
  <si>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</si>
  <si>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</si>
  <si>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</si>
  <si>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</si>
  <si>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</si>
  <si>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</si>
  <si>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</si>
  <si>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</si>
  <si>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</si>
  <si>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</si>
  <si>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</si>
  <si>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</si>
  <si>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</si>
  <si>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</si>
  <si>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</si>
  <si>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</si>
  <si>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</si>
  <si>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</si>
  <si>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</si>
  <si>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</si>
  <si>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</si>
  <si>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</si>
  <si>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</si>
  <si>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</si>
  <si>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</si>
  <si>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</si>
  <si>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</si>
  <si>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</si>
  <si>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</si>
  <si>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</si>
  <si>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</si>
  <si>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</si>
  <si>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</si>
  <si>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</si>
  <si>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</si>
  <si>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</si>
  <si>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</si>
  <si>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</si>
  <si>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</si>
  <si>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</si>
  <si>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</si>
  <si>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</si>
  <si>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</si>
  <si>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</si>
  <si>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</si>
  <si>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</si>
  <si>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</si>
  <si>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</si>
  <si>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</si>
  <si>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</si>
  <si>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</si>
  <si>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</si>
  <si>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</si>
  <si>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</si>
  <si>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</si>
  <si>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</si>
  <si>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</si>
  <si>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</si>
  <si>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</si>
  <si>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</si>
  <si>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</si>
  <si>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</si>
  <si>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</si>
  <si>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</si>
  <si>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</si>
  <si>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</si>
  <si>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</si>
  <si>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</si>
  <si>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</si>
  <si>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</si>
  <si>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</si>
  <si>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</si>
  <si>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</si>
  <si>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</si>
  <si>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</si>
  <si>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</si>
  <si>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</si>
  <si>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</si>
  <si>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</si>
  <si>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</si>
  <si>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</si>
  <si>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</si>
  <si>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</si>
  <si>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</si>
  <si>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</si>
  <si>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</si>
  <si>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</si>
  <si>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</si>
  <si>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</si>
  <si>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</si>
  <si>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</si>
  <si>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</si>
  <si>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</si>
  <si>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</si>
  <si>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</si>
  <si>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</si>
  <si>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</si>
  <si>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</si>
  <si>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</si>
  <si>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</si>
  <si>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</si>
  <si>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</si>
  <si>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</si>
  <si>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</si>
  <si>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</si>
  <si>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</si>
  <si>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</si>
  <si>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</si>
  <si>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</si>
  <si>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</si>
  <si>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</si>
  <si>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</si>
  <si>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</si>
  <si>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</si>
  <si>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</si>
  <si>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</si>
  <si>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</si>
  <si>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</si>
  <si>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</si>
  <si>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</si>
  <si>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</si>
  <si>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</si>
  <si>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</si>
  <si>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</si>
  <si>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</si>
  <si>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</si>
  <si>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</si>
  <si>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</si>
  <si>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</si>
  <si>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</si>
  <si>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</si>
  <si>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</si>
  <si>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</si>
  <si>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</si>
  <si>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</si>
  <si>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</si>
  <si>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</si>
  <si>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</si>
  <si>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</si>
  <si>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</si>
  <si>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</si>
  <si>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</si>
  <si>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</si>
  <si>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</si>
  <si>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</si>
  <si>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</si>
  <si>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</si>
  <si>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</si>
  <si>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</si>
  <si>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</si>
  <si>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</si>
  <si>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</si>
  <si>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</si>
  <si>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</si>
  <si>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</si>
  <si>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</si>
  <si>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</si>
  <si>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</si>
  <si>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</si>
  <si>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</si>
  <si>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</si>
  <si>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</si>
  <si>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</si>
  <si>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</si>
  <si>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</si>
  <si>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</si>
  <si>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</si>
  <si>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</si>
  <si>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</si>
  <si>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</si>
  <si>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</si>
  <si>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</si>
  <si>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</si>
  <si>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</si>
  <si>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</si>
  <si>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</si>
  <si>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</si>
  <si>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</si>
  <si>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</si>
  <si>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</si>
  <si>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</si>
  <si>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</si>
  <si>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</si>
  <si>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</si>
  <si>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</si>
  <si>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</si>
  <si>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</si>
  <si>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</si>
  <si>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</si>
  <si>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</si>
  <si>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</si>
  <si>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</si>
  <si>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</si>
  <si>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</si>
  <si>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</si>
  <si>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</si>
  <si>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</si>
  <si>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</si>
  <si>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</si>
  <si>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</si>
  <si>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</si>
  <si>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</si>
  <si>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</si>
  <si>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</si>
  <si>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</si>
  <si>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</si>
  <si>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</si>
  <si>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</si>
  <si>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</si>
  <si>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</si>
  <si>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</si>
  <si>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</si>
  <si>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</si>
  <si>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</si>
  <si>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</si>
  <si>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</si>
  <si>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</si>
  <si>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</si>
  <si>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</si>
  <si>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</si>
  <si>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</si>
  <si>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</si>
  <si>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</si>
  <si>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</si>
  <si>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</si>
  <si>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</si>
  <si>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</si>
  <si>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</si>
  <si>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</si>
  <si>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</si>
  <si>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</si>
  <si>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</si>
  <si>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</si>
  <si>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</si>
  <si>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</si>
  <si>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</si>
  <si>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</si>
  <si>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</si>
  <si>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</si>
  <si>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</si>
  <si>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</si>
  <si>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</si>
  <si>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</si>
  <si>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</si>
  <si>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</si>
  <si>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</si>
  <si>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</si>
  <si>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</si>
  <si>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</si>
  <si>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</si>
  <si>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</si>
  <si>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</si>
  <si>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</si>
  <si>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</si>
  <si>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</si>
  <si>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</si>
  <si>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</si>
  <si>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</si>
  <si>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</si>
  <si>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</si>
  <si>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</si>
  <si>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</si>
  <si>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</si>
  <si>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</si>
  <si>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</si>
  <si>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</si>
  <si>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</si>
  <si>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</si>
  <si>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</si>
  <si>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</si>
  <si>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</si>
  <si>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</si>
  <si>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</si>
  <si>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</si>
  <si>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</si>
  <si>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</si>
  <si>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</si>
  <si>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</si>
  <si>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</si>
  <si>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</si>
  <si>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</si>
  <si>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</si>
  <si>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</si>
  <si>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</si>
  <si>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</si>
  <si>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</si>
  <si>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</si>
  <si>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</si>
  <si>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</si>
  <si>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</si>
  <si>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</si>
  <si>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</si>
  <si>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</si>
  <si>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</si>
  <si>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</si>
  <si>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</si>
  <si>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</si>
  <si>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</si>
  <si>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</si>
  <si>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</si>
  <si>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</si>
  <si>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</si>
  <si>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</si>
  <si>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</si>
  <si>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</si>
  <si>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</si>
  <si>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</si>
  <si>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</si>
  <si>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</si>
  <si>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</si>
  <si>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</si>
  <si>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</si>
  <si>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</si>
  <si>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</si>
  <si>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</si>
  <si>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</si>
  <si>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</si>
  <si>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</si>
  <si>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</si>
  <si>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</si>
  <si>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</si>
  <si>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</si>
  <si>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</si>
  <si>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</si>
  <si>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</si>
  <si>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</si>
  <si>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</si>
  <si>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</si>
  <si>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</si>
  <si>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</si>
  <si>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</si>
  <si>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Date</t>
  </si>
  <si>
    <t xml:space="preserve">Mart Cash </t>
  </si>
  <si>
    <t>Golden Cash</t>
  </si>
  <si>
    <t>Pak Madina</t>
  </si>
  <si>
    <t>Watto Store</t>
  </si>
  <si>
    <t>Faheem Store</t>
  </si>
  <si>
    <t>Umair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</si>
  <si>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</si>
  <si>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</si>
  <si>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</si>
  <si>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</si>
  <si>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</si>
  <si>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</si>
  <si>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</si>
  <si>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</si>
  <si>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</si>
  <si>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 xml:space="preserve">Nabeel Traders </t>
  </si>
  <si>
    <t xml:space="preserve">Address: Mughalpura </t>
  </si>
  <si>
    <t>Address: Mughalpura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</si>
</sst>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C1" sqref="C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0" t="s">
        <v>91</v>
      </c>
      <c r="B2" s="390"/>
      <c r="C2" s="390"/>
      <c r="E2" s="382" t="s">
        <v>499</v>
      </c>
      <c r="F2" s="383"/>
      <c r="G2" s="383"/>
      <c r="H2" s="380" t="s">
        <v>506</v>
      </c>
      <c r="I2" s="380"/>
      <c r="J2" s="381"/>
      <c r="R2" s="377" t="s">
        <v>498</v>
      </c>
      <c r="S2" s="378"/>
      <c r="T2" s="379"/>
    </row>
    <row r="3" spans="1:20 16377:16378" ht="21.75" customHeight="1" thickBot="1" x14ac:dyDescent="0.4">
      <c r="A3" s="391" t="s">
        <v>92</v>
      </c>
      <c r="B3" s="391"/>
      <c r="C3" s="391"/>
      <c r="E3" s="386" t="s">
        <v>500</v>
      </c>
      <c r="F3" s="387"/>
      <c r="G3" s="387"/>
      <c r="H3" s="384">
        <f>+'1'!N4:N4</f>
        <v>46234</v>
      </c>
      <c r="I3" s="384"/>
      <c r="J3" s="385"/>
      <c r="K3" s="392" t="s">
        <v>43</v>
      </c>
      <c r="L3" s="392"/>
      <c r="M3" s="392"/>
      <c r="N3" s="391"/>
      <c r="O3" s="391"/>
      <c r="P3" s="391"/>
      <c r="R3" s="299">
        <v>1</v>
      </c>
      <c r="S3" s="300" t="str">
        <f>+'1'!A6:A6</f>
        <v xml:space="preserve">Nabeel Traders </v>
      </c>
      <c r="T3" s="301">
        <f>+'1'!P35</f>
        <v>842792.39350805082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Nabeel Traders </v>
      </c>
      <c r="T4" s="301">
        <f>+'2'!P35</f>
        <v>1080413.6218093219</v>
      </c>
      <c r="XEX4" t="s">
        <v>105</v>
      </c>
    </row>
    <row r="5" spans="1:20 16377:16378" ht="21.75" customHeight="1" thickBot="1" x14ac:dyDescent="0.4">
      <c r="A5" s="342" t="s">
        <v>51</v>
      </c>
      <c r="B5" s="343"/>
      <c r="C5" s="346" t="s">
        <v>90</v>
      </c>
      <c r="D5" s="115" t="s">
        <v>52</v>
      </c>
      <c r="E5" s="348" t="s">
        <v>58</v>
      </c>
      <c r="F5" s="349"/>
      <c r="G5" s="350" t="s">
        <v>54</v>
      </c>
      <c r="H5" s="351"/>
      <c r="I5" s="352" t="s">
        <v>77</v>
      </c>
      <c r="J5" s="389" t="s">
        <v>55</v>
      </c>
      <c r="K5" s="350"/>
      <c r="L5" s="351"/>
      <c r="M5" s="343" t="s">
        <v>84</v>
      </c>
      <c r="N5" s="388" t="s">
        <v>495</v>
      </c>
      <c r="O5" s="103" t="s">
        <v>89</v>
      </c>
      <c r="P5" s="115" t="s">
        <v>56</v>
      </c>
      <c r="Q5" s="315" t="s">
        <v>515</v>
      </c>
      <c r="R5" s="314">
        <v>3</v>
      </c>
      <c r="S5" s="300" t="str">
        <f>+'3'!A6:A6</f>
        <v xml:space="preserve">Mart Cash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4"/>
      <c r="B6" s="345"/>
      <c r="C6" s="347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3"/>
      <c r="J6" s="143" t="s">
        <v>59</v>
      </c>
      <c r="K6" s="144" t="s">
        <v>39</v>
      </c>
      <c r="L6" s="145" t="s">
        <v>493</v>
      </c>
      <c r="M6" s="345"/>
      <c r="N6" s="353"/>
      <c r="O6" s="228" t="e">
        <f>IF(#REF!="Filer",0.5%,2.5%)</f>
        <v>#REF!</v>
      </c>
      <c r="P6" s="111" t="s">
        <v>38</v>
      </c>
      <c r="Q6" s="315" t="s">
        <v>514</v>
      </c>
      <c r="R6" s="314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40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83940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13430.4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2937.9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67571.7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15864.406779661011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417.18053389830499</v>
      </c>
      <c r="P7" s="310">
        <f>M7+N7+O7</f>
        <v>83853.287313559311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40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83940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13430.4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2937.9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67571.7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15864.406779661011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417.18053389830499</v>
      </c>
      <c r="P8" s="311">
        <f t="shared" ref="P8:P15" si="2">M8+N8+O8</f>
        <v>83853.287313559311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70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146895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23503.200000000001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5141.3250000000007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118250.47500000001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27762.711864406767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730.06593432203374</v>
      </c>
      <c r="P9" s="311">
        <f t="shared" si="2"/>
        <v>146743.25279872882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170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493952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79032.320000000007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17288.32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397631.36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93355.932203389835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2454.9364610169496</v>
      </c>
      <c r="P10" s="311">
        <f t="shared" si="2"/>
        <v>493442.22866440675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140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406784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65085.440000000002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14237.440000000002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327461.12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76881.355932203383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2021.7123796610167</v>
      </c>
      <c r="P11" s="311">
        <f t="shared" si="2"/>
        <v>406364.18831186439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190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552064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88330.240000000005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19322.240000000002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444411.52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104338.98305084746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2743.7525152542371</v>
      </c>
      <c r="P12" s="311">
        <f t="shared" si="2"/>
        <v>551494.25556610164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100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156920.00000000003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17261.200000000004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5492.2000000000016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8002.920000000001</v>
      </c>
      <c r="M13" s="230">
        <f t="shared" si="1"/>
        <v>126163.68000000002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30508.474576271168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783.36077288135596</v>
      </c>
      <c r="P13" s="311">
        <f t="shared" si="2"/>
        <v>157455.51534915256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93">
        <f>COUNT(A7:A15)</f>
        <v>0</v>
      </c>
      <c r="B16" s="354"/>
      <c r="C16" s="354" t="s">
        <v>40</v>
      </c>
      <c r="D16" s="354"/>
      <c r="E16" s="354"/>
      <c r="F16" s="355"/>
      <c r="G16" s="117">
        <f>H16/40</f>
        <v>0</v>
      </c>
      <c r="H16" s="113">
        <f t="shared" ref="H16:M16" si="3">SUM(H7:H15)</f>
        <v>0</v>
      </c>
      <c r="I16" s="114">
        <f t="shared" si="3"/>
        <v>1924495</v>
      </c>
      <c r="J16" s="274">
        <f>SUM(J7:J15)</f>
        <v>300073.2</v>
      </c>
      <c r="K16" s="275">
        <f t="shared" si="3"/>
        <v>67357.324999999997</v>
      </c>
      <c r="L16" s="276">
        <f t="shared" si="3"/>
        <v>8002.920000000001</v>
      </c>
      <c r="M16" s="232">
        <f t="shared" si="3"/>
        <v>1549061.5549999999</v>
      </c>
      <c r="N16" s="233">
        <f>SUM(N7:N15)</f>
        <v>364576.2711864406</v>
      </c>
      <c r="O16" s="101">
        <f>SUM(O7:O15)</f>
        <v>9568.1891309322036</v>
      </c>
      <c r="P16" s="113">
        <f>SUM(P7:P15)</f>
        <v>1923206.0153173725</v>
      </c>
      <c r="Q16" s="128">
        <f>SUM(Q7:Q15)</f>
        <v>0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56" t="s">
        <v>64</v>
      </c>
      <c r="C19" s="357"/>
      <c r="D19" s="357"/>
      <c r="E19" s="357"/>
      <c r="F19" s="357"/>
      <c r="G19" s="357"/>
      <c r="H19" s="357"/>
      <c r="I19" s="357"/>
      <c r="J19" s="357"/>
      <c r="K19" s="357"/>
      <c r="L19" s="358"/>
      <c r="N19" s="365" t="s">
        <v>60</v>
      </c>
      <c r="O19" s="366"/>
      <c r="P19" s="139">
        <f>I16</f>
        <v>1924495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59"/>
      <c r="C20" s="360"/>
      <c r="D20" s="360"/>
      <c r="E20" s="360"/>
      <c r="F20" s="360"/>
      <c r="G20" s="360"/>
      <c r="H20" s="360"/>
      <c r="I20" s="360"/>
      <c r="J20" s="360"/>
      <c r="K20" s="360"/>
      <c r="L20" s="361"/>
      <c r="N20" s="367" t="s">
        <v>85</v>
      </c>
      <c r="O20" s="368"/>
      <c r="P20" s="140">
        <f>+J16</f>
        <v>300073.2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59"/>
      <c r="C21" s="360"/>
      <c r="D21" s="360"/>
      <c r="E21" s="360"/>
      <c r="F21" s="360"/>
      <c r="G21" s="360"/>
      <c r="H21" s="360"/>
      <c r="I21" s="360"/>
      <c r="J21" s="360"/>
      <c r="K21" s="360"/>
      <c r="L21" s="361"/>
      <c r="N21" s="367" t="s">
        <v>86</v>
      </c>
      <c r="O21" s="368"/>
      <c r="P21" s="140">
        <f>+K16+L16</f>
        <v>75360.244999999995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59"/>
      <c r="C22" s="360"/>
      <c r="D22" s="360"/>
      <c r="E22" s="360"/>
      <c r="F22" s="360"/>
      <c r="G22" s="360"/>
      <c r="H22" s="360"/>
      <c r="I22" s="360"/>
      <c r="J22" s="360"/>
      <c r="K22" s="360"/>
      <c r="L22" s="361"/>
      <c r="M22" s="131"/>
      <c r="N22" s="367" t="s">
        <v>87</v>
      </c>
      <c r="O22" s="368"/>
      <c r="P22" s="140">
        <f>P19-P20-P21</f>
        <v>1549061.5550000002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59"/>
      <c r="C23" s="360"/>
      <c r="D23" s="360"/>
      <c r="E23" s="360"/>
      <c r="F23" s="360"/>
      <c r="G23" s="360"/>
      <c r="H23" s="360"/>
      <c r="I23" s="360"/>
      <c r="J23" s="360"/>
      <c r="K23" s="360"/>
      <c r="L23" s="361"/>
      <c r="M23" s="131"/>
      <c r="N23" s="136" t="s">
        <v>61</v>
      </c>
      <c r="O23" s="133">
        <v>0.18</v>
      </c>
      <c r="P23" s="140">
        <f>+N16</f>
        <v>364576.2711864406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59"/>
      <c r="C24" s="360"/>
      <c r="D24" s="360"/>
      <c r="E24" s="360"/>
      <c r="F24" s="360"/>
      <c r="G24" s="360"/>
      <c r="H24" s="360"/>
      <c r="I24" s="360"/>
      <c r="J24" s="360"/>
      <c r="K24" s="360"/>
      <c r="L24" s="361"/>
      <c r="M24" s="131"/>
      <c r="N24" s="369" t="s">
        <v>76</v>
      </c>
      <c r="O24" s="370"/>
      <c r="P24" s="140">
        <f>P22+P23</f>
        <v>1913637.8261864409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62"/>
      <c r="C25" s="363"/>
      <c r="D25" s="363"/>
      <c r="E25" s="363"/>
      <c r="F25" s="363"/>
      <c r="G25" s="363"/>
      <c r="H25" s="363"/>
      <c r="I25" s="363"/>
      <c r="J25" s="363"/>
      <c r="K25" s="363"/>
      <c r="L25" s="364"/>
      <c r="M25" s="99"/>
      <c r="N25" s="138" t="s">
        <v>83</v>
      </c>
      <c r="O25" s="137" t="e">
        <f>IF(#REF!="Filer",0.5%,2.5%)</f>
        <v>#REF!</v>
      </c>
      <c r="P25" s="140">
        <f>+O16</f>
        <v>9568.1891309322036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71" t="s">
        <v>88</v>
      </c>
      <c r="O26" s="372"/>
      <c r="P26" s="297">
        <f>+P24+P25</f>
        <v>1923206.015317373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3"/>
      <c r="D27" s="373"/>
      <c r="E27" s="373"/>
      <c r="F27" s="373"/>
      <c r="G27" s="373"/>
      <c r="H27" s="373"/>
      <c r="I27" s="374"/>
      <c r="J27" s="375"/>
      <c r="K27" s="376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1923206.0153173727</v>
      </c>
    </row>
    <row r="44" spans="2:20" x14ac:dyDescent="0.35">
      <c r="B44" t="s">
        <v>508</v>
      </c>
    </row>
    <row r="45" spans="2:20" x14ac:dyDescent="0.35">
      <c r="B45" t="s">
        <v>509</v>
      </c>
    </row>
    <row r="46" spans="2:20" x14ac:dyDescent="0.35">
      <c r="B46" t="s">
        <v>510</v>
      </c>
    </row>
    <row r="47" spans="2:20" x14ac:dyDescent="0.35">
      <c r="B47" t="s">
        <v>511</v>
      </c>
    </row>
    <row r="48" spans="2:20" x14ac:dyDescent="0.35">
      <c r="B48" t="s">
        <v>512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workbookViewId="0">
      <selection activeCell="R27" sqref="R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9.36328125" bestFit="1" customWidth="1"/>
    <col min="10" max="12" width="8.36328125" bestFit="1" customWidth="1"/>
    <col min="13" max="13" width="11.90625" bestFit="1" customWidth="1"/>
    <col min="14" max="14" width="8.36328125" style="61" bestFit="1" customWidth="1"/>
    <col min="15" max="15" width="7.36328125" bestFit="1" customWidth="1"/>
    <col min="16" max="16" width="9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v>46234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46233</v>
      </c>
      <c r="O5" s="391"/>
      <c r="P5" s="391"/>
      <c r="R5" s="85"/>
      <c r="S5" s="266"/>
    </row>
    <row r="6" spans="1:22 16383:16384" ht="17.25" customHeight="1" x14ac:dyDescent="0.4">
      <c r="A6" s="397" t="s">
        <v>516</v>
      </c>
      <c r="B6" s="397"/>
      <c r="C6" s="397"/>
      <c r="F6" s="85"/>
      <c r="G6" s="86"/>
      <c r="K6" s="392" t="s">
        <v>69</v>
      </c>
      <c r="L6" s="392"/>
      <c r="M6" s="392"/>
      <c r="N6" s="394" t="s">
        <v>508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0.16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0.16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>
        <v>50</v>
      </c>
      <c r="H18" s="96"/>
      <c r="I18" s="236">
        <f t="shared" ref="I18:I21" si="7">(G18*D18)*F18+H18*F18</f>
        <v>104925</v>
      </c>
      <c r="J18" s="272">
        <f t="shared" si="1"/>
        <v>16788</v>
      </c>
      <c r="K18" s="128">
        <f t="shared" si="1"/>
        <v>3672.3750000000005</v>
      </c>
      <c r="L18" s="119">
        <f t="shared" si="1"/>
        <v>0</v>
      </c>
      <c r="M18" s="230">
        <f t="shared" si="2"/>
        <v>84464.625</v>
      </c>
      <c r="N18" s="277">
        <f t="shared" si="3"/>
        <v>19830.508474576262</v>
      </c>
      <c r="O18" s="239">
        <f t="shared" si="4"/>
        <v>521.47566737288128</v>
      </c>
      <c r="P18" s="311">
        <f t="shared" si="5"/>
        <v>104816.60914194914</v>
      </c>
      <c r="Q18" s="156"/>
      <c r="S18" s="269">
        <f>+S17</f>
        <v>0.16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>
        <v>70</v>
      </c>
      <c r="H19" s="96"/>
      <c r="I19" s="236">
        <f t="shared" si="7"/>
        <v>203392</v>
      </c>
      <c r="J19" s="272">
        <f t="shared" si="1"/>
        <v>32542.720000000001</v>
      </c>
      <c r="K19" s="128">
        <f t="shared" si="1"/>
        <v>7118.72</v>
      </c>
      <c r="L19" s="119">
        <f t="shared" si="1"/>
        <v>0</v>
      </c>
      <c r="M19" s="230">
        <f t="shared" si="2"/>
        <v>163730.56</v>
      </c>
      <c r="N19" s="277">
        <f t="shared" si="3"/>
        <v>38440.677966101699</v>
      </c>
      <c r="O19" s="239">
        <f t="shared" si="4"/>
        <v>1010.8561898305086</v>
      </c>
      <c r="P19" s="311">
        <f t="shared" si="5"/>
        <v>203182.09415593222</v>
      </c>
      <c r="Q19" s="156"/>
      <c r="S19" s="269">
        <f>+S18</f>
        <v>0.16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>
        <v>60</v>
      </c>
      <c r="H20" s="96"/>
      <c r="I20" s="236">
        <f t="shared" si="7"/>
        <v>174336</v>
      </c>
      <c r="J20" s="272">
        <f t="shared" si="1"/>
        <v>27893.760000000002</v>
      </c>
      <c r="K20" s="128">
        <f t="shared" si="1"/>
        <v>6101.76</v>
      </c>
      <c r="L20" s="119">
        <f t="shared" si="1"/>
        <v>0</v>
      </c>
      <c r="M20" s="230">
        <f t="shared" si="2"/>
        <v>140340.47999999998</v>
      </c>
      <c r="N20" s="277">
        <f t="shared" si="3"/>
        <v>32949.152542372882</v>
      </c>
      <c r="O20" s="239">
        <f t="shared" si="4"/>
        <v>866.44816271186426</v>
      </c>
      <c r="P20" s="311">
        <f t="shared" si="5"/>
        <v>174156.08070508472</v>
      </c>
      <c r="Q20" s="156"/>
      <c r="R20">
        <f>P20/21</f>
        <v>8293.1467002421305</v>
      </c>
      <c r="S20" s="269">
        <f>+S19</f>
        <v>0.16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>
        <v>70</v>
      </c>
      <c r="H21" s="96"/>
      <c r="I21" s="236">
        <f t="shared" si="7"/>
        <v>203392</v>
      </c>
      <c r="J21" s="272">
        <f t="shared" si="1"/>
        <v>32542.720000000001</v>
      </c>
      <c r="K21" s="128">
        <f t="shared" si="1"/>
        <v>7118.72</v>
      </c>
      <c r="L21" s="119">
        <f t="shared" si="1"/>
        <v>0</v>
      </c>
      <c r="M21" s="230">
        <f t="shared" si="2"/>
        <v>163730.56</v>
      </c>
      <c r="N21" s="277">
        <f t="shared" si="3"/>
        <v>38440.677966101699</v>
      </c>
      <c r="O21" s="239">
        <f t="shared" si="4"/>
        <v>1010.8561898305086</v>
      </c>
      <c r="P21" s="311">
        <f t="shared" si="5"/>
        <v>203182.09415593222</v>
      </c>
      <c r="Q21" s="156"/>
      <c r="S21" s="269">
        <f>+S20</f>
        <v>0.16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>
        <v>100</v>
      </c>
      <c r="H22" s="96"/>
      <c r="I22" s="236">
        <f t="shared" si="0"/>
        <v>156920.00000000003</v>
      </c>
      <c r="J22" s="272">
        <f t="shared" si="1"/>
        <v>17261.200000000004</v>
      </c>
      <c r="K22" s="128">
        <f t="shared" si="1"/>
        <v>5492.2000000000016</v>
      </c>
      <c r="L22" s="119">
        <f t="shared" si="1"/>
        <v>8002.920000000001</v>
      </c>
      <c r="M22" s="230">
        <f t="shared" si="2"/>
        <v>126163.68000000002</v>
      </c>
      <c r="N22" s="277">
        <f t="shared" si="3"/>
        <v>30508.474576271168</v>
      </c>
      <c r="O22" s="239">
        <f t="shared" si="4"/>
        <v>783.36077288135596</v>
      </c>
      <c r="P22" s="311">
        <f t="shared" si="5"/>
        <v>157455.51534915256</v>
      </c>
      <c r="Q22" s="156"/>
      <c r="S22" s="269">
        <v>0.11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" si="8">SUM(G16:G24)</f>
        <v>350</v>
      </c>
      <c r="H25" s="113">
        <f t="shared" ref="H25" si="9">SUM(H16:H24)</f>
        <v>0</v>
      </c>
      <c r="I25" s="114">
        <f t="shared" ref="I25:M25" si="10">SUM(I16:I24)</f>
        <v>842965</v>
      </c>
      <c r="J25" s="274">
        <f>SUM(J16:J24)</f>
        <v>127028.40000000002</v>
      </c>
      <c r="K25" s="275">
        <f t="shared" si="10"/>
        <v>29503.775000000005</v>
      </c>
      <c r="L25" s="276">
        <f t="shared" si="10"/>
        <v>8002.920000000001</v>
      </c>
      <c r="M25" s="232">
        <f t="shared" si="10"/>
        <v>678429.90500000003</v>
      </c>
      <c r="N25" s="233">
        <f>SUM(N16:N24)</f>
        <v>160169.49152542371</v>
      </c>
      <c r="O25" s="101">
        <f>SUM(O16:O24)</f>
        <v>4192.996982627119</v>
      </c>
      <c r="P25" s="113">
        <f>SUM(P16:P24)</f>
        <v>842792.39350805082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842965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127028.40000000002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37506.695000000007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678429.90500000003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160169.49152542371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838599.39652542374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4192.996982627119</v>
      </c>
    </row>
    <row r="35" spans="2:16" ht="15.75" customHeight="1" thickBot="1" x14ac:dyDescent="0.4">
      <c r="N35" s="371" t="s">
        <v>88</v>
      </c>
      <c r="O35" s="372"/>
      <c r="P35" s="297">
        <f>+P33+P34</f>
        <v>842792.39350805082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abSelected="1" topLeftCell="A10" workbookViewId="0">
      <selection activeCell="I13" sqref="I1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1" width="8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9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516</v>
      </c>
      <c r="B6" s="397"/>
      <c r="C6" s="397"/>
      <c r="F6" s="85"/>
      <c r="G6" s="86"/>
      <c r="K6" s="392" t="s">
        <v>69</v>
      </c>
      <c r="L6" s="392"/>
      <c r="M6" s="392"/>
      <c r="N6" s="394" t="s">
        <v>510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518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>
        <v>40</v>
      </c>
      <c r="H16" s="112"/>
      <c r="I16" s="235">
        <f>(G16*D16)*F16+H16*F16</f>
        <v>83940</v>
      </c>
      <c r="J16" s="271">
        <f>$I16*S16</f>
        <v>13430.4</v>
      </c>
      <c r="K16" s="127">
        <f>$I16*T16</f>
        <v>2937.9</v>
      </c>
      <c r="L16" s="118">
        <f>$I16*U16</f>
        <v>0</v>
      </c>
      <c r="M16" s="229">
        <f>I16-SUM(J16:L16)</f>
        <v>67571.7</v>
      </c>
      <c r="N16" s="248">
        <f>+(G16*D16+H16)*V16</f>
        <v>15864.406779661011</v>
      </c>
      <c r="O16" s="238">
        <f>(N16+M16)*$O$15</f>
        <v>417.18053389830499</v>
      </c>
      <c r="P16" s="310">
        <f>M16+N16+O16</f>
        <v>83853.287313559311</v>
      </c>
      <c r="Q16" s="313"/>
      <c r="S16" s="269">
        <v>0.16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>
        <v>40</v>
      </c>
      <c r="H17" s="96"/>
      <c r="I17" s="236">
        <f t="shared" ref="I17:I23" si="0">(G17*D17)*F17+H17*F17</f>
        <v>83940</v>
      </c>
      <c r="J17" s="272">
        <f t="shared" ref="J17:L24" si="1">$I17*S17</f>
        <v>13430.4</v>
      </c>
      <c r="K17" s="128">
        <f>$I17*T17</f>
        <v>2937.9</v>
      </c>
      <c r="L17" s="119">
        <f>$I17*U17</f>
        <v>0</v>
      </c>
      <c r="M17" s="230">
        <f t="shared" ref="M17:M24" si="2">I17-SUM(J17:L17)</f>
        <v>67571.7</v>
      </c>
      <c r="N17" s="277">
        <f t="shared" ref="N17:N24" si="3">+(G17*D17+H17)*V17</f>
        <v>15864.406779661011</v>
      </c>
      <c r="O17" s="239">
        <f t="shared" ref="O17:O24" si="4">(N17+M17)*$O$15</f>
        <v>417.18053389830499</v>
      </c>
      <c r="P17" s="311">
        <f t="shared" ref="P17:P24" si="5">M17+N17+O17</f>
        <v>83853.287313559311</v>
      </c>
      <c r="Q17" s="156"/>
      <c r="S17" s="269">
        <f>+S16</f>
        <v>0.16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>
        <v>20</v>
      </c>
      <c r="H18" s="96"/>
      <c r="I18" s="236">
        <f t="shared" si="0"/>
        <v>41970</v>
      </c>
      <c r="J18" s="272">
        <f t="shared" si="1"/>
        <v>6715.2</v>
      </c>
      <c r="K18" s="128">
        <f t="shared" si="1"/>
        <v>1468.95</v>
      </c>
      <c r="L18" s="119">
        <f t="shared" si="1"/>
        <v>0</v>
      </c>
      <c r="M18" s="230">
        <f t="shared" si="2"/>
        <v>33785.85</v>
      </c>
      <c r="N18" s="277">
        <f t="shared" si="3"/>
        <v>7932.2033898305053</v>
      </c>
      <c r="O18" s="239">
        <f t="shared" si="4"/>
        <v>208.59026694915249</v>
      </c>
      <c r="P18" s="311">
        <f t="shared" si="5"/>
        <v>41926.643656779655</v>
      </c>
      <c r="Q18" s="156"/>
      <c r="S18" s="269">
        <f>+S17</f>
        <v>0.16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>
        <v>100</v>
      </c>
      <c r="H19" s="96"/>
      <c r="I19" s="236">
        <f t="shared" si="0"/>
        <v>290560</v>
      </c>
      <c r="J19" s="272">
        <f t="shared" si="1"/>
        <v>46489.599999999999</v>
      </c>
      <c r="K19" s="128">
        <f t="shared" si="1"/>
        <v>10169.6</v>
      </c>
      <c r="L19" s="119">
        <f t="shared" si="1"/>
        <v>0</v>
      </c>
      <c r="M19" s="230">
        <f t="shared" si="2"/>
        <v>233900.79999999999</v>
      </c>
      <c r="N19" s="277">
        <f t="shared" si="3"/>
        <v>54915.254237288136</v>
      </c>
      <c r="O19" s="239">
        <f t="shared" si="4"/>
        <v>1444.0802711864408</v>
      </c>
      <c r="P19" s="311">
        <f t="shared" si="5"/>
        <v>290260.13450847456</v>
      </c>
      <c r="Q19" s="156"/>
      <c r="S19" s="269">
        <f>+S18</f>
        <v>0.16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>
        <v>80</v>
      </c>
      <c r="H20" s="96"/>
      <c r="I20" s="236">
        <f t="shared" si="0"/>
        <v>232448</v>
      </c>
      <c r="J20" s="272">
        <f t="shared" si="1"/>
        <v>37191.68</v>
      </c>
      <c r="K20" s="128">
        <f t="shared" si="1"/>
        <v>8135.6800000000012</v>
      </c>
      <c r="L20" s="119">
        <f t="shared" si="1"/>
        <v>0</v>
      </c>
      <c r="M20" s="230">
        <f t="shared" si="2"/>
        <v>187120.64000000001</v>
      </c>
      <c r="N20" s="277">
        <f t="shared" si="3"/>
        <v>43932.203389830509</v>
      </c>
      <c r="O20" s="239">
        <f t="shared" si="4"/>
        <v>1155.2642169491526</v>
      </c>
      <c r="P20" s="311">
        <f t="shared" si="5"/>
        <v>232208.10760677967</v>
      </c>
      <c r="Q20" s="156"/>
      <c r="R20">
        <f>P20/21</f>
        <v>11057.528933656175</v>
      </c>
      <c r="S20" s="269">
        <f>+S19</f>
        <v>0.16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>
        <v>120</v>
      </c>
      <c r="H21" s="96"/>
      <c r="I21" s="236">
        <f t="shared" si="0"/>
        <v>348672</v>
      </c>
      <c r="J21" s="272">
        <f t="shared" si="1"/>
        <v>55787.520000000004</v>
      </c>
      <c r="K21" s="128">
        <f t="shared" si="1"/>
        <v>12203.52</v>
      </c>
      <c r="L21" s="119">
        <f t="shared" si="1"/>
        <v>0</v>
      </c>
      <c r="M21" s="230">
        <f t="shared" si="2"/>
        <v>280680.95999999996</v>
      </c>
      <c r="N21" s="277">
        <f t="shared" si="3"/>
        <v>65898.305084745763</v>
      </c>
      <c r="O21" s="239">
        <f t="shared" si="4"/>
        <v>1732.8963254237285</v>
      </c>
      <c r="P21" s="311">
        <f t="shared" si="5"/>
        <v>348312.16141016944</v>
      </c>
      <c r="Q21" s="156"/>
      <c r="S21" s="269">
        <f>+S20</f>
        <v>0.16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0.11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400</v>
      </c>
      <c r="H25" s="113">
        <f t="shared" si="7"/>
        <v>0</v>
      </c>
      <c r="I25" s="114">
        <f t="shared" si="7"/>
        <v>1081530</v>
      </c>
      <c r="J25" s="274">
        <f>SUM(J16:J24)</f>
        <v>173044.8</v>
      </c>
      <c r="K25" s="275">
        <f t="shared" si="7"/>
        <v>37853.550000000003</v>
      </c>
      <c r="L25" s="276">
        <f t="shared" si="7"/>
        <v>0</v>
      </c>
      <c r="M25" s="232">
        <f t="shared" si="7"/>
        <v>870631.64999999991</v>
      </c>
      <c r="N25" s="233">
        <f>SUM(N16:N24)</f>
        <v>204406.77966101695</v>
      </c>
      <c r="O25" s="101">
        <f>SUM(O16:O24)</f>
        <v>5375.1921483050846</v>
      </c>
      <c r="P25" s="113">
        <f>SUM(P16:P24)</f>
        <v>1080413.6218093219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1081530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173044.8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37853.550000000003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870631.64999999991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204406.77966101695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1075038.4296610169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5375.1921483050846</v>
      </c>
    </row>
    <row r="35" spans="2:16" ht="15.75" customHeight="1" thickBot="1" x14ac:dyDescent="0.4">
      <c r="N35" s="371" t="s">
        <v>88</v>
      </c>
      <c r="O35" s="372"/>
      <c r="P35" s="297">
        <f>+P33+P34</f>
        <v>1080413.6218093219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XFD38"/>
  <sheetViews>
    <sheetView topLeftCell="A13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8.75" customHeight="1" x14ac:dyDescent="0.4">
      <c r="A6" s="397" t="s">
        <v>501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XFD38"/>
  <sheetViews>
    <sheetView topLeftCell="A10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502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topLeftCell="A7"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topLeftCell="A13" workbookViewId="0">
      <selection activeCell="Q22" sqref="Q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503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topLeftCell="A10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topLeftCell="A10" workbookViewId="0">
      <selection activeCell="H7" sqref="H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504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8.75" customHeight="1" x14ac:dyDescent="0.4">
      <c r="A6" s="397" t="s">
        <v>505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507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513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513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0" t="s">
        <v>91</v>
      </c>
      <c r="B2" s="390"/>
      <c r="C2" s="390"/>
    </row>
    <row r="3" spans="1:18 16382:16383" ht="15" customHeight="1" x14ac:dyDescent="0.35">
      <c r="A3" s="391" t="s">
        <v>92</v>
      </c>
      <c r="B3" s="391"/>
      <c r="C3" s="391"/>
      <c r="F3" s="85"/>
      <c r="G3" s="1"/>
      <c r="J3" s="392" t="s">
        <v>43</v>
      </c>
      <c r="K3" s="392"/>
      <c r="L3" s="392"/>
      <c r="M3" s="391"/>
      <c r="N3" s="391"/>
      <c r="O3" s="39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1" t="s">
        <v>65</v>
      </c>
      <c r="B4" s="391"/>
      <c r="C4" s="391"/>
      <c r="F4" s="85"/>
      <c r="G4" s="1"/>
      <c r="J4" s="392" t="s">
        <v>44</v>
      </c>
      <c r="K4" s="392"/>
      <c r="L4" s="392"/>
      <c r="M4" s="395">
        <f ca="1">TODAY()+1</f>
        <v>46246</v>
      </c>
      <c r="N4" s="395"/>
      <c r="O4" s="395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92" t="s">
        <v>45</v>
      </c>
      <c r="K5" s="392"/>
      <c r="L5" s="392"/>
      <c r="M5" s="395">
        <f ca="1">M4-1</f>
        <v>46245</v>
      </c>
      <c r="N5" s="391"/>
      <c r="O5" s="391"/>
      <c r="Q5" s="85"/>
      <c r="R5" s="1"/>
    </row>
    <row r="6" spans="1:18 16382:16383" ht="15" customHeight="1" x14ac:dyDescent="0.35">
      <c r="A6" s="392" t="s">
        <v>94</v>
      </c>
      <c r="B6" s="392"/>
      <c r="C6" s="392"/>
      <c r="F6" s="85"/>
      <c r="G6" s="86"/>
      <c r="J6" s="392" t="s">
        <v>69</v>
      </c>
      <c r="K6" s="392"/>
      <c r="L6" s="392"/>
      <c r="M6" s="394" t="s">
        <v>62</v>
      </c>
      <c r="N6" s="394"/>
      <c r="O6" s="394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2" t="s">
        <v>73</v>
      </c>
      <c r="B7" s="392"/>
      <c r="C7" s="392"/>
      <c r="F7" s="85"/>
      <c r="G7" s="86"/>
      <c r="J7" s="392" t="s">
        <v>66</v>
      </c>
      <c r="K7" s="392"/>
      <c r="L7" s="392"/>
      <c r="M7" s="394" t="s">
        <v>70</v>
      </c>
      <c r="N7" s="394"/>
      <c r="O7" s="394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92" t="s">
        <v>67</v>
      </c>
      <c r="K8" s="392"/>
      <c r="L8" s="392"/>
      <c r="M8" s="394" t="s">
        <v>71</v>
      </c>
      <c r="N8" s="394"/>
      <c r="O8" s="394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92" t="s">
        <v>68</v>
      </c>
      <c r="K9" s="392"/>
      <c r="L9" s="392"/>
      <c r="M9" s="394" t="s">
        <v>104</v>
      </c>
      <c r="N9" s="394"/>
      <c r="O9" s="394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92" t="s">
        <v>46</v>
      </c>
      <c r="K10" s="392"/>
      <c r="L10" s="392"/>
      <c r="M10" s="391" t="s">
        <v>47</v>
      </c>
      <c r="N10" s="391"/>
      <c r="O10" s="39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2" t="s">
        <v>48</v>
      </c>
      <c r="K11" s="392"/>
      <c r="L11" s="392"/>
      <c r="M11" s="391" t="s">
        <v>49</v>
      </c>
      <c r="N11" s="391"/>
      <c r="O11" s="39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2" t="s">
        <v>50</v>
      </c>
      <c r="K12" s="392"/>
      <c r="L12" s="392"/>
      <c r="M12" s="391"/>
      <c r="N12" s="391"/>
      <c r="O12" s="39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2" t="s">
        <v>51</v>
      </c>
      <c r="B14" s="343"/>
      <c r="C14" s="346" t="s">
        <v>90</v>
      </c>
      <c r="D14" s="88" t="s">
        <v>52</v>
      </c>
      <c r="E14" s="95" t="s">
        <v>74</v>
      </c>
      <c r="F14" s="115" t="s">
        <v>53</v>
      </c>
      <c r="G14" s="389" t="s">
        <v>54</v>
      </c>
      <c r="H14" s="351"/>
      <c r="I14" s="352" t="s">
        <v>77</v>
      </c>
      <c r="J14" s="350" t="s">
        <v>55</v>
      </c>
      <c r="K14" s="351"/>
      <c r="L14" s="352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4"/>
      <c r="B15" s="345"/>
      <c r="C15" s="347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3"/>
      <c r="J15" s="144" t="s">
        <v>39</v>
      </c>
      <c r="K15" s="145" t="s">
        <v>59</v>
      </c>
      <c r="L15" s="35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8"/>
      <c r="M28" s="365" t="s">
        <v>60</v>
      </c>
      <c r="N28" s="366"/>
      <c r="O28" s="139">
        <f>I25</f>
        <v>1452.8</v>
      </c>
    </row>
    <row r="29" spans="1:18 16383:16383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1"/>
      <c r="M29" s="367" t="s">
        <v>85</v>
      </c>
      <c r="N29" s="368"/>
      <c r="O29" s="140">
        <f>K25</f>
        <v>0</v>
      </c>
    </row>
    <row r="30" spans="1:18 16383:16383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1"/>
      <c r="M30" s="367" t="s">
        <v>86</v>
      </c>
      <c r="N30" s="368"/>
      <c r="O30" s="140">
        <f>J25</f>
        <v>50.848000000000006</v>
      </c>
    </row>
    <row r="31" spans="1:18 16383:16383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1"/>
      <c r="L31" s="131"/>
      <c r="M31" s="367" t="s">
        <v>87</v>
      </c>
      <c r="N31" s="368"/>
      <c r="O31" s="140">
        <f>O28-O29-O30</f>
        <v>1401.952</v>
      </c>
    </row>
    <row r="32" spans="1:18 16383:16383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1"/>
      <c r="L33" s="131"/>
      <c r="M33" s="369" t="s">
        <v>76</v>
      </c>
      <c r="N33" s="370"/>
      <c r="O33" s="140">
        <f>O31+O32</f>
        <v>1710.3814400000001</v>
      </c>
    </row>
    <row r="34" spans="2:15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1" t="s">
        <v>88</v>
      </c>
      <c r="N35" s="372"/>
      <c r="O35" s="141">
        <f>O28-O29+O31+O34</f>
        <v>2897.511536</v>
      </c>
    </row>
    <row r="36" spans="2:15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2" t="s">
        <v>439</v>
      </c>
      <c r="E1" s="334" t="s">
        <v>58</v>
      </c>
      <c r="F1" s="334"/>
      <c r="G1" s="335" t="s">
        <v>440</v>
      </c>
      <c r="H1" s="335"/>
      <c r="I1" s="403" t="s">
        <v>441</v>
      </c>
      <c r="J1" s="403"/>
      <c r="K1" s="403" t="s">
        <v>442</v>
      </c>
      <c r="L1" s="403"/>
      <c r="M1" s="399" t="s">
        <v>484</v>
      </c>
      <c r="N1" s="400"/>
      <c r="O1" s="401"/>
    </row>
    <row r="2" spans="3:24" ht="29" x14ac:dyDescent="0.35">
      <c r="C2" s="334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4" t="s">
        <v>476</v>
      </c>
      <c r="D6" s="404"/>
      <c r="E6" s="404"/>
      <c r="F6" s="404"/>
      <c r="G6" s="404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6" t="s">
        <v>58</v>
      </c>
      <c r="F7" s="406"/>
      <c r="G7" s="407" t="s">
        <v>440</v>
      </c>
      <c r="H7" s="335"/>
      <c r="I7" s="336" t="s">
        <v>441</v>
      </c>
      <c r="J7" s="337"/>
      <c r="K7" s="336" t="s">
        <v>442</v>
      </c>
      <c r="L7" s="337"/>
      <c r="M7" s="399" t="s">
        <v>484</v>
      </c>
      <c r="N7" s="400"/>
      <c r="O7" s="401"/>
      <c r="P7" s="256" t="s">
        <v>475</v>
      </c>
      <c r="Q7" s="242" t="s">
        <v>473</v>
      </c>
      <c r="R7" s="402" t="s">
        <v>475</v>
      </c>
      <c r="S7" s="402" t="s">
        <v>485</v>
      </c>
      <c r="T7" s="408" t="s">
        <v>486</v>
      </c>
      <c r="U7" s="408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7"/>
      <c r="U8" s="407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5" t="s">
        <v>477</v>
      </c>
      <c r="D12" s="405"/>
      <c r="E12" s="405"/>
      <c r="F12" s="405"/>
      <c r="G12" s="405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399" t="s">
        <v>484</v>
      </c>
      <c r="N13" s="400"/>
      <c r="O13" s="401"/>
      <c r="P13" s="256" t="s">
        <v>475</v>
      </c>
      <c r="Q13" s="242" t="s">
        <v>473</v>
      </c>
      <c r="R13" s="402" t="s">
        <v>475</v>
      </c>
      <c r="S13" s="402" t="s">
        <v>485</v>
      </c>
      <c r="T13" s="408" t="s">
        <v>486</v>
      </c>
      <c r="U13" s="408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7"/>
      <c r="U14" s="407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4" t="s">
        <v>478</v>
      </c>
      <c r="D19" s="404"/>
      <c r="E19" s="404"/>
      <c r="F19" s="404"/>
      <c r="G19" s="404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399" t="s">
        <v>484</v>
      </c>
      <c r="N20" s="400"/>
      <c r="O20" s="401"/>
      <c r="P20" s="256" t="s">
        <v>475</v>
      </c>
      <c r="Q20" s="242" t="s">
        <v>473</v>
      </c>
      <c r="R20" s="402" t="s">
        <v>475</v>
      </c>
      <c r="S20" s="402" t="s">
        <v>485</v>
      </c>
      <c r="T20" s="408" t="s">
        <v>486</v>
      </c>
      <c r="U20" s="408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7"/>
      <c r="U21" s="407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4" t="s">
        <v>479</v>
      </c>
      <c r="D26" s="404"/>
      <c r="E26" s="404"/>
      <c r="F26" s="404"/>
      <c r="G26" s="404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399" t="s">
        <v>484</v>
      </c>
      <c r="N27" s="400"/>
      <c r="O27" s="401"/>
      <c r="P27" s="256" t="s">
        <v>475</v>
      </c>
      <c r="Q27" s="242" t="s">
        <v>473</v>
      </c>
      <c r="R27" s="402" t="s">
        <v>475</v>
      </c>
      <c r="S27" s="402" t="s">
        <v>485</v>
      </c>
      <c r="T27" s="408" t="s">
        <v>486</v>
      </c>
      <c r="U27" s="408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7"/>
      <c r="U28" s="407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2" t="s">
        <v>439</v>
      </c>
      <c r="D1" s="334" t="s">
        <v>58</v>
      </c>
      <c r="E1" s="334"/>
      <c r="F1" s="335" t="s">
        <v>440</v>
      </c>
      <c r="G1" s="335"/>
      <c r="H1" s="403" t="s">
        <v>441</v>
      </c>
      <c r="I1" s="403"/>
      <c r="J1" s="403" t="s">
        <v>442</v>
      </c>
      <c r="K1" s="403"/>
      <c r="L1" s="399" t="s">
        <v>484</v>
      </c>
      <c r="M1" s="400"/>
      <c r="N1" s="401"/>
    </row>
    <row r="2" spans="2:17" ht="29" x14ac:dyDescent="0.35">
      <c r="B2" s="334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0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</vt:i4>
      </vt:variant>
    </vt:vector>
  </HeadingPairs>
  <TitlesOfParts>
    <vt:vector size="39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  <vt:lpstr>'1'!Print_Area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2026-08-11T11:26:06Z</dcterms:modified>
</cp:coreProperties>
</file>