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D4A868B-20E5-4511-8795-500BD32D8441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21" i="52"/>
  <c r="O21" i="52" s="1"/>
  <c r="P21" i="52" s="1"/>
  <c r="M16" i="59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P16" i="70"/>
  <c r="P25" i="70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<sst xmlns="http://schemas.openxmlformats.org/spreadsheetml/2006/main" count="3974" uniqueCount="512">
  <si>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</si>
  <si>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</si>
  <si>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</si>
  <si>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</si>
  <si>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</si>
  <si>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</si>
  <si>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</si>
  <si>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</si>
  <si>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</si>
  <si>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</si>
  <si>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</si>
  <si>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</si>
  <si>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</si>
  <si>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</si>
  <si>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</si>
  <si>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</si>
  <si>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</si>
  <si>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</si>
  <si>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</si>
  <si>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</si>
  <si>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</si>
  <si>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</si>
  <si>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</si>
  <si>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</si>
  <si>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</si>
  <si>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</si>
  <si>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</si>
  <si>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</si>
  <si>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</si>
  <si>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</si>
  <si>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</si>
  <si>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</si>
  <si>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</si>
  <si>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</si>
  <si>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</si>
  <si>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</si>
  <si>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</si>
  <si>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</si>
  <si>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</si>
  <si>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</si>
  <si>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</si>
  <si>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</si>
  <si>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</si>
  <si>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</si>
  <si>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</si>
  <si>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</si>
  <si>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</si>
  <si>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</si>
  <si>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</si>
  <si>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</si>
  <si>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</si>
  <si>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</si>
  <si>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</si>
  <si>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</si>
  <si>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</si>
  <si>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</si>
  <si>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</si>
  <si>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</si>
  <si>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</si>
  <si>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</si>
  <si>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</si>
  <si>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</si>
  <si>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</si>
  <si>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</si>
  <si>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</si>
  <si>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</si>
  <si>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</si>
  <si>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</si>
  <si>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</si>
  <si>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</si>
  <si>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</si>
  <si>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</si>
  <si>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</si>
  <si>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</si>
  <si>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</si>
  <si>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</si>
  <si>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</si>
  <si>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</si>
  <si>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</si>
  <si>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</si>
  <si>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</si>
  <si>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</si>
  <si>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</si>
  <si>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</si>
  <si>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</si>
  <si>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</si>
  <si>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</si>
  <si>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</si>
  <si>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</si>
  <si>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</si>
  <si>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</si>
  <si>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</si>
  <si>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</si>
  <si>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</si>
  <si>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</si>
  <si>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</si>
  <si>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</si>
  <si>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</si>
  <si>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</si>
  <si>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</si>
  <si>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</si>
  <si>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</si>
  <si>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</si>
  <si>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</si>
  <si>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</si>
  <si>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</si>
  <si>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</si>
  <si>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</si>
  <si>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</si>
  <si>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</si>
  <si>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</si>
  <si>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</si>
  <si>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</si>
  <si>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</si>
  <si>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</si>
  <si>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</si>
  <si>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</si>
  <si>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</si>
  <si>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</si>
  <si>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</si>
  <si>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</si>
  <si>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</si>
  <si>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</si>
  <si>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</si>
  <si>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</si>
  <si>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</si>
  <si>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</si>
  <si>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</si>
  <si>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</si>
  <si>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</si>
  <si>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</si>
  <si>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</si>
  <si>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</si>
  <si>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</si>
  <si>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</si>
  <si>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</si>
  <si>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</si>
  <si>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</si>
  <si>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</si>
  <si>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</si>
  <si>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</si>
  <si>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</si>
  <si>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</si>
  <si>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</si>
  <si>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</si>
  <si>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</si>
  <si>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</si>
  <si>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</si>
  <si>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</si>
  <si>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</si>
  <si>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</si>
  <si>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</si>
  <si>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</si>
  <si>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</si>
  <si>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</si>
  <si>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</si>
  <si>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</si>
  <si>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</si>
  <si>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</si>
  <si>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</si>
  <si>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</si>
  <si>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</si>
  <si>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</si>
  <si>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</si>
  <si>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</si>
  <si>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</si>
  <si>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</si>
  <si>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</si>
  <si>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</si>
  <si>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</si>
  <si>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</si>
  <si>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</si>
  <si>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</si>
  <si>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</si>
  <si>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</si>
  <si>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</si>
  <si>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</si>
  <si>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</si>
  <si>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</si>
  <si>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</si>
  <si>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</si>
  <si>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</si>
  <si>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</si>
  <si>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</si>
  <si>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</si>
  <si>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</si>
  <si>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</si>
  <si>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</si>
  <si>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</si>
  <si>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</si>
  <si>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</si>
  <si>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</si>
  <si>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</si>
  <si>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</si>
  <si>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</si>
  <si>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</si>
  <si>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</si>
  <si>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</si>
  <si>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</si>
  <si>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</si>
  <si>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</si>
  <si>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</si>
  <si>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</si>
  <si>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</si>
  <si>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</si>
  <si>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</si>
  <si>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</si>
  <si>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</si>
  <si>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</si>
  <si>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</si>
  <si>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</si>
  <si>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</si>
  <si>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</si>
  <si>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</si>
  <si>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</si>
  <si>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</si>
  <si>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</si>
  <si>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</si>
  <si>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</si>
  <si>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</si>
  <si>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</si>
  <si>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</si>
  <si>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</si>
  <si>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</si>
  <si>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</si>
  <si>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</si>
  <si>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</si>
  <si>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</si>
  <si>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</si>
  <si>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</si>
  <si>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</si>
  <si>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</si>
  <si>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</si>
  <si>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</si>
  <si>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</si>
  <si>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</si>
  <si>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</si>
  <si>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</si>
  <si>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</si>
  <si>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</si>
  <si>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</si>
  <si>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</si>
  <si>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</si>
  <si>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</si>
  <si>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</si>
  <si>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</si>
  <si>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</si>
  <si>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</si>
  <si>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</si>
  <si>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</si>
  <si>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</si>
  <si>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</si>
  <si>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</si>
  <si>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</si>
  <si>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</si>
  <si>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</si>
  <si>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</si>
  <si>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</si>
  <si>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</si>
  <si>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</si>
  <si>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</si>
  <si>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</si>
  <si>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</si>
  <si>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</si>
  <si>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</si>
  <si>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</si>
  <si>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</si>
  <si>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</si>
  <si>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</si>
  <si>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</si>
  <si>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</si>
  <si>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</si>
  <si>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</si>
  <si>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</si>
  <si>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</si>
  <si>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</si>
  <si>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</si>
  <si>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</si>
  <si>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</si>
  <si>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</si>
  <si>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</si>
  <si>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</si>
  <si>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</si>
  <si>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</si>
  <si>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</si>
  <si>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</si>
  <si>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</si>
  <si>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</si>
  <si>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</si>
  <si>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</si>
  <si>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</si>
  <si>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</si>
  <si>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</si>
  <si>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</si>
  <si>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</si>
  <si>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</si>
  <si>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</si>
  <si>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</si>
  <si>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</si>
  <si>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</si>
  <si>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</si>
  <si>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</si>
  <si>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</si>
  <si>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</si>
  <si>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</si>
  <si>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</si>
  <si>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</si>
  <si>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</si>
  <si>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</si>
  <si>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</si>
  <si>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</si>
  <si>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</si>
  <si>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</si>
  <si>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</si>
  <si>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</si>
  <si>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</si>
  <si>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</si>
  <si>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</si>
  <si>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</si>
  <si>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</si>
  <si>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</si>
  <si>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</si>
  <si>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</si>
  <si>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</si>
  <si>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</si>
  <si>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</si>
  <si>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</si>
  <si>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</si>
  <si>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</si>
  <si>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</si>
  <si>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</si>
  <si>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</si>
  <si>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</si>
  <si>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</si>
  <si>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</si>
  <si>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</si>
  <si>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</si>
  <si>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</si>
  <si>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</si>
  <si>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</si>
  <si>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</si>
  <si>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</si>
  <si>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</si>
  <si>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</si>
  <si>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</si>
  <si>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</si>
  <si>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</si>
  <si>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</si>
  <si>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</si>
  <si>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</si>
  <si>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</si>
  <si>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</si>
  <si>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</si>
  <si>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</si>
  <si>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</si>
  <si>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</si>
  <si>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</si>
  <si>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</si>
  <si>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</si>
  <si>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</si>
  <si>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</si>
  <si>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</si>
  <si>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</si>
  <si>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</si>
  <si>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</si>
  <si>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</si>
  <si>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</si>
  <si>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</si>
  <si>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</si>
  <si>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</si>
  <si>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</si>
  <si>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</si>
  <si>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</si>
  <si>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</si>
  <si>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</si>
  <si>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</si>
  <si>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</si>
  <si>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</si>
  <si>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</si>
  <si>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</si>
  <si>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</si>
  <si>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</si>
  <si>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</si>
  <si>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</si>
  <si>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</si>
  <si>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</si>
  <si>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</si>
  <si>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</si>
  <si>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</si>
  <si>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</si>
  <si>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</si>
  <si>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</si>
  <si>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</si>
  <si>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</si>
  <si>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</si>
  <si>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</si>
  <si>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</si>
  <si>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</si>
  <si>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</si>
  <si>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</si>
  <si>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</si>
  <si>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</si>
  <si>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</si>
  <si>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</si>
  <si>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</si>
  <si>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</si>
  <si>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</si>
  <si>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</si>
  <si>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</si>
  <si>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</si>
  <si>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</si>
  <si>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</si>
  <si>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</si>
  <si>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</si>
  <si>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</si>
  <si>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</si>
  <si>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</si>
  <si>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</si>
  <si>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</si>
  <si>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</si>
  <si>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</si>
  <si>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</si>
  <si>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</si>
  <si>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</si>
  <si>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</si>
  <si>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</si>
  <si>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</si>
  <si>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</si>
  <si>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</si>
  <si>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</si>
  <si>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</si>
  <si>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</si>
  <si>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</si>
  <si>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</si>
  <si>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</si>
  <si>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</si>
  <si>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</si>
  <si>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</si>
  <si>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</si>
  <si>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</si>
  <si>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</si>
  <si>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</si>
  <si>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</si>
  <si>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</si>
  <si>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</si>
  <si>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</si>
  <si>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</si>
  <si>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</si>
  <si>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</si>
  <si>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</si>
  <si>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</si>
  <si>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</si>
  <si>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</si>
  <si>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</si>
  <si>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</si>
  <si>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</si>
  <si>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</si>
  <si>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</si>
  <si>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</si>
  <si>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</si>
  <si>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</si>
  <si>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</si>
  <si>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</si>
  <si>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</si>
  <si>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</si>
  <si>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</si>
  <si>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</si>
  <si>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</si>
  <si>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</si>
  <si>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</si>
  <si>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</si>
  <si>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</si>
  <si>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</si>
  <si>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</si>
  <si>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</si>
  <si>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</si>
  <si>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</si>
  <si>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</si>
  <si>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</si>
  <si>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</si>
  <si>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</si>
  <si>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</si>
  <si>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</si>
  <si>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</si>
  <si>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</si>
  <si>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</si>
  <si>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</si>
  <si>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</si>
  <si>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</si>
  <si>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</si>
  <si>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</si>
  <si>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</si>
  <si>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</si>
  <si>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</si>
  <si>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</si>
  <si>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</si>
  <si>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</si>
  <si>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</si>
  <si>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</si>
  <si>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</si>
  <si>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</si>
  <si>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</si>
  <si>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</si>
  <si>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</si>
  <si>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</si>
  <si>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</si>
  <si>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</si>
  <si>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</si>
  <si>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</si>
  <si>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</si>
  <si>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Hafiz Sweets</t>
  </si>
  <si>
    <t>Address: Multan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</si>
</sst>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1" fontId="0" fillId="0" borderId="1" xfId="0" applyNumberFormat="1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workbookViewId="0">
      <selection activeCell="U1" sqref="U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500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499</v>
      </c>
      <c r="F3" s="359"/>
      <c r="G3" s="359"/>
      <c r="H3" s="356">
        <f>+'1'!N4:N4</f>
        <v>46233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Hafiz Sweets</v>
      </c>
      <c r="T3" s="301">
        <f>+'1'!P35</f>
        <v>496499.87106991519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Hafiz Sweets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509</v>
      </c>
      <c r="R5" s="314">
        <v>3</v>
      </c>
      <c r="S5" s="300" t="str">
        <f>+'3'!A6:A6</f>
        <v>Hafiz Sweets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508</v>
      </c>
      <c r="R6" s="314">
        <v>4</v>
      </c>
      <c r="S6" s="300" t="str">
        <f>+'4'!A6:A6</f>
        <v>Hafiz Sweets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600</v>
      </c>
      <c r="I7" s="235">
        <f>(G7*D7)*F7+H7*F7</f>
        <v>31477.5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4406.8500000000004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1101.7125000000001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25968.9375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5949.152542372879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159.59045021186441</v>
      </c>
      <c r="P7" s="310">
        <f>M7+N7+O7</f>
        <v>32077.680492584743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Hafiz Sweets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600</v>
      </c>
      <c r="I8" s="236">
        <f t="shared" ref="I8:I14" si="0">(G8*D8)*F8+H8*F8</f>
        <v>31477.5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4406.8500000000004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1101.7125000000001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25968.9375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5949.152542372879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159.59045021186441</v>
      </c>
      <c r="P8" s="311">
        <f t="shared" ref="P8:P15" si="2">M8+N8+O8</f>
        <v>32077.680492584743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Hafiz Sweets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Hafiz Sweets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800</v>
      </c>
      <c r="I10" s="236">
        <f t="shared" si="0"/>
        <v>58112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8135.6800000000012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2033.9200000000003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47942.399999999994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10983.050847457627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294.62725423728813</v>
      </c>
      <c r="P10" s="311">
        <f t="shared" si="2"/>
        <v>59220.078101694911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Hafiz Sweets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1000</v>
      </c>
      <c r="I11" s="236">
        <f t="shared" si="0"/>
        <v>72640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10169.6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2542.4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59928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13728.813559322034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368.2840677966102</v>
      </c>
      <c r="P11" s="311">
        <f t="shared" si="2"/>
        <v>74025.097627118652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Hafiz Sweets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1000</v>
      </c>
      <c r="I12" s="236">
        <f t="shared" si="0"/>
        <v>72640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10169.6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2542.4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59928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13728.813559322034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368.2840677966102</v>
      </c>
      <c r="P12" s="311">
        <f t="shared" si="2"/>
        <v>74025.097627118652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Hafiz Sweets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5600</v>
      </c>
      <c r="I13" s="236">
        <f t="shared" si="0"/>
        <v>219688.00000000003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30756.320000000007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7689.0800000000017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181242.60000000003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42711.864406779634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1119.7723220338985</v>
      </c>
      <c r="P13" s="311">
        <f t="shared" si="2"/>
        <v>225074.23672881359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Hafiz Sweets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Hafiz Sweets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Hafiz Sweets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240</v>
      </c>
      <c r="H16" s="113">
        <f t="shared" ref="H16:M16" si="3">SUM(H7:H15)</f>
        <v>9600</v>
      </c>
      <c r="I16" s="114">
        <f t="shared" si="3"/>
        <v>486035</v>
      </c>
      <c r="J16" s="274">
        <f>SUM(J7:J15)</f>
        <v>68044.900000000009</v>
      </c>
      <c r="K16" s="275">
        <f t="shared" si="3"/>
        <v>17011.225000000002</v>
      </c>
      <c r="L16" s="276">
        <f t="shared" si="3"/>
        <v>0</v>
      </c>
      <c r="M16" s="232">
        <f t="shared" si="3"/>
        <v>400978.875</v>
      </c>
      <c r="N16" s="233">
        <f>SUM(N7:N15)</f>
        <v>93050.847457627096</v>
      </c>
      <c r="O16" s="101">
        <f>SUM(O7:O15)</f>
        <v>2470.1486122881361</v>
      </c>
      <c r="P16" s="113">
        <f>SUM(P7:P15)</f>
        <v>496499.87106991524</v>
      </c>
      <c r="Q16" s="128">
        <f>SUM(Q7:Q15)</f>
        <v>0</v>
      </c>
      <c r="R16" s="314">
        <v>14</v>
      </c>
      <c r="S16" s="300" t="str">
        <f>+'14'!A6:A6</f>
        <v>Hafiz Sweets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Hafiz Sweets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Hafiz Sweets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486035</v>
      </c>
      <c r="R19" s="299">
        <v>17</v>
      </c>
      <c r="S19" s="300" t="str">
        <f>+'17'!A6:A6</f>
        <v>Hafiz Sweets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68044.900000000009</v>
      </c>
      <c r="R20" s="299">
        <v>18</v>
      </c>
      <c r="S20" s="300" t="str">
        <f>+'18'!A6:A6</f>
        <v>Hafiz Sweets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17011.225000000002</v>
      </c>
      <c r="R21" s="299">
        <v>19</v>
      </c>
      <c r="S21" s="300" t="str">
        <f>+'19'!A6:A6</f>
        <v>Hafiz Sweets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400978.875</v>
      </c>
      <c r="R22" s="299">
        <v>20</v>
      </c>
      <c r="S22" s="300" t="str">
        <f>+'20'!A6:A6</f>
        <v>Hafiz Sweets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93050.847457627096</v>
      </c>
      <c r="R23" s="299">
        <v>21</v>
      </c>
      <c r="S23" s="300" t="str">
        <f>+'21'!A6:A6</f>
        <v>Hafiz Sweets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494029.72245762707</v>
      </c>
      <c r="R24" s="299">
        <v>22</v>
      </c>
      <c r="S24" s="300" t="str">
        <f>+'22'!A6:A6</f>
        <v>Hafiz Sweets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2470.1486122881361</v>
      </c>
      <c r="R25" s="299">
        <v>23</v>
      </c>
      <c r="S25" s="300" t="str">
        <f>+'23'!A6:A6</f>
        <v>Hafiz Sweets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496499.87106991519</v>
      </c>
      <c r="R26" s="299">
        <v>24</v>
      </c>
      <c r="S26" s="300" t="str">
        <f>+'24'!A6:A6</f>
        <v>Hafiz Sweets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Hafiz Sweets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Hafiz Sweets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Hafiz Sweets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Hafiz Sweets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Hafiz Sweets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Hafiz Sweets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496499.87106991519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8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8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46233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46232</v>
      </c>
      <c r="O5" s="368"/>
      <c r="P5" s="368"/>
      <c r="R5" s="85"/>
      <c r="S5" s="266"/>
    </row>
    <row r="6" spans="1:22 16383:16384" ht="17.2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413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600</v>
      </c>
      <c r="I16" s="235">
        <f>(G16*D16)*F16+H16*F16</f>
        <v>31477.5</v>
      </c>
      <c r="J16" s="271">
        <f>$I16*S16</f>
        <v>4406.8500000000004</v>
      </c>
      <c r="K16" s="127">
        <f>$I16*T16</f>
        <v>1101.7125000000001</v>
      </c>
      <c r="L16" s="118">
        <f>$I16*U16</f>
        <v>0</v>
      </c>
      <c r="M16" s="229">
        <f>I16-SUM(J16:L16)</f>
        <v>25968.9375</v>
      </c>
      <c r="N16" s="248">
        <f>+(G16*D16+H16)*V16</f>
        <v>5949.152542372879</v>
      </c>
      <c r="O16" s="238">
        <f>(N16+M16)*$O$15</f>
        <v>159.59045021186441</v>
      </c>
      <c r="P16" s="310">
        <f>M16+N16+O16</f>
        <v>32077.680492584743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600</v>
      </c>
      <c r="I17" s="236">
        <f t="shared" ref="I17:I23" si="0">(G17*D17)*F17+H17*F17</f>
        <v>31477.5</v>
      </c>
      <c r="J17" s="272">
        <f t="shared" ref="J17:L24" si="1">$I17*S17</f>
        <v>4406.8500000000004</v>
      </c>
      <c r="K17" s="128">
        <f>$I17*T17</f>
        <v>1101.7125000000001</v>
      </c>
      <c r="L17" s="119">
        <f>$I17*U17</f>
        <v>0</v>
      </c>
      <c r="M17" s="230">
        <f t="shared" ref="M17:M24" si="2">I17-SUM(J17:L17)</f>
        <v>25968.9375</v>
      </c>
      <c r="N17" s="277">
        <f t="shared" ref="N17:N24" si="3">+(G17*D17+H17)*V17</f>
        <v>5949.152542372879</v>
      </c>
      <c r="O17" s="239">
        <f t="shared" ref="O17:O24" si="4">(N17+M17)*$O$15</f>
        <v>159.59045021186441</v>
      </c>
      <c r="P17" s="311">
        <f t="shared" ref="P17:P24" si="5">M17+N17+O17</f>
        <v>32077.680492584743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800</v>
      </c>
      <c r="I19" s="236">
        <f t="shared" si="7"/>
        <v>58112</v>
      </c>
      <c r="J19" s="272">
        <f t="shared" si="1"/>
        <v>8135.6800000000012</v>
      </c>
      <c r="K19" s="128">
        <f t="shared" si="1"/>
        <v>2033.9200000000003</v>
      </c>
      <c r="L19" s="119">
        <f t="shared" si="1"/>
        <v>0</v>
      </c>
      <c r="M19" s="230">
        <f t="shared" si="2"/>
        <v>47942.399999999994</v>
      </c>
      <c r="N19" s="277">
        <f t="shared" si="3"/>
        <v>10983.050847457627</v>
      </c>
      <c r="O19" s="239">
        <f t="shared" si="4"/>
        <v>294.62725423728813</v>
      </c>
      <c r="P19" s="311">
        <f t="shared" si="5"/>
        <v>59220.078101694911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1000</v>
      </c>
      <c r="I20" s="236">
        <f t="shared" si="7"/>
        <v>72640</v>
      </c>
      <c r="J20" s="272">
        <f t="shared" si="1"/>
        <v>10169.6</v>
      </c>
      <c r="K20" s="128">
        <f t="shared" si="1"/>
        <v>2542.4</v>
      </c>
      <c r="L20" s="119">
        <f t="shared" si="1"/>
        <v>0</v>
      </c>
      <c r="M20" s="230">
        <f t="shared" si="2"/>
        <v>59928</v>
      </c>
      <c r="N20" s="277">
        <f t="shared" si="3"/>
        <v>13728.813559322034</v>
      </c>
      <c r="O20" s="239">
        <f t="shared" si="4"/>
        <v>368.2840677966102</v>
      </c>
      <c r="P20" s="311">
        <f t="shared" si="5"/>
        <v>74025.097627118652</v>
      </c>
      <c r="Q20" s="156"/>
      <c r="R20">
        <f>P20/21</f>
        <v>3525.004648910412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1000</v>
      </c>
      <c r="I21" s="236">
        <f t="shared" si="7"/>
        <v>72640</v>
      </c>
      <c r="J21" s="272">
        <f t="shared" si="1"/>
        <v>10169.6</v>
      </c>
      <c r="K21" s="128">
        <f t="shared" si="1"/>
        <v>2542.4</v>
      </c>
      <c r="L21" s="119">
        <f t="shared" si="1"/>
        <v>0</v>
      </c>
      <c r="M21" s="230">
        <f t="shared" si="2"/>
        <v>59928</v>
      </c>
      <c r="N21" s="277">
        <f t="shared" si="3"/>
        <v>13728.813559322034</v>
      </c>
      <c r="O21" s="239">
        <f t="shared" si="4"/>
        <v>368.2840677966102</v>
      </c>
      <c r="P21" s="311">
        <f t="shared" si="5"/>
        <v>74025.097627118652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5600</v>
      </c>
      <c r="I22" s="236">
        <f t="shared" si="0"/>
        <v>219688.00000000003</v>
      </c>
      <c r="J22" s="272">
        <f t="shared" si="1"/>
        <v>30756.320000000007</v>
      </c>
      <c r="K22" s="128">
        <f t="shared" si="1"/>
        <v>7689.0800000000017</v>
      </c>
      <c r="L22" s="119">
        <f t="shared" si="1"/>
        <v>0</v>
      </c>
      <c r="M22" s="230">
        <f t="shared" si="2"/>
        <v>181242.60000000003</v>
      </c>
      <c r="N22" s="277">
        <f t="shared" si="3"/>
        <v>42711.864406779634</v>
      </c>
      <c r="O22" s="239">
        <f t="shared" si="4"/>
        <v>1119.7723220338985</v>
      </c>
      <c r="P22" s="311">
        <f t="shared" si="5"/>
        <v>225074.23672881359</v>
      </c>
      <c r="Q22" s="156"/>
      <c r="S22" s="269">
        <v>0.14000000000000001</v>
      </c>
      <c r="T22" s="270">
        <v>3.5000000000000003E-2</v>
      </c>
      <c r="U22" s="270"/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0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9600</v>
      </c>
      <c r="I25" s="114">
        <f t="shared" ref="I25:M25" si="10">SUM(I16:I24)</f>
        <v>486035</v>
      </c>
      <c r="J25" s="274">
        <f>SUM(J16:J24)</f>
        <v>68044.900000000009</v>
      </c>
      <c r="K25" s="275">
        <f t="shared" si="10"/>
        <v>17011.225000000002</v>
      </c>
      <c r="L25" s="276">
        <f t="shared" si="10"/>
        <v>0</v>
      </c>
      <c r="M25" s="232">
        <f t="shared" si="10"/>
        <v>400978.875</v>
      </c>
      <c r="N25" s="233">
        <f>SUM(N16:N24)</f>
        <v>93050.847457627096</v>
      </c>
      <c r="O25" s="101">
        <f>SUM(O16:O24)</f>
        <v>2470.1486122881361</v>
      </c>
      <c r="P25" s="113">
        <f>SUM(P16:P24)</f>
        <v>496499.87106991524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486035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68044.900000000009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17011.225000000002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400978.875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93050.847457627096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494029.72245762707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2470.1486122881356</v>
      </c>
    </row>
    <row r="35" spans="2:16" ht="15.75" customHeight="1" thickBot="1" x14ac:dyDescent="0.4">
      <c r="N35" s="343" t="s">
        <v>88</v>
      </c>
      <c r="O35" s="344"/>
      <c r="P35" s="297">
        <f>+P33+P34</f>
        <v>496499.87106991519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504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topLeftCell="A13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8.7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0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8.7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46263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46262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2026-08-28T06:52:21Z</dcterms:modified>
</cp:coreProperties>
</file>