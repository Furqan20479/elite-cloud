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BA831FC-8AD9-48AC-8F63-06E40089750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N19" i="31" s="1"/>
  <c r="O19" i="31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23" i="32"/>
  <c r="O23" i="32" s="1"/>
  <c r="L25" i="32"/>
  <c r="P29" i="32" s="1"/>
  <c r="N24" i="31"/>
  <c r="O24" i="31" s="1"/>
  <c r="P24" i="31"/>
  <c r="N17" i="31"/>
  <c r="O17" i="31" s="1"/>
  <c r="M16" i="31"/>
  <c r="K25" i="31"/>
  <c r="P30" i="31" s="1"/>
  <c r="N21" i="30"/>
  <c r="O21" i="30" s="1"/>
  <c r="N24" i="30"/>
  <c r="O24" i="30" s="1"/>
  <c r="P24" i="30" s="1"/>
  <c r="N23" i="30"/>
  <c r="O23" i="30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20" i="16" l="1"/>
  <c r="L20" i="16"/>
  <c r="K16" i="16"/>
  <c r="K16" i="15" s="1"/>
  <c r="L16" i="16"/>
  <c r="L16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P31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<sst xmlns="http://schemas.openxmlformats.org/spreadsheetml/2006/main" count="1612" uniqueCount="124">
  <si>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</si>
  <si>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</si>
  <si>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</si>
  <si>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</si>
  <si>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</si>
  <si>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</si>
  <si>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</si>
  <si>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</si>
  <si>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</si>
  <si>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</si>
  <si>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</si>
  <si>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</si>
  <si>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</si>
  <si>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</si>
  <si>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</si>
  <si>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</si>
  <si>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</si>
  <si>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</si>
  <si>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</si>
  <si>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</si>
  <si>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</si>
  <si>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</si>
  <si>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</si>
  <si>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</si>
  <si>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</si>
  <si>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</si>
  <si>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</si>
  <si>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</si>
  <si>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</si>
  <si>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</si>
  <si>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</si>
  <si>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</si>
  <si>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</si>
  <si>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</si>
  <si>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</si>
  <si>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</si>
  <si>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</si>
  <si>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</si>
  <si>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</si>
  <si>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</si>
  <si>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</si>
  <si>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</si>
  <si>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</si>
  <si>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</si>
  <si>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</si>
  <si>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</si>
  <si>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</si>
  <si>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</si>
  <si>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</si>
  <si>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</si>
  <si>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</si>
  <si>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</si>
  <si>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</si>
  <si>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</si>
  <si>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</si>
  <si>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</si>
  <si>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</si>
  <si>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</si>
  <si>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</si>
  <si>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</si>
  <si>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</si>
  <si>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</si>
  <si>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</si>
  <si>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</si>
  <si>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</si>
  <si>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</si>
  <si>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</si>
  <si>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</si>
  <si>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</si>
  <si>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</si>
  <si>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</si>
  <si>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</si>
  <si>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</si>
  <si>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</si>
  <si>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</si>
  <si>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</si>
  <si>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</si>
  <si>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</si>
  <si>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</si>
  <si>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</si>
  <si>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</si>
  <si>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</si>
  <si>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</si>
  <si>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</si>
  <si>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</si>
  <si>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</si>
  <si>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</si>
  <si>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</si>
  <si>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</si>
  <si>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</si>
  <si>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</si>
  <si>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</si>
  <si>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</si>
  <si>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</si>
  <si>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</si>
  <si>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</si>
  <si>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</si>
  <si>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</si>
  <si>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</si>
  <si>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</si>
  <si>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</si>
  <si>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</si>
  <si>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</si>
  <si>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</si>
  <si>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</si>
  <si>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</si>
  <si>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</si>
  <si>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</si>
  <si>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</si>
  <si>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</si>
  <si>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</si>
  <si>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</si>
  <si>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</si>
  <si>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</si>
  <si>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</si>
  <si>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</si>
  <si>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</si>
  <si>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</si>
  <si>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</si>
  <si>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</si>
  <si>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</si>
  <si>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</si>
  <si>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The Hotpot Sauces</t>
  </si>
  <si>
    <t>Address: Lake City Adda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</si>
</sst>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104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105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The Hotpot Sauces</v>
      </c>
      <c r="U14" s="163">
        <f>+'1'!P35</f>
        <v>14558.298144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9"/>
      <c r="J15" s="170" t="s">
        <v>78</v>
      </c>
      <c r="K15" s="170" t="s">
        <v>79</v>
      </c>
      <c r="L15" s="173" t="s">
        <v>80</v>
      </c>
      <c r="M15" s="24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 xml:space="preserve">Customer Name :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+'4'!A5</f>
        <v xml:space="preserve">Customer Name :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508.48000000000008</v>
      </c>
      <c r="L19" s="174">
        <f>+'1'!L19+'2'!L19+'4'!L19+'3'!L19+'5'!L19+'6'!L19+'7'!L19+'8'!L19+'9'!L19+'10'!L19</f>
        <v>1743.36</v>
      </c>
      <c r="M19" s="117">
        <f t="shared" si="2"/>
        <v>-2251.84</v>
      </c>
      <c r="N19" s="100">
        <f>+'1'!N19+'2'!N19+'4'!N19+'3'!N19+'5'!N19+'6'!N19+'7'!N19+'8'!N19+'9'!N19+'10'!N19</f>
        <v>2209.7087999999999</v>
      </c>
      <c r="O19" s="100">
        <f>+'1'!O19+'2'!O19+'4'!O19+'3'!O19+'5'!O19+'6'!O19+'7'!O19+'8'!O19+'9'!O19+'10'!O19</f>
        <v>72.429344</v>
      </c>
      <c r="P19" s="119">
        <f t="shared" si="0"/>
        <v>30.298143999999738</v>
      </c>
      <c r="T19" s="162" t="str">
        <f>+'6'!A5</f>
        <v xml:space="preserve">Customer Name :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7">
        <f t="shared" si="2"/>
        <v>0</v>
      </c>
      <c r="N21" s="100">
        <f>+'1'!N21+'2'!N21+'4'!N21+'3'!N21+'5'!N21+'6'!N21+'7'!N21+'8'!N21+'9'!N21+'10'!N21</f>
        <v>0</v>
      </c>
      <c r="O21" s="100">
        <f>+'1'!O21+'2'!O21+'4'!O21+'3'!O21+'5'!O21+'6'!O21+'7'!O21+'8'!O21+'9'!O21+'10'!O21</f>
        <v>0</v>
      </c>
      <c r="P21" s="119">
        <f t="shared" si="0"/>
        <v>0</v>
      </c>
      <c r="T21" s="162" t="str">
        <f>+'8'!A5</f>
        <v xml:space="preserve">Customer Name :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</v>
      </c>
      <c r="U24" s="163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0</v>
      </c>
      <c r="D25" s="215"/>
      <c r="E25" s="215"/>
      <c r="F25" s="215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0</v>
      </c>
      <c r="K25" s="177">
        <f t="shared" si="3"/>
        <v>508.48000000000008</v>
      </c>
      <c r="L25" s="178">
        <f t="shared" si="3"/>
        <v>1743.36</v>
      </c>
      <c r="M25" s="140">
        <f t="shared" si="3"/>
        <v>-2251.84</v>
      </c>
      <c r="N25" s="141">
        <f>SUM(N16:N24)</f>
        <v>2209.7087999999999</v>
      </c>
      <c r="O25" s="142">
        <f>SUM(O16:O24)</f>
        <v>72.429344</v>
      </c>
      <c r="P25" s="143">
        <f>SUM(P16:P24)</f>
        <v>30.298143999999738</v>
      </c>
      <c r="T25" s="162" t="str">
        <f>+'12'!A5</f>
        <v xml:space="preserve">Customer Name :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14558.298144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1">
        <f>I25</f>
        <v>0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2">
        <f>L25</f>
        <v>1743.36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3">
        <f>K25</f>
        <v>508.48000000000008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2">
        <f>P36-P37-P38</f>
        <v>-2251.84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4" t="s">
        <v>89</v>
      </c>
      <c r="O40" s="155">
        <f>IF(B12="Registered",18%,22%)</f>
        <v>0.22</v>
      </c>
      <c r="P40" s="152">
        <f>N25</f>
        <v>2209.7087999999999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2">
        <f>P39+P40</f>
        <v>-42.131200000000263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6"/>
      <c r="N42" s="157" t="s">
        <v>91</v>
      </c>
      <c r="O42" s="158">
        <f>IF(B11="Filer",0.5%,2.5%)</f>
        <v>2.5000000000000001E-2</v>
      </c>
      <c r="P42" s="152">
        <f>O42*P41</f>
        <v>-1.0532800000000067</v>
      </c>
    </row>
    <row r="43" spans="1:21" ht="15.75" customHeight="1" thickBot="1" x14ac:dyDescent="0.4">
      <c r="N43" s="213" t="s">
        <v>92</v>
      </c>
      <c r="O43" s="214"/>
      <c r="P43" s="159">
        <f>P41+P42</f>
        <v>-43.184480000000271</v>
      </c>
    </row>
    <row r="44" spans="1:21" ht="15" thickBot="1" x14ac:dyDescent="0.4">
      <c r="B44" s="160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119</v>
      </c>
      <c r="T14" s="256"/>
      <c r="U14" s="256"/>
      <c r="V14" s="256"/>
      <c r="W14" s="257" t="s">
        <v>121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111</v>
      </c>
      <c r="T15" s="184" t="s">
        <v>112</v>
      </c>
      <c r="U15" s="184" t="s">
        <v>116</v>
      </c>
      <c r="V15" s="184" t="s">
        <v>117</v>
      </c>
      <c r="W15" s="185" t="s">
        <v>111</v>
      </c>
      <c r="X15" s="185" t="s">
        <v>112</v>
      </c>
      <c r="Y15" s="185" t="s">
        <v>116</v>
      </c>
      <c r="Z15" s="185" t="s">
        <v>117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108</v>
      </c>
      <c r="T16" s="182">
        <v>1697</v>
      </c>
      <c r="U16" s="182" t="s">
        <v>113</v>
      </c>
      <c r="V16" s="182">
        <f>T16/40</f>
        <v>42.424999999999997</v>
      </c>
      <c r="W16" s="186" t="s">
        <v>108</v>
      </c>
      <c r="X16" s="186">
        <v>1664</v>
      </c>
      <c r="Y16" s="186" t="s">
        <v>113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I17*12%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183" t="s">
        <v>110</v>
      </c>
      <c r="T17" s="182">
        <v>2322</v>
      </c>
      <c r="U17" s="182" t="s">
        <v>114</v>
      </c>
      <c r="V17" s="182">
        <f t="shared" ref="V17:V18" si="7">T17/40</f>
        <v>58.05</v>
      </c>
      <c r="W17" s="187" t="s">
        <v>110</v>
      </c>
      <c r="X17" s="186">
        <v>2277</v>
      </c>
      <c r="Y17" s="186" t="s">
        <v>114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109</v>
      </c>
      <c r="T18" s="182">
        <v>3216</v>
      </c>
      <c r="U18" s="182" t="s">
        <v>115</v>
      </c>
      <c r="V18" s="182">
        <f t="shared" si="7"/>
        <v>80.400000000000006</v>
      </c>
      <c r="W18" s="186" t="s">
        <v>109</v>
      </c>
      <c r="X18" s="186">
        <v>3153</v>
      </c>
      <c r="Y18" s="186" t="s">
        <v>115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5</v>
      </c>
      <c r="H19" s="114"/>
      <c r="I19" s="115">
        <f t="shared" si="3"/>
        <v>14528</v>
      </c>
      <c r="J19" s="116"/>
      <c r="K19" s="103">
        <f t="shared" si="4"/>
        <v>508.48000000000008</v>
      </c>
      <c r="L19" s="104">
        <f t="shared" si="5"/>
        <v>1743.36</v>
      </c>
      <c r="M19" s="117">
        <f t="shared" si="6"/>
        <v>12276.16</v>
      </c>
      <c r="N19" s="117">
        <f t="shared" si="0"/>
        <v>2209.7087999999999</v>
      </c>
      <c r="O19" s="118">
        <f t="shared" si="1"/>
        <v>72.429344</v>
      </c>
      <c r="P19" s="119">
        <f t="shared" si="2"/>
        <v>14558.298144</v>
      </c>
      <c r="S19" s="258" t="s">
        <v>120</v>
      </c>
      <c r="T19" s="258"/>
      <c r="U19" s="258"/>
      <c r="V19" s="258"/>
      <c r="W19" s="259" t="s">
        <v>118</v>
      </c>
      <c r="X19" s="259"/>
      <c r="Y19" s="259"/>
      <c r="Z19" s="259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 t="s">
        <v>111</v>
      </c>
      <c r="T20" s="184" t="s">
        <v>112</v>
      </c>
      <c r="U20" s="184" t="s">
        <v>116</v>
      </c>
      <c r="V20" s="184" t="s">
        <v>117</v>
      </c>
      <c r="W20" s="184" t="s">
        <v>111</v>
      </c>
      <c r="X20" s="184" t="s">
        <v>112</v>
      </c>
      <c r="Y20" s="184" t="s">
        <v>116</v>
      </c>
      <c r="Z20" s="184" t="s">
        <v>117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3"/>
        <v>0</v>
      </c>
      <c r="J21" s="116"/>
      <c r="K21" s="103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1"/>
        <v>0</v>
      </c>
      <c r="P21" s="119">
        <f t="shared" si="2"/>
        <v>0</v>
      </c>
      <c r="S21" s="188" t="s">
        <v>108</v>
      </c>
      <c r="T21" s="188">
        <v>1610</v>
      </c>
      <c r="U21" s="188" t="s">
        <v>113</v>
      </c>
      <c r="V21" s="188">
        <f>T21/40</f>
        <v>40.25</v>
      </c>
      <c r="W21" s="190" t="s">
        <v>108</v>
      </c>
      <c r="X21" s="190">
        <v>1642</v>
      </c>
      <c r="Y21" s="190" t="s">
        <v>113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110</v>
      </c>
      <c r="T22" s="188">
        <v>2202</v>
      </c>
      <c r="U22" s="188" t="s">
        <v>114</v>
      </c>
      <c r="V22" s="188">
        <f t="shared" ref="V22:V25" si="9">T22/40</f>
        <v>55.05</v>
      </c>
      <c r="W22" s="191" t="s">
        <v>110</v>
      </c>
      <c r="X22" s="190">
        <v>2246</v>
      </c>
      <c r="Y22" s="190" t="s">
        <v>114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109</v>
      </c>
      <c r="T23" s="188">
        <v>3216</v>
      </c>
      <c r="U23" s="188" t="s">
        <v>115</v>
      </c>
      <c r="V23" s="188">
        <f t="shared" si="9"/>
        <v>80.400000000000006</v>
      </c>
      <c r="W23" s="190" t="s">
        <v>109</v>
      </c>
      <c r="X23" s="190">
        <v>3216</v>
      </c>
      <c r="Y23" s="190" t="s">
        <v>114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109</v>
      </c>
      <c r="T24" s="188">
        <v>3216</v>
      </c>
      <c r="U24" s="188" t="s">
        <v>115</v>
      </c>
      <c r="V24" s="188">
        <f t="shared" si="9"/>
        <v>80.400000000000006</v>
      </c>
      <c r="W24" s="190"/>
      <c r="X24" s="190"/>
      <c r="Y24" s="190" t="s">
        <v>114</v>
      </c>
      <c r="Z24" s="190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13">SUM(G16:G24)</f>
        <v>5</v>
      </c>
      <c r="H25" s="135">
        <f t="shared" si="13"/>
        <v>0</v>
      </c>
      <c r="I25" s="136">
        <f t="shared" si="13"/>
        <v>14528</v>
      </c>
      <c r="J25" s="137"/>
      <c r="K25" s="138">
        <f t="shared" si="13"/>
        <v>508.48000000000008</v>
      </c>
      <c r="L25" s="139">
        <f t="shared" si="13"/>
        <v>1743.36</v>
      </c>
      <c r="M25" s="140">
        <f t="shared" si="13"/>
        <v>12276.16</v>
      </c>
      <c r="N25" s="141">
        <f>SUM(N16:N24)</f>
        <v>2209.7087999999999</v>
      </c>
      <c r="O25" s="142">
        <f>SUM(O16:O24)</f>
        <v>72.429344</v>
      </c>
      <c r="P25" s="143">
        <f>SUM(P16:P24)</f>
        <v>14558.298144</v>
      </c>
      <c r="S25" s="188" t="s">
        <v>109</v>
      </c>
      <c r="T25" s="188">
        <v>3216</v>
      </c>
      <c r="U25" s="188" t="s">
        <v>115</v>
      </c>
      <c r="V25" s="188">
        <f t="shared" si="9"/>
        <v>80.400000000000006</v>
      </c>
      <c r="W25" s="190" t="s">
        <v>109</v>
      </c>
      <c r="X25" s="190">
        <v>3110</v>
      </c>
      <c r="Y25" s="190" t="s">
        <v>115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14528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1743.36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508.48000000000008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12276.16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0.18</v>
      </c>
      <c r="P32" s="152">
        <f>N25</f>
        <v>2209.7087999999999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14485.8688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72.429344</v>
      </c>
    </row>
    <row r="35" spans="2:16" ht="15.75" customHeight="1" thickBot="1" x14ac:dyDescent="0.4">
      <c r="N35" s="213" t="s">
        <v>92</v>
      </c>
      <c r="O35" s="214"/>
      <c r="P35" s="159">
        <f>P33+P34</f>
        <v>14558.298144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6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7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0.12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2026-07-13T12:38:24Z</dcterms:modified>
</cp:coreProperties>
</file>