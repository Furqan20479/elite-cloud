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1412DC2-023E-45CA-A744-1370FB00C5E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L21" i="16" l="1"/>
  <c r="K21" i="16"/>
  <c r="L19" i="16"/>
  <c r="L19" i="15" s="1"/>
  <c r="K19" i="16"/>
  <c r="K19" i="15" s="1"/>
  <c r="L17" i="16"/>
  <c r="K17" i="16"/>
  <c r="K17" i="15" s="1"/>
  <c r="L20" i="16"/>
  <c r="K16" i="15"/>
  <c r="L16" i="16"/>
  <c r="L16" i="15" s="1"/>
  <c r="L18" i="16"/>
  <c r="L21" i="15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P23" i="22"/>
  <c r="I25" i="15"/>
  <c r="P32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M16" i="16"/>
  <c r="N16" i="16" s="1"/>
  <c r="O16" i="16" s="1"/>
  <c r="M16" i="15"/>
  <c r="M22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N22" i="15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<sst xmlns="http://schemas.openxmlformats.org/spreadsheetml/2006/main" count="1580" uniqueCount="110">
  <si>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</si>
  <si>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</si>
  <si>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</si>
  <si>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</si>
  <si>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</si>
  <si>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</si>
  <si>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</si>
  <si>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</si>
  <si>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</si>
  <si>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</si>
  <si>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</si>
  <si>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</si>
  <si>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</si>
  <si>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</si>
  <si>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</si>
  <si>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</si>
  <si>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</si>
  <si>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</si>
  <si>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</si>
  <si>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</si>
  <si>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</si>
  <si>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</si>
  <si>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</si>
  <si>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</si>
  <si>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</si>
  <si>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</si>
  <si>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</si>
  <si>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</si>
  <si>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</si>
  <si>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</si>
  <si>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</si>
  <si>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</si>
  <si>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</si>
  <si>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</si>
  <si>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</si>
  <si>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</si>
  <si>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</si>
  <si>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</si>
  <si>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</si>
  <si>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</si>
  <si>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</si>
  <si>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</si>
  <si>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</si>
  <si>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</si>
  <si>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</si>
  <si>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</si>
  <si>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</si>
  <si>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</si>
  <si>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</si>
  <si>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</si>
  <si>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</si>
  <si>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</si>
  <si>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</si>
  <si>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</si>
  <si>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</si>
  <si>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</si>
  <si>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</si>
  <si>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</si>
  <si>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</si>
  <si>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</si>
  <si>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</si>
  <si>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</si>
  <si>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</si>
  <si>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</si>
  <si>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</si>
  <si>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</si>
  <si>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</si>
  <si>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</si>
  <si>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</si>
  <si>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</si>
  <si>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</si>
  <si>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</si>
  <si>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</si>
  <si>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</si>
  <si>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</si>
  <si>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</si>
  <si>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</si>
  <si>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</si>
  <si>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</si>
  <si>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</si>
  <si>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</si>
  <si>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</si>
  <si>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</si>
  <si>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</si>
  <si>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</si>
  <si>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</si>
  <si>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</si>
  <si>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</si>
  <si>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</si>
  <si>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</si>
  <si>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</si>
  <si>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</si>
  <si>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</si>
  <si>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</si>
  <si>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</si>
  <si>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</si>
  <si>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</si>
  <si>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</si>
  <si>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</si>
  <si>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</si>
  <si>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</si>
  <si>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</si>
  <si>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4987374-2</t>
  </si>
  <si>
    <t>Customer Name : Manawa (Risen)</t>
  </si>
  <si>
    <t>Address: Manawan</t>
  </si>
  <si>
    <t>Shadbagh (Risen)</t>
  </si>
  <si>
    <t>Shop Bill Summary (Shadbagh (Risen))</t>
  </si>
  <si>
    <t>4655329-3</t>
  </si>
  <si>
    <t>Customer Name : (Risen)</t>
  </si>
  <si>
    <t>Address: Askari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</si>
</sst>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6" sqref="H2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6" sqref="H26"/>
      <selection pane="topRight" activeCell="H26" sqref="H26"/>
      <selection pane="bottomLeft" activeCell="H26" sqref="H26"/>
      <selection pane="bottomRight" activeCell="H26" sqref="H2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V15" sqref="V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105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106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(Risen)</v>
      </c>
      <c r="U14" s="163">
        <f>+'1'!P35</f>
        <v>18319.931437499999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Manawa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293.79000000000002</v>
      </c>
      <c r="M16" s="105">
        <f>I16-K16-L16</f>
        <v>1731.2625</v>
      </c>
      <c r="N16" s="100">
        <f>+'1'!N16+'2'!N16+'4'!N16+'3'!N16+'5'!N16+'6'!N16+'7'!N16+'8'!N16+'9'!N16+'10'!N16</f>
        <v>311.62725</v>
      </c>
      <c r="O16" s="100">
        <f>+'1'!O16+'2'!O16+'4'!O16+'3'!O16+'5'!O16+'6'!O16+'7'!O16+'8'!O16+'9'!O16+'10'!O16</f>
        <v>10.214448750000001</v>
      </c>
      <c r="P16" s="104">
        <f t="shared" ref="P16:P24" si="0">M16+N16+O16</f>
        <v>2053.1041987500003</v>
      </c>
      <c r="Q16" s="107"/>
      <c r="T16" s="162" t="str">
        <f>+'4'!A5</f>
        <v>Customer Name : Manawa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293.79000000000002</v>
      </c>
      <c r="M17" s="117">
        <f t="shared" ref="M17:M23" si="2">I17-K17-L17</f>
        <v>1731.2625</v>
      </c>
      <c r="N17" s="100">
        <f>+'1'!N17+'2'!N17+'4'!N17+'3'!N17+'5'!N17+'6'!N17+'7'!N17+'8'!N17+'9'!N17+'10'!N17</f>
        <v>311.62725</v>
      </c>
      <c r="O17" s="100">
        <f>+'1'!O17+'2'!O17+'4'!O17+'3'!O17+'5'!O17+'6'!O17+'7'!O17+'8'!O17+'9'!O17+'10'!O17</f>
        <v>10.214448750000001</v>
      </c>
      <c r="P17" s="119">
        <f t="shared" si="0"/>
        <v>2053.1041987500003</v>
      </c>
      <c r="S17" s="64"/>
      <c r="T17" s="162" t="str">
        <f>+'3'!A5</f>
        <v>Customer Name : Manawa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Manawa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101.69600000000001</v>
      </c>
      <c r="L19" s="174">
        <f>+'1'!L19+'2'!L19+'4'!L19+'3'!L19+'5'!L19+'6'!L19+'7'!L19+'8'!L19+'9'!L19+'10'!L19</f>
        <v>406.78400000000005</v>
      </c>
      <c r="M19" s="117">
        <f t="shared" si="2"/>
        <v>2397.12</v>
      </c>
      <c r="N19" s="100">
        <f>+'1'!N19+'2'!N19+'4'!N19+'3'!N19+'5'!N19+'6'!N19+'7'!N19+'8'!N19+'9'!N19+'10'!N19</f>
        <v>431.48159999999996</v>
      </c>
      <c r="O19" s="100">
        <f>+'1'!O19+'2'!O19+'4'!O19+'3'!O19+'5'!O19+'6'!O19+'7'!O19+'8'!O19+'9'!O19+'10'!O19</f>
        <v>14.143008</v>
      </c>
      <c r="P19" s="119">
        <f t="shared" si="0"/>
        <v>2842.744608</v>
      </c>
      <c r="T19" s="162" t="str">
        <f>+'6'!A5</f>
        <v>Customer Name : Manawa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203.39200000000002</v>
      </c>
      <c r="L20" s="174">
        <f>+'1'!L20+'2'!L20+'4'!L20+'3'!L20+'5'!L20+'6'!L20+'7'!L20+'8'!L20+'9'!L20+'10'!L20</f>
        <v>813.5680000000001</v>
      </c>
      <c r="M20" s="117">
        <f t="shared" si="2"/>
        <v>4794.24</v>
      </c>
      <c r="N20" s="100">
        <f>+'1'!N20+'2'!N20+'4'!N20+'3'!N20+'5'!N20+'6'!N20+'7'!N20+'8'!N20+'9'!N20+'10'!N20</f>
        <v>862.96319999999992</v>
      </c>
      <c r="O20" s="100">
        <f>+'1'!O20+'2'!O20+'4'!O20+'3'!O20+'5'!O20+'6'!O20+'7'!O20+'8'!O20+'9'!O20+'10'!O20</f>
        <v>28.286016</v>
      </c>
      <c r="P20" s="119">
        <f t="shared" si="0"/>
        <v>5685.4892159999999</v>
      </c>
      <c r="T20" s="162" t="str">
        <f>+'7'!A5</f>
        <v>Customer Name : Manawa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813.5680000000001</v>
      </c>
      <c r="M21" s="117">
        <f t="shared" si="2"/>
        <v>4794.24</v>
      </c>
      <c r="N21" s="100">
        <f>+'1'!N21+'2'!N21+'4'!N21+'3'!N21+'5'!N21+'6'!N21+'7'!N21+'8'!N21+'9'!N21+'10'!N21</f>
        <v>862.96319999999992</v>
      </c>
      <c r="O21" s="100">
        <f>+'1'!O21+'2'!O21+'4'!O21+'3'!O21+'5'!O21+'6'!O21+'7'!O21+'8'!O21+'9'!O21+'10'!O21</f>
        <v>28.286016</v>
      </c>
      <c r="P21" s="119">
        <f t="shared" si="0"/>
        <v>5685.4892159999999</v>
      </c>
      <c r="T21" s="162" t="str">
        <f>+'8'!A5</f>
        <v>Customer Name : Manawa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Manawa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Manawa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Manawa (Risen)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7</v>
      </c>
      <c r="D25" s="221"/>
      <c r="E25" s="221"/>
      <c r="F25" s="221"/>
      <c r="G25" s="175">
        <f t="shared" ref="G25:M25" si="3">SUM(G16:G24)</f>
        <v>0</v>
      </c>
      <c r="H25" s="176">
        <f t="shared" si="3"/>
        <v>280</v>
      </c>
      <c r="I25" s="177">
        <f t="shared" si="3"/>
        <v>18725</v>
      </c>
      <c r="J25" s="176">
        <f t="shared" si="3"/>
        <v>0</v>
      </c>
      <c r="K25" s="177">
        <f t="shared" si="3"/>
        <v>655.37500000000011</v>
      </c>
      <c r="L25" s="178">
        <f t="shared" si="3"/>
        <v>2621.5000000000005</v>
      </c>
      <c r="M25" s="140">
        <f t="shared" si="3"/>
        <v>15448.125</v>
      </c>
      <c r="N25" s="141">
        <f>SUM(N16:N24)</f>
        <v>2780.6624999999999</v>
      </c>
      <c r="O25" s="142">
        <f>SUM(O16:O24)</f>
        <v>91.143937500000007</v>
      </c>
      <c r="P25" s="143">
        <f>SUM(P16:P24)</f>
        <v>18319.931437500003</v>
      </c>
      <c r="T25" s="162" t="str">
        <f>+'12'!A5</f>
        <v>Customer Name : Manawa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Manawa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Manawa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Manawa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18319.931437499999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1">
        <f>I25</f>
        <v>18725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2">
        <f>L25</f>
        <v>2621.5000000000005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3">
        <f>K25</f>
        <v>655.37500000000011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2">
        <f>P32-P33-P34</f>
        <v>15448.125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4" t="s">
        <v>89</v>
      </c>
      <c r="O36" s="155">
        <f>IF(B12="Registered",18%,22%)</f>
        <v>0.22</v>
      </c>
      <c r="P36" s="152">
        <f>N25</f>
        <v>2780.6624999999999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2">
        <f>P35+P36</f>
        <v>18228.787499999999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6"/>
      <c r="N38" s="157" t="s">
        <v>91</v>
      </c>
      <c r="O38" s="158">
        <f>IF(B11="Filer",0.5%,2.5%)</f>
        <v>2.5000000000000001E-2</v>
      </c>
      <c r="P38" s="152">
        <f>O38*P37</f>
        <v>455.71968749999996</v>
      </c>
    </row>
    <row r="39" spans="2:16" ht="15.75" customHeight="1" thickBot="1" x14ac:dyDescent="0.4">
      <c r="N39" s="219" t="s">
        <v>92</v>
      </c>
      <c r="O39" s="220"/>
      <c r="P39" s="159">
        <f>P37+P38</f>
        <v>18684.507187499999</v>
      </c>
    </row>
    <row r="40" spans="2:16" ht="15" thickBot="1" x14ac:dyDescent="0.4">
      <c r="B40" s="160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I16*3.5%</f>
        <v>73.447500000000005</v>
      </c>
      <c r="L16" s="104">
        <f>I16*14%</f>
        <v>293.79000000000002</v>
      </c>
      <c r="M16" s="105">
        <f>I16-K16-L16</f>
        <v>1731.2625</v>
      </c>
      <c r="N16" s="105">
        <f t="shared" ref="N16:N24" si="0">(M16*$N$15)+(J16*F16)*$N$15</f>
        <v>311.62725</v>
      </c>
      <c r="O16" s="106">
        <f t="shared" ref="O16:O24" si="1">(N16+M16)*$O$15</f>
        <v>10.214448750000001</v>
      </c>
      <c r="P16" s="104">
        <f t="shared" ref="P16:P24" si="2">M16+N16+O16</f>
        <v>2053.1041987500003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03">
        <f t="shared" ref="K17:K21" si="4">I17*3.5%</f>
        <v>73.447500000000005</v>
      </c>
      <c r="L17" s="104">
        <f t="shared" ref="L17:L21" si="5">I17*14%</f>
        <v>293.79000000000002</v>
      </c>
      <c r="M17" s="117">
        <f t="shared" ref="M17:M23" si="6">I17-K17-L17</f>
        <v>1731.2625</v>
      </c>
      <c r="N17" s="117">
        <f t="shared" si="0"/>
        <v>311.62725</v>
      </c>
      <c r="O17" s="118">
        <f t="shared" si="1"/>
        <v>10.214448750000001</v>
      </c>
      <c r="P17" s="119">
        <f t="shared" si="2"/>
        <v>2053.1041987500003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03">
        <f t="shared" si="4"/>
        <v>101.69600000000001</v>
      </c>
      <c r="L19" s="104">
        <f t="shared" si="5"/>
        <v>406.78400000000005</v>
      </c>
      <c r="M19" s="117">
        <f t="shared" si="6"/>
        <v>2397.12</v>
      </c>
      <c r="N19" s="117">
        <f t="shared" si="0"/>
        <v>431.48159999999996</v>
      </c>
      <c r="O19" s="118">
        <f t="shared" si="1"/>
        <v>14.143008</v>
      </c>
      <c r="P19" s="119">
        <f t="shared" si="2"/>
        <v>2842.744608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03">
        <f t="shared" si="4"/>
        <v>203.39200000000002</v>
      </c>
      <c r="L20" s="104">
        <f t="shared" si="5"/>
        <v>813.5680000000001</v>
      </c>
      <c r="M20" s="117">
        <f t="shared" si="6"/>
        <v>4794.24</v>
      </c>
      <c r="N20" s="117">
        <f t="shared" si="0"/>
        <v>862.96319999999992</v>
      </c>
      <c r="O20" s="118">
        <f t="shared" si="1"/>
        <v>28.286016</v>
      </c>
      <c r="P20" s="119">
        <f t="shared" si="2"/>
        <v>5685.4892159999999</v>
      </c>
      <c r="Q20">
        <v>-40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813.5680000000001</v>
      </c>
      <c r="M21" s="117">
        <f t="shared" si="6"/>
        <v>4794.24</v>
      </c>
      <c r="N21" s="117">
        <f t="shared" si="0"/>
        <v>862.96319999999992</v>
      </c>
      <c r="O21" s="118">
        <f t="shared" si="1"/>
        <v>28.286016</v>
      </c>
      <c r="P21" s="119">
        <f t="shared" si="2"/>
        <v>5685.4892159999999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280</v>
      </c>
      <c r="I25" s="136">
        <f t="shared" si="9"/>
        <v>18725</v>
      </c>
      <c r="J25" s="137"/>
      <c r="K25" s="138">
        <f t="shared" si="9"/>
        <v>655.37500000000011</v>
      </c>
      <c r="L25" s="139">
        <f t="shared" si="9"/>
        <v>2621.5000000000005</v>
      </c>
      <c r="M25" s="140">
        <f t="shared" si="9"/>
        <v>15448.125</v>
      </c>
      <c r="N25" s="141">
        <f>SUM(N16:N24)</f>
        <v>2780.6624999999999</v>
      </c>
      <c r="O25" s="142">
        <f>SUM(O16:O24)</f>
        <v>91.143937500000007</v>
      </c>
      <c r="P25" s="143">
        <f>SUM(P16:P24)</f>
        <v>18319.931437500003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18725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2621.5000000000005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655.37500000000011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15448.125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2780.6624999999999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18228.787499999999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91.143937499999993</v>
      </c>
    </row>
    <row r="35" spans="2:16" ht="15.75" customHeight="1" thickBot="1" x14ac:dyDescent="0.4">
      <c r="N35" s="219" t="s">
        <v>92</v>
      </c>
      <c r="O35" s="220"/>
      <c r="P35" s="159">
        <f>P33+P34</f>
        <v>18319.931437499999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46226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2026-07-24T06:19:59Z</dcterms:modified>
</cp:coreProperties>
</file>