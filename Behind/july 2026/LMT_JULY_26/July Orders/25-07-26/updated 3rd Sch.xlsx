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AAC901B-8972-415D-B46A-CBEDD9B31CF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<sst xmlns="http://schemas.openxmlformats.org/spreadsheetml/2006/main" count="3913" uniqueCount="516">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</sst>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46207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69519.386450211867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240</v>
      </c>
      <c r="I10" s="236">
        <f t="shared" si="0"/>
        <v>17433.599999999999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1394.6879999999999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610.17600000000004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15428.735999999999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3294.9152542372885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93.618256271186439</v>
      </c>
      <c r="P10" s="119">
        <f t="shared" si="2"/>
        <v>18817.269510508475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240</v>
      </c>
      <c r="I11" s="236">
        <f t="shared" si="0"/>
        <v>17433.599999999999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1394.6879999999999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610.17600000000004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15428.735999999999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93.618256271186439</v>
      </c>
      <c r="P11" s="119">
        <f t="shared" si="2"/>
        <v>18817.269510508475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1859.5840000000001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813.5680000000001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20571.648000000001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124.82434169491526</v>
      </c>
      <c r="P12" s="119">
        <f t="shared" si="2"/>
        <v>25089.692680677967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920</v>
      </c>
      <c r="I16" s="114">
        <f t="shared" si="3"/>
        <v>64407.5</v>
      </c>
      <c r="J16" s="274">
        <f>SUM(J7:J15)</f>
        <v>5152.5999999999995</v>
      </c>
      <c r="K16" s="275">
        <f t="shared" si="3"/>
        <v>2254.2625000000003</v>
      </c>
      <c r="L16" s="276">
        <f t="shared" si="3"/>
        <v>0</v>
      </c>
      <c r="M16" s="232">
        <f t="shared" si="3"/>
        <v>57000.637499999997</v>
      </c>
      <c r="N16" s="233">
        <f>SUM(N7:N15)</f>
        <v>12172.881355932204</v>
      </c>
      <c r="O16" s="101">
        <f>SUM(O7:O15)</f>
        <v>345.86759427966103</v>
      </c>
      <c r="P16" s="234">
        <f>SUM(P7:P15)</f>
        <v>69519.386450211867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64407.5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5152.5999999999995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2254.2625000000003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57000.637500000004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12172.881355932204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69173.518855932212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345.86759427966103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69519.386450211867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69519.386450211867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6" workbookViewId="0">
      <selection activeCell="I26" sqref="I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46207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46206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240</v>
      </c>
      <c r="I19" s="236">
        <f t="shared" si="7"/>
        <v>17433.599999999999</v>
      </c>
      <c r="J19" s="272">
        <f t="shared" si="1"/>
        <v>1394.6879999999999</v>
      </c>
      <c r="K19" s="128">
        <f t="shared" si="1"/>
        <v>610.17600000000004</v>
      </c>
      <c r="L19" s="119">
        <f t="shared" si="1"/>
        <v>0</v>
      </c>
      <c r="M19" s="230">
        <f t="shared" si="2"/>
        <v>15428.735999999999</v>
      </c>
      <c r="N19" s="277">
        <f t="shared" si="3"/>
        <v>3294.9152542372885</v>
      </c>
      <c r="O19" s="239">
        <f t="shared" si="4"/>
        <v>93.618256271186439</v>
      </c>
      <c r="P19" s="119">
        <f t="shared" si="5"/>
        <v>18817.269510508475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240</v>
      </c>
      <c r="I20" s="236">
        <f t="shared" si="7"/>
        <v>17433.599999999999</v>
      </c>
      <c r="J20" s="272">
        <f t="shared" si="1"/>
        <v>1394.6879999999999</v>
      </c>
      <c r="K20" s="128">
        <f t="shared" si="1"/>
        <v>610.17600000000004</v>
      </c>
      <c r="L20" s="119">
        <f t="shared" si="1"/>
        <v>0</v>
      </c>
      <c r="M20" s="230">
        <f t="shared" si="2"/>
        <v>15428.735999999999</v>
      </c>
      <c r="N20" s="277">
        <f t="shared" si="3"/>
        <v>3294.9152542372885</v>
      </c>
      <c r="O20" s="239">
        <f t="shared" si="4"/>
        <v>93.618256271186439</v>
      </c>
      <c r="P20" s="119">
        <f t="shared" si="5"/>
        <v>18817.269510508475</v>
      </c>
      <c r="R20">
        <f>P20/21</f>
        <v>896.0604528813559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7"/>
        <v>23244.799999999999</v>
      </c>
      <c r="J21" s="272">
        <f t="shared" si="1"/>
        <v>1859.5840000000001</v>
      </c>
      <c r="K21" s="128">
        <f t="shared" si="1"/>
        <v>813.5680000000001</v>
      </c>
      <c r="L21" s="119">
        <f t="shared" si="1"/>
        <v>0</v>
      </c>
      <c r="M21" s="230">
        <f t="shared" si="2"/>
        <v>20571.648000000001</v>
      </c>
      <c r="N21" s="277">
        <f t="shared" si="3"/>
        <v>4393.2203389830511</v>
      </c>
      <c r="O21" s="239">
        <f t="shared" si="4"/>
        <v>124.82434169491526</v>
      </c>
      <c r="P21" s="119">
        <f t="shared" si="5"/>
        <v>25089.692680677967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920</v>
      </c>
      <c r="I25" s="114">
        <f t="shared" ref="I25:M25" si="10">SUM(I16:I24)</f>
        <v>64407.5</v>
      </c>
      <c r="J25" s="274">
        <f>SUM(J16:J24)</f>
        <v>5152.5999999999995</v>
      </c>
      <c r="K25" s="275">
        <f t="shared" si="10"/>
        <v>2254.2625000000003</v>
      </c>
      <c r="L25" s="276">
        <f t="shared" si="10"/>
        <v>0</v>
      </c>
      <c r="M25" s="232">
        <f t="shared" si="10"/>
        <v>57000.637499999997</v>
      </c>
      <c r="N25" s="233">
        <f>SUM(N16:N24)</f>
        <v>12172.881355932204</v>
      </c>
      <c r="O25" s="101">
        <f>SUM(O16:O24)</f>
        <v>345.86759427966103</v>
      </c>
      <c r="P25" s="234">
        <f>SUM(P16:P24)</f>
        <v>69519.386450211867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64407.5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5152.5999999999995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2254.2625000000003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57000.637500000004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12172.881355932204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69173.518855932212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345.86759427966109</v>
      </c>
    </row>
    <row r="35" spans="2:16" ht="15.75" customHeight="1" thickBot="1" x14ac:dyDescent="0.4">
      <c r="N35" s="363" t="s">
        <v>88</v>
      </c>
      <c r="O35" s="364"/>
      <c r="P35" s="297">
        <f>+P33+P34</f>
        <v>69519.386450211867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510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46228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46227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46228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46227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2026-07-24T12:41:07Z</dcterms:modified>
</cp:coreProperties>
</file>