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79B4D91A-46EE-4BBF-9110-87784BA38CCA}" xr6:coauthVersionLast="47" xr6:coauthVersionMax="47" xr10:uidLastSave="{00000000-0000-0000-0000-000000000000}"/>
  <bookViews>
    <workbookView xWindow="-110" yWindow="-110" windowWidth="19420" windowHeight="10420" tabRatio="949" activeTab="6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26" i="17" l="1"/>
  <c r="H26" i="19"/>
  <c r="H26" i="16"/>
  <c r="H20" i="17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24" i="35" l="1"/>
  <c r="I18" i="33"/>
  <c r="K18" i="33" s="1"/>
  <c r="I20" i="33"/>
  <c r="K20" i="33" s="1"/>
  <c r="I21" i="33"/>
  <c r="K21" i="33" s="1"/>
  <c r="I16" i="28"/>
  <c r="K16" i="28" s="1"/>
  <c r="I17" i="28"/>
  <c r="I18" i="28"/>
  <c r="I25" i="28" s="1"/>
  <c r="P28" i="28" s="1"/>
  <c r="I19" i="28"/>
  <c r="K19" i="28" s="1"/>
  <c r="I20" i="28"/>
  <c r="K20" i="28" s="1"/>
  <c r="I21" i="28"/>
  <c r="I22" i="28"/>
  <c r="K22" i="28" s="1"/>
  <c r="I23" i="28"/>
  <c r="L23" i="28" s="1"/>
  <c r="I24" i="28"/>
  <c r="K24" i="28" s="1"/>
  <c r="I22" i="32"/>
  <c r="I17" i="33"/>
  <c r="K17" i="33" s="1"/>
  <c r="I16" i="35"/>
  <c r="K16" i="35" s="1"/>
  <c r="I18" i="35"/>
  <c r="I19" i="35"/>
  <c r="K19" i="35" s="1"/>
  <c r="I20" i="35"/>
  <c r="K20" i="35" s="1"/>
  <c r="I21" i="35"/>
  <c r="K21" i="35" s="1"/>
  <c r="I22" i="35"/>
  <c r="I23" i="35"/>
  <c r="K23" i="35" s="1"/>
  <c r="I24" i="33"/>
  <c r="I17" i="35"/>
  <c r="K17" i="35" s="1"/>
  <c r="I16" i="30"/>
  <c r="L16" i="30" s="1"/>
  <c r="I17" i="30"/>
  <c r="K17" i="30" s="1"/>
  <c r="I18" i="30"/>
  <c r="K18" i="30" s="1"/>
  <c r="I19" i="30"/>
  <c r="K19" i="30" s="1"/>
  <c r="I20" i="30"/>
  <c r="I21" i="30"/>
  <c r="K21" i="30" s="1"/>
  <c r="I22" i="30"/>
  <c r="K22" i="30" s="1"/>
  <c r="I23" i="30"/>
  <c r="K23" i="30" s="1"/>
  <c r="I24" i="30"/>
  <c r="K24" i="30" s="1"/>
  <c r="I16" i="32"/>
  <c r="I17" i="32"/>
  <c r="I18" i="32"/>
  <c r="K18" i="32" s="1"/>
  <c r="I19" i="32"/>
  <c r="L19" i="32" s="1"/>
  <c r="I20" i="32"/>
  <c r="K20" i="32" s="1"/>
  <c r="I21" i="32"/>
  <c r="L21" i="32" s="1"/>
  <c r="I16" i="33"/>
  <c r="L16" i="33" s="1"/>
  <c r="I16" i="31"/>
  <c r="K16" i="31" s="1"/>
  <c r="I17" i="31"/>
  <c r="K17" i="31" s="1"/>
  <c r="I18" i="31"/>
  <c r="K18" i="31" s="1"/>
  <c r="I19" i="31"/>
  <c r="K19" i="31" s="1"/>
  <c r="I20" i="31"/>
  <c r="K20" i="31" s="1"/>
  <c r="I21" i="31"/>
  <c r="K21" i="31" s="1"/>
  <c r="I22" i="31"/>
  <c r="K22" i="31" s="1"/>
  <c r="I23" i="31"/>
  <c r="K23" i="31" s="1"/>
  <c r="I24" i="31"/>
  <c r="L24" i="31" s="1"/>
  <c r="I23" i="32"/>
  <c r="K23" i="32" s="1"/>
  <c r="I22" i="33"/>
  <c r="K22" i="33" s="1"/>
  <c r="I16" i="34"/>
  <c r="L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L22" i="34" s="1"/>
  <c r="I23" i="34"/>
  <c r="K23" i="34" s="1"/>
  <c r="I24" i="34"/>
  <c r="L24" i="34" s="1"/>
  <c r="I16" i="29"/>
  <c r="L16" i="29" s="1"/>
  <c r="I17" i="29"/>
  <c r="K17" i="29" s="1"/>
  <c r="I18" i="29"/>
  <c r="I19" i="29"/>
  <c r="K19" i="29" s="1"/>
  <c r="I20" i="29"/>
  <c r="K20" i="29" s="1"/>
  <c r="I21" i="29"/>
  <c r="L21" i="29" s="1"/>
  <c r="I22" i="29"/>
  <c r="K22" i="29" s="1"/>
  <c r="I23" i="29"/>
  <c r="L23" i="29" s="1"/>
  <c r="I24" i="29"/>
  <c r="I24" i="32"/>
  <c r="L24" i="32" s="1"/>
  <c r="I19" i="33"/>
  <c r="I23" i="33"/>
  <c r="L23" i="33" s="1"/>
  <c r="L18" i="33"/>
  <c r="M18" i="33" s="1"/>
  <c r="L16" i="35"/>
  <c r="K18" i="35"/>
  <c r="L18" i="35"/>
  <c r="L19" i="35"/>
  <c r="K22" i="35"/>
  <c r="L22" i="35"/>
  <c r="M22" i="35" s="1"/>
  <c r="L23" i="35"/>
  <c r="K24" i="35"/>
  <c r="L24" i="35"/>
  <c r="L17" i="34"/>
  <c r="L19" i="34"/>
  <c r="L21" i="34"/>
  <c r="L23" i="34"/>
  <c r="K24" i="34"/>
  <c r="K19" i="33"/>
  <c r="L19" i="33"/>
  <c r="K24" i="33"/>
  <c r="L24" i="33"/>
  <c r="L16" i="32"/>
  <c r="K17" i="32"/>
  <c r="L17" i="32"/>
  <c r="K19" i="32"/>
  <c r="L20" i="32"/>
  <c r="K21" i="32"/>
  <c r="L23" i="32"/>
  <c r="K22" i="32"/>
  <c r="L22" i="32"/>
  <c r="L22" i="31"/>
  <c r="K24" i="31"/>
  <c r="L16" i="31"/>
  <c r="L18" i="31"/>
  <c r="L20" i="31"/>
  <c r="L18" i="30"/>
  <c r="K20" i="30"/>
  <c r="L20" i="30"/>
  <c r="L21" i="30"/>
  <c r="K16" i="30"/>
  <c r="L22" i="30"/>
  <c r="L24" i="30"/>
  <c r="K16" i="29"/>
  <c r="K21" i="29"/>
  <c r="K24" i="29"/>
  <c r="L24" i="29"/>
  <c r="K18" i="29"/>
  <c r="L18" i="29"/>
  <c r="K17" i="28"/>
  <c r="L17" i="28"/>
  <c r="M17" i="28" s="1"/>
  <c r="K18" i="28"/>
  <c r="K21" i="28"/>
  <c r="L21" i="28"/>
  <c r="L22" i="28"/>
  <c r="K23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19" i="28" l="1"/>
  <c r="L23" i="30"/>
  <c r="L22" i="29"/>
  <c r="M22" i="29" s="1"/>
  <c r="N22" i="29" s="1"/>
  <c r="O22" i="29" s="1"/>
  <c r="L20" i="33"/>
  <c r="M20" i="33" s="1"/>
  <c r="N20" i="33" s="1"/>
  <c r="O20" i="33" s="1"/>
  <c r="L22" i="33"/>
  <c r="L20" i="35"/>
  <c r="L18" i="28"/>
  <c r="L19" i="30"/>
  <c r="M19" i="30" s="1"/>
  <c r="N19" i="30" s="1"/>
  <c r="O19" i="30" s="1"/>
  <c r="P19" i="30" s="1"/>
  <c r="L23" i="31"/>
  <c r="L17" i="31"/>
  <c r="L18" i="32"/>
  <c r="M17" i="33"/>
  <c r="K22" i="34"/>
  <c r="L17" i="33"/>
  <c r="I25" i="35"/>
  <c r="P28" i="35" s="1"/>
  <c r="M23" i="28"/>
  <c r="N23" i="28" s="1"/>
  <c r="O23" i="28" s="1"/>
  <c r="P23" i="28" s="1"/>
  <c r="K23" i="29"/>
  <c r="K24" i="32"/>
  <c r="M18" i="35"/>
  <c r="K23" i="33"/>
  <c r="M23" i="33" s="1"/>
  <c r="N23" i="33" s="1"/>
  <c r="O23" i="33" s="1"/>
  <c r="M24" i="30"/>
  <c r="M24" i="28"/>
  <c r="M17" i="35"/>
  <c r="N17" i="35" s="1"/>
  <c r="O17" i="35" s="1"/>
  <c r="M24" i="29"/>
  <c r="N24" i="29" s="1"/>
  <c r="O24" i="29" s="1"/>
  <c r="P24" i="29" s="1"/>
  <c r="M22" i="33"/>
  <c r="M24" i="35"/>
  <c r="L20" i="28"/>
  <c r="M20" i="28" s="1"/>
  <c r="N20" i="28" s="1"/>
  <c r="O20" i="28" s="1"/>
  <c r="P20" i="28" s="1"/>
  <c r="L16" i="28"/>
  <c r="L25" i="28" s="1"/>
  <c r="P29" i="28" s="1"/>
  <c r="L20" i="29"/>
  <c r="L21" i="33"/>
  <c r="M23" i="34"/>
  <c r="N23" i="34" s="1"/>
  <c r="O23" i="34" s="1"/>
  <c r="P23" i="34" s="1"/>
  <c r="L20" i="34"/>
  <c r="M20" i="34" s="1"/>
  <c r="N20" i="34" s="1"/>
  <c r="O20" i="34" s="1"/>
  <c r="L21" i="35"/>
  <c r="L17" i="35"/>
  <c r="L19" i="31"/>
  <c r="M19" i="31" s="1"/>
  <c r="N19" i="31" s="1"/>
  <c r="O19" i="31" s="1"/>
  <c r="K16" i="33"/>
  <c r="M16" i="33" s="1"/>
  <c r="I25" i="32"/>
  <c r="P28" i="32" s="1"/>
  <c r="M23" i="32"/>
  <c r="L17" i="30"/>
  <c r="M17" i="30" s="1"/>
  <c r="N17" i="30" s="1"/>
  <c r="O17" i="30" s="1"/>
  <c r="I25" i="30"/>
  <c r="P28" i="30" s="1"/>
  <c r="M24" i="31"/>
  <c r="L21" i="31"/>
  <c r="K16" i="32"/>
  <c r="M16" i="32" s="1"/>
  <c r="N16" i="32" s="1"/>
  <c r="M24" i="33"/>
  <c r="N24" i="33" s="1"/>
  <c r="O24" i="33" s="1"/>
  <c r="M23" i="35"/>
  <c r="M17" i="31"/>
  <c r="I16" i="27"/>
  <c r="K16" i="27" s="1"/>
  <c r="I17" i="27"/>
  <c r="L17" i="27" s="1"/>
  <c r="I18" i="27"/>
  <c r="L18" i="27" s="1"/>
  <c r="I19" i="27"/>
  <c r="I20" i="27"/>
  <c r="K20" i="27" s="1"/>
  <c r="I22" i="27"/>
  <c r="K22" i="27" s="1"/>
  <c r="I23" i="27"/>
  <c r="L23" i="27" s="1"/>
  <c r="I24" i="27"/>
  <c r="L17" i="29"/>
  <c r="M17" i="29" s="1"/>
  <c r="N17" i="29" s="1"/>
  <c r="O17" i="29" s="1"/>
  <c r="P17" i="29" s="1"/>
  <c r="L18" i="34"/>
  <c r="M18" i="34" s="1"/>
  <c r="N18" i="34" s="1"/>
  <c r="O18" i="34" s="1"/>
  <c r="P18" i="34" s="1"/>
  <c r="M24" i="34"/>
  <c r="I25" i="34"/>
  <c r="P28" i="34" s="1"/>
  <c r="M21" i="30"/>
  <c r="N21" i="30" s="1"/>
  <c r="O21" i="30" s="1"/>
  <c r="M24" i="32"/>
  <c r="N24" i="32" s="1"/>
  <c r="O24" i="32" s="1"/>
  <c r="P24" i="32" s="1"/>
  <c r="M23" i="30"/>
  <c r="M22" i="31"/>
  <c r="N22" i="31" s="1"/>
  <c r="O22" i="31" s="1"/>
  <c r="P22" i="31" s="1"/>
  <c r="M21" i="35"/>
  <c r="N21" i="35" s="1"/>
  <c r="O21" i="35" s="1"/>
  <c r="I16" i="26"/>
  <c r="I17" i="26"/>
  <c r="K17" i="26" s="1"/>
  <c r="I18" i="26"/>
  <c r="K18" i="26" s="1"/>
  <c r="I19" i="26"/>
  <c r="L19" i="26" s="1"/>
  <c r="I20" i="26"/>
  <c r="I21" i="26"/>
  <c r="K21" i="26" s="1"/>
  <c r="I22" i="26"/>
  <c r="K22" i="26" s="1"/>
  <c r="I23" i="26"/>
  <c r="K23" i="26" s="1"/>
  <c r="I24" i="26"/>
  <c r="I21" i="27"/>
  <c r="L21" i="27" s="1"/>
  <c r="M18" i="28"/>
  <c r="N18" i="28" s="1"/>
  <c r="O18" i="28" s="1"/>
  <c r="P18" i="28" s="1"/>
  <c r="M20" i="29"/>
  <c r="N20" i="29" s="1"/>
  <c r="O20" i="29" s="1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I25" i="33"/>
  <c r="P28" i="33" s="1"/>
  <c r="L19" i="29"/>
  <c r="L25" i="29" s="1"/>
  <c r="P29" i="29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19" i="33"/>
  <c r="N19" i="33" s="1"/>
  <c r="O19" i="33" s="1"/>
  <c r="M19" i="34"/>
  <c r="N19" i="34" s="1"/>
  <c r="O19" i="34" s="1"/>
  <c r="M19" i="28"/>
  <c r="M16" i="29"/>
  <c r="N16" i="29" s="1"/>
  <c r="M17" i="34"/>
  <c r="N17" i="34" s="1"/>
  <c r="O17" i="34" s="1"/>
  <c r="M18" i="32"/>
  <c r="N18" i="32" s="1"/>
  <c r="O18" i="32" s="1"/>
  <c r="M19" i="35"/>
  <c r="N19" i="35" s="1"/>
  <c r="O19" i="35" s="1"/>
  <c r="M20" i="31"/>
  <c r="N20" i="31" s="1"/>
  <c r="O20" i="31" s="1"/>
  <c r="M20" i="35"/>
  <c r="N20" i="35" s="1"/>
  <c r="O20" i="35" s="1"/>
  <c r="P20" i="35" s="1"/>
  <c r="M21" i="29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N21" i="28" s="1"/>
  <c r="O21" i="28" s="1"/>
  <c r="M20" i="32"/>
  <c r="N20" i="32" s="1"/>
  <c r="O20" i="32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6" i="30"/>
  <c r="N16" i="30" s="1"/>
  <c r="M20" i="30"/>
  <c r="N20" i="30" s="1"/>
  <c r="O20" i="30" s="1"/>
  <c r="L25" i="30"/>
  <c r="P29" i="30" s="1"/>
  <c r="N24" i="35"/>
  <c r="O24" i="35" s="1"/>
  <c r="P24" i="35" s="1"/>
  <c r="N18" i="35"/>
  <c r="O18" i="35" s="1"/>
  <c r="N22" i="35"/>
  <c r="O22" i="35" s="1"/>
  <c r="K25" i="35"/>
  <c r="P30" i="35" s="1"/>
  <c r="N23" i="35"/>
  <c r="O23" i="35" s="1"/>
  <c r="L25" i="35"/>
  <c r="P29" i="35" s="1"/>
  <c r="M16" i="35"/>
  <c r="N24" i="34"/>
  <c r="O24" i="34" s="1"/>
  <c r="K25" i="34"/>
  <c r="P30" i="34" s="1"/>
  <c r="N16" i="34"/>
  <c r="N18" i="33"/>
  <c r="O18" i="33" s="1"/>
  <c r="N21" i="33"/>
  <c r="O21" i="33" s="1"/>
  <c r="N17" i="33"/>
  <c r="O17" i="33" s="1"/>
  <c r="N22" i="33"/>
  <c r="O22" i="33" s="1"/>
  <c r="N23" i="32"/>
  <c r="O23" i="32" s="1"/>
  <c r="L25" i="32"/>
  <c r="P29" i="32" s="1"/>
  <c r="N24" i="31"/>
  <c r="O24" i="31" s="1"/>
  <c r="N23" i="31"/>
  <c r="O23" i="31" s="1"/>
  <c r="N17" i="31"/>
  <c r="O17" i="31" s="1"/>
  <c r="M16" i="31"/>
  <c r="K25" i="31"/>
  <c r="P30" i="31" s="1"/>
  <c r="K25" i="30"/>
  <c r="P30" i="30" s="1"/>
  <c r="N24" i="30"/>
  <c r="O24" i="30" s="1"/>
  <c r="P24" i="30" s="1"/>
  <c r="N22" i="30"/>
  <c r="O22" i="30" s="1"/>
  <c r="P22" i="30" s="1"/>
  <c r="N23" i="30"/>
  <c r="O23" i="30" s="1"/>
  <c r="N21" i="29"/>
  <c r="O21" i="29" s="1"/>
  <c r="N23" i="29"/>
  <c r="O23" i="29" s="1"/>
  <c r="K25" i="29"/>
  <c r="P30" i="29" s="1"/>
  <c r="N24" i="28"/>
  <c r="O24" i="28" s="1"/>
  <c r="P24" i="28" s="1"/>
  <c r="K25" i="28"/>
  <c r="P30" i="28" s="1"/>
  <c r="N19" i="28"/>
  <c r="O19" i="28" s="1"/>
  <c r="N17" i="28"/>
  <c r="O17" i="28" s="1"/>
  <c r="J25" i="15"/>
  <c r="L16" i="27"/>
  <c r="K21" i="27"/>
  <c r="K24" i="27"/>
  <c r="L24" i="27"/>
  <c r="K19" i="27"/>
  <c r="L19" i="27"/>
  <c r="K18" i="27"/>
  <c r="K20" i="26"/>
  <c r="L20" i="26"/>
  <c r="K24" i="26"/>
  <c r="L24" i="26"/>
  <c r="K16" i="26"/>
  <c r="L16" i="26"/>
  <c r="T23" i="15"/>
  <c r="T22" i="15"/>
  <c r="T21" i="15"/>
  <c r="T20" i="15"/>
  <c r="T19" i="15"/>
  <c r="T18" i="15"/>
  <c r="T17" i="15"/>
  <c r="T16" i="15"/>
  <c r="T15" i="15"/>
  <c r="T14" i="15"/>
  <c r="L23" i="26" l="1"/>
  <c r="L25" i="33"/>
  <c r="P29" i="33" s="1"/>
  <c r="L22" i="26"/>
  <c r="L20" i="27"/>
  <c r="M20" i="27" s="1"/>
  <c r="N20" i="27" s="1"/>
  <c r="O20" i="27" s="1"/>
  <c r="L25" i="34"/>
  <c r="P29" i="34" s="1"/>
  <c r="K19" i="26"/>
  <c r="K17" i="27"/>
  <c r="M19" i="29"/>
  <c r="N19" i="29" s="1"/>
  <c r="O19" i="29" s="1"/>
  <c r="L22" i="27"/>
  <c r="K25" i="33"/>
  <c r="P30" i="33" s="1"/>
  <c r="L21" i="26"/>
  <c r="M21" i="26" s="1"/>
  <c r="N21" i="26" s="1"/>
  <c r="O21" i="26" s="1"/>
  <c r="L18" i="26"/>
  <c r="L25" i="26" s="1"/>
  <c r="P29" i="26" s="1"/>
  <c r="L17" i="26"/>
  <c r="M16" i="28"/>
  <c r="L25" i="31"/>
  <c r="P29" i="31" s="1"/>
  <c r="P31" i="31" s="1"/>
  <c r="K25" i="32"/>
  <c r="P30" i="32" s="1"/>
  <c r="P31" i="32" s="1"/>
  <c r="P24" i="34"/>
  <c r="P24" i="31"/>
  <c r="M24" i="26"/>
  <c r="I25" i="27"/>
  <c r="P28" i="27" s="1"/>
  <c r="K23" i="27"/>
  <c r="I25" i="26"/>
  <c r="P28" i="26" s="1"/>
  <c r="M23" i="27"/>
  <c r="N23" i="27" s="1"/>
  <c r="O23" i="27" s="1"/>
  <c r="P23" i="32"/>
  <c r="P23" i="31"/>
  <c r="M17" i="26"/>
  <c r="M25" i="34"/>
  <c r="P17" i="31"/>
  <c r="P18" i="29"/>
  <c r="P19" i="32"/>
  <c r="M25" i="32"/>
  <c r="P22" i="35"/>
  <c r="P17" i="32"/>
  <c r="P17" i="33"/>
  <c r="P21" i="31"/>
  <c r="P31" i="33"/>
  <c r="P20" i="31"/>
  <c r="P20" i="34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O16" i="29"/>
  <c r="P23" i="29"/>
  <c r="P22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3" i="26"/>
  <c r="N23" i="26" s="1"/>
  <c r="O23" i="26" s="1"/>
  <c r="P23" i="26" s="1"/>
  <c r="M24" i="27"/>
  <c r="N24" i="27" s="1"/>
  <c r="O24" i="27" s="1"/>
  <c r="M18" i="27"/>
  <c r="N18" i="27" s="1"/>
  <c r="O18" i="27" s="1"/>
  <c r="M22" i="27"/>
  <c r="N22" i="27" s="1"/>
  <c r="O22" i="27" s="1"/>
  <c r="M16" i="27"/>
  <c r="N16" i="27" s="1"/>
  <c r="M21" i="27"/>
  <c r="N21" i="27" s="1"/>
  <c r="M22" i="26"/>
  <c r="N22" i="26" s="1"/>
  <c r="O22" i="26" s="1"/>
  <c r="P22" i="26" s="1"/>
  <c r="M19" i="26"/>
  <c r="N19" i="26" s="1"/>
  <c r="O19" i="26" s="1"/>
  <c r="K25" i="27"/>
  <c r="P30" i="27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H26" i="22" s="1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B22" i="22"/>
  <c r="C22" i="22" s="1"/>
  <c r="F21" i="22"/>
  <c r="E21" i="22"/>
  <c r="D21" i="22"/>
  <c r="B21" i="22"/>
  <c r="C21" i="22" s="1"/>
  <c r="F20" i="22"/>
  <c r="E20" i="22"/>
  <c r="D20" i="22"/>
  <c r="B20" i="22"/>
  <c r="C20" i="22" s="1"/>
  <c r="F19" i="22"/>
  <c r="E19" i="22"/>
  <c r="D19" i="22"/>
  <c r="B19" i="22"/>
  <c r="C19" i="22" s="1"/>
  <c r="F18" i="22"/>
  <c r="E18" i="22"/>
  <c r="D18" i="22"/>
  <c r="B18" i="22"/>
  <c r="C18" i="22" s="1"/>
  <c r="F17" i="22"/>
  <c r="E17" i="22"/>
  <c r="D17" i="22"/>
  <c r="B17" i="22"/>
  <c r="C17" i="22" s="1"/>
  <c r="F16" i="22"/>
  <c r="E16" i="22"/>
  <c r="D16" i="22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H26" i="21" s="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5" i="18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7" l="1"/>
  <c r="P29" i="27" s="1"/>
  <c r="M25" i="29"/>
  <c r="M18" i="26"/>
  <c r="N18" i="26" s="1"/>
  <c r="O18" i="26" s="1"/>
  <c r="P19" i="29"/>
  <c r="N25" i="29"/>
  <c r="P32" i="29" s="1"/>
  <c r="P33" i="32"/>
  <c r="I16" i="22"/>
  <c r="L16" i="22" s="1"/>
  <c r="I17" i="22"/>
  <c r="L17" i="22" s="1"/>
  <c r="I18" i="22"/>
  <c r="L18" i="22" s="1"/>
  <c r="I19" i="22"/>
  <c r="L19" i="22" s="1"/>
  <c r="I20" i="22"/>
  <c r="I21" i="22"/>
  <c r="L21" i="22" s="1"/>
  <c r="I22" i="22"/>
  <c r="I16" i="25"/>
  <c r="L16" i="25" s="1"/>
  <c r="I17" i="25"/>
  <c r="I18" i="25"/>
  <c r="L18" i="25" s="1"/>
  <c r="I19" i="25"/>
  <c r="I20" i="25"/>
  <c r="K20" i="25" s="1"/>
  <c r="I22" i="25"/>
  <c r="K22" i="25" s="1"/>
  <c r="I23" i="25"/>
  <c r="L23" i="25" s="1"/>
  <c r="I24" i="25"/>
  <c r="L24" i="25" s="1"/>
  <c r="I21" i="18"/>
  <c r="K21" i="18" s="1"/>
  <c r="I22" i="18"/>
  <c r="L22" i="18" s="1"/>
  <c r="I24" i="18"/>
  <c r="L24" i="18" s="1"/>
  <c r="I19" i="19"/>
  <c r="L19" i="19" s="1"/>
  <c r="I20" i="19"/>
  <c r="K20" i="19" s="1"/>
  <c r="I21" i="19"/>
  <c r="I22" i="19"/>
  <c r="K22" i="19" s="1"/>
  <c r="I23" i="19"/>
  <c r="L23" i="19" s="1"/>
  <c r="I24" i="19"/>
  <c r="K24" i="19" s="1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L23" i="23" s="1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6" i="25"/>
  <c r="K24" i="25"/>
  <c r="L17" i="25"/>
  <c r="K17" i="25"/>
  <c r="K17" i="24"/>
  <c r="K21" i="24"/>
  <c r="K17" i="23"/>
  <c r="K16" i="22"/>
  <c r="K18" i="22"/>
  <c r="K20" i="22"/>
  <c r="L20" i="22"/>
  <c r="K22" i="22"/>
  <c r="L22" i="22"/>
  <c r="K17" i="22"/>
  <c r="L20" i="19"/>
  <c r="K18" i="19"/>
  <c r="L21" i="19"/>
  <c r="K21" i="19"/>
  <c r="L21" i="18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4" i="18" l="1"/>
  <c r="M24" i="18" s="1"/>
  <c r="K22" i="18"/>
  <c r="M22" i="18" s="1"/>
  <c r="L22" i="19"/>
  <c r="K21" i="22"/>
  <c r="M21" i="22" s="1"/>
  <c r="N21" i="22" s="1"/>
  <c r="O21" i="22" s="1"/>
  <c r="P21" i="22" s="1"/>
  <c r="K23" i="24"/>
  <c r="K23" i="25"/>
  <c r="L22" i="25"/>
  <c r="M22" i="25" s="1"/>
  <c r="N22" i="25" s="1"/>
  <c r="O22" i="25" s="1"/>
  <c r="K18" i="25"/>
  <c r="M18" i="25" s="1"/>
  <c r="N18" i="25" s="1"/>
  <c r="O18" i="25" s="1"/>
  <c r="P25" i="29"/>
  <c r="P18" i="26"/>
  <c r="L24" i="20"/>
  <c r="K21" i="21"/>
  <c r="L21" i="21"/>
  <c r="K20" i="21"/>
  <c r="L20" i="21"/>
  <c r="K19" i="21"/>
  <c r="L19" i="21"/>
  <c r="K18" i="21"/>
  <c r="L18" i="21"/>
  <c r="L24" i="19"/>
  <c r="L25" i="19" s="1"/>
  <c r="P29" i="19" s="1"/>
  <c r="L20" i="25"/>
  <c r="I25" i="25"/>
  <c r="P28" i="25" s="1"/>
  <c r="K23" i="20"/>
  <c r="M23" i="20" s="1"/>
  <c r="N23" i="20" s="1"/>
  <c r="O23" i="20" s="1"/>
  <c r="K19" i="22"/>
  <c r="K25" i="22" s="1"/>
  <c r="P30" i="22" s="1"/>
  <c r="K23" i="23"/>
  <c r="L18" i="17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M20" i="24" s="1"/>
  <c r="N20" i="24" s="1"/>
  <c r="O20" i="24" s="1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M17" i="19" s="1"/>
  <c r="N17" i="19" s="1"/>
  <c r="O17" i="19" s="1"/>
  <c r="L16" i="17"/>
  <c r="M16" i="17" s="1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M18" i="24" s="1"/>
  <c r="N18" i="24" s="1"/>
  <c r="O18" i="24" s="1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M23" i="18" s="1"/>
  <c r="N23" i="18" s="1"/>
  <c r="O23" i="18" s="1"/>
  <c r="O25" i="27"/>
  <c r="M23" i="25"/>
  <c r="N23" i="25" s="1"/>
  <c r="O23" i="25" s="1"/>
  <c r="P23" i="25" s="1"/>
  <c r="M16" i="24"/>
  <c r="N16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L19" i="23"/>
  <c r="M19" i="23" s="1"/>
  <c r="N19" i="23" s="1"/>
  <c r="O19" i="23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I25" i="18"/>
  <c r="P28" i="18" s="1"/>
  <c r="I25" i="17"/>
  <c r="P28" i="17" s="1"/>
  <c r="M20" i="25"/>
  <c r="N20" i="25" s="1"/>
  <c r="O20" i="25" s="1"/>
  <c r="M24" i="24"/>
  <c r="N24" i="24" s="1"/>
  <c r="O24" i="24" s="1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17" i="23"/>
  <c r="N17" i="23" s="1"/>
  <c r="O17" i="23" s="1"/>
  <c r="M18" i="17"/>
  <c r="N18" i="17" s="1"/>
  <c r="O18" i="17" s="1"/>
  <c r="M24" i="19"/>
  <c r="N24" i="19" s="1"/>
  <c r="O24" i="19" s="1"/>
  <c r="M20" i="22"/>
  <c r="N20" i="22" s="1"/>
  <c r="O20" i="22" s="1"/>
  <c r="M23" i="23"/>
  <c r="N23" i="23" s="1"/>
  <c r="O23" i="23" s="1"/>
  <c r="M21" i="25"/>
  <c r="N21" i="25" s="1"/>
  <c r="O21" i="25" s="1"/>
  <c r="P21" i="25" s="1"/>
  <c r="M16" i="25"/>
  <c r="N23" i="24"/>
  <c r="O23" i="24" s="1"/>
  <c r="M16" i="22"/>
  <c r="M21" i="21"/>
  <c r="N21" i="21" s="1"/>
  <c r="M21" i="19"/>
  <c r="N24" i="18"/>
  <c r="O24" i="18" s="1"/>
  <c r="N18" i="18"/>
  <c r="O18" i="18" s="1"/>
  <c r="N22" i="18"/>
  <c r="O22" i="18" s="1"/>
  <c r="I23" i="15"/>
  <c r="K25" i="24" l="1"/>
  <c r="P30" i="24" s="1"/>
  <c r="K25" i="25"/>
  <c r="P30" i="25" s="1"/>
  <c r="L21" i="15"/>
  <c r="M19" i="25"/>
  <c r="N19" i="25" s="1"/>
  <c r="O19" i="25" s="1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K23" i="16"/>
  <c r="K19" i="16"/>
  <c r="K19" i="15" s="1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N16" i="25"/>
  <c r="P18" i="25"/>
  <c r="P17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19" i="25" l="1"/>
  <c r="M25" i="25"/>
  <c r="M16" i="16"/>
  <c r="N16" i="16" s="1"/>
  <c r="M21" i="15"/>
  <c r="M16" i="15"/>
  <c r="P22" i="20"/>
  <c r="M25" i="20"/>
  <c r="M24" i="16"/>
  <c r="N24" i="16" s="1"/>
  <c r="O24" i="16" s="1"/>
  <c r="O24" i="15" s="1"/>
  <c r="P19" i="18"/>
  <c r="M25" i="18"/>
  <c r="M18" i="15"/>
  <c r="N16" i="18"/>
  <c r="N16" i="15" s="1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O16" i="17"/>
  <c r="O25" i="17" s="1"/>
  <c r="N25" i="17"/>
  <c r="P32" i="17" s="1"/>
  <c r="O16" i="16"/>
  <c r="N24" i="15" l="1"/>
  <c r="O16" i="18"/>
  <c r="N22" i="15"/>
  <c r="P25" i="20"/>
  <c r="N25" i="18"/>
  <c r="P32" i="18" s="1"/>
  <c r="P33" i="18" s="1"/>
  <c r="P34" i="18" s="1"/>
  <c r="P35" i="18" s="1"/>
  <c r="U16" i="15" s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<sst xmlns="http://schemas.openxmlformats.org/spreadsheetml/2006/main" count="1587" uniqueCount="127">
  <si>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</si>
  <si>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</si>
  <si>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</si>
  <si>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</si>
  <si>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</si>
  <si>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</si>
  <si>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</si>
  <si>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</si>
  <si>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</si>
  <si>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</si>
  <si>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</si>
  <si>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</si>
  <si>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</si>
  <si>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</si>
  <si>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</si>
  <si>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</si>
  <si>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</si>
  <si>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</si>
  <si>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</si>
  <si>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</si>
  <si>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</si>
  <si>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</si>
  <si>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</si>
  <si>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</si>
  <si>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</si>
  <si>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</si>
  <si>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</si>
  <si>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</si>
  <si>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</si>
  <si>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</si>
  <si>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</si>
  <si>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</si>
  <si>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</si>
  <si>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</si>
  <si>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</si>
  <si>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</si>
  <si>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</si>
  <si>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</si>
  <si>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</si>
  <si>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</si>
  <si>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</si>
  <si>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</si>
  <si>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</si>
  <si>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</si>
  <si>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</si>
  <si>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</si>
  <si>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</si>
  <si>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</si>
  <si>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</si>
  <si>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</si>
  <si>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</si>
  <si>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</si>
  <si>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</si>
  <si>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</si>
  <si>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</si>
  <si>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</si>
  <si>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</si>
  <si>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</si>
  <si>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</si>
  <si>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</si>
  <si>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</si>
  <si>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</si>
  <si>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</si>
  <si>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</si>
  <si>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</si>
  <si>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</si>
  <si>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</si>
  <si>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</si>
  <si>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</si>
  <si>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</si>
  <si>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</si>
  <si>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</si>
  <si>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</si>
  <si>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</si>
  <si>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</si>
  <si>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</si>
  <si>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</si>
  <si>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</si>
  <si>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</si>
  <si>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</si>
  <si>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</si>
  <si>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</si>
  <si>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</si>
  <si>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</si>
  <si>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</si>
  <si>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</si>
  <si>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</si>
  <si>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</si>
  <si>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</si>
  <si>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</si>
  <si>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</si>
  <si>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</si>
  <si>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</si>
  <si>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</si>
  <si>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</si>
  <si>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</si>
  <si>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</si>
  <si>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</si>
  <si>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</si>
  <si>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</si>
  <si>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</si>
  <si>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</si>
  <si>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</si>
  <si>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</si>
  <si>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Vacant_01</t>
  </si>
  <si>
    <t xml:space="preserve">Customer Name : 24/7 Mart </t>
  </si>
  <si>
    <t>Address: Askari 10</t>
  </si>
  <si>
    <t>Customer Name : Clinix</t>
  </si>
  <si>
    <t>Address: Multan Road</t>
  </si>
  <si>
    <t>Customer Name : Rafaqat &amp; Sons (Risen)</t>
  </si>
  <si>
    <t>Address: Sabza zaarr</t>
  </si>
  <si>
    <t>Customer Name : Rehman Garden (Risen)</t>
  </si>
  <si>
    <t>Address: Jharan wala Road (rehman Garden)</t>
  </si>
  <si>
    <t xml:space="preserve">Customer Name : Pak Madina </t>
  </si>
  <si>
    <t>7591263-6</t>
  </si>
  <si>
    <t>Ctns</t>
  </si>
  <si>
    <t>Shop Bill Summary (LMT)</t>
  </si>
  <si>
    <t>0150979-9</t>
  </si>
  <si>
    <t xml:space="preserve">Customer Name : Al fatah </t>
  </si>
  <si>
    <t xml:space="preserve">Address: Attari Darbaar </t>
  </si>
  <si>
    <t>4269497-3</t>
  </si>
  <si>
    <t xml:space="preserve">Customer Name : Jalal Sons </t>
  </si>
  <si>
    <t>Address: Bahria Archard</t>
  </si>
  <si>
    <t>9725069-2</t>
  </si>
  <si>
    <t>327787628553-1</t>
  </si>
  <si>
    <t>ok</t>
  </si>
  <si>
    <t>8822959-7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</si>
</sst>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5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7" fillId="0" borderId="0" xfId="0" applyFont="1" applyAlignment="1">
      <alignment horizontal="center" vertical="center"/>
    </xf>
    <xf numFmtId="165" fontId="0" fillId="0" borderId="0" xfId="0" applyNumberForma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27" sqref="H27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27" sqref="H27"/>
      <selection pane="topRight" activeCell="H27" sqref="H27"/>
      <selection pane="bottomLeft" activeCell="H27" sqref="H27"/>
      <selection pane="bottomRight" activeCell="H27" sqref="H2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5"/>
      <c r="B3" s="185"/>
      <c r="C3" s="185"/>
      <c r="D3" s="185"/>
      <c r="E3" s="185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</row>
    <row r="4" spans="1:29" x14ac:dyDescent="0.35">
      <c r="A4" s="187" t="s">
        <v>6</v>
      </c>
      <c r="B4" s="5" t="s">
        <v>7</v>
      </c>
      <c r="C4" s="5"/>
      <c r="D4" s="189" t="s">
        <v>8</v>
      </c>
      <c r="E4" s="191" t="s">
        <v>9</v>
      </c>
      <c r="F4" s="193" t="s">
        <v>3</v>
      </c>
      <c r="G4" s="193"/>
      <c r="H4" s="194" t="s">
        <v>10</v>
      </c>
      <c r="I4" s="194"/>
      <c r="J4" s="195" t="s">
        <v>11</v>
      </c>
      <c r="K4" s="196"/>
      <c r="L4" s="195" t="s">
        <v>12</v>
      </c>
      <c r="M4" s="196"/>
      <c r="N4" s="197" t="s">
        <v>13</v>
      </c>
      <c r="O4" s="197"/>
      <c r="P4" s="195" t="s">
        <v>4</v>
      </c>
      <c r="Q4" s="196"/>
      <c r="R4" s="195" t="s">
        <v>14</v>
      </c>
      <c r="S4" s="196"/>
      <c r="T4" s="198" t="s">
        <v>15</v>
      </c>
      <c r="U4" s="198"/>
      <c r="V4" s="199" t="s">
        <v>16</v>
      </c>
      <c r="W4" s="200"/>
      <c r="X4" s="199" t="s">
        <v>17</v>
      </c>
      <c r="Y4" s="200"/>
    </row>
    <row r="5" spans="1:29" ht="26.25" customHeight="1" thickBot="1" x14ac:dyDescent="0.4">
      <c r="A5" s="188"/>
      <c r="B5" s="7" t="s">
        <v>18</v>
      </c>
      <c r="C5" s="7" t="s">
        <v>8</v>
      </c>
      <c r="D5" s="190"/>
      <c r="E5" s="192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opLeftCell="A6" zoomScale="70" zoomScaleNormal="70" workbookViewId="0">
      <selection activeCell="S19" sqref="S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6.1796875" bestFit="1" customWidth="1"/>
    <col min="21" max="21" width="12.453125" customWidth="1"/>
  </cols>
  <sheetData>
    <row r="2" spans="1:22 16383:16384" ht="21" x14ac:dyDescent="0.5">
      <c r="A2" s="247" t="s">
        <v>45</v>
      </c>
      <c r="B2" s="247"/>
      <c r="C2" s="247"/>
    </row>
    <row r="3" spans="1:22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22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46326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22 16383:16384" ht="15" customHeight="1" x14ac:dyDescent="0.35">
      <c r="A5" s="246" t="s">
        <v>104</v>
      </c>
      <c r="B5" s="246"/>
      <c r="C5" s="246"/>
      <c r="F5" s="70"/>
      <c r="G5" s="71"/>
      <c r="K5" s="231" t="s">
        <v>51</v>
      </c>
      <c r="L5" s="231"/>
      <c r="M5" s="231"/>
      <c r="N5" s="245">
        <f ca="1">N4-1</f>
        <v>46325</v>
      </c>
      <c r="O5" s="232"/>
      <c r="P5" s="232"/>
      <c r="R5" s="70"/>
      <c r="S5" s="71"/>
    </row>
    <row r="6" spans="1:22 16383:16384" ht="15" customHeight="1" x14ac:dyDescent="0.35">
      <c r="A6" s="246"/>
      <c r="B6" s="246"/>
      <c r="C6" s="246"/>
      <c r="F6" s="70"/>
      <c r="G6" s="74"/>
      <c r="K6" s="231" t="s">
        <v>52</v>
      </c>
      <c r="L6" s="231"/>
      <c r="M6" s="231"/>
      <c r="N6" s="244" t="s">
        <v>42</v>
      </c>
      <c r="O6" s="244"/>
      <c r="P6" s="244"/>
      <c r="R6" s="70"/>
      <c r="S6" s="74"/>
      <c r="XFC6" t="s">
        <v>53</v>
      </c>
      <c r="XFD6" s="2">
        <v>0.18</v>
      </c>
    </row>
    <row r="7" spans="1:22 16383:16384" s="73" customFormat="1" hidden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22 16383:16384" ht="15" hidden="1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22 16383:16384" hidden="1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22 16383:16384" x14ac:dyDescent="0.35">
      <c r="A10" s="229"/>
      <c r="B10" s="75"/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22 16383:16384" ht="15" thickBot="1" x14ac:dyDescent="0.4">
      <c r="A11" s="229"/>
      <c r="B11" s="76"/>
      <c r="C11" s="77"/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22 16383:16384" ht="14.65" customHeight="1" x14ac:dyDescent="0.35">
      <c r="A12" s="229"/>
      <c r="B12" s="76"/>
      <c r="C12" s="77"/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T12" s="201" t="s">
        <v>116</v>
      </c>
      <c r="U12" s="203"/>
      <c r="V12" s="201" t="s">
        <v>115</v>
      </c>
      <c r="XFD12" t="s">
        <v>62</v>
      </c>
    </row>
    <row r="13" spans="1:22 16383:16384" ht="15" thickBot="1" x14ac:dyDescent="0.4">
      <c r="A13" s="230"/>
      <c r="J13" s="78"/>
      <c r="K13" s="78"/>
      <c r="L13" s="79">
        <v>0.05</v>
      </c>
      <c r="T13" s="202"/>
      <c r="U13" s="204"/>
      <c r="V13" s="202"/>
      <c r="XFD13" t="s">
        <v>63</v>
      </c>
    </row>
    <row r="14" spans="1:22 16383:16384" ht="29.25" customHeight="1" x14ac:dyDescent="0.6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39" t="s">
        <v>68</v>
      </c>
      <c r="H14" s="240"/>
      <c r="I14" s="240" t="s">
        <v>69</v>
      </c>
      <c r="J14" s="240" t="s">
        <v>70</v>
      </c>
      <c r="K14" s="240"/>
      <c r="L14" s="242"/>
      <c r="M14" s="234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24/7 Mart </v>
      </c>
      <c r="U14" s="164">
        <f>+'1'!P35</f>
        <v>17100.015524099999</v>
      </c>
      <c r="V14" s="183">
        <v>6</v>
      </c>
      <c r="XFD14" t="s">
        <v>75</v>
      </c>
    </row>
    <row r="15" spans="1:22 16383:16384" ht="29.25" customHeight="1" thickBot="1" x14ac:dyDescent="0.65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1"/>
      <c r="J15" s="171" t="s">
        <v>78</v>
      </c>
      <c r="K15" s="171" t="s">
        <v>79</v>
      </c>
      <c r="L15" s="174" t="s">
        <v>80</v>
      </c>
      <c r="M15" s="236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Clinix</v>
      </c>
      <c r="U15" s="164">
        <f>+'2'!P35</f>
        <v>912107.59071000014</v>
      </c>
      <c r="V15" s="183">
        <v>333</v>
      </c>
      <c r="XFD15" t="s">
        <v>81</v>
      </c>
    </row>
    <row r="16" spans="1:22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2040</v>
      </c>
      <c r="I16" s="1">
        <f>(G16*D16)*F16+H16*F16</f>
        <v>107023.5</v>
      </c>
      <c r="J16" s="172">
        <f>+'1'!J16+'2'!J16+'4'!J16+'3'!J16+'5'!J16+'6'!J16+'7'!J16+'8'!J16+'9'!J16+'10'!J16+'11'!J16+'12'!J16+'13'!J16+'14'!J16+'15'!J16+'16'!J16+'17'!J16+'18'!J16</f>
        <v>2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11709.630000000001</v>
      </c>
      <c r="M16" s="106">
        <f>I16-K16-L16</f>
        <v>95313.87</v>
      </c>
      <c r="N16" s="101">
        <f>+'1'!N16+'2'!N16+'4'!N16+'3'!N16+'5'!N16+'6'!N16+'7'!N16+'8'!N16+'9'!N16+'10'!N16</f>
        <v>17334.029699999999</v>
      </c>
      <c r="O16" s="101">
        <f>+'1'!O16+'2'!O16+'4'!O16+'3'!O16+'5'!O16+'6'!O16+'7'!O16+'8'!O16+'9'!O16+'10'!O16</f>
        <v>610.34662649999996</v>
      </c>
      <c r="P16" s="105">
        <f t="shared" ref="P16:P24" si="0">M16+N16+O16</f>
        <v>113258.2463265</v>
      </c>
      <c r="Q16" s="108"/>
      <c r="T16" s="163" t="str">
        <f>+'4'!A5</f>
        <v>Customer Name : Rehman Garden (Risen)</v>
      </c>
      <c r="U16" s="164">
        <f>+'4'!P35</f>
        <v>28707.019633199994</v>
      </c>
      <c r="V16" s="183">
        <v>12</v>
      </c>
      <c r="XFD16" t="s">
        <v>82</v>
      </c>
    </row>
    <row r="17" spans="1:22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4120</v>
      </c>
      <c r="I17" s="1">
        <f t="shared" ref="I17:I23" si="1">(G17*D17)*F17+H17*F17</f>
        <v>216145.5</v>
      </c>
      <c r="J17" s="172">
        <f>+'1'!J17+'2'!J17+'4'!J17+'3'!J17+'5'!J17+'6'!J17+'7'!J17+'8'!J17+'9'!J17+'10'!J17+'11'!J17+'12'!J17+'13'!J17+'14'!J17+'15'!J17+'16'!J17+'17'!J17+'18'!J17</f>
        <v>2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20439.39</v>
      </c>
      <c r="M17" s="118">
        <f t="shared" ref="M17:M23" si="2">I17-K17-L17</f>
        <v>195706.11</v>
      </c>
      <c r="N17" s="101">
        <f>+'1'!N17+'2'!N17+'4'!N17+'3'!N17+'5'!N17+'6'!N17+'7'!N17+'8'!N17+'9'!N17+'10'!N17</f>
        <v>35327.408100000001</v>
      </c>
      <c r="O17" s="101">
        <f>+'1'!O17+'2'!O17+'4'!O17+'3'!O17+'5'!O17+'6'!O17+'7'!O17+'8'!O17+'9'!O17+'10'!O17</f>
        <v>1155.1675905</v>
      </c>
      <c r="P17" s="120">
        <f t="shared" si="0"/>
        <v>232188.68569049999</v>
      </c>
      <c r="S17" s="64"/>
      <c r="T17" s="163" t="str">
        <f>+'3'!A5</f>
        <v>Customer Name : Rafaqat &amp; Sons (Risen)</v>
      </c>
      <c r="U17" s="164">
        <f>+'3'!P35</f>
        <v>23599.590256800002</v>
      </c>
      <c r="V17" s="183">
        <v>8</v>
      </c>
      <c r="XFD17" t="s">
        <v>83</v>
      </c>
    </row>
    <row r="18" spans="1:22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3320</v>
      </c>
      <c r="I18" s="1">
        <f t="shared" si="1"/>
        <v>174175.5</v>
      </c>
      <c r="J18" s="172">
        <f>+'1'!J18+'2'!J18+'4'!J18+'3'!J18+'5'!J18+'6'!J18+'7'!J18+'8'!J18+'9'!J18+'10'!J18+'11'!J18+'12'!J18+'13'!J18+'14'!J18+'15'!J18+'16'!J18+'17'!J18+'18'!J18</f>
        <v>2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20229.54</v>
      </c>
      <c r="M18" s="118">
        <f t="shared" si="2"/>
        <v>153945.96</v>
      </c>
      <c r="N18" s="101">
        <f>+'1'!N18+'2'!N18+'4'!N18+'3'!N18+'5'!N18+'6'!N18+'7'!N18+'8'!N18+'9'!N18+'10'!N18</f>
        <v>27887.805900000003</v>
      </c>
      <c r="O18" s="101">
        <f>+'1'!O18+'2'!O18+'4'!O18+'3'!O18+'5'!O18+'6'!O18+'7'!O18+'8'!O18+'9'!O18+'10'!O18</f>
        <v>956.2759575</v>
      </c>
      <c r="P18" s="120">
        <f t="shared" si="0"/>
        <v>182790.04185750001</v>
      </c>
      <c r="T18" s="163" t="str">
        <f>+'5'!A5</f>
        <v xml:space="preserve">Customer Name : Pak Madina </v>
      </c>
      <c r="U18" s="164">
        <f>+'5'!P35</f>
        <v>13309.524181000001</v>
      </c>
      <c r="V18" s="183">
        <v>5</v>
      </c>
    </row>
    <row r="19" spans="1:22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2040</v>
      </c>
      <c r="I19" s="1">
        <f t="shared" si="1"/>
        <v>148185.60000000001</v>
      </c>
      <c r="J19" s="172">
        <f>+'1'!J19+'2'!J19+'4'!J19+'3'!J19+'5'!J19+'6'!J19+'7'!J19+'8'!J19+'9'!J19+'10'!J19+'11'!J19+'12'!J19+'13'!J19+'14'!J19+'15'!J19+'16'!J19+'17'!J19+'18'!J19</f>
        <v>2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24930.048000000003</v>
      </c>
      <c r="M19" s="118">
        <f t="shared" si="2"/>
        <v>123255.552</v>
      </c>
      <c r="N19" s="101">
        <f>+'1'!N19+'2'!N19+'4'!N19+'3'!N19+'5'!N19+'6'!N19+'7'!N19+'8'!N19+'9'!N19+'10'!N19</f>
        <v>22431.813119999999</v>
      </c>
      <c r="O19" s="101">
        <f>+'1'!O19+'2'!O19+'4'!O19+'3'!O19+'5'!O19+'6'!O19+'7'!O19+'8'!O19+'9'!O19+'10'!O19</f>
        <v>793.66173439999989</v>
      </c>
      <c r="P19" s="120">
        <f t="shared" si="0"/>
        <v>146481.0268544</v>
      </c>
      <c r="T19" s="163" t="str">
        <f>+'6'!A5</f>
        <v xml:space="preserve">Customer Name : Al fatah </v>
      </c>
      <c r="U19" s="164">
        <f>+'6'!P35</f>
        <v>419118.833124</v>
      </c>
    </row>
    <row r="20" spans="1:22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6440</v>
      </c>
      <c r="I20" s="1">
        <f t="shared" si="1"/>
        <v>467801.59999999998</v>
      </c>
      <c r="J20" s="172">
        <f>+'1'!J20+'2'!J20+'4'!J20+'3'!J20+'5'!J20+'6'!J20+'7'!J20+'8'!J20+'9'!J20+'10'!J20+'11'!J20+'12'!J20+'13'!J20+'14'!J20+'15'!J20+'16'!J20+'17'!J20+'18'!J20</f>
        <v>2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46140.928</v>
      </c>
      <c r="M20" s="118">
        <f t="shared" si="2"/>
        <v>421660.67199999996</v>
      </c>
      <c r="N20" s="101">
        <f>+'1'!N20+'2'!N20+'4'!N20+'3'!N20+'5'!N20+'6'!N20+'7'!N20+'8'!N20+'9'!N20+'10'!N20</f>
        <v>76144.734719999993</v>
      </c>
      <c r="O20" s="101">
        <f>+'1'!O20+'2'!O20+'4'!O20+'3'!O20+'5'!O20+'6'!O20+'7'!O20+'8'!O20+'9'!O20+'10'!O20</f>
        <v>2554.2519424000006</v>
      </c>
      <c r="P20" s="120">
        <f t="shared" si="0"/>
        <v>500359.65866239998</v>
      </c>
      <c r="T20" s="163" t="str">
        <f>+'7'!A5</f>
        <v xml:space="preserve">Customer Name : Jalal Sons </v>
      </c>
      <c r="U20" s="164">
        <f>+'7'!P35</f>
        <v>10028.329728000001</v>
      </c>
    </row>
    <row r="21" spans="1:22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3240</v>
      </c>
      <c r="I21" s="1">
        <f t="shared" si="1"/>
        <v>235353.60000000001</v>
      </c>
      <c r="J21" s="172">
        <f>+'1'!J21+'2'!J21+'4'!J21+'3'!J21+'5'!J21+'6'!J21+'7'!J21+'8'!J21+'9'!J21+'10'!J21+'11'!J21+'12'!J21+'13'!J21+'14'!J21+'15'!J21+'16'!J21+'17'!J21+'18'!J21</f>
        <v>2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27545.088</v>
      </c>
      <c r="M21" s="118">
        <f t="shared" si="2"/>
        <v>207808.51200000002</v>
      </c>
      <c r="N21" s="101">
        <f>+'1'!N21+'2'!N21+'4'!N21+'3'!N21+'5'!N21+'6'!N21+'7'!N21+'8'!N21+'9'!N21+'10'!N21</f>
        <v>37865.198079999995</v>
      </c>
      <c r="O21" s="101">
        <f>+'1'!O21+'2'!O21+'4'!O21+'3'!O21+'5'!O21+'6'!O21+'7'!O21+'8'!O21+'9'!O21+'10'!O21</f>
        <v>1424.0432768000001</v>
      </c>
      <c r="P21" s="120">
        <f t="shared" si="0"/>
        <v>247097.75335680001</v>
      </c>
      <c r="T21" s="163" t="str">
        <f>+'8'!A5</f>
        <v xml:space="preserve">Customer Name : </v>
      </c>
      <c r="U21" s="164">
        <f>+'8'!P35</f>
        <v>0</v>
      </c>
    </row>
    <row r="22" spans="1:22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40</v>
      </c>
      <c r="I22" s="1">
        <f t="shared" si="1"/>
        <v>1569.2000000000003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54.922000000000011</v>
      </c>
      <c r="L22" s="175">
        <f>+'1'!L22+'2'!L22+'4'!L22+'3'!L22+'5'!L22+'6'!L22+'7'!L22+'8'!L22+'9'!L22+'10'!L22</f>
        <v>78.460000000000022</v>
      </c>
      <c r="M22" s="118">
        <f t="shared" si="2"/>
        <v>1435.8180000000002</v>
      </c>
      <c r="N22" s="101">
        <f>+'1'!N22+'2'!N22+'4'!N22+'3'!N22+'5'!N22+'6'!N22+'7'!N22+'8'!N22+'9'!N22+'10'!N22</f>
        <v>315.87996000000004</v>
      </c>
      <c r="O22" s="101">
        <f>+'1'!O22+'2'!O22+'4'!O22+'3'!O22+'5'!O22+'6'!O22+'7'!O22+'8'!O22+'9'!O22+'10'!O22</f>
        <v>43.792449000000005</v>
      </c>
      <c r="P22" s="120">
        <f t="shared" si="0"/>
        <v>1795.4904090000002</v>
      </c>
      <c r="T22" s="163" t="str">
        <f>+'9'!A5</f>
        <v xml:space="preserve">Customer Name : </v>
      </c>
      <c r="U22" s="164">
        <f>+'9'!P35</f>
        <v>0</v>
      </c>
    </row>
    <row r="23" spans="1:22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2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2 16384:16384" ht="26.5" thickBot="1" x14ac:dyDescent="0.65">
      <c r="A25" s="211" t="s">
        <v>84</v>
      </c>
      <c r="B25" s="212"/>
      <c r="C25" s="213">
        <f>H25/40</f>
        <v>531</v>
      </c>
      <c r="D25" s="207"/>
      <c r="E25" s="207"/>
      <c r="F25" s="207"/>
      <c r="G25" s="176">
        <f t="shared" ref="G25:M25" si="3">SUM(G16:G24)</f>
        <v>0</v>
      </c>
      <c r="H25" s="177">
        <f t="shared" si="3"/>
        <v>21240</v>
      </c>
      <c r="I25" s="178">
        <f t="shared" si="3"/>
        <v>1350254.5</v>
      </c>
      <c r="J25" s="177">
        <f t="shared" si="3"/>
        <v>12</v>
      </c>
      <c r="K25" s="178">
        <f t="shared" si="3"/>
        <v>54.922000000000011</v>
      </c>
      <c r="L25" s="179">
        <f t="shared" si="3"/>
        <v>151073.084</v>
      </c>
      <c r="M25" s="141">
        <f t="shared" si="3"/>
        <v>1199126.4939999999</v>
      </c>
      <c r="N25" s="142">
        <f>SUM(N16:N24)</f>
        <v>217306.86958</v>
      </c>
      <c r="O25" s="143">
        <f>SUM(O16:O24)</f>
        <v>7537.5395771000003</v>
      </c>
      <c r="P25" s="144">
        <f>SUM(P16:P24)</f>
        <v>1423970.9031571001</v>
      </c>
      <c r="T25" s="163" t="str">
        <f>+'12'!A5</f>
        <v xml:space="preserve">Customer Name : </v>
      </c>
      <c r="U25" s="164">
        <f>+'12'!P35</f>
        <v>0</v>
      </c>
    </row>
    <row r="26" spans="1:22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2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2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2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2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1423970.9031571003</v>
      </c>
    </row>
    <row r="31" spans="1:22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2 16384:16384" x14ac:dyDescent="0.35">
      <c r="B32" s="214" t="s">
        <v>85</v>
      </c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N32" s="223" t="s">
        <v>86</v>
      </c>
      <c r="O32" s="224"/>
      <c r="P32" s="152">
        <f>I25</f>
        <v>1350254.5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N33" s="225" t="s">
        <v>87</v>
      </c>
      <c r="O33" s="226"/>
      <c r="P33" s="153">
        <f>L25</f>
        <v>151073.084</v>
      </c>
    </row>
    <row r="34" spans="2:16" ht="15" customHeight="1" x14ac:dyDescent="0.35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N34" s="225" t="s">
        <v>4</v>
      </c>
      <c r="O34" s="226"/>
      <c r="P34" s="154">
        <f>K25</f>
        <v>54.922000000000011</v>
      </c>
    </row>
    <row r="35" spans="2:16" ht="15" customHeight="1" x14ac:dyDescent="0.35">
      <c r="B35" s="217"/>
      <c r="C35" s="218"/>
      <c r="D35" s="218"/>
      <c r="E35" s="218"/>
      <c r="F35" s="218"/>
      <c r="G35" s="218"/>
      <c r="H35" s="218"/>
      <c r="I35" s="218"/>
      <c r="J35" s="218"/>
      <c r="K35" s="218"/>
      <c r="L35" s="219"/>
      <c r="M35" s="2"/>
      <c r="N35" s="225" t="s">
        <v>88</v>
      </c>
      <c r="O35" s="226"/>
      <c r="P35" s="153">
        <f>P32-P33-P34</f>
        <v>1199126.4939999999</v>
      </c>
    </row>
    <row r="36" spans="2:16" ht="15" customHeight="1" x14ac:dyDescent="0.35">
      <c r="B36" s="217"/>
      <c r="C36" s="218"/>
      <c r="D36" s="218"/>
      <c r="E36" s="218"/>
      <c r="F36" s="218"/>
      <c r="G36" s="218"/>
      <c r="H36" s="218"/>
      <c r="I36" s="218"/>
      <c r="J36" s="218"/>
      <c r="K36" s="218"/>
      <c r="L36" s="219"/>
      <c r="M36" s="2"/>
      <c r="N36" s="155" t="s">
        <v>89</v>
      </c>
      <c r="O36" s="156">
        <f>IF(B12="Registered",18%,22%)</f>
        <v>0.22</v>
      </c>
      <c r="P36" s="153">
        <f>N25</f>
        <v>217306.86958</v>
      </c>
    </row>
    <row r="37" spans="2:16" ht="15" customHeight="1" x14ac:dyDescent="0.35">
      <c r="B37" s="217"/>
      <c r="C37" s="218"/>
      <c r="D37" s="218"/>
      <c r="E37" s="218"/>
      <c r="F37" s="218"/>
      <c r="G37" s="218"/>
      <c r="H37" s="218"/>
      <c r="I37" s="218"/>
      <c r="J37" s="218"/>
      <c r="K37" s="218"/>
      <c r="L37" s="219"/>
      <c r="M37" s="2"/>
      <c r="N37" s="227" t="s">
        <v>90</v>
      </c>
      <c r="O37" s="228"/>
      <c r="P37" s="153">
        <f>P35+P36</f>
        <v>1416433.3635799999</v>
      </c>
    </row>
    <row r="38" spans="2:16" ht="15" customHeight="1" thickBot="1" x14ac:dyDescent="0.4">
      <c r="B38" s="220"/>
      <c r="C38" s="221"/>
      <c r="D38" s="221"/>
      <c r="E38" s="221"/>
      <c r="F38" s="221"/>
      <c r="G38" s="221"/>
      <c r="H38" s="221"/>
      <c r="I38" s="221"/>
      <c r="J38" s="221"/>
      <c r="K38" s="221"/>
      <c r="L38" s="222"/>
      <c r="M38" s="157"/>
      <c r="N38" s="158" t="s">
        <v>91</v>
      </c>
      <c r="O38" s="159">
        <f>IF(B11="Filer",0.5%,2.5%)</f>
        <v>2.5000000000000001E-2</v>
      </c>
      <c r="P38" s="153">
        <f>O38*P37</f>
        <v>35410.8340895</v>
      </c>
    </row>
    <row r="39" spans="2:16" ht="15.75" customHeight="1" thickBot="1" x14ac:dyDescent="0.4">
      <c r="N39" s="205" t="s">
        <v>92</v>
      </c>
      <c r="O39" s="206"/>
      <c r="P39" s="160">
        <f>P37+P38</f>
        <v>1451844.1976694998</v>
      </c>
    </row>
    <row r="40" spans="2:16" ht="15" thickBot="1" x14ac:dyDescent="0.4">
      <c r="B40" s="161" t="s">
        <v>93</v>
      </c>
      <c r="C40" s="207"/>
      <c r="D40" s="207"/>
      <c r="E40" s="207"/>
      <c r="F40" s="207"/>
      <c r="G40" s="207"/>
      <c r="H40" s="207"/>
      <c r="I40" s="208"/>
      <c r="J40" s="209"/>
      <c r="K40" s="210"/>
    </row>
    <row r="41" spans="2:16" ht="15.75" customHeight="1" x14ac:dyDescent="0.35"/>
  </sheetData>
  <mergeCells count="48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25:B25"/>
    <mergeCell ref="C25:F25"/>
    <mergeCell ref="B32:L38"/>
    <mergeCell ref="N32:O32"/>
    <mergeCell ref="N33:O33"/>
    <mergeCell ref="N34:O34"/>
    <mergeCell ref="N35:O35"/>
    <mergeCell ref="N37:O37"/>
    <mergeCell ref="V12:V13"/>
    <mergeCell ref="T12:U13"/>
    <mergeCell ref="N39:O39"/>
    <mergeCell ref="C40:I40"/>
    <mergeCell ref="J40:K40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FD37"/>
  <sheetViews>
    <sheetView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1" spans="1:19 16383:16384" x14ac:dyDescent="0.35">
      <c r="M1" t="s">
        <v>125</v>
      </c>
    </row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46326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105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46325</v>
      </c>
      <c r="O5" s="232"/>
      <c r="P5" s="232"/>
      <c r="R5" s="70"/>
      <c r="S5" s="71"/>
    </row>
    <row r="6" spans="1:19 16383:16384" ht="15" customHeight="1" x14ac:dyDescent="0.35">
      <c r="A6" s="231" t="s">
        <v>106</v>
      </c>
      <c r="B6" s="231"/>
      <c r="C6" s="231"/>
      <c r="F6" s="70"/>
      <c r="G6" s="74"/>
      <c r="K6" s="231" t="s">
        <v>52</v>
      </c>
      <c r="L6" s="231"/>
      <c r="M6" s="231"/>
      <c r="N6" s="244" t="s">
        <v>101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114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48</v>
      </c>
      <c r="C11" s="77" t="str">
        <f>IF($O34&gt;2.49%,"No","Yes")</f>
        <v>Yes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>
        <v>2</v>
      </c>
      <c r="K16" s="104">
        <f>I16*$K$13</f>
        <v>0</v>
      </c>
      <c r="L16" s="105">
        <f>I16*8%</f>
        <v>167.88</v>
      </c>
      <c r="M16" s="106">
        <f>I16-K16-L16</f>
        <v>1930.62</v>
      </c>
      <c r="N16" s="106">
        <f t="shared" ref="N16:N24" si="0">(M16*$N$15)+(J16*F16)*$N$15</f>
        <v>447.81990000000002</v>
      </c>
      <c r="O16" s="107">
        <f t="shared" ref="O16:O24" si="1">(N16+M16)*$O$15</f>
        <v>11.8921995</v>
      </c>
      <c r="P16" s="105">
        <f t="shared" ref="P16:P24" si="2">M16+N16+O16</f>
        <v>2390.3320994999999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3">(G17*D17)*F17+H17*F17</f>
        <v>2098.5</v>
      </c>
      <c r="J17" s="117">
        <v>2</v>
      </c>
      <c r="K17" s="1">
        <f t="shared" ref="K17:K21" si="4">I17*$K$13</f>
        <v>0</v>
      </c>
      <c r="L17" s="105">
        <f t="shared" ref="L17:L21" si="5">I17*8%</f>
        <v>167.88</v>
      </c>
      <c r="M17" s="118">
        <f t="shared" ref="M17:M23" si="6">I17-K17-L17</f>
        <v>1930.62</v>
      </c>
      <c r="N17" s="118">
        <f t="shared" si="0"/>
        <v>447.81990000000002</v>
      </c>
      <c r="O17" s="119">
        <f t="shared" si="1"/>
        <v>11.8921995</v>
      </c>
      <c r="P17" s="120">
        <f t="shared" si="2"/>
        <v>2390.3320994999999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40</v>
      </c>
      <c r="I18" s="116">
        <f t="shared" si="3"/>
        <v>2098.5</v>
      </c>
      <c r="J18" s="117">
        <v>2</v>
      </c>
      <c r="K18" s="1">
        <f t="shared" si="4"/>
        <v>0</v>
      </c>
      <c r="L18" s="105">
        <f t="shared" si="5"/>
        <v>167.88</v>
      </c>
      <c r="M18" s="118">
        <f t="shared" si="6"/>
        <v>1930.62</v>
      </c>
      <c r="N18" s="118">
        <f t="shared" si="0"/>
        <v>447.81990000000002</v>
      </c>
      <c r="O18" s="119">
        <f t="shared" si="1"/>
        <v>11.8921995</v>
      </c>
      <c r="P18" s="120">
        <f t="shared" si="2"/>
        <v>2390.3320994999999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>
        <v>2</v>
      </c>
      <c r="K19" s="1">
        <f t="shared" si="4"/>
        <v>0</v>
      </c>
      <c r="L19" s="105">
        <f t="shared" si="5"/>
        <v>232.44800000000001</v>
      </c>
      <c r="M19" s="118">
        <f t="shared" si="6"/>
        <v>2673.152</v>
      </c>
      <c r="N19" s="118">
        <f t="shared" si="0"/>
        <v>620.05503999999996</v>
      </c>
      <c r="O19" s="119">
        <f t="shared" si="1"/>
        <v>16.4660352</v>
      </c>
      <c r="P19" s="120">
        <f t="shared" si="2"/>
        <v>3309.6730752000003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3"/>
        <v>2905.6</v>
      </c>
      <c r="J20" s="117">
        <v>2</v>
      </c>
      <c r="K20" s="1">
        <f t="shared" si="4"/>
        <v>0</v>
      </c>
      <c r="L20" s="105">
        <f t="shared" si="5"/>
        <v>232.44800000000001</v>
      </c>
      <c r="M20" s="118">
        <f t="shared" si="6"/>
        <v>2673.152</v>
      </c>
      <c r="N20" s="118">
        <f t="shared" si="0"/>
        <v>620.05503999999996</v>
      </c>
      <c r="O20" s="119">
        <f t="shared" si="1"/>
        <v>16.4660352</v>
      </c>
      <c r="P20" s="120">
        <f t="shared" si="2"/>
        <v>3309.6730752000003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3"/>
        <v>2905.6</v>
      </c>
      <c r="J21" s="117">
        <v>2</v>
      </c>
      <c r="K21" s="1">
        <f t="shared" si="4"/>
        <v>0</v>
      </c>
      <c r="L21" s="105">
        <f t="shared" si="5"/>
        <v>232.44800000000001</v>
      </c>
      <c r="M21" s="118">
        <f t="shared" si="6"/>
        <v>2673.152</v>
      </c>
      <c r="N21" s="118">
        <f t="shared" si="0"/>
        <v>620.05503999999996</v>
      </c>
      <c r="O21" s="119">
        <f t="shared" si="1"/>
        <v>16.4660352</v>
      </c>
      <c r="P21" s="120">
        <f t="shared" si="2"/>
        <v>3309.6730752000003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240</v>
      </c>
      <c r="I25" s="137">
        <f t="shared" si="9"/>
        <v>15012.300000000001</v>
      </c>
      <c r="J25" s="138"/>
      <c r="K25" s="139">
        <f t="shared" si="9"/>
        <v>0</v>
      </c>
      <c r="L25" s="140">
        <f t="shared" si="9"/>
        <v>1200.9839999999999</v>
      </c>
      <c r="M25" s="141">
        <f t="shared" si="9"/>
        <v>13811.315999999999</v>
      </c>
      <c r="N25" s="142">
        <f>SUM(N16:N24)</f>
        <v>3203.62482</v>
      </c>
      <c r="O25" s="143">
        <f>SUM(O16:O24)</f>
        <v>85.074704099999991</v>
      </c>
      <c r="P25" s="144">
        <f>SUM(P16:P24)</f>
        <v>17100.015524100003</v>
      </c>
      <c r="S25" s="184"/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>
        <f>H25/40</f>
        <v>6</v>
      </c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15012.300000000001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1200.9839999999999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13811.316000000001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3203.62482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17014.94082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5.0000000000000001E-3</v>
      </c>
      <c r="P34" s="153">
        <f>O34*P33</f>
        <v>85.074704100000005</v>
      </c>
    </row>
    <row r="35" spans="2:16" ht="15.75" customHeight="1" thickBot="1" x14ac:dyDescent="0.4">
      <c r="N35" s="205" t="s">
        <v>92</v>
      </c>
      <c r="O35" s="206"/>
      <c r="P35" s="160">
        <f>P33+P34</f>
        <v>17100.015524099999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activeCell="H26" sqref="H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81640625" bestFit="1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2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46326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107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46325</v>
      </c>
      <c r="O5" s="232"/>
      <c r="P5" s="232"/>
      <c r="R5" s="70"/>
      <c r="S5" s="71"/>
    </row>
    <row r="6" spans="1:19 16383:16384" ht="15" customHeight="1" x14ac:dyDescent="0.35">
      <c r="A6" s="231" t="s">
        <v>108</v>
      </c>
      <c r="B6" s="231"/>
      <c r="C6" s="231"/>
      <c r="F6" s="70"/>
      <c r="G6" s="74"/>
      <c r="K6" s="231" t="s">
        <v>52</v>
      </c>
      <c r="L6" s="231"/>
      <c r="M6" s="231"/>
      <c r="N6" s="244" t="s">
        <v>101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117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48</v>
      </c>
      <c r="C11" s="77" t="str">
        <f>IF($O34&gt;2.49%,"No","Yes")</f>
        <v>Yes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168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1280</v>
      </c>
      <c r="I16" s="102">
        <f>(G16*D16)*F16+H16*F16</f>
        <v>67152</v>
      </c>
      <c r="J16" s="103"/>
      <c r="K16" s="104">
        <f>I16*$K$13</f>
        <v>0</v>
      </c>
      <c r="L16" s="105">
        <f>I16*8%</f>
        <v>5372.16</v>
      </c>
      <c r="M16" s="106">
        <f>I16-K16-L16</f>
        <v>61779.839999999997</v>
      </c>
      <c r="N16" s="106">
        <f t="shared" ref="N16:N24" si="0">(M16*$N$15)+(J16*F16)*$N$15</f>
        <v>11120.3712</v>
      </c>
      <c r="O16" s="107">
        <f>(N16+M16)*$O$15</f>
        <v>364.50105599999995</v>
      </c>
      <c r="P16" s="105">
        <f t="shared" ref="P16:P24" si="1">M16+N16+O16</f>
        <v>73264.712255999984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3400</v>
      </c>
      <c r="I17" s="116">
        <f t="shared" ref="I17:I23" si="2">(G17*D17)*F17+H17*F17</f>
        <v>178372.5</v>
      </c>
      <c r="J17" s="117"/>
      <c r="K17" s="1">
        <f t="shared" ref="K17:K21" si="3">I17*$K$13</f>
        <v>0</v>
      </c>
      <c r="L17" s="105">
        <f t="shared" ref="L17:L21" si="4">I17*8%</f>
        <v>14269.800000000001</v>
      </c>
      <c r="M17" s="118">
        <f t="shared" ref="M17:M23" si="5">I17-K17-L17</f>
        <v>164102.70000000001</v>
      </c>
      <c r="N17" s="118">
        <f t="shared" si="0"/>
        <v>29538.486000000001</v>
      </c>
      <c r="O17" s="119">
        <f t="shared" ref="O17:O24" si="6">(N17+M17)*$O$15</f>
        <v>968.20593000000008</v>
      </c>
      <c r="P17" s="120">
        <f t="shared" si="1"/>
        <v>194609.39193000001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1840</v>
      </c>
      <c r="I18" s="116">
        <f t="shared" si="2"/>
        <v>96531</v>
      </c>
      <c r="J18" s="117"/>
      <c r="K18" s="1">
        <f t="shared" si="3"/>
        <v>0</v>
      </c>
      <c r="L18" s="105">
        <f t="shared" si="4"/>
        <v>7722.4800000000005</v>
      </c>
      <c r="M18" s="118">
        <f t="shared" si="5"/>
        <v>88808.52</v>
      </c>
      <c r="N18" s="118">
        <f t="shared" si="0"/>
        <v>15985.533600000001</v>
      </c>
      <c r="O18" s="119">
        <f t="shared" si="6"/>
        <v>523.97026800000003</v>
      </c>
      <c r="P18" s="120">
        <f t="shared" si="1"/>
        <v>105318.023868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f>126*40</f>
        <v>5040</v>
      </c>
      <c r="I20" s="116">
        <f t="shared" si="2"/>
        <v>366105.59999999998</v>
      </c>
      <c r="J20" s="117"/>
      <c r="K20" s="1">
        <f t="shared" si="3"/>
        <v>0</v>
      </c>
      <c r="L20" s="105">
        <f t="shared" si="4"/>
        <v>29288.448</v>
      </c>
      <c r="M20" s="118">
        <f t="shared" si="5"/>
        <v>336817.152</v>
      </c>
      <c r="N20" s="118">
        <f t="shared" si="0"/>
        <v>60627.087359999998</v>
      </c>
      <c r="O20" s="119">
        <f t="shared" si="6"/>
        <v>1987.2211968000001</v>
      </c>
      <c r="P20" s="120">
        <f t="shared" si="1"/>
        <v>399431.46055680001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1760</v>
      </c>
      <c r="I21" s="116">
        <f t="shared" si="2"/>
        <v>127846.39999999999</v>
      </c>
      <c r="J21" s="117"/>
      <c r="K21" s="1">
        <f t="shared" si="3"/>
        <v>0</v>
      </c>
      <c r="L21" s="105">
        <f t="shared" si="4"/>
        <v>10227.712</v>
      </c>
      <c r="M21" s="118">
        <f t="shared" si="5"/>
        <v>117618.68799999999</v>
      </c>
      <c r="N21" s="118">
        <f t="shared" si="0"/>
        <v>21171.363839999998</v>
      </c>
      <c r="O21" s="119">
        <f t="shared" si="6"/>
        <v>693.9502592</v>
      </c>
      <c r="P21" s="120">
        <f t="shared" si="1"/>
        <v>139484.00209920001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13320</v>
      </c>
      <c r="I25" s="137">
        <f t="shared" si="9"/>
        <v>836007.5</v>
      </c>
      <c r="J25" s="138"/>
      <c r="K25" s="139">
        <f t="shared" si="9"/>
        <v>0</v>
      </c>
      <c r="L25" s="140">
        <f t="shared" si="9"/>
        <v>66880.600000000006</v>
      </c>
      <c r="M25" s="141">
        <f t="shared" si="9"/>
        <v>769126.9</v>
      </c>
      <c r="N25" s="142">
        <f>SUM(N16:N24)</f>
        <v>138442.842</v>
      </c>
      <c r="O25" s="143">
        <f>SUM(O16:O24)</f>
        <v>4537.8487100000002</v>
      </c>
      <c r="P25" s="144">
        <f>SUM(P16:P24)</f>
        <v>912107.59071000002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>
        <f>H25/40</f>
        <v>333</v>
      </c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836007.5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66880.600000000006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769126.9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0.18</v>
      </c>
      <c r="P32" s="153">
        <f>N25</f>
        <v>138442.842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907569.74200000009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5.0000000000000001E-3</v>
      </c>
      <c r="P34" s="153">
        <f>O34*P33</f>
        <v>4537.8487100000002</v>
      </c>
    </row>
    <row r="35" spans="2:16" ht="15.75" customHeight="1" thickBot="1" x14ac:dyDescent="0.4">
      <c r="N35" s="205" t="s">
        <v>92</v>
      </c>
      <c r="O35" s="206"/>
      <c r="P35" s="160">
        <f>P33+P34</f>
        <v>912107.59071000014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/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4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46326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109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46325</v>
      </c>
      <c r="O5" s="232"/>
      <c r="P5" s="232"/>
      <c r="R5" s="70"/>
      <c r="S5" s="71"/>
    </row>
    <row r="6" spans="1:19 16383:16384" ht="15" customHeight="1" x14ac:dyDescent="0.35">
      <c r="A6" s="231" t="s">
        <v>110</v>
      </c>
      <c r="B6" s="231"/>
      <c r="C6" s="231"/>
      <c r="F6" s="70"/>
      <c r="G6" s="74"/>
      <c r="K6" s="231" t="s">
        <v>52</v>
      </c>
      <c r="L6" s="231"/>
      <c r="M6" s="231"/>
      <c r="N6" s="244" t="s">
        <v>101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169" t="s">
        <v>123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48</v>
      </c>
      <c r="C11" s="77" t="str">
        <f>IF($O34&gt;2.49%,"No","Yes")</f>
        <v>Yes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56" t="s">
        <v>124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80</v>
      </c>
      <c r="I18" s="116">
        <f t="shared" si="2"/>
        <v>4197</v>
      </c>
      <c r="J18" s="117"/>
      <c r="K18" s="1">
        <f t="shared" si="3"/>
        <v>0</v>
      </c>
      <c r="L18" s="105">
        <f t="shared" si="4"/>
        <v>335.76</v>
      </c>
      <c r="M18" s="118">
        <f t="shared" si="5"/>
        <v>3861.24</v>
      </c>
      <c r="N18" s="118">
        <f t="shared" si="0"/>
        <v>695.02319999999997</v>
      </c>
      <c r="O18" s="119">
        <f t="shared" si="6"/>
        <v>22.781315999999997</v>
      </c>
      <c r="P18" s="120">
        <f t="shared" si="1"/>
        <v>4579.044515999999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80</v>
      </c>
      <c r="I19" s="116">
        <f t="shared" si="2"/>
        <v>5811.2</v>
      </c>
      <c r="J19" s="117"/>
      <c r="K19" s="1">
        <f t="shared" si="3"/>
        <v>0</v>
      </c>
      <c r="L19" s="105">
        <f t="shared" si="4"/>
        <v>464.89600000000002</v>
      </c>
      <c r="M19" s="118">
        <f t="shared" si="5"/>
        <v>5346.3040000000001</v>
      </c>
      <c r="N19" s="118">
        <f t="shared" si="0"/>
        <v>962.33471999999995</v>
      </c>
      <c r="O19" s="119">
        <f t="shared" si="6"/>
        <v>31.543193599999999</v>
      </c>
      <c r="P19" s="120">
        <f t="shared" si="1"/>
        <v>6340.1819136000004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80</v>
      </c>
      <c r="I20" s="116">
        <f t="shared" si="2"/>
        <v>5811.2</v>
      </c>
      <c r="J20" s="117"/>
      <c r="K20" s="1">
        <f t="shared" si="3"/>
        <v>0</v>
      </c>
      <c r="L20" s="105">
        <f t="shared" si="4"/>
        <v>464.89600000000002</v>
      </c>
      <c r="M20" s="118">
        <f t="shared" si="5"/>
        <v>5346.3040000000001</v>
      </c>
      <c r="N20" s="118">
        <f t="shared" si="0"/>
        <v>962.33471999999995</v>
      </c>
      <c r="O20" s="119">
        <f t="shared" si="6"/>
        <v>31.543193599999999</v>
      </c>
      <c r="P20" s="120">
        <f t="shared" si="1"/>
        <v>6340.1819136000004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/>
      <c r="K21" s="1">
        <f t="shared" si="3"/>
        <v>0</v>
      </c>
      <c r="L21" s="105">
        <f t="shared" si="4"/>
        <v>464.89600000000002</v>
      </c>
      <c r="M21" s="118">
        <f t="shared" si="5"/>
        <v>5346.3040000000001</v>
      </c>
      <c r="N21" s="118">
        <f t="shared" si="0"/>
        <v>962.33471999999995</v>
      </c>
      <c r="O21" s="119">
        <f t="shared" si="6"/>
        <v>31.543193599999999</v>
      </c>
      <c r="P21" s="120">
        <f t="shared" si="1"/>
        <v>6340.1819136000004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320</v>
      </c>
      <c r="I25" s="137">
        <f t="shared" si="9"/>
        <v>21630.600000000002</v>
      </c>
      <c r="J25" s="138"/>
      <c r="K25" s="139">
        <f t="shared" si="9"/>
        <v>0</v>
      </c>
      <c r="L25" s="140">
        <f t="shared" si="9"/>
        <v>1730.4479999999999</v>
      </c>
      <c r="M25" s="141">
        <f t="shared" si="9"/>
        <v>19900.152000000002</v>
      </c>
      <c r="N25" s="142">
        <f>SUM(N16:N24)</f>
        <v>3582.0273599999996</v>
      </c>
      <c r="O25" s="143">
        <f>SUM(O16:O24)</f>
        <v>117.41089679999999</v>
      </c>
      <c r="P25" s="144">
        <f>SUM(P16:P24)</f>
        <v>23599.590256800002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>
        <f>H25/40</f>
        <v>8</v>
      </c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21630.600000000002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1730.4479999999999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19900.152000000002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0.18</v>
      </c>
      <c r="P32" s="153">
        <f>N25</f>
        <v>3582.0273599999996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23482.179360000002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5.0000000000000001E-3</v>
      </c>
      <c r="P34" s="153">
        <f>O34*P33</f>
        <v>117.41089680000002</v>
      </c>
    </row>
    <row r="35" spans="2:16" ht="15.75" customHeight="1" thickBot="1" x14ac:dyDescent="0.4">
      <c r="N35" s="205" t="s">
        <v>92</v>
      </c>
      <c r="O35" s="206"/>
      <c r="P35" s="160">
        <f>P33+P34</f>
        <v>23599.590256800002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abSelected="1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3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v>46186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111</v>
      </c>
      <c r="B5" s="254"/>
      <c r="C5" s="254"/>
      <c r="F5" s="70"/>
      <c r="G5" s="71"/>
      <c r="K5" s="231" t="s">
        <v>51</v>
      </c>
      <c r="L5" s="231"/>
      <c r="M5" s="231"/>
      <c r="N5" s="245">
        <f>N4-1</f>
        <v>46185</v>
      </c>
      <c r="O5" s="232"/>
      <c r="P5" s="232"/>
      <c r="R5" s="70"/>
      <c r="S5" s="71"/>
    </row>
    <row r="6" spans="1:19 16383:16384" ht="15" customHeight="1" x14ac:dyDescent="0.35">
      <c r="A6" s="231" t="s">
        <v>112</v>
      </c>
      <c r="B6" s="231"/>
      <c r="C6" s="231"/>
      <c r="F6" s="70"/>
      <c r="G6" s="74"/>
      <c r="K6" s="231" t="s">
        <v>52</v>
      </c>
      <c r="L6" s="231"/>
      <c r="M6" s="231"/>
      <c r="N6" s="244" t="s">
        <v>101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126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48</v>
      </c>
      <c r="C11" s="77" t="str">
        <f>IF($O34&gt;2.49%,"No","Yes")</f>
        <v>Yes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80</v>
      </c>
      <c r="I16" s="102">
        <f>(G16*D16)*F16+H16*F16</f>
        <v>4197</v>
      </c>
      <c r="J16" s="103"/>
      <c r="K16" s="104">
        <f>I16*$K$13</f>
        <v>0</v>
      </c>
      <c r="L16" s="105">
        <f>I16*8%</f>
        <v>335.76</v>
      </c>
      <c r="M16" s="106">
        <f>I16-K16-L16</f>
        <v>3861.24</v>
      </c>
      <c r="N16" s="106">
        <f t="shared" ref="N16:N24" si="0">(M16*$N$15)+(J16*F16)*$N$15</f>
        <v>695.02319999999997</v>
      </c>
      <c r="O16" s="107">
        <f>(N16+M16)*$O$15</f>
        <v>22.781315999999997</v>
      </c>
      <c r="P16" s="105">
        <f t="shared" ref="P16:P24" si="1">M16+N16+O16</f>
        <v>4579.044515999999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80</v>
      </c>
      <c r="I17" s="116">
        <f t="shared" ref="I17:I23" si="2">(G17*D17)*F17+H17*F17</f>
        <v>4197</v>
      </c>
      <c r="J17" s="117"/>
      <c r="K17" s="1">
        <f t="shared" ref="K17:K21" si="3">I17*$K$13</f>
        <v>0</v>
      </c>
      <c r="L17" s="105">
        <f t="shared" ref="L17:L21" si="4">I17*8%</f>
        <v>335.76</v>
      </c>
      <c r="M17" s="118">
        <f t="shared" ref="M17:M23" si="5">I17-K17-L17</f>
        <v>3861.24</v>
      </c>
      <c r="N17" s="118">
        <f t="shared" si="0"/>
        <v>695.02319999999997</v>
      </c>
      <c r="O17" s="119">
        <f t="shared" ref="O17:O24" si="6">(N17+M17)*$O$15</f>
        <v>22.781315999999997</v>
      </c>
      <c r="P17" s="120">
        <f t="shared" si="1"/>
        <v>4579.044515999999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120</v>
      </c>
      <c r="I18" s="116">
        <f t="shared" si="2"/>
        <v>6295.5</v>
      </c>
      <c r="J18" s="117"/>
      <c r="K18" s="1">
        <f t="shared" si="3"/>
        <v>0</v>
      </c>
      <c r="L18" s="105">
        <f t="shared" si="4"/>
        <v>503.64</v>
      </c>
      <c r="M18" s="118">
        <f t="shared" si="5"/>
        <v>5791.86</v>
      </c>
      <c r="N18" s="118">
        <f t="shared" si="0"/>
        <v>1042.5347999999999</v>
      </c>
      <c r="O18" s="119">
        <f t="shared" si="6"/>
        <v>34.171973999999999</v>
      </c>
      <c r="P18" s="120">
        <f t="shared" si="1"/>
        <v>6868.5667739999999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80</v>
      </c>
      <c r="I19" s="116">
        <f t="shared" si="2"/>
        <v>5811.2</v>
      </c>
      <c r="J19" s="117"/>
      <c r="K19" s="1">
        <f t="shared" si="3"/>
        <v>0</v>
      </c>
      <c r="L19" s="105">
        <f t="shared" si="4"/>
        <v>464.89600000000002</v>
      </c>
      <c r="M19" s="118">
        <f t="shared" si="5"/>
        <v>5346.3040000000001</v>
      </c>
      <c r="N19" s="118">
        <f t="shared" si="0"/>
        <v>962.33471999999995</v>
      </c>
      <c r="O19" s="119">
        <f t="shared" si="6"/>
        <v>31.543193599999999</v>
      </c>
      <c r="P19" s="120">
        <f t="shared" si="1"/>
        <v>6340.1819136000004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481.16735999999997</v>
      </c>
      <c r="O20" s="119">
        <f t="shared" si="6"/>
        <v>15.771596799999999</v>
      </c>
      <c r="P20" s="120">
        <f t="shared" si="1"/>
        <v>3170.0909568000002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481.16735999999997</v>
      </c>
      <c r="O21" s="119">
        <f t="shared" si="6"/>
        <v>15.771596799999999</v>
      </c>
      <c r="P21" s="120">
        <f t="shared" si="1"/>
        <v>3170.0909568000002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440</v>
      </c>
      <c r="I25" s="137">
        <f t="shared" si="9"/>
        <v>26311.899999999998</v>
      </c>
      <c r="J25" s="138"/>
      <c r="K25" s="139">
        <f t="shared" si="9"/>
        <v>0</v>
      </c>
      <c r="L25" s="140">
        <f t="shared" si="9"/>
        <v>2104.9519999999998</v>
      </c>
      <c r="M25" s="141">
        <f t="shared" si="9"/>
        <v>24206.948000000004</v>
      </c>
      <c r="N25" s="142">
        <f>SUM(N16:N24)</f>
        <v>4357.2506399999993</v>
      </c>
      <c r="O25" s="143">
        <f>SUM(O16:O24)</f>
        <v>142.82099319999998</v>
      </c>
      <c r="P25" s="144">
        <f>SUM(P16:P24)</f>
        <v>28707.019633199998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26311.899999999998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2104.9519999999998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24206.947999999997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0.18</v>
      </c>
      <c r="P32" s="153">
        <f>N25</f>
        <v>4357.2506399999993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28564.198639999995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5.0000000000000001E-3</v>
      </c>
      <c r="P34" s="153">
        <f>O34*P33</f>
        <v>142.82099319999998</v>
      </c>
    </row>
    <row r="35" spans="2:16" ht="15.75" customHeight="1" thickBot="1" x14ac:dyDescent="0.4">
      <c r="N35" s="205" t="s">
        <v>92</v>
      </c>
      <c r="O35" s="206"/>
      <c r="P35" s="160">
        <f>P33+P34</f>
        <v>28707.019633199994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7" workbookViewId="0">
      <selection activeCell="I7" sqref="I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5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46326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113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46325</v>
      </c>
      <c r="O5" s="232"/>
      <c r="P5" s="232"/>
      <c r="R5" s="70"/>
      <c r="S5" s="71"/>
    </row>
    <row r="6" spans="1:19 16383:16384" ht="15" customHeight="1" x14ac:dyDescent="0.35">
      <c r="A6" s="231" t="s">
        <v>112</v>
      </c>
      <c r="B6" s="231"/>
      <c r="C6" s="231"/>
      <c r="F6" s="70"/>
      <c r="G6" s="74"/>
      <c r="K6" s="231" t="s">
        <v>52</v>
      </c>
      <c r="L6" s="231"/>
      <c r="M6" s="231"/>
      <c r="N6" s="244" t="s">
        <v>101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169">
        <v>0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I16*$K$13</f>
        <v>0</v>
      </c>
      <c r="L16" s="105">
        <f>I16*8%</f>
        <v>167.88</v>
      </c>
      <c r="M16" s="106">
        <f>I16-K16-L16</f>
        <v>1930.62</v>
      </c>
      <c r="N16" s="106">
        <f t="shared" ref="N16:N24" si="0">(M16*$N$15)+(J16*F16)*$N$15</f>
        <v>424.7364</v>
      </c>
      <c r="O16" s="107">
        <f>(N16+M16)*$O$15</f>
        <v>58.883909999999993</v>
      </c>
      <c r="P16" s="105">
        <f t="shared" ref="P16:P24" si="1">M16+N16+O16</f>
        <v>2414.2403099999997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40</v>
      </c>
      <c r="I18" s="116">
        <f t="shared" si="2"/>
        <v>2098.5</v>
      </c>
      <c r="J18" s="117"/>
      <c r="K18" s="1">
        <f t="shared" si="3"/>
        <v>0</v>
      </c>
      <c r="L18" s="105">
        <f t="shared" si="4"/>
        <v>167.88</v>
      </c>
      <c r="M18" s="118">
        <f t="shared" si="5"/>
        <v>1930.62</v>
      </c>
      <c r="N18" s="118">
        <f t="shared" si="0"/>
        <v>424.7364</v>
      </c>
      <c r="O18" s="119">
        <f t="shared" si="6"/>
        <v>58.883909999999993</v>
      </c>
      <c r="P18" s="120">
        <f t="shared" si="1"/>
        <v>2414.2403099999997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/>
      <c r="K21" s="1">
        <f t="shared" si="3"/>
        <v>0</v>
      </c>
      <c r="L21" s="105">
        <f t="shared" si="4"/>
        <v>464.89600000000002</v>
      </c>
      <c r="M21" s="118">
        <f t="shared" si="5"/>
        <v>5346.3040000000001</v>
      </c>
      <c r="N21" s="118">
        <f t="shared" si="0"/>
        <v>1176.18688</v>
      </c>
      <c r="O21" s="119">
        <f t="shared" si="6"/>
        <v>163.06227200000001</v>
      </c>
      <c r="P21" s="120">
        <f t="shared" si="1"/>
        <v>6685.5531520000004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43.792449000000005</v>
      </c>
      <c r="P22" s="120">
        <f t="shared" si="1"/>
        <v>1795.4904090000002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200</v>
      </c>
      <c r="I25" s="137">
        <f t="shared" si="9"/>
        <v>11577.400000000001</v>
      </c>
      <c r="J25" s="138"/>
      <c r="K25" s="139">
        <f t="shared" si="9"/>
        <v>54.922000000000011</v>
      </c>
      <c r="L25" s="140">
        <f t="shared" si="9"/>
        <v>879.11599999999999</v>
      </c>
      <c r="M25" s="141">
        <f t="shared" si="9"/>
        <v>10643.362000000001</v>
      </c>
      <c r="N25" s="142">
        <f>SUM(N16:N24)</f>
        <v>2341.53964</v>
      </c>
      <c r="O25" s="143">
        <f>SUM(O16:O24)</f>
        <v>324.62254099999996</v>
      </c>
      <c r="P25" s="144">
        <f>SUM(P16:P24)</f>
        <v>13309.524180999999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11577.400000000001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879.11599999999999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54.922000000000011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10643.362000000001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2341.53964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12984.90164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324.62254100000001</v>
      </c>
    </row>
    <row r="35" spans="2:16" ht="15.75" customHeight="1" thickBot="1" x14ac:dyDescent="0.4">
      <c r="N35" s="205" t="s">
        <v>92</v>
      </c>
      <c r="O35" s="206"/>
      <c r="P35" s="160">
        <f>P33+P34</f>
        <v>13309.524181000001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4" workbookViewId="0">
      <selection activeCell="O32" sqref="O3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8.36328125" bestFit="1" customWidth="1"/>
    <col min="13" max="13" width="8" customWidth="1"/>
    <col min="14" max="14" width="10" style="69" customWidth="1"/>
    <col min="15" max="15" width="9.54296875" customWidth="1"/>
    <col min="16" max="16" width="9.3632812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6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46326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118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46325</v>
      </c>
      <c r="O5" s="232"/>
      <c r="P5" s="232"/>
      <c r="R5" s="70"/>
      <c r="S5" s="71"/>
    </row>
    <row r="6" spans="1:19 16383:16384" ht="15" customHeight="1" x14ac:dyDescent="0.35">
      <c r="A6" s="231" t="s">
        <v>119</v>
      </c>
      <c r="B6" s="231"/>
      <c r="C6" s="231"/>
      <c r="F6" s="70"/>
      <c r="G6" s="74"/>
      <c r="K6" s="231" t="s">
        <v>52</v>
      </c>
      <c r="L6" s="231"/>
      <c r="M6" s="231"/>
      <c r="N6" s="244" t="s">
        <v>101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t="s">
        <v>120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48</v>
      </c>
      <c r="C11" s="77" t="str">
        <f>IF($O34&gt;2.49%,"No","Yes")</f>
        <v>Yes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600</v>
      </c>
      <c r="I16" s="102">
        <f>(G16*D16)*F16+H16*F16</f>
        <v>31477.5</v>
      </c>
      <c r="J16" s="103"/>
      <c r="K16" s="104">
        <f>I16*$K$13</f>
        <v>0</v>
      </c>
      <c r="L16" s="105">
        <f>I16*18%</f>
        <v>5665.95</v>
      </c>
      <c r="M16" s="106">
        <f>I16-K16-L16</f>
        <v>25811.55</v>
      </c>
      <c r="N16" s="106">
        <f t="shared" ref="N16:N24" si="0">(M16*$N$15)+(J16*F16)*$N$15</f>
        <v>4646.0789999999997</v>
      </c>
      <c r="O16" s="107">
        <f>(N16+M16)*$O$15</f>
        <v>152.28814500000001</v>
      </c>
      <c r="P16" s="105">
        <f t="shared" ref="P16:P24" si="1">M16+N16+O16</f>
        <v>30609.917144999999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600</v>
      </c>
      <c r="I17" s="116">
        <f t="shared" ref="I17:I23" si="2">(G17*D17)*F17+H17*F17</f>
        <v>31477.5</v>
      </c>
      <c r="J17" s="117"/>
      <c r="K17" s="1">
        <f t="shared" ref="K17:K21" si="3">I17*$K$13</f>
        <v>0</v>
      </c>
      <c r="L17" s="105">
        <f t="shared" ref="L17:L21" si="4">I17*18%</f>
        <v>5665.95</v>
      </c>
      <c r="M17" s="118">
        <f t="shared" ref="M17:M23" si="5">I17-K17-L17</f>
        <v>25811.55</v>
      </c>
      <c r="N17" s="118">
        <f t="shared" si="0"/>
        <v>4646.0789999999997</v>
      </c>
      <c r="O17" s="119">
        <f t="shared" ref="O17:O24" si="6">(N17+M17)*$O$15</f>
        <v>152.28814500000001</v>
      </c>
      <c r="P17" s="120">
        <f t="shared" si="1"/>
        <v>30609.917144999999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1200</v>
      </c>
      <c r="I18" s="116">
        <f t="shared" si="2"/>
        <v>62955</v>
      </c>
      <c r="J18" s="117"/>
      <c r="K18" s="1">
        <f t="shared" si="3"/>
        <v>0</v>
      </c>
      <c r="L18" s="105">
        <f t="shared" si="4"/>
        <v>11331.9</v>
      </c>
      <c r="M18" s="118">
        <f t="shared" si="5"/>
        <v>51623.1</v>
      </c>
      <c r="N18" s="118">
        <f t="shared" si="0"/>
        <v>9292.1579999999994</v>
      </c>
      <c r="O18" s="119">
        <f t="shared" si="6"/>
        <v>304.57629000000003</v>
      </c>
      <c r="P18" s="120">
        <f t="shared" si="1"/>
        <v>61219.834289999999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1800</v>
      </c>
      <c r="I19" s="116">
        <f t="shared" si="2"/>
        <v>130752</v>
      </c>
      <c r="J19" s="117"/>
      <c r="K19" s="1">
        <f t="shared" si="3"/>
        <v>0</v>
      </c>
      <c r="L19" s="105">
        <f t="shared" si="4"/>
        <v>23535.360000000001</v>
      </c>
      <c r="M19" s="118">
        <f t="shared" si="5"/>
        <v>107216.64</v>
      </c>
      <c r="N19" s="118">
        <f t="shared" si="0"/>
        <v>19298.995199999998</v>
      </c>
      <c r="O19" s="119">
        <f t="shared" si="6"/>
        <v>632.57817599999998</v>
      </c>
      <c r="P19" s="120">
        <f t="shared" si="1"/>
        <v>127148.21337599999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1200</v>
      </c>
      <c r="I20" s="116">
        <f t="shared" si="2"/>
        <v>87168</v>
      </c>
      <c r="J20" s="117"/>
      <c r="K20" s="1">
        <f t="shared" si="3"/>
        <v>0</v>
      </c>
      <c r="L20" s="105">
        <f t="shared" si="4"/>
        <v>15690.24</v>
      </c>
      <c r="M20" s="118">
        <f t="shared" si="5"/>
        <v>71477.759999999995</v>
      </c>
      <c r="N20" s="118">
        <f t="shared" si="0"/>
        <v>12865.996799999999</v>
      </c>
      <c r="O20" s="119">
        <f t="shared" si="6"/>
        <v>421.71878399999997</v>
      </c>
      <c r="P20" s="120">
        <f t="shared" si="1"/>
        <v>84765.475583999985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1200</v>
      </c>
      <c r="I21" s="116">
        <f t="shared" si="2"/>
        <v>87168</v>
      </c>
      <c r="J21" s="117"/>
      <c r="K21" s="1">
        <f t="shared" si="3"/>
        <v>0</v>
      </c>
      <c r="L21" s="105">
        <f t="shared" si="4"/>
        <v>15690.24</v>
      </c>
      <c r="M21" s="118">
        <f t="shared" si="5"/>
        <v>71477.759999999995</v>
      </c>
      <c r="N21" s="118">
        <f t="shared" si="0"/>
        <v>12865.996799999999</v>
      </c>
      <c r="O21" s="119">
        <f t="shared" si="6"/>
        <v>421.71878399999997</v>
      </c>
      <c r="P21" s="120">
        <f t="shared" si="1"/>
        <v>84765.475583999985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6600</v>
      </c>
      <c r="I25" s="137">
        <f t="shared" si="9"/>
        <v>430998</v>
      </c>
      <c r="J25" s="138"/>
      <c r="K25" s="139">
        <f t="shared" si="9"/>
        <v>0</v>
      </c>
      <c r="L25" s="140">
        <f t="shared" si="9"/>
        <v>77579.64</v>
      </c>
      <c r="M25" s="141">
        <f t="shared" si="9"/>
        <v>353418.36</v>
      </c>
      <c r="N25" s="142">
        <f>SUM(N16:N24)</f>
        <v>63615.304799999998</v>
      </c>
      <c r="O25" s="143">
        <f>SUM(O16:O24)</f>
        <v>2085.1683239999998</v>
      </c>
      <c r="P25" s="144">
        <f>SUM(P16:P24)</f>
        <v>419118.833124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>
        <f>H25/40</f>
        <v>165</v>
      </c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430998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77579.64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353418.36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0.18</v>
      </c>
      <c r="P32" s="153">
        <f>N25</f>
        <v>63615.304799999998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417033.66479999997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5.0000000000000001E-3</v>
      </c>
      <c r="P34" s="153">
        <f>O34*P33</f>
        <v>2085.1683239999998</v>
      </c>
    </row>
    <row r="35" spans="2:16" ht="15.75" customHeight="1" thickBot="1" x14ac:dyDescent="0.4">
      <c r="N35" s="205" t="s">
        <v>92</v>
      </c>
      <c r="O35" s="206"/>
      <c r="P35" s="160">
        <f>P33+P34</f>
        <v>419118.833124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8" workbookViewId="0">
      <selection activeCell="H11" sqref="H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7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46326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121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46325</v>
      </c>
      <c r="O5" s="232"/>
      <c r="P5" s="232"/>
      <c r="R5" s="70"/>
      <c r="S5" s="71"/>
    </row>
    <row r="6" spans="1:19 16383:16384" ht="15" customHeight="1" x14ac:dyDescent="0.35">
      <c r="A6" s="231" t="s">
        <v>122</v>
      </c>
      <c r="B6" s="231"/>
      <c r="C6" s="231"/>
      <c r="F6" s="70"/>
      <c r="G6" s="74"/>
      <c r="K6" s="231" t="s">
        <v>52</v>
      </c>
      <c r="L6" s="231"/>
      <c r="M6" s="231"/>
      <c r="N6" s="244" t="s">
        <v>101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169">
        <v>0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588.09343999999999</v>
      </c>
      <c r="O19" s="119">
        <f t="shared" si="6"/>
        <v>81.531136000000004</v>
      </c>
      <c r="P19" s="120">
        <f t="shared" si="1"/>
        <v>3342.7765760000002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588.09343999999999</v>
      </c>
      <c r="O20" s="119">
        <f t="shared" si="6"/>
        <v>81.531136000000004</v>
      </c>
      <c r="P20" s="120">
        <f t="shared" si="1"/>
        <v>3342.7765760000002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588.09343999999999</v>
      </c>
      <c r="O21" s="119">
        <f t="shared" si="6"/>
        <v>81.531136000000004</v>
      </c>
      <c r="P21" s="120">
        <f t="shared" si="1"/>
        <v>3342.7765760000002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120</v>
      </c>
      <c r="I25" s="137">
        <f t="shared" si="9"/>
        <v>8716.7999999999993</v>
      </c>
      <c r="J25" s="138"/>
      <c r="K25" s="139">
        <f t="shared" si="9"/>
        <v>0</v>
      </c>
      <c r="L25" s="140">
        <f t="shared" si="9"/>
        <v>697.34400000000005</v>
      </c>
      <c r="M25" s="141">
        <f t="shared" si="9"/>
        <v>8019.4560000000001</v>
      </c>
      <c r="N25" s="142">
        <f>SUM(N16:N24)</f>
        <v>1764.2803199999998</v>
      </c>
      <c r="O25" s="143">
        <f>SUM(O16:O24)</f>
        <v>244.59340800000001</v>
      </c>
      <c r="P25" s="144">
        <f>SUM(P16:P24)</f>
        <v>10028.329728000001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>
        <f>H25/40</f>
        <v>3</v>
      </c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8716.7999999999993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697.34400000000005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8019.4559999999992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1764.2803199999998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9783.73632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244.59340800000001</v>
      </c>
    </row>
    <row r="35" spans="2:16" ht="15.75" customHeight="1" thickBot="1" x14ac:dyDescent="0.4">
      <c r="N35" s="205" t="s">
        <v>92</v>
      </c>
      <c r="O35" s="206"/>
      <c r="P35" s="160">
        <f>P33+P34</f>
        <v>10028.329728000001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8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46326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46325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>
        <v>0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9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46326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46325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167">
        <v>0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46326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46325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>
        <v>0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46326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46325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>
        <v>0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7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46326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46325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>
        <v>0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46326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46325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>
        <v>0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46326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46325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>
        <v>0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46326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46325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180">
        <v>0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46326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46325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97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>
        <v>0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46326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46325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97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>
        <v>0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46326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46325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97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>
        <v>0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46326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46325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97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>
        <v>0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46326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46325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97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>
        <v>0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2026-10-31T05:35:15Z</dcterms:modified>
</cp:coreProperties>
</file>