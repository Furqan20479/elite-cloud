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F6B2D0C-5ECF-446E-A9D1-3DC77B67441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3" l="1"/>
  <c r="L24" i="33" s="1"/>
  <c r="I16" i="35"/>
  <c r="I17" i="35"/>
  <c r="I25" i="35" s="1"/>
  <c r="P28" i="35" s="1"/>
  <c r="I18" i="35"/>
  <c r="I19" i="35"/>
  <c r="L19" i="35" s="1"/>
  <c r="I20" i="35"/>
  <c r="I21" i="35"/>
  <c r="L21" i="35" s="1"/>
  <c r="I22" i="35"/>
  <c r="I23" i="35"/>
  <c r="K23" i="35" s="1"/>
  <c r="I24" i="35"/>
  <c r="I17" i="33"/>
  <c r="K17" i="33" s="1"/>
  <c r="I16" i="28"/>
  <c r="I17" i="28"/>
  <c r="L17" i="28" s="1"/>
  <c r="M17" i="28" s="1"/>
  <c r="I18" i="28"/>
  <c r="I19" i="28"/>
  <c r="K19" i="28" s="1"/>
  <c r="I20" i="28"/>
  <c r="I21" i="28"/>
  <c r="L21" i="28" s="1"/>
  <c r="I22" i="28"/>
  <c r="I23" i="28"/>
  <c r="K23" i="28" s="1"/>
  <c r="I24" i="28"/>
  <c r="I22" i="32"/>
  <c r="L22" i="32" s="1"/>
  <c r="I18" i="33"/>
  <c r="K18" i="33" s="1"/>
  <c r="I20" i="33"/>
  <c r="K20" i="33" s="1"/>
  <c r="I16" i="30"/>
  <c r="I17" i="30"/>
  <c r="K17" i="30" s="1"/>
  <c r="I18" i="30"/>
  <c r="I19" i="30"/>
  <c r="I20" i="30"/>
  <c r="I21" i="30"/>
  <c r="L21" i="30" s="1"/>
  <c r="I22" i="30"/>
  <c r="I23" i="30"/>
  <c r="K23" i="30" s="1"/>
  <c r="I24" i="30"/>
  <c r="I16" i="32"/>
  <c r="K16" i="32" s="1"/>
  <c r="I17" i="32"/>
  <c r="I18" i="32"/>
  <c r="L18" i="32" s="1"/>
  <c r="I19" i="32"/>
  <c r="I20" i="32"/>
  <c r="L20" i="32" s="1"/>
  <c r="I21" i="32"/>
  <c r="I16" i="33"/>
  <c r="L16" i="33" s="1"/>
  <c r="I16" i="31"/>
  <c r="I17" i="31"/>
  <c r="L17" i="31" s="1"/>
  <c r="I18" i="31"/>
  <c r="K18" i="31" s="1"/>
  <c r="I19" i="31"/>
  <c r="K19" i="31" s="1"/>
  <c r="I20" i="31"/>
  <c r="I21" i="31"/>
  <c r="L21" i="31" s="1"/>
  <c r="I22" i="31"/>
  <c r="K22" i="31" s="1"/>
  <c r="I23" i="31"/>
  <c r="K23" i="31" s="1"/>
  <c r="I24" i="31"/>
  <c r="I23" i="32"/>
  <c r="L23" i="32" s="1"/>
  <c r="I22" i="33"/>
  <c r="I16" i="34"/>
  <c r="L16" i="34" s="1"/>
  <c r="I17" i="34"/>
  <c r="L17" i="34" s="1"/>
  <c r="I18" i="34"/>
  <c r="K18" i="34" s="1"/>
  <c r="I19" i="34"/>
  <c r="L19" i="34" s="1"/>
  <c r="I20" i="34"/>
  <c r="K20" i="34" s="1"/>
  <c r="I21" i="34"/>
  <c r="I22" i="34"/>
  <c r="K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K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L18" i="33"/>
  <c r="M18" i="33" s="1"/>
  <c r="K16" i="35"/>
  <c r="L16" i="35"/>
  <c r="K17" i="35"/>
  <c r="K18" i="35"/>
  <c r="L18" i="35"/>
  <c r="K19" i="35"/>
  <c r="K20" i="35"/>
  <c r="L20" i="35"/>
  <c r="K21" i="35"/>
  <c r="K22" i="35"/>
  <c r="M22" i="35" s="1"/>
  <c r="L22" i="35"/>
  <c r="L23" i="35"/>
  <c r="K24" i="35"/>
  <c r="L24" i="35"/>
  <c r="K17" i="34"/>
  <c r="L18" i="34"/>
  <c r="K21" i="34"/>
  <c r="L21" i="34"/>
  <c r="L22" i="34"/>
  <c r="K23" i="34"/>
  <c r="L23" i="34"/>
  <c r="K21" i="33"/>
  <c r="L21" i="33"/>
  <c r="K22" i="33"/>
  <c r="L22" i="33"/>
  <c r="K19" i="33"/>
  <c r="K24" i="33"/>
  <c r="K16" i="33"/>
  <c r="L24" i="32"/>
  <c r="L16" i="32"/>
  <c r="K17" i="32"/>
  <c r="L17" i="32"/>
  <c r="K19" i="32"/>
  <c r="L19" i="32"/>
  <c r="K20" i="32"/>
  <c r="K21" i="32"/>
  <c r="L21" i="32"/>
  <c r="K23" i="32"/>
  <c r="K22" i="32"/>
  <c r="K17" i="31"/>
  <c r="K21" i="31"/>
  <c r="K24" i="31"/>
  <c r="L24" i="31"/>
  <c r="K16" i="31"/>
  <c r="L16" i="31"/>
  <c r="L18" i="31"/>
  <c r="K20" i="31"/>
  <c r="L20" i="31"/>
  <c r="K18" i="30"/>
  <c r="L18" i="30"/>
  <c r="K20" i="30"/>
  <c r="L20" i="30"/>
  <c r="K21" i="30"/>
  <c r="L23" i="30"/>
  <c r="K16" i="30"/>
  <c r="L16" i="30"/>
  <c r="L17" i="30"/>
  <c r="K22" i="30"/>
  <c r="L22" i="30"/>
  <c r="K24" i="30"/>
  <c r="L24" i="30"/>
  <c r="K16" i="29"/>
  <c r="L16" i="29"/>
  <c r="L21" i="29"/>
  <c r="K24" i="29"/>
  <c r="L24" i="29"/>
  <c r="L17" i="29"/>
  <c r="K20" i="29"/>
  <c r="L20" i="29"/>
  <c r="K22" i="29"/>
  <c r="K18" i="29"/>
  <c r="L18" i="29"/>
  <c r="K16" i="28"/>
  <c r="L16" i="28"/>
  <c r="K17" i="28"/>
  <c r="K18" i="28"/>
  <c r="L18" i="28"/>
  <c r="K20" i="28"/>
  <c r="L20" i="28"/>
  <c r="K21" i="28"/>
  <c r="K22" i="28"/>
  <c r="L22" i="28"/>
  <c r="L23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32" l="1"/>
  <c r="M18" i="32" s="1"/>
  <c r="N18" i="32" s="1"/>
  <c r="O18" i="32" s="1"/>
  <c r="M18" i="35"/>
  <c r="L17" i="33"/>
  <c r="M17" i="33" s="1"/>
  <c r="N17" i="33" s="1"/>
  <c r="O17" i="33" s="1"/>
  <c r="M23" i="30"/>
  <c r="I25" i="30"/>
  <c r="P28" i="30" s="1"/>
  <c r="M24" i="29"/>
  <c r="L23" i="31"/>
  <c r="M23" i="31" s="1"/>
  <c r="N23" i="31" s="1"/>
  <c r="O23" i="31" s="1"/>
  <c r="M23" i="34"/>
  <c r="L17" i="35"/>
  <c r="M17" i="35" s="1"/>
  <c r="N17" i="35" s="1"/>
  <c r="O17" i="35" s="1"/>
  <c r="M24" i="33"/>
  <c r="M23" i="28"/>
  <c r="L19" i="28"/>
  <c r="I25" i="28"/>
  <c r="P28" i="28" s="1"/>
  <c r="L19" i="30"/>
  <c r="L25" i="30" s="1"/>
  <c r="P29" i="30" s="1"/>
  <c r="I25" i="32"/>
  <c r="P28" i="32" s="1"/>
  <c r="L20" i="33"/>
  <c r="K24" i="34"/>
  <c r="K23" i="29"/>
  <c r="M23" i="29" s="1"/>
  <c r="N23" i="29" s="1"/>
  <c r="O23" i="29" s="1"/>
  <c r="M24" i="30"/>
  <c r="N24" i="30" s="1"/>
  <c r="O24" i="30" s="1"/>
  <c r="P24" i="30" s="1"/>
  <c r="K19" i="30"/>
  <c r="M21" i="30"/>
  <c r="M24" i="31"/>
  <c r="L19" i="31"/>
  <c r="M19" i="31" s="1"/>
  <c r="N19" i="31" s="1"/>
  <c r="O19" i="31" s="1"/>
  <c r="M24" i="35"/>
  <c r="M24" i="34"/>
  <c r="N24" i="34" s="1"/>
  <c r="M24" i="28"/>
  <c r="N24" i="28" s="1"/>
  <c r="O24" i="28" s="1"/>
  <c r="P24" i="28" s="1"/>
  <c r="M23" i="32"/>
  <c r="K23" i="33"/>
  <c r="M23" i="35"/>
  <c r="N23" i="35" s="1"/>
  <c r="O23" i="35" s="1"/>
  <c r="M22" i="33"/>
  <c r="L22" i="31"/>
  <c r="M21" i="35"/>
  <c r="L20" i="34"/>
  <c r="M20" i="34" s="1"/>
  <c r="N20" i="34" s="1"/>
  <c r="O20" i="34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N23" i="33" s="1"/>
  <c r="O23" i="33" s="1"/>
  <c r="I16" i="26"/>
  <c r="K16" i="26" s="1"/>
  <c r="I17" i="26"/>
  <c r="K17" i="26" s="1"/>
  <c r="I18" i="26"/>
  <c r="K18" i="26" s="1"/>
  <c r="I19" i="26"/>
  <c r="K19" i="26" s="1"/>
  <c r="I20" i="26"/>
  <c r="L20" i="26" s="1"/>
  <c r="I21" i="26"/>
  <c r="L21" i="26" s="1"/>
  <c r="I22" i="26"/>
  <c r="K22" i="26" s="1"/>
  <c r="I23" i="26"/>
  <c r="K23" i="26" s="1"/>
  <c r="I24" i="26"/>
  <c r="I21" i="27"/>
  <c r="K21" i="27" s="1"/>
  <c r="M18" i="28"/>
  <c r="N18" i="28" s="1"/>
  <c r="O18" i="28" s="1"/>
  <c r="P18" i="28" s="1"/>
  <c r="M20" i="29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M19" i="29" s="1"/>
  <c r="N19" i="29" s="1"/>
  <c r="O19" i="29" s="1"/>
  <c r="I25" i="29"/>
  <c r="P28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9" i="35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K25" i="35"/>
  <c r="P30" i="35" s="1"/>
  <c r="N19" i="35"/>
  <c r="O19" i="35" s="1"/>
  <c r="M16" i="35"/>
  <c r="N23" i="34"/>
  <c r="O23" i="34" s="1"/>
  <c r="P23" i="34" s="1"/>
  <c r="N24" i="33"/>
  <c r="O24" i="33" s="1"/>
  <c r="N18" i="33"/>
  <c r="O18" i="33" s="1"/>
  <c r="N21" i="33"/>
  <c r="O21" i="33" s="1"/>
  <c r="N22" i="33"/>
  <c r="O22" i="33" s="1"/>
  <c r="M16" i="33"/>
  <c r="N23" i="32"/>
  <c r="O23" i="32" s="1"/>
  <c r="N24" i="32"/>
  <c r="O24" i="32" s="1"/>
  <c r="P24" i="32" s="1"/>
  <c r="L25" i="32"/>
  <c r="P29" i="32" s="1"/>
  <c r="N24" i="31"/>
  <c r="O24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2" i="30"/>
  <c r="O22" i="30" s="1"/>
  <c r="P22" i="30" s="1"/>
  <c r="N23" i="30"/>
  <c r="O23" i="30" s="1"/>
  <c r="N22" i="29"/>
  <c r="O22" i="29" s="1"/>
  <c r="N20" i="29"/>
  <c r="O20" i="29" s="1"/>
  <c r="N24" i="29"/>
  <c r="O24" i="29" s="1"/>
  <c r="P24" i="29" s="1"/>
  <c r="L25" i="29"/>
  <c r="P29" i="29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L16" i="27"/>
  <c r="K17" i="27"/>
  <c r="L17" i="27"/>
  <c r="K20" i="27"/>
  <c r="L20" i="27"/>
  <c r="L21" i="27"/>
  <c r="K22" i="27"/>
  <c r="L22" i="27"/>
  <c r="K23" i="27"/>
  <c r="L23" i="27"/>
  <c r="K24" i="27"/>
  <c r="L24" i="27"/>
  <c r="K19" i="27"/>
  <c r="L19" i="27"/>
  <c r="K18" i="27"/>
  <c r="L18" i="27"/>
  <c r="L17" i="26"/>
  <c r="L19" i="26"/>
  <c r="L23" i="26"/>
  <c r="K20" i="26"/>
  <c r="K21" i="26"/>
  <c r="K24" i="26"/>
  <c r="L24" i="26"/>
  <c r="L16" i="26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25" i="32"/>
  <c r="P30" i="32" s="1"/>
  <c r="P31" i="32" s="1"/>
  <c r="L25" i="34"/>
  <c r="P29" i="34" s="1"/>
  <c r="P31" i="34" s="1"/>
  <c r="L25" i="35"/>
  <c r="P29" i="35" s="1"/>
  <c r="L25" i="33"/>
  <c r="P29" i="33" s="1"/>
  <c r="M24" i="26"/>
  <c r="P24" i="31"/>
  <c r="L25" i="31"/>
  <c r="P29" i="31" s="1"/>
  <c r="M19" i="30"/>
  <c r="N19" i="30" s="1"/>
  <c r="O19" i="30" s="1"/>
  <c r="P19" i="30" s="1"/>
  <c r="K25" i="29"/>
  <c r="P30" i="29" s="1"/>
  <c r="P31" i="29" s="1"/>
  <c r="L18" i="26"/>
  <c r="M18" i="26" s="1"/>
  <c r="N18" i="26" s="1"/>
  <c r="O18" i="26" s="1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2"/>
  <c r="I17" i="22"/>
  <c r="K17" i="22" s="1"/>
  <c r="I18" i="22"/>
  <c r="K18" i="22" s="1"/>
  <c r="I19" i="22"/>
  <c r="I20" i="22"/>
  <c r="I21" i="22"/>
  <c r="K21" i="22" s="1"/>
  <c r="I22" i="22"/>
  <c r="K22" i="22" s="1"/>
  <c r="I16" i="25"/>
  <c r="I17" i="25"/>
  <c r="L17" i="25" s="1"/>
  <c r="I18" i="25"/>
  <c r="K18" i="25" s="1"/>
  <c r="I19" i="25"/>
  <c r="I20" i="25"/>
  <c r="I22" i="25"/>
  <c r="K22" i="25" s="1"/>
  <c r="I23" i="25"/>
  <c r="K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L22" i="25"/>
  <c r="K17" i="25"/>
  <c r="L23" i="25"/>
  <c r="K21" i="24"/>
  <c r="L23" i="24"/>
  <c r="K23" i="24"/>
  <c r="K17" i="23"/>
  <c r="L23" i="23"/>
  <c r="K23" i="23"/>
  <c r="K16" i="22"/>
  <c r="L16" i="22"/>
  <c r="K20" i="22"/>
  <c r="L20" i="22"/>
  <c r="L17" i="22"/>
  <c r="L19" i="22"/>
  <c r="K19" i="22"/>
  <c r="L21" i="22"/>
  <c r="K23" i="20"/>
  <c r="K20" i="19"/>
  <c r="L20" i="19"/>
  <c r="K18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22" l="1"/>
  <c r="L18" i="22"/>
  <c r="K24" i="18"/>
  <c r="M24" i="18" s="1"/>
  <c r="L24" i="20"/>
  <c r="M24" i="20" s="1"/>
  <c r="N24" i="20" s="1"/>
  <c r="O24" i="20" s="1"/>
  <c r="K24" i="25"/>
  <c r="K21" i="18"/>
  <c r="I25" i="25"/>
  <c r="P28" i="25" s="1"/>
  <c r="L18" i="25"/>
  <c r="M18" i="25" s="1"/>
  <c r="N18" i="25" s="1"/>
  <c r="O18" i="25" s="1"/>
  <c r="K17" i="24"/>
  <c r="K22" i="18"/>
  <c r="M22" i="18" s="1"/>
  <c r="L22" i="19"/>
  <c r="L18" i="17"/>
  <c r="M18" i="17" s="1"/>
  <c r="N18" i="17" s="1"/>
  <c r="O18" i="17" s="1"/>
  <c r="K23" i="19"/>
  <c r="M23" i="19" s="1"/>
  <c r="N23" i="19" s="1"/>
  <c r="O23" i="19" s="1"/>
  <c r="K19" i="19"/>
  <c r="L23" i="22"/>
  <c r="K19" i="25"/>
  <c r="M19" i="25" s="1"/>
  <c r="N19" i="25" s="1"/>
  <c r="O19" i="25" s="1"/>
  <c r="L19" i="25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M24" i="24" s="1"/>
  <c r="N24" i="24" s="1"/>
  <c r="O24" i="24" s="1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21" i="25"/>
  <c r="N21" i="25" s="1"/>
  <c r="O21" i="25" s="1"/>
  <c r="P21" i="25" s="1"/>
  <c r="M16" i="25"/>
  <c r="N23" i="25"/>
  <c r="O23" i="25" s="1"/>
  <c r="P23" i="25" s="1"/>
  <c r="N23" i="24"/>
  <c r="O23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5" i="22" l="1"/>
  <c r="P29" i="22" s="1"/>
  <c r="P31" i="22" s="1"/>
  <c r="K25" i="22"/>
  <c r="P30" i="22" s="1"/>
  <c r="K25" i="25"/>
  <c r="P30" i="25" s="1"/>
  <c r="L25" i="25"/>
  <c r="P29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O16" i="16"/>
  <c r="N18" i="15" l="1"/>
  <c r="O16" i="18"/>
  <c r="N22" i="15"/>
  <c r="P22" i="15" s="1"/>
  <c r="P25" i="20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<sst xmlns="http://schemas.openxmlformats.org/spreadsheetml/2006/main" count="1619" uniqueCount="107">
  <si>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</si>
  <si>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</si>
  <si>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</si>
  <si>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</si>
  <si>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</si>
  <si>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</si>
  <si>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</si>
  <si>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</si>
  <si>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</si>
  <si>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</si>
  <si>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</si>
  <si>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</si>
  <si>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</si>
  <si>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</si>
  <si>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</si>
  <si>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</si>
  <si>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</si>
  <si>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</si>
  <si>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</si>
  <si>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</si>
  <si>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</si>
  <si>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</si>
  <si>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</si>
  <si>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</si>
  <si>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</si>
  <si>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</si>
  <si>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</si>
  <si>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</si>
  <si>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</si>
  <si>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</si>
  <si>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</si>
  <si>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</si>
  <si>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</si>
  <si>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</si>
  <si>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</si>
  <si>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</si>
  <si>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</si>
  <si>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</si>
  <si>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</si>
  <si>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</si>
  <si>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</si>
  <si>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</si>
  <si>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</si>
  <si>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</si>
  <si>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</si>
  <si>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</si>
  <si>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</si>
  <si>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</si>
  <si>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</si>
  <si>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</si>
  <si>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</si>
  <si>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</si>
  <si>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</si>
  <si>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</si>
  <si>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</si>
  <si>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</si>
  <si>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</si>
  <si>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</si>
  <si>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</si>
  <si>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</si>
  <si>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</si>
  <si>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</si>
  <si>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</si>
  <si>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</si>
  <si>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</si>
  <si>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</si>
  <si>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</si>
  <si>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</si>
  <si>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</si>
  <si>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</si>
  <si>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</si>
  <si>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</si>
  <si>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</si>
  <si>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</si>
  <si>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</si>
  <si>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</si>
  <si>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</si>
  <si>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</si>
  <si>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</si>
  <si>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</si>
  <si>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</si>
  <si>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</si>
  <si>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</si>
  <si>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</si>
  <si>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</si>
  <si>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</si>
  <si>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</si>
  <si>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</si>
  <si>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</si>
  <si>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</si>
  <si>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</si>
  <si>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</si>
  <si>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</si>
  <si>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</si>
  <si>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</si>
  <si>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</si>
  <si>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</si>
  <si>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</si>
  <si>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</si>
  <si>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</si>
  <si>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</si>
  <si>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</si>
  <si>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</si>
  <si>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 xml:space="preserve">Altaf Cash &amp; Carry </t>
  </si>
  <si>
    <t>D483661-1</t>
  </si>
  <si>
    <t xml:space="preserve">Customer Name : Altaf Cash &amp; Carry </t>
  </si>
  <si>
    <t>Address: Ferozpur Road 66-67 Block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</si>
</sst>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0" sqref="B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10" sqref="B10"/>
      <selection pane="topRight" activeCell="B10" sqref="B10"/>
      <selection pane="bottomLeft" activeCell="B10" sqref="B10"/>
      <selection pane="bottomRight" activeCell="B10" sqref="B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S15" sqref="S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103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102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Altaf Cash &amp; Carry </v>
      </c>
      <c r="U14" s="164">
        <f>+'1'!P35</f>
        <v>14089.317386400002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Altaf Cash &amp; Carry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347.51159999999999</v>
      </c>
      <c r="O16" s="101">
        <f>+'1'!O16+'2'!O16+'4'!O16+'3'!O16+'5'!O16+'6'!O16+'7'!O16+'8'!O16+'9'!O16+'10'!O16</f>
        <v>11.390657999999998</v>
      </c>
      <c r="P16" s="105">
        <f t="shared" ref="P16:P24" si="0">M16+N16+O16</f>
        <v>2289.5222579999995</v>
      </c>
      <c r="Q16" s="108"/>
      <c r="T16" s="163" t="str">
        <f>+'4'!A5</f>
        <v xml:space="preserve">Customer Name : Altaf Cash &amp; Carry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347.51159999999999</v>
      </c>
      <c r="O17" s="101">
        <f>+'1'!O17+'2'!O17+'4'!O17+'3'!O17+'5'!O17+'6'!O17+'7'!O17+'8'!O17+'9'!O17+'10'!O17</f>
        <v>11.390657999999998</v>
      </c>
      <c r="P17" s="120">
        <f t="shared" si="0"/>
        <v>2289.5222579999995</v>
      </c>
      <c r="S17" s="64"/>
      <c r="T17" s="163" t="str">
        <f>+'3'!A5</f>
        <v xml:space="preserve">Customer Name : Altaf Cash &amp; Carry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Altaf Cash &amp; Carry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232.44800000000001</v>
      </c>
      <c r="M19" s="118">
        <f t="shared" si="2"/>
        <v>2673.152</v>
      </c>
      <c r="N19" s="101">
        <f>+'1'!N19+'2'!N19+'4'!N19+'3'!N19+'5'!N19+'6'!N19+'7'!N19+'8'!N19+'9'!N19+'10'!N19</f>
        <v>481.16735999999997</v>
      </c>
      <c r="O19" s="101">
        <f>+'1'!O19+'2'!O19+'4'!O19+'3'!O19+'5'!O19+'6'!O19+'7'!O19+'8'!O19+'9'!O19+'10'!O19</f>
        <v>15.771596799999999</v>
      </c>
      <c r="P19" s="120">
        <f t="shared" si="0"/>
        <v>3170.0909568000002</v>
      </c>
      <c r="T19" s="163" t="str">
        <f>+'6'!A5</f>
        <v xml:space="preserve">Customer Name : Altaf Cash &amp; Carry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481.16735999999997</v>
      </c>
      <c r="O20" s="101">
        <f>+'1'!O20+'2'!O20+'4'!O20+'3'!O20+'5'!O20+'6'!O20+'7'!O20+'8'!O20+'9'!O20+'10'!O20</f>
        <v>15.771596799999999</v>
      </c>
      <c r="P20" s="120">
        <f t="shared" si="0"/>
        <v>3170.0909568000002</v>
      </c>
      <c r="T20" s="163" t="str">
        <f>+'7'!A5</f>
        <v xml:space="preserve">Customer Name : Altaf Cash &amp; Carry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232.44800000000001</v>
      </c>
      <c r="M21" s="118">
        <f t="shared" si="2"/>
        <v>2673.152</v>
      </c>
      <c r="N21" s="101">
        <f>+'1'!N21+'2'!N21+'4'!N21+'3'!N21+'5'!N21+'6'!N21+'7'!N21+'8'!N21+'9'!N21+'10'!N21</f>
        <v>481.16735999999997</v>
      </c>
      <c r="O21" s="101">
        <f>+'1'!O21+'2'!O21+'4'!O21+'3'!O21+'5'!O21+'6'!O21+'7'!O21+'8'!O21+'9'!O21+'10'!O21</f>
        <v>15.771596799999999</v>
      </c>
      <c r="P21" s="120">
        <f t="shared" si="0"/>
        <v>3170.0909568000002</v>
      </c>
      <c r="T21" s="163" t="str">
        <f>+'8'!A5</f>
        <v xml:space="preserve">Customer Name : Altaf Cash &amp; Carry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Altaf Cash &amp; Carry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Altaf Cash &amp; Carry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Altaf Cash &amp; Carry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5</v>
      </c>
      <c r="D25" s="221"/>
      <c r="E25" s="221"/>
      <c r="F25" s="221"/>
      <c r="G25" s="175">
        <f t="shared" ref="G25:M25" si="3">SUM(G16:G24)</f>
        <v>0</v>
      </c>
      <c r="H25" s="176">
        <f t="shared" si="3"/>
        <v>200</v>
      </c>
      <c r="I25" s="177">
        <f t="shared" si="3"/>
        <v>12913.800000000001</v>
      </c>
      <c r="J25" s="176">
        <f t="shared" si="3"/>
        <v>0</v>
      </c>
      <c r="K25" s="177">
        <f t="shared" si="3"/>
        <v>0</v>
      </c>
      <c r="L25" s="178">
        <f t="shared" si="3"/>
        <v>1033.104</v>
      </c>
      <c r="M25" s="141">
        <f t="shared" si="3"/>
        <v>11880.696</v>
      </c>
      <c r="N25" s="142">
        <f>SUM(N16:N24)</f>
        <v>2138.5252799999998</v>
      </c>
      <c r="O25" s="143">
        <f>SUM(O16:O24)</f>
        <v>70.096106399999996</v>
      </c>
      <c r="P25" s="144">
        <f>SUM(P16:P24)</f>
        <v>14089.3173864</v>
      </c>
      <c r="T25" s="163" t="str">
        <f>+'12'!A5</f>
        <v xml:space="preserve">Customer Name : Altaf Cash &amp; Carry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Altaf Cash &amp; Carry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Altaf Cash &amp; Carry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Altaf Cash &amp; Carry </v>
      </c>
      <c r="U28" s="181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0" t="str">
        <f>+'16'!A5</f>
        <v xml:space="preserve">Customer Name : Altaf Cash &amp; Carry </v>
      </c>
      <c r="U29" s="181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0" t="str">
        <f>+'17'!A5</f>
        <v xml:space="preserve">Customer Name : Altaf Cash &amp; Carry </v>
      </c>
      <c r="U30" s="181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0" t="str">
        <f>+'18'!A5</f>
        <v xml:space="preserve">Customer Name : Altaf Cash &amp; Carry </v>
      </c>
      <c r="U31" s="181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0"/>
      <c r="U32" s="181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14089.317386400002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28" t="s">
        <v>85</v>
      </c>
      <c r="C35" s="229"/>
      <c r="D35" s="229"/>
      <c r="E35" s="229"/>
      <c r="F35" s="229"/>
      <c r="G35" s="229"/>
      <c r="H35" s="229"/>
      <c r="I35" s="229"/>
      <c r="J35" s="229"/>
      <c r="K35" s="229"/>
      <c r="L35" s="230"/>
      <c r="N35" s="237" t="s">
        <v>86</v>
      </c>
      <c r="O35" s="238"/>
      <c r="P35" s="152">
        <f>I25</f>
        <v>12913.800000000001</v>
      </c>
    </row>
    <row r="36" spans="1:21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N36" s="239" t="s">
        <v>87</v>
      </c>
      <c r="O36" s="240"/>
      <c r="P36" s="153">
        <f>L25</f>
        <v>1033.104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4</v>
      </c>
      <c r="O37" s="240"/>
      <c r="P37" s="154">
        <f>K25</f>
        <v>0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M38" s="2"/>
      <c r="N38" s="239" t="s">
        <v>88</v>
      </c>
      <c r="O38" s="240"/>
      <c r="P38" s="153">
        <f>P35-P36-P37</f>
        <v>11880.696000000002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155" t="s">
        <v>89</v>
      </c>
      <c r="O39" s="156">
        <f>IF(B12="Registered",18%,22%)</f>
        <v>0.22</v>
      </c>
      <c r="P39" s="153">
        <f>N25</f>
        <v>2138.5252799999998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241" t="s">
        <v>90</v>
      </c>
      <c r="O40" s="242"/>
      <c r="P40" s="153">
        <f>P38+P39</f>
        <v>14019.221280000002</v>
      </c>
    </row>
    <row r="41" spans="1:21" ht="15" customHeight="1" thickBot="1" x14ac:dyDescent="0.4">
      <c r="B41" s="234"/>
      <c r="C41" s="235"/>
      <c r="D41" s="235"/>
      <c r="E41" s="235"/>
      <c r="F41" s="235"/>
      <c r="G41" s="235"/>
      <c r="H41" s="235"/>
      <c r="I41" s="235"/>
      <c r="J41" s="235"/>
      <c r="K41" s="235"/>
      <c r="L41" s="236"/>
      <c r="M41" s="157"/>
      <c r="N41" s="158" t="s">
        <v>91</v>
      </c>
      <c r="O41" s="159">
        <f>IF(B11="Filer",0.5%,2.5%)</f>
        <v>2.5000000000000001E-2</v>
      </c>
      <c r="P41" s="153">
        <f>O41*P40</f>
        <v>350.48053200000004</v>
      </c>
    </row>
    <row r="42" spans="1:21" ht="15.75" customHeight="1" thickBot="1" x14ac:dyDescent="0.4">
      <c r="N42" s="219" t="s">
        <v>92</v>
      </c>
      <c r="O42" s="220"/>
      <c r="P42" s="160">
        <f>P40+P41</f>
        <v>14369.701812000001</v>
      </c>
    </row>
    <row r="43" spans="1:21" ht="15" thickBot="1" x14ac:dyDescent="0.4">
      <c r="B43" s="161" t="s">
        <v>93</v>
      </c>
      <c r="C43" s="221"/>
      <c r="D43" s="221"/>
      <c r="E43" s="221"/>
      <c r="F43" s="221"/>
      <c r="G43" s="221"/>
      <c r="H43" s="221"/>
      <c r="I43" s="222"/>
      <c r="J43" s="223"/>
      <c r="K43" s="224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0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347.51159999999999</v>
      </c>
      <c r="O16" s="107">
        <f t="shared" ref="O16:O24" si="1">(N16+M16)*$O$15</f>
        <v>11.390657999999998</v>
      </c>
      <c r="P16" s="105">
        <f t="shared" ref="P16:P24" si="2">M16+N16+O16</f>
        <v>2289.5222579999995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0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347.51159999999999</v>
      </c>
      <c r="O17" s="119">
        <f t="shared" si="1"/>
        <v>11.390657999999998</v>
      </c>
      <c r="P17" s="120">
        <f t="shared" si="2"/>
        <v>2289.5222579999995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0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481.16735999999997</v>
      </c>
      <c r="O19" s="119">
        <f t="shared" si="1"/>
        <v>15.771596799999999</v>
      </c>
      <c r="P19" s="120">
        <f t="shared" si="2"/>
        <v>3170.0909568000002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0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481.16735999999997</v>
      </c>
      <c r="O20" s="119">
        <f t="shared" si="1"/>
        <v>15.771596799999999</v>
      </c>
      <c r="P20" s="120">
        <f t="shared" si="2"/>
        <v>3170.0909568000002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0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481.16735999999997</v>
      </c>
      <c r="O21" s="119">
        <f t="shared" si="1"/>
        <v>15.771596799999999</v>
      </c>
      <c r="P21" s="120">
        <f t="shared" si="2"/>
        <v>3170.0909568000002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82">
        <f>SUM(J16:J21)</f>
        <v>0</v>
      </c>
      <c r="K25" s="139">
        <f t="shared" si="9"/>
        <v>0</v>
      </c>
      <c r="L25" s="140">
        <f t="shared" si="9"/>
        <v>1033.104</v>
      </c>
      <c r="M25" s="141">
        <f t="shared" si="9"/>
        <v>11880.696</v>
      </c>
      <c r="N25" s="142">
        <f>SUM(N16:N24)</f>
        <v>2138.5252799999998</v>
      </c>
      <c r="O25" s="143">
        <f>SUM(O16:O24)</f>
        <v>70.096106399999996</v>
      </c>
      <c r="P25" s="144">
        <f>SUM(P16:P24)</f>
        <v>14089.3173864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12913.800000000001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1033.104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11880.696000000002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2138.5252799999998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14019.221280000002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70.096106400000011</v>
      </c>
    </row>
    <row r="35" spans="2:16" ht="15.75" customHeight="1" thickBot="1" x14ac:dyDescent="0.4">
      <c r="N35" s="219" t="s">
        <v>92</v>
      </c>
      <c r="O35" s="220"/>
      <c r="P35" s="160">
        <f>P33+P34</f>
        <v>14089.317386400002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79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2026-06-29T05:16:34Z</dcterms:modified>
</cp:coreProperties>
</file>