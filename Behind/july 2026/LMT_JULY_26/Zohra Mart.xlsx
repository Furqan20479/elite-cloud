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CD9D98E-AAE8-472F-AED6-5622ABEA4BC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M21" i="15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<sst xmlns="http://schemas.openxmlformats.org/spreadsheetml/2006/main" count="1652" uniqueCount="123">
  <si>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</si>
  <si>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</si>
  <si>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</si>
  <si>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</si>
  <si>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</si>
  <si>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</si>
  <si>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</si>
  <si>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</si>
  <si>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</si>
  <si>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</si>
  <si>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</si>
  <si>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</si>
  <si>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</si>
  <si>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</si>
  <si>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</si>
  <si>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</si>
  <si>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</si>
  <si>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</si>
  <si>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</si>
  <si>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</si>
  <si>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</si>
  <si>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</si>
  <si>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</si>
  <si>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</si>
  <si>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</si>
  <si>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</si>
  <si>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</si>
  <si>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</si>
  <si>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</si>
  <si>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</si>
  <si>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</si>
  <si>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</si>
  <si>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</si>
  <si>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</si>
  <si>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</si>
  <si>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</si>
  <si>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</si>
  <si>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</si>
  <si>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</si>
  <si>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</si>
  <si>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</si>
  <si>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</si>
  <si>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</si>
  <si>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</si>
  <si>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</si>
  <si>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</si>
  <si>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</si>
  <si>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</si>
  <si>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</si>
  <si>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</si>
  <si>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</si>
  <si>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</si>
  <si>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</si>
  <si>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</si>
  <si>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</si>
  <si>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</si>
  <si>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</si>
  <si>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</si>
  <si>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</si>
  <si>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</si>
  <si>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</si>
  <si>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</si>
  <si>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</si>
  <si>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</si>
  <si>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</si>
  <si>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</si>
  <si>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</si>
  <si>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</si>
  <si>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</si>
  <si>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</si>
  <si>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</si>
  <si>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</si>
  <si>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</si>
  <si>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</si>
  <si>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</si>
  <si>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</si>
  <si>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</si>
  <si>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</si>
  <si>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</si>
  <si>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</si>
  <si>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</si>
  <si>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</si>
  <si>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</si>
  <si>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</si>
  <si>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</si>
  <si>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</si>
  <si>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</si>
  <si>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</si>
  <si>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</si>
  <si>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</si>
  <si>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</si>
  <si>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</si>
  <si>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</si>
  <si>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</si>
  <si>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</si>
  <si>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</si>
  <si>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</si>
  <si>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</si>
  <si>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</si>
  <si>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</si>
  <si>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</si>
  <si>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</si>
  <si>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</si>
  <si>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</si>
  <si>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</si>
  <si>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</si>
  <si>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</si>
  <si>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</si>
  <si>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</si>
  <si>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</si>
  <si>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</si>
  <si>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</si>
  <si>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</si>
  <si>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</si>
  <si>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</si>
  <si>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</si>
  <si>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</si>
  <si>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</si>
  <si>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</si>
  <si>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</si>
  <si>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8971267-4</t>
  </si>
  <si>
    <t xml:space="preserve">Customer Name : Zohra Mart </t>
  </si>
  <si>
    <t xml:space="preserve">Address: Izmir Town Canal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</si>
</sst>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1" sqref="H2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102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103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Zohra Mart </v>
      </c>
      <c r="U14" s="163">
        <f>+'1'!P35</f>
        <v>26825.171846399997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9"/>
      <c r="J15" s="170" t="s">
        <v>78</v>
      </c>
      <c r="K15" s="170" t="s">
        <v>79</v>
      </c>
      <c r="L15" s="173" t="s">
        <v>80</v>
      </c>
      <c r="M15" s="24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Zohra Mart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+'3'!A5</f>
        <v xml:space="preserve">Customer Name : Zohra Mart 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+'4'!A5</f>
        <v xml:space="preserve">Customer Name : Zohra Mart 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Zohra Mart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871.68</v>
      </c>
      <c r="M19" s="117">
        <f t="shared" si="2"/>
        <v>7540.0319999999992</v>
      </c>
      <c r="N19" s="100">
        <f>+'1'!N19+'2'!N19+'4'!N19+'3'!N19+'5'!N19+'6'!N19+'7'!N19+'8'!N19+'9'!N19+'10'!N19</f>
        <v>1357.2057599999998</v>
      </c>
      <c r="O19" s="100">
        <f>+'1'!O19+'2'!O19+'4'!O19+'3'!O19+'5'!O19+'6'!O19+'7'!O19+'8'!O19+'9'!O19+'10'!O19</f>
        <v>44.486188800000001</v>
      </c>
      <c r="P19" s="119">
        <f t="shared" si="0"/>
        <v>8941.7239487999996</v>
      </c>
      <c r="T19" s="162" t="str">
        <f>+'6'!A5</f>
        <v xml:space="preserve">Customer Name : Zohra Mart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305.08800000000002</v>
      </c>
      <c r="L20" s="174">
        <f>+'1'!L20+'2'!L20+'4'!L20+'3'!L20+'5'!L20+'6'!L20+'7'!L20+'8'!L20+'9'!L20+'10'!L20</f>
        <v>871.68</v>
      </c>
      <c r="M20" s="117">
        <f t="shared" si="2"/>
        <v>7540.0319999999992</v>
      </c>
      <c r="N20" s="100">
        <f>+'1'!N20+'2'!N20+'4'!N20+'3'!N20+'5'!N20+'6'!N20+'7'!N20+'8'!N20+'9'!N20+'10'!N20</f>
        <v>1357.2057599999998</v>
      </c>
      <c r="O20" s="100">
        <f>+'1'!O20+'2'!O20+'4'!O20+'3'!O20+'5'!O20+'6'!O20+'7'!O20+'8'!O20+'9'!O20+'10'!O20</f>
        <v>44.486188800000001</v>
      </c>
      <c r="P20" s="119">
        <f t="shared" si="0"/>
        <v>8941.7239487999996</v>
      </c>
      <c r="T20" s="162" t="str">
        <f>+'7'!A5</f>
        <v xml:space="preserve">Customer Name : Zohra Mart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305.08800000000002</v>
      </c>
      <c r="L21" s="174">
        <f>+'1'!L21+'2'!L21+'4'!L21+'3'!L21+'5'!L21+'6'!L21+'7'!L21+'8'!L21+'9'!L21+'10'!L21</f>
        <v>871.68</v>
      </c>
      <c r="M21" s="117">
        <f t="shared" si="2"/>
        <v>7540.0319999999992</v>
      </c>
      <c r="N21" s="100">
        <f>+'1'!N21+'2'!N21+'4'!N21+'3'!N21+'5'!N21+'6'!N21+'7'!N21+'8'!N21+'9'!N21+'10'!N21</f>
        <v>1357.2057599999998</v>
      </c>
      <c r="O21" s="100">
        <f>+'1'!O21+'2'!O21+'4'!O21+'3'!O21+'5'!O21+'6'!O21+'7'!O21+'8'!O21+'9'!O21+'10'!O21</f>
        <v>44.486188800000001</v>
      </c>
      <c r="P21" s="119">
        <f t="shared" si="0"/>
        <v>8941.7239487999996</v>
      </c>
      <c r="T21" s="162" t="str">
        <f>+'8'!A5</f>
        <v xml:space="preserve">Customer Name : Zohra Mart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Zohra Mart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Zohra Mart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Zohra Mart </v>
      </c>
      <c r="U24" s="163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9</v>
      </c>
      <c r="D25" s="215"/>
      <c r="E25" s="215"/>
      <c r="F25" s="215"/>
      <c r="G25" s="175">
        <f t="shared" ref="G25:M25" si="3">SUM(G16:G24)</f>
        <v>0</v>
      </c>
      <c r="H25" s="176">
        <f t="shared" si="3"/>
        <v>360</v>
      </c>
      <c r="I25" s="177">
        <f t="shared" si="3"/>
        <v>26150.399999999998</v>
      </c>
      <c r="J25" s="176">
        <f t="shared" si="3"/>
        <v>0</v>
      </c>
      <c r="K25" s="177">
        <f t="shared" si="3"/>
        <v>915.26400000000012</v>
      </c>
      <c r="L25" s="178">
        <f t="shared" si="3"/>
        <v>2615.04</v>
      </c>
      <c r="M25" s="140">
        <f t="shared" si="3"/>
        <v>22620.095999999998</v>
      </c>
      <c r="N25" s="141">
        <f>SUM(N16:N24)</f>
        <v>4071.6172799999995</v>
      </c>
      <c r="O25" s="142">
        <f>SUM(O16:O24)</f>
        <v>133.4585664</v>
      </c>
      <c r="P25" s="143">
        <f>SUM(P16:P24)</f>
        <v>26825.171846400001</v>
      </c>
      <c r="T25" s="162" t="str">
        <f>+'12'!A5</f>
        <v xml:space="preserve">Customer Name : Zohra Mart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Zohra Mart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Zohra Mart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Zohra Mart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Zohra Mart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Zohra Mart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Zohra Mart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 xml:space="preserve">Customer Name : Zohra Mart 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 xml:space="preserve">Customer Name : Zohra Mart 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26825.171846399997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1">
        <f>I25</f>
        <v>26150.399999999998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2">
        <f>L25</f>
        <v>2615.04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3">
        <f>K25</f>
        <v>915.26400000000012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2">
        <f>P36-P37-P38</f>
        <v>22620.095999999998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4" t="s">
        <v>89</v>
      </c>
      <c r="O40" s="155">
        <f>IF(B12="Registered",18%,22%)</f>
        <v>0.22</v>
      </c>
      <c r="P40" s="152">
        <f>N25</f>
        <v>4071.6172799999995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2">
        <f>P39+P40</f>
        <v>26691.713279999996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6"/>
      <c r="N42" s="157" t="s">
        <v>91</v>
      </c>
      <c r="O42" s="158">
        <f>IF(B11="Filer",0.5%,2.5%)</f>
        <v>2.5000000000000001E-2</v>
      </c>
      <c r="P42" s="152">
        <f>O42*P41</f>
        <v>667.29283199999998</v>
      </c>
    </row>
    <row r="43" spans="1:21" ht="15.75" customHeight="1" thickBot="1" x14ac:dyDescent="0.4">
      <c r="N43" s="213" t="s">
        <v>92</v>
      </c>
      <c r="O43" s="214"/>
      <c r="P43" s="159">
        <f>P41+P42</f>
        <v>27359.006111999995</v>
      </c>
    </row>
    <row r="44" spans="1:21" ht="15" thickBot="1" x14ac:dyDescent="0.4">
      <c r="B44" s="160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3" workbookViewId="0">
      <selection activeCell="B26" sqref="B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26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101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7" t="s">
        <v>120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03">
        <f t="shared" ref="K17:K21" si="4">I17*3.5%</f>
        <v>0</v>
      </c>
      <c r="L17" s="104">
        <f t="shared" ref="L17:L21" si="5">I17*10%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/>
      <c r="K19" s="103">
        <f t="shared" si="4"/>
        <v>305.08800000000002</v>
      </c>
      <c r="L19" s="104">
        <f t="shared" si="5"/>
        <v>871.68</v>
      </c>
      <c r="M19" s="117">
        <f t="shared" si="6"/>
        <v>7540.0319999999992</v>
      </c>
      <c r="N19" s="117">
        <f t="shared" si="0"/>
        <v>1357.2057599999998</v>
      </c>
      <c r="O19" s="118">
        <f t="shared" si="1"/>
        <v>44.486188800000001</v>
      </c>
      <c r="P19" s="119">
        <f t="shared" si="2"/>
        <v>8941.7239487999996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/>
      <c r="K20" s="103">
        <f t="shared" si="4"/>
        <v>305.08800000000002</v>
      </c>
      <c r="L20" s="104">
        <f t="shared" si="5"/>
        <v>871.68</v>
      </c>
      <c r="M20" s="117">
        <f t="shared" si="6"/>
        <v>7540.0319999999992</v>
      </c>
      <c r="N20" s="117">
        <f t="shared" si="0"/>
        <v>1357.2057599999998</v>
      </c>
      <c r="O20" s="118">
        <f t="shared" si="1"/>
        <v>44.486188800000001</v>
      </c>
      <c r="P20" s="119">
        <f t="shared" si="2"/>
        <v>8941.7239487999996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/>
      <c r="K21" s="103">
        <f t="shared" si="4"/>
        <v>305.08800000000002</v>
      </c>
      <c r="L21" s="104">
        <f t="shared" si="5"/>
        <v>871.68</v>
      </c>
      <c r="M21" s="117">
        <f t="shared" si="6"/>
        <v>7540.0319999999992</v>
      </c>
      <c r="N21" s="117">
        <f t="shared" si="0"/>
        <v>1357.2057599999998</v>
      </c>
      <c r="O21" s="118">
        <f t="shared" si="1"/>
        <v>44.486188800000001</v>
      </c>
      <c r="P21" s="119">
        <f t="shared" si="2"/>
        <v>8941.7239487999996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13">SUM(G16:G24)</f>
        <v>0</v>
      </c>
      <c r="H25" s="135">
        <f t="shared" si="13"/>
        <v>360</v>
      </c>
      <c r="I25" s="136">
        <f t="shared" si="13"/>
        <v>26150.399999999998</v>
      </c>
      <c r="J25" s="137"/>
      <c r="K25" s="138">
        <f t="shared" si="13"/>
        <v>915.26400000000012</v>
      </c>
      <c r="L25" s="139">
        <f t="shared" si="13"/>
        <v>2615.04</v>
      </c>
      <c r="M25" s="140">
        <f t="shared" si="13"/>
        <v>22620.095999999998</v>
      </c>
      <c r="N25" s="141">
        <f>SUM(N16:N24)</f>
        <v>4071.6172799999995</v>
      </c>
      <c r="O25" s="142">
        <f>SUM(O16:O24)</f>
        <v>133.4585664</v>
      </c>
      <c r="P25" s="143">
        <f>SUM(P16:P24)</f>
        <v>26825.171846400001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26150.399999999998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2615.04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915.26400000000012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22620.095999999998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0.18</v>
      </c>
      <c r="P32" s="152">
        <f>N25</f>
        <v>4071.6172799999995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26691.713279999996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5.0000000000000001E-3</v>
      </c>
      <c r="P34" s="152">
        <f>O34*P33</f>
        <v>133.4585664</v>
      </c>
    </row>
    <row r="35" spans="2:16" ht="15.75" customHeight="1" thickBot="1" x14ac:dyDescent="0.4">
      <c r="N35" s="213" t="s">
        <v>92</v>
      </c>
      <c r="O35" s="214"/>
      <c r="P35" s="159">
        <f>P33+P34</f>
        <v>26825.171846399997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7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8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8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8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6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79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2026-07-10T13:18:37Z</dcterms:modified>
</cp:coreProperties>
</file>