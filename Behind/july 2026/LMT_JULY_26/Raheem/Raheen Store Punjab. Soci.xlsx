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D9330E8-3422-45AE-A441-A063E80C530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<sst xmlns="http://schemas.openxmlformats.org/spreadsheetml/2006/main" count="3913" uniqueCount="515">
  <si>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</si>
  <si>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</si>
  <si>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</si>
  <si>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</si>
  <si>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</si>
  <si>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</si>
  <si>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</si>
  <si>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</si>
  <si>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</si>
  <si>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</si>
  <si>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</si>
  <si>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</si>
  <si>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</si>
  <si>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</si>
  <si>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</si>
  <si>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</si>
  <si>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</si>
  <si>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</si>
  <si>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</si>
  <si>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</si>
  <si>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</si>
  <si>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</si>
  <si>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</si>
  <si>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</si>
  <si>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</si>
  <si>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</si>
  <si>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</si>
  <si>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</si>
  <si>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</si>
  <si>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</si>
  <si>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</si>
  <si>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</si>
  <si>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</si>
  <si>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</si>
  <si>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</si>
  <si>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</si>
  <si>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</si>
  <si>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</si>
  <si>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</si>
  <si>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</si>
  <si>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</si>
  <si>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</si>
  <si>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</si>
  <si>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</si>
  <si>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</si>
  <si>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</si>
  <si>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</si>
  <si>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</si>
  <si>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</si>
  <si>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</si>
  <si>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</si>
  <si>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</si>
  <si>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</si>
  <si>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</si>
  <si>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</si>
  <si>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</si>
  <si>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</si>
  <si>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</si>
  <si>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</si>
  <si>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</si>
  <si>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</si>
  <si>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</si>
  <si>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</si>
  <si>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</si>
  <si>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</si>
  <si>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</si>
  <si>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</si>
  <si>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</si>
  <si>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</si>
  <si>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</si>
  <si>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</si>
  <si>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</si>
  <si>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</si>
  <si>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</si>
  <si>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</si>
  <si>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</si>
  <si>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</si>
  <si>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</si>
  <si>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</si>
  <si>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</si>
  <si>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</si>
  <si>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</si>
  <si>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</si>
  <si>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</si>
  <si>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</si>
  <si>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</si>
  <si>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</si>
  <si>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</si>
  <si>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</si>
  <si>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</si>
  <si>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</si>
  <si>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</si>
  <si>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</si>
  <si>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</si>
  <si>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</si>
  <si>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</si>
  <si>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</si>
  <si>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</si>
  <si>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</si>
  <si>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</si>
  <si>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</si>
  <si>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</si>
  <si>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</si>
  <si>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</si>
  <si>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</si>
  <si>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</si>
  <si>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</si>
  <si>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</si>
  <si>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</si>
  <si>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</si>
  <si>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</si>
  <si>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</si>
  <si>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</si>
  <si>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</si>
  <si>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</si>
  <si>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</si>
  <si>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</si>
  <si>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</si>
  <si>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</si>
  <si>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</si>
  <si>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</si>
  <si>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</si>
  <si>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</si>
  <si>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</si>
  <si>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</si>
  <si>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</si>
  <si>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</si>
  <si>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</si>
  <si>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</si>
  <si>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</si>
  <si>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</si>
  <si>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</si>
  <si>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</si>
  <si>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</si>
  <si>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</si>
  <si>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</si>
  <si>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</si>
  <si>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</si>
  <si>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</si>
  <si>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</si>
  <si>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</si>
  <si>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</si>
  <si>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</si>
  <si>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</si>
  <si>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</si>
  <si>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</si>
  <si>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</si>
  <si>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</si>
  <si>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</si>
  <si>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</si>
  <si>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</si>
  <si>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</si>
  <si>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</si>
  <si>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</si>
  <si>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</si>
  <si>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</si>
  <si>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</si>
  <si>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</si>
  <si>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</si>
  <si>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</si>
  <si>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</si>
  <si>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</si>
  <si>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</si>
  <si>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</si>
  <si>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</si>
  <si>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</si>
  <si>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</si>
  <si>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</si>
  <si>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</si>
  <si>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</si>
  <si>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</si>
  <si>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</si>
  <si>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</si>
  <si>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</si>
  <si>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</si>
  <si>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</si>
  <si>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</si>
  <si>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</si>
  <si>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</si>
  <si>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</si>
  <si>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</si>
  <si>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</si>
  <si>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</si>
  <si>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</si>
  <si>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</si>
  <si>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</si>
  <si>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</si>
  <si>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</si>
  <si>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</si>
  <si>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</si>
  <si>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</si>
  <si>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</si>
  <si>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</si>
  <si>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</si>
  <si>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</si>
  <si>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</si>
  <si>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</si>
  <si>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</si>
  <si>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</si>
  <si>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</si>
  <si>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</si>
  <si>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</si>
  <si>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</si>
  <si>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</si>
  <si>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</si>
  <si>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</si>
  <si>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</si>
  <si>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</si>
  <si>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</si>
  <si>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</si>
  <si>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</si>
  <si>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</si>
  <si>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</si>
  <si>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</si>
  <si>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</si>
  <si>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</si>
  <si>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</si>
  <si>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</si>
  <si>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</si>
  <si>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</si>
  <si>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</si>
  <si>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</si>
  <si>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</si>
  <si>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</si>
  <si>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</si>
  <si>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</si>
  <si>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</si>
  <si>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</si>
  <si>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</si>
  <si>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</si>
  <si>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</si>
  <si>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</si>
  <si>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</si>
  <si>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</si>
  <si>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</si>
  <si>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</si>
  <si>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</si>
  <si>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</si>
  <si>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</si>
  <si>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</si>
  <si>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</si>
  <si>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</si>
  <si>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</si>
  <si>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</si>
  <si>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</si>
  <si>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</si>
  <si>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</si>
  <si>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</si>
  <si>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</si>
  <si>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</si>
  <si>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</si>
  <si>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</si>
  <si>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</si>
  <si>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</si>
  <si>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</si>
  <si>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</si>
  <si>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</si>
  <si>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</si>
  <si>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</si>
  <si>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</si>
  <si>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</si>
  <si>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</si>
  <si>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</si>
  <si>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</si>
  <si>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</si>
  <si>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</si>
  <si>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</si>
  <si>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</si>
  <si>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</si>
  <si>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</si>
  <si>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</si>
  <si>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</si>
  <si>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</si>
  <si>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</si>
  <si>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</si>
  <si>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</si>
  <si>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</si>
  <si>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</si>
  <si>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</si>
  <si>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</si>
  <si>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</si>
  <si>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</si>
  <si>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</si>
  <si>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</si>
  <si>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</si>
  <si>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</si>
  <si>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</si>
  <si>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</si>
  <si>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</si>
  <si>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</si>
  <si>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</si>
  <si>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</si>
  <si>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</si>
  <si>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</si>
  <si>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</si>
  <si>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</si>
  <si>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</si>
  <si>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</si>
  <si>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</si>
  <si>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</si>
  <si>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</si>
  <si>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</si>
  <si>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</si>
  <si>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</si>
  <si>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</si>
  <si>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</si>
  <si>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</si>
  <si>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</si>
  <si>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</si>
  <si>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</si>
  <si>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</si>
  <si>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</si>
  <si>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</si>
  <si>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</si>
  <si>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</si>
  <si>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</si>
  <si>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</si>
  <si>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</si>
  <si>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</si>
  <si>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</si>
  <si>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</si>
  <si>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</si>
  <si>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</si>
  <si>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</si>
  <si>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</si>
  <si>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</si>
  <si>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</si>
  <si>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</si>
  <si>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</si>
  <si>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</si>
  <si>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</si>
  <si>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</si>
  <si>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</si>
  <si>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</si>
  <si>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</si>
  <si>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</si>
  <si>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</si>
  <si>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</si>
  <si>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</si>
  <si>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</si>
  <si>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</si>
  <si>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</si>
  <si>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</si>
  <si>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</si>
  <si>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</si>
  <si>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</si>
  <si>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</si>
  <si>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</si>
  <si>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</si>
  <si>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</si>
  <si>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</si>
  <si>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</si>
  <si>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</si>
  <si>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</si>
  <si>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</si>
  <si>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</si>
  <si>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</si>
  <si>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</si>
  <si>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</si>
  <si>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</si>
  <si>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</si>
  <si>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</si>
  <si>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</si>
  <si>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</si>
  <si>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</si>
  <si>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</si>
  <si>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</si>
  <si>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</si>
  <si>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</si>
  <si>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</si>
  <si>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</si>
  <si>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</si>
  <si>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</si>
  <si>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</si>
  <si>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</si>
  <si>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</si>
  <si>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</si>
  <si>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</si>
  <si>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</si>
  <si>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</si>
  <si>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</si>
  <si>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</si>
  <si>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</si>
  <si>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</si>
  <si>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</si>
  <si>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</si>
  <si>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</si>
  <si>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</si>
  <si>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</si>
  <si>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</si>
  <si>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</si>
  <si>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</si>
  <si>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</si>
  <si>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</si>
  <si>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</si>
  <si>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</si>
  <si>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</si>
  <si>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</si>
  <si>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</si>
  <si>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</si>
  <si>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</si>
  <si>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</si>
  <si>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</si>
  <si>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</si>
  <si>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</si>
  <si>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</si>
  <si>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</si>
  <si>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</si>
  <si>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</si>
  <si>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</si>
  <si>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</si>
  <si>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</si>
  <si>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</si>
  <si>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</si>
  <si>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</si>
  <si>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</si>
  <si>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</si>
  <si>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</si>
  <si>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</si>
  <si>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</si>
  <si>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</si>
  <si>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</si>
  <si>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</si>
  <si>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</si>
  <si>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</si>
  <si>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</si>
  <si>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</si>
  <si>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</si>
  <si>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</si>
  <si>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</si>
  <si>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</si>
  <si>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</si>
  <si>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</si>
  <si>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</si>
  <si>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</si>
  <si>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</si>
  <si>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</si>
  <si>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</si>
  <si>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</si>
  <si>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</si>
  <si>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</si>
  <si>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</si>
  <si>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</si>
  <si>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</si>
  <si>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</si>
  <si>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</si>
  <si>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</si>
  <si>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</si>
  <si>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</si>
  <si>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</si>
  <si>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</si>
  <si>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</si>
  <si>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</si>
  <si>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</si>
  <si>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</si>
  <si>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</si>
  <si>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</si>
  <si>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</si>
  <si>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</si>
  <si>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</si>
  <si>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</si>
  <si>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</si>
  <si>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</si>
  <si>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</si>
  <si>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</si>
  <si>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</si>
  <si>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</si>
  <si>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</si>
  <si>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</si>
  <si>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</si>
  <si>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</si>
  <si>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</si>
  <si>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</si>
  <si>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</si>
  <si>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</si>
  <si>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</si>
  <si>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</si>
  <si>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</si>
  <si>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</si>
  <si>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</si>
  <si>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</si>
  <si>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</si>
  <si>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</si>
  <si>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</si>
  <si>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</si>
  <si>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</si>
  <si>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</si>
  <si>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</si>
  <si>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</si>
  <si>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</si>
  <si>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</si>
  <si>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</si>
  <si>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</si>
  <si>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</si>
  <si>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</si>
  <si>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</si>
  <si>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</si>
  <si>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</si>
  <si>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</si>
  <si>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</si>
  <si>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</si>
  <si>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</si>
  <si>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</si>
  <si>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</si>
  <si>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</si>
  <si>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</si>
  <si>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</si>
  <si>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</si>
  <si>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</si>
  <si>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</si>
  <si>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</si>
  <si>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</si>
  <si>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Raheem Store Punjab Society</t>
  </si>
  <si>
    <t>Shakoor</t>
  </si>
  <si>
    <t>Shop Summary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</si>
</sst>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0.726562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513</v>
      </c>
      <c r="I2" s="339"/>
      <c r="J2" s="340"/>
      <c r="R2" s="336" t="s">
        <v>514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Raheem Store Punjab Society</v>
      </c>
      <c r="T3" s="301">
        <f>+'1'!P35</f>
        <v>65800.178904661007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118">
        <f>M7+N7+O7</f>
        <v>10692.560164194916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119">
        <f t="shared" ref="P8:P15" si="2">M8+N8+O8</f>
        <v>10692.560164194916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119">
        <f t="shared" si="2"/>
        <v>14805.019525423728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119">
        <f t="shared" si="2"/>
        <v>14805.019525423728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119">
        <f t="shared" si="2"/>
        <v>14805.019525423728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1000</v>
      </c>
      <c r="I16" s="114">
        <f t="shared" si="3"/>
        <v>64569</v>
      </c>
      <c r="J16" s="274">
        <f>SUM(J7:J15)</f>
        <v>9039.6600000000017</v>
      </c>
      <c r="K16" s="275">
        <f t="shared" si="3"/>
        <v>2259.9150000000004</v>
      </c>
      <c r="L16" s="276">
        <f t="shared" si="3"/>
        <v>0</v>
      </c>
      <c r="M16" s="232">
        <f t="shared" si="3"/>
        <v>53269.424999999996</v>
      </c>
      <c r="N16" s="233">
        <f>SUM(N7:N15)</f>
        <v>12203.389830508473</v>
      </c>
      <c r="O16" s="101">
        <f>SUM(O7:O15)</f>
        <v>327.36407415254234</v>
      </c>
      <c r="P16" s="234">
        <f>SUM(P7:P15)</f>
        <v>65800.178904661021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64569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9039.6600000000017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2259.9150000000004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53269.424999999996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12203.389830508473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65472.814830508469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327.36407415254234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65800.178904661007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65800.178904661007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workbookViewId="0">
      <selection activeCell="A17" sqref="A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119">
        <f t="shared" ref="P17:P24" si="5">M17+N17+O17</f>
        <v>10692.560164194916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119">
        <f t="shared" si="5"/>
        <v>14805.019525423728</v>
      </c>
      <c r="R20">
        <f>P20/21</f>
        <v>705.00092978208227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1000</v>
      </c>
      <c r="I25" s="114">
        <f t="shared" ref="I25:M25" si="10">SUM(I16:I24)</f>
        <v>64569</v>
      </c>
      <c r="J25" s="274">
        <f>SUM(J16:J24)</f>
        <v>9039.6600000000017</v>
      </c>
      <c r="K25" s="275">
        <f t="shared" si="10"/>
        <v>2259.9150000000004</v>
      </c>
      <c r="L25" s="276">
        <f t="shared" si="10"/>
        <v>0</v>
      </c>
      <c r="M25" s="232">
        <f t="shared" si="10"/>
        <v>53269.424999999996</v>
      </c>
      <c r="N25" s="233">
        <f>SUM(N16:N24)</f>
        <v>12203.389830508473</v>
      </c>
      <c r="O25" s="101">
        <f>SUM(O16:O24)</f>
        <v>327.36407415254234</v>
      </c>
      <c r="P25" s="234">
        <f>SUM(P16:P24)</f>
        <v>65800.178904661021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9039.6600000000017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2259.9150000000004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53269.424999999996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12203.389830508473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65472.814830508469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327.36407415254234</v>
      </c>
    </row>
    <row r="35" spans="2:16" ht="15.75" customHeight="1" thickBot="1" x14ac:dyDescent="0.4">
      <c r="N35" s="330" t="s">
        <v>88</v>
      </c>
      <c r="O35" s="331"/>
      <c r="P35" s="297">
        <f>+P33+P34</f>
        <v>65800.178904661007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2026-07-24T04:25:41Z</dcterms:modified>
</cp:coreProperties>
</file>