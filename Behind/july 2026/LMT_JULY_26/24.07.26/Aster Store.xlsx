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C8032C-172B-4BC1-A514-602DCEAD2F4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<sst xmlns="http://schemas.openxmlformats.org/spreadsheetml/2006/main" count="3913" uniqueCount="515">
  <si>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</si>
  <si>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</si>
  <si>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</si>
  <si>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</si>
  <si>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</si>
  <si>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</si>
  <si>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</si>
  <si>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</si>
  <si>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</si>
  <si>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</si>
  <si>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</si>
  <si>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</si>
  <si>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</si>
  <si>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</si>
  <si>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</si>
  <si>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</si>
  <si>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</si>
  <si>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</si>
  <si>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</si>
  <si>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</si>
  <si>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</si>
  <si>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</si>
  <si>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</si>
  <si>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</si>
  <si>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</si>
  <si>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</si>
  <si>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</si>
  <si>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</si>
  <si>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</si>
  <si>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</si>
  <si>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</si>
  <si>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</si>
  <si>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</si>
  <si>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</si>
  <si>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</si>
  <si>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</si>
  <si>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</si>
  <si>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</si>
  <si>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</si>
  <si>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</si>
  <si>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</si>
  <si>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</si>
  <si>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</si>
  <si>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</si>
  <si>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</si>
  <si>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</si>
  <si>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</si>
  <si>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</si>
  <si>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</si>
  <si>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</si>
  <si>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</si>
  <si>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</si>
  <si>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</si>
  <si>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</si>
  <si>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</si>
  <si>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</si>
  <si>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</si>
  <si>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</si>
  <si>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</si>
  <si>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</si>
  <si>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</si>
  <si>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</si>
  <si>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</si>
  <si>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</si>
  <si>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</si>
  <si>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</si>
  <si>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</si>
  <si>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</si>
  <si>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</si>
  <si>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</si>
  <si>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</si>
  <si>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</si>
  <si>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</si>
  <si>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</si>
  <si>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</si>
  <si>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</si>
  <si>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</si>
  <si>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</si>
  <si>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</si>
  <si>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</si>
  <si>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</si>
  <si>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</si>
  <si>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</si>
  <si>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</si>
  <si>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</si>
  <si>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</si>
  <si>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</si>
  <si>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</si>
  <si>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</si>
  <si>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</si>
  <si>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</si>
  <si>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</si>
  <si>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</si>
  <si>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</si>
  <si>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</si>
  <si>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</si>
  <si>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</si>
  <si>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</si>
  <si>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</si>
  <si>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</si>
  <si>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</si>
  <si>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</si>
  <si>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</si>
  <si>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</si>
  <si>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</si>
  <si>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</si>
  <si>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</si>
  <si>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</si>
  <si>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</si>
  <si>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</si>
  <si>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</si>
  <si>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</si>
  <si>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</si>
  <si>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</si>
  <si>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</si>
  <si>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</si>
  <si>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</si>
  <si>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</si>
  <si>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</si>
  <si>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</si>
  <si>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</si>
  <si>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</si>
  <si>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</si>
  <si>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</si>
  <si>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</si>
  <si>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</si>
  <si>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</si>
  <si>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</si>
  <si>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</si>
  <si>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</si>
  <si>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</si>
  <si>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</si>
  <si>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</si>
  <si>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</si>
  <si>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</si>
  <si>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</si>
  <si>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</si>
  <si>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</si>
  <si>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</si>
  <si>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</si>
  <si>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</si>
  <si>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</si>
  <si>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</si>
  <si>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</si>
  <si>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</si>
  <si>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</si>
  <si>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</si>
  <si>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</si>
  <si>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</si>
  <si>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</si>
  <si>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</si>
  <si>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</si>
  <si>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</si>
  <si>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</si>
  <si>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</si>
  <si>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</si>
  <si>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</si>
  <si>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</si>
  <si>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</si>
  <si>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</si>
  <si>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</si>
  <si>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</si>
  <si>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</si>
  <si>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</si>
  <si>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</si>
  <si>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</si>
  <si>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</si>
  <si>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</si>
  <si>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</si>
  <si>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</si>
  <si>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</si>
  <si>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</si>
  <si>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</si>
  <si>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</si>
  <si>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</si>
  <si>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</si>
  <si>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</si>
  <si>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</si>
  <si>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</si>
  <si>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</si>
  <si>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</si>
  <si>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</si>
  <si>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</si>
  <si>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</si>
  <si>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</si>
  <si>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</si>
  <si>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</si>
  <si>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</si>
  <si>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</si>
  <si>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</si>
  <si>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</si>
  <si>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</si>
  <si>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</si>
  <si>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</si>
  <si>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</si>
  <si>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</si>
  <si>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</si>
  <si>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</si>
  <si>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</si>
  <si>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</si>
  <si>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</si>
  <si>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</si>
  <si>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</si>
  <si>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</si>
  <si>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</si>
  <si>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</si>
  <si>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</si>
  <si>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</si>
  <si>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</si>
  <si>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</si>
  <si>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</si>
  <si>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</si>
  <si>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</si>
  <si>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</si>
  <si>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</si>
  <si>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</si>
  <si>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</si>
  <si>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</si>
  <si>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</si>
  <si>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</si>
  <si>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</si>
  <si>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</si>
  <si>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</si>
  <si>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</si>
  <si>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</si>
  <si>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</si>
  <si>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</si>
  <si>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</si>
  <si>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</si>
  <si>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</si>
  <si>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</si>
  <si>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</si>
  <si>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</si>
  <si>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</si>
  <si>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</si>
  <si>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</si>
  <si>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</si>
  <si>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</si>
  <si>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</si>
  <si>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</si>
  <si>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</si>
  <si>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</si>
  <si>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</si>
  <si>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</si>
  <si>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</si>
  <si>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</si>
  <si>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</si>
  <si>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</si>
  <si>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</si>
  <si>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</si>
  <si>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</si>
  <si>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</si>
  <si>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</si>
  <si>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</si>
  <si>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</si>
  <si>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</si>
  <si>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</si>
  <si>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</si>
  <si>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</si>
  <si>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</si>
  <si>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</si>
  <si>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</si>
  <si>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</si>
  <si>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</si>
  <si>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</si>
  <si>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</si>
  <si>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</si>
  <si>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</si>
  <si>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</si>
  <si>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</si>
  <si>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</si>
  <si>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</si>
  <si>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</si>
  <si>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</si>
  <si>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</si>
  <si>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</si>
  <si>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</si>
  <si>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</si>
  <si>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</si>
  <si>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</si>
  <si>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</si>
  <si>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</si>
  <si>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</si>
  <si>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</si>
  <si>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</si>
  <si>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</si>
  <si>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</si>
  <si>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</si>
  <si>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</si>
  <si>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</si>
  <si>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</si>
  <si>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</si>
  <si>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</si>
  <si>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</si>
  <si>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</si>
  <si>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</si>
  <si>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</si>
  <si>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</si>
  <si>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</si>
  <si>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</si>
  <si>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</si>
  <si>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</si>
  <si>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</si>
  <si>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</si>
  <si>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</si>
  <si>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</si>
  <si>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</si>
  <si>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</si>
  <si>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</si>
  <si>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</si>
  <si>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</si>
  <si>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</si>
  <si>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</si>
  <si>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</si>
  <si>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</si>
  <si>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</si>
  <si>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</si>
  <si>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</si>
  <si>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</si>
  <si>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</si>
  <si>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</si>
  <si>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</si>
  <si>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</si>
  <si>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</si>
  <si>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</si>
  <si>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</si>
  <si>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</si>
  <si>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</si>
  <si>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</si>
  <si>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</si>
  <si>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</si>
  <si>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</si>
  <si>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</si>
  <si>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</si>
  <si>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</si>
  <si>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</si>
  <si>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</si>
  <si>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</si>
  <si>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</si>
  <si>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</si>
  <si>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</si>
  <si>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</si>
  <si>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</si>
  <si>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</si>
  <si>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</si>
  <si>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</si>
  <si>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</si>
  <si>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</si>
  <si>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</si>
  <si>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</si>
  <si>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</si>
  <si>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</si>
  <si>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</si>
  <si>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</si>
  <si>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</si>
  <si>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</si>
  <si>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</si>
  <si>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</si>
  <si>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</si>
  <si>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</si>
  <si>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</si>
  <si>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</si>
  <si>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</si>
  <si>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</si>
  <si>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</si>
  <si>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</si>
  <si>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</si>
  <si>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</si>
  <si>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</si>
  <si>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</si>
  <si>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</si>
  <si>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</si>
  <si>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</si>
  <si>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</si>
  <si>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</si>
  <si>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</si>
  <si>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</si>
  <si>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</si>
  <si>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</si>
  <si>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</si>
  <si>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</si>
  <si>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</si>
  <si>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</si>
  <si>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</si>
  <si>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</si>
  <si>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</si>
  <si>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</si>
  <si>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</si>
  <si>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</si>
  <si>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</si>
  <si>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</si>
  <si>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</si>
  <si>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</si>
  <si>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</si>
  <si>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</si>
  <si>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</si>
  <si>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</si>
  <si>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</si>
  <si>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</si>
  <si>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</si>
  <si>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</si>
  <si>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</si>
  <si>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</si>
  <si>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</si>
  <si>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</si>
  <si>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</si>
  <si>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</si>
  <si>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</si>
  <si>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</si>
  <si>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</si>
  <si>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</si>
  <si>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</si>
  <si>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</si>
  <si>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</si>
  <si>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</si>
  <si>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</si>
  <si>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</si>
  <si>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</si>
  <si>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</si>
  <si>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</si>
  <si>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</si>
  <si>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</si>
  <si>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</si>
  <si>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</si>
  <si>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</si>
  <si>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</si>
  <si>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</si>
  <si>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</si>
  <si>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</si>
  <si>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</si>
  <si>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</si>
  <si>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</si>
  <si>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</si>
  <si>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</si>
  <si>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</si>
  <si>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</si>
  <si>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</si>
  <si>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</si>
  <si>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</si>
  <si>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</si>
  <si>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</si>
  <si>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</si>
  <si>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</si>
  <si>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</si>
  <si>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</si>
  <si>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</si>
  <si>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</si>
  <si>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</si>
  <si>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</si>
  <si>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</si>
  <si>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</si>
  <si>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</si>
  <si>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</si>
  <si>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</si>
  <si>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</si>
  <si>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</si>
  <si>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</si>
  <si>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</si>
  <si>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</si>
  <si>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</si>
  <si>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</si>
  <si>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</si>
  <si>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</si>
  <si>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</si>
  <si>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</si>
  <si>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</si>
  <si>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</si>
  <si>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</si>
  <si>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</si>
  <si>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</si>
  <si>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</si>
  <si>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</si>
  <si>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</si>
  <si>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</si>
  <si>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</si>
  <si>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</si>
  <si>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</si>
  <si>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</si>
  <si>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</si>
  <si>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</si>
  <si>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</si>
  <si>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</si>
  <si>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</si>
  <si>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</si>
  <si>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</si>
  <si>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</si>
  <si>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</si>
  <si>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</si>
  <si>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</si>
  <si>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</si>
  <si>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</si>
  <si>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</si>
  <si>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</si>
  <si>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</si>
  <si>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</si>
  <si>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</si>
  <si>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</si>
  <si>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</si>
  <si>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</si>
  <si>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</si>
  <si>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</si>
  <si>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</si>
  <si>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</si>
  <si>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</si>
  <si>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</si>
  <si>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</si>
  <si>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</si>
  <si>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</si>
  <si>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</si>
  <si>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</si>
  <si>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</si>
  <si>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</si>
  <si>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</si>
  <si>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</si>
  <si>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Aster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</si>
</sst>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46233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4" t="str">
        <f>+'1'!A6:A6</f>
        <v>Aster Store</v>
      </c>
      <c r="T3" s="300">
        <f>+'1'!P35</f>
        <v>27877.475841864409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4" t="str">
        <f>+'2'!A6:A6</f>
        <v>Fine Dedical Store</v>
      </c>
      <c r="T4" s="300">
        <f>+'2'!P35</f>
        <v>0</v>
      </c>
      <c r="XEX4" t="s">
        <v>105</v>
      </c>
    </row>
    <row r="5" spans="1:20 16377:16378" ht="34.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4" t="str">
        <f>+'3'!A6:A6</f>
        <v xml:space="preserve">Mart Cash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4" t="str">
        <f>+'4'!A6:A6</f>
        <v>Fine Dedical Store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4" t="str">
        <f>+'5'!A6:A6</f>
        <v>Golden Cash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4" t="str">
        <f>+'6'!A6:A6</f>
        <v>Fine Dedical Store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4" t="str">
        <f>+'7'!A6:A6</f>
        <v>Fine Dedical Store</v>
      </c>
      <c r="T9" s="300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119">
        <f t="shared" si="2"/>
        <v>6272.4231701694916</v>
      </c>
      <c r="R10" s="299">
        <v>8</v>
      </c>
      <c r="S10" s="304" t="str">
        <f>+'8'!A6:A6</f>
        <v>Fine Dedical Store</v>
      </c>
      <c r="T10" s="300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4" t="str">
        <f>+'9'!A6:A6</f>
        <v>Fine Dedical Store</v>
      </c>
      <c r="T11" s="300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119">
        <f t="shared" si="2"/>
        <v>6272.4231701694916</v>
      </c>
      <c r="R12" s="299">
        <v>10</v>
      </c>
      <c r="S12" s="304" t="str">
        <f>+'10'!A6:A6</f>
        <v>Fine Dedical Store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4" t="str">
        <f>+'11'!A6:A6</f>
        <v>Fine Dedical Store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4" t="str">
        <f>+'12'!A6:A6</f>
        <v>Pak Madina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4" t="str">
        <f>+'13'!A6:A6</f>
        <v>Fine Dedical Store</v>
      </c>
      <c r="T15" s="300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400</v>
      </c>
      <c r="I16" s="114">
        <f t="shared" si="3"/>
        <v>25827.600000000002</v>
      </c>
      <c r="J16" s="274">
        <f>SUM(J7:J15)</f>
        <v>2066.2080000000001</v>
      </c>
      <c r="K16" s="275">
        <f t="shared" si="3"/>
        <v>903.96600000000012</v>
      </c>
      <c r="L16" s="276">
        <f t="shared" si="3"/>
        <v>0</v>
      </c>
      <c r="M16" s="232">
        <f t="shared" si="3"/>
        <v>22857.426000000003</v>
      </c>
      <c r="N16" s="233">
        <f>SUM(N7:N15)</f>
        <v>4881.3559322033889</v>
      </c>
      <c r="O16" s="101">
        <f>SUM(O7:O15)</f>
        <v>138.69390966101693</v>
      </c>
      <c r="P16" s="234">
        <f>SUM(P7:P15)</f>
        <v>27877.475841864409</v>
      </c>
      <c r="R16" s="299">
        <v>14</v>
      </c>
      <c r="S16" s="304" t="str">
        <f>+'14'!A6:A6</f>
        <v>Fine Dedical Store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4" t="str">
        <f>+'15'!A6:A6</f>
        <v>Fine Dedical Store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4" t="str">
        <f>+'16'!A6:A6</f>
        <v>Fine Dedical Store</v>
      </c>
      <c r="T18" s="300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25827.600000000002</v>
      </c>
      <c r="R19" s="299">
        <v>17</v>
      </c>
      <c r="S19" s="304" t="str">
        <f>+'17'!A6:A6</f>
        <v>Watto Store</v>
      </c>
      <c r="T19" s="300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2066.2080000000001</v>
      </c>
      <c r="R20" s="299">
        <v>18</v>
      </c>
      <c r="S20" s="304" t="str">
        <f>+'18'!A6:A6</f>
        <v>Fine Dedical Store</v>
      </c>
      <c r="T20" s="300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903.96600000000012</v>
      </c>
      <c r="R21" s="299">
        <v>19</v>
      </c>
      <c r="S21" s="304" t="str">
        <f>+'19'!A6:A6</f>
        <v>Fine Dedical Store</v>
      </c>
      <c r="T21" s="300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22857.426000000003</v>
      </c>
      <c r="R22" s="299">
        <v>20</v>
      </c>
      <c r="S22" s="304" t="str">
        <f>+'20'!A6:A6</f>
        <v>Faheem Store</v>
      </c>
      <c r="T22" s="300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4" t="str">
        <f>+'21'!A6:A6</f>
        <v>Fine Dedical Store</v>
      </c>
      <c r="T23" s="300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27738.78193220339</v>
      </c>
      <c r="R24" s="299">
        <v>22</v>
      </c>
      <c r="S24" s="304" t="str">
        <f>+'22'!A6:A6</f>
        <v>Fine Dedical Store</v>
      </c>
      <c r="T24" s="300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138.69390966101693</v>
      </c>
      <c r="R25" s="299">
        <v>23</v>
      </c>
      <c r="S25" s="304" t="str">
        <f>+'23'!A6:A6</f>
        <v>Fine Dedical Store</v>
      </c>
      <c r="T25" s="300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27877.475841864409</v>
      </c>
      <c r="R26" s="299">
        <v>24</v>
      </c>
      <c r="S26" s="304" t="str">
        <f>+'24'!A6:A6</f>
        <v>Fine Dedical Store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4" t="str">
        <f>+'25'!A6:A6</f>
        <v>Fine Dedical Store</v>
      </c>
      <c r="T27" s="300">
        <f>+'25'!P35</f>
        <v>0</v>
      </c>
    </row>
    <row r="28" spans="1:20" ht="21.75" customHeight="1" x14ac:dyDescent="0.35">
      <c r="R28" s="299">
        <v>26</v>
      </c>
      <c r="S28" s="304" t="str">
        <f>+'26'!A6:A6</f>
        <v>Fine Dedical Store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04" t="str">
        <f>+'27'!A6:A6</f>
        <v>Fine Dedical Store</v>
      </c>
      <c r="T29" s="300">
        <f>+'27'!P35</f>
        <v>0</v>
      </c>
    </row>
    <row r="30" spans="1:20" ht="21.75" customHeight="1" x14ac:dyDescent="0.35">
      <c r="R30" s="299">
        <v>28</v>
      </c>
      <c r="S30" s="304" t="str">
        <f>+'28'!A6:A6</f>
        <v>Fine Dedical Store</v>
      </c>
      <c r="T30" s="300">
        <f>+'28'!P35</f>
        <v>0</v>
      </c>
    </row>
    <row r="31" spans="1:20" ht="21.75" customHeight="1" x14ac:dyDescent="0.35">
      <c r="R31" s="299">
        <v>29</v>
      </c>
      <c r="S31" s="304" t="str">
        <f>+'29'!A6:A6</f>
        <v>Fine Dedical Store</v>
      </c>
      <c r="T31" s="300">
        <f>+'29'!P35</f>
        <v>0</v>
      </c>
    </row>
    <row r="32" spans="1:20" ht="21.75" customHeight="1" x14ac:dyDescent="0.35">
      <c r="R32" s="299">
        <v>30</v>
      </c>
      <c r="S32" s="304" t="str">
        <f>+'30'!A6:A6</f>
        <v>Fine Dedical Store</v>
      </c>
      <c r="T32" s="300">
        <f>+'30'!P35</f>
        <v>0</v>
      </c>
    </row>
    <row r="33" spans="2:20" ht="21.75" customHeight="1" thickBot="1" x14ac:dyDescent="0.6">
      <c r="R33" s="301"/>
      <c r="S33" s="305" t="s">
        <v>497</v>
      </c>
      <c r="T33" s="302">
        <f>SUM(T3:T32)</f>
        <v>27877.475841864409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.54296875" customWidth="1"/>
    <col min="14" max="14" width="10.6328125" style="61" customWidth="1"/>
    <col min="15" max="15" width="9.54296875" customWidth="1"/>
    <col min="16" max="16" width="7.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2066.2080000000001</v>
      </c>
      <c r="K25" s="275">
        <f t="shared" si="10"/>
        <v>903.96600000000012</v>
      </c>
      <c r="L25" s="276">
        <f t="shared" si="10"/>
        <v>0</v>
      </c>
      <c r="M25" s="232">
        <f t="shared" si="10"/>
        <v>22857.426000000003</v>
      </c>
      <c r="N25" s="233">
        <f>SUM(N16:N24)</f>
        <v>4881.3559322033889</v>
      </c>
      <c r="O25" s="101">
        <f>SUM(O16:O24)</f>
        <v>138.69390966101693</v>
      </c>
      <c r="P25" s="234">
        <f>SUM(P16:P24)</f>
        <v>27877.475841864409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25827.600000000002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2066.2080000000001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903.96600000000012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22857.426000000003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27738.78193220339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138.69390966101696</v>
      </c>
    </row>
    <row r="35" spans="2:16" ht="15.75" customHeight="1" thickBot="1" x14ac:dyDescent="0.4">
      <c r="N35" s="359" t="s">
        <v>88</v>
      </c>
      <c r="O35" s="360"/>
      <c r="P35" s="297">
        <f>+P33+P34</f>
        <v>27877.475841864409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3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46233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46232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46233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46232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51" priority="1" stopIfTrue="1" operator="lessThan">
      <formula>1</formula>
    </cfRule>
  </conditionalFormatting>
  <conditionalFormatting sqref="C3:C5">
    <cfRule type="duplicateValues" dxfId="50" priority="2"/>
  </conditionalFormatting>
  <conditionalFormatting sqref="C7 C9:C11 C15:C17 C22:C25">
    <cfRule type="cellIs" dxfId="49" priority="22" stopIfTrue="1" operator="lessThan">
      <formula>1</formula>
    </cfRule>
  </conditionalFormatting>
  <conditionalFormatting sqref="C9:C11">
    <cfRule type="duplicateValues" dxfId="48" priority="52"/>
  </conditionalFormatting>
  <conditionalFormatting sqref="C13">
    <cfRule type="cellIs" dxfId="47" priority="18" stopIfTrue="1" operator="lessThan">
      <formula>1</formula>
    </cfRule>
  </conditionalFormatting>
  <conditionalFormatting sqref="C15:C17">
    <cfRule type="duplicateValues" dxfId="46" priority="58"/>
  </conditionalFormatting>
  <conditionalFormatting sqref="C20">
    <cfRule type="cellIs" dxfId="45" priority="14" stopIfTrue="1" operator="lessThan">
      <formula>1</formula>
    </cfRule>
  </conditionalFormatting>
  <conditionalFormatting sqref="C22:C25">
    <cfRule type="duplicateValues" dxfId="44" priority="45"/>
  </conditionalFormatting>
  <conditionalFormatting sqref="C27">
    <cfRule type="cellIs" dxfId="43" priority="10" stopIfTrue="1" operator="lessThan">
      <formula>1</formula>
    </cfRule>
  </conditionalFormatting>
  <conditionalFormatting sqref="C29:C31">
    <cfRule type="cellIs" dxfId="42" priority="3" stopIfTrue="1" operator="lessThan">
      <formula>1</formula>
    </cfRule>
    <cfRule type="duplicateValues" dxfId="41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40" priority="1" stopIfTrue="1" operator="lessThan">
      <formula>1</formula>
    </cfRule>
  </conditionalFormatting>
  <conditionalFormatting sqref="B3:B5">
    <cfRule type="duplicateValues" dxfId="39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8" priority="30"/>
  </conditionalFormatting>
  <conditionalFormatting sqref="G35:G41 G44:G52">
    <cfRule type="duplicateValues" dxfId="37" priority="32"/>
  </conditionalFormatting>
  <conditionalFormatting sqref="G42">
    <cfRule type="duplicateValues" dxfId="36" priority="24"/>
    <cfRule type="duplicateValues" dxfId="35" priority="25"/>
  </conditionalFormatting>
  <conditionalFormatting sqref="G43">
    <cfRule type="duplicateValues" dxfId="34" priority="28"/>
    <cfRule type="duplicateValues" dxfId="33" priority="29"/>
  </conditionalFormatting>
  <conditionalFormatting sqref="G44">
    <cfRule type="duplicateValues" dxfId="32" priority="26"/>
    <cfRule type="duplicateValues" dxfId="31" priority="27"/>
  </conditionalFormatting>
  <conditionalFormatting sqref="G46">
    <cfRule type="duplicateValues" dxfId="30" priority="31"/>
  </conditionalFormatting>
  <conditionalFormatting sqref="G65:G102 G104:G118">
    <cfRule type="duplicateValues" dxfId="29" priority="21"/>
  </conditionalFormatting>
  <conditionalFormatting sqref="G95:G102 G104:G112">
    <cfRule type="duplicateValues" dxfId="28" priority="23"/>
  </conditionalFormatting>
  <conditionalFormatting sqref="G103">
    <cfRule type="duplicateValues" dxfId="27" priority="19"/>
    <cfRule type="duplicateValues" dxfId="26" priority="20"/>
  </conditionalFormatting>
  <conditionalFormatting sqref="G104">
    <cfRule type="duplicateValues" dxfId="25" priority="17"/>
    <cfRule type="duplicateValues" dxfId="24" priority="18"/>
  </conditionalFormatting>
  <conditionalFormatting sqref="G106">
    <cfRule type="duplicateValues" dxfId="23" priority="22"/>
  </conditionalFormatting>
  <conditionalFormatting sqref="G125:G162 G164:G178">
    <cfRule type="duplicateValues" dxfId="22" priority="14"/>
  </conditionalFormatting>
  <conditionalFormatting sqref="G155:G162 G164:G172">
    <cfRule type="duplicateValues" dxfId="21" priority="16"/>
  </conditionalFormatting>
  <conditionalFormatting sqref="G163">
    <cfRule type="duplicateValues" dxfId="20" priority="12"/>
    <cfRule type="duplicateValues" dxfId="19" priority="13"/>
  </conditionalFormatting>
  <conditionalFormatting sqref="G164">
    <cfRule type="duplicateValues" dxfId="18" priority="10"/>
    <cfRule type="duplicateValues" dxfId="17" priority="11"/>
  </conditionalFormatting>
  <conditionalFormatting sqref="G166">
    <cfRule type="duplicateValues" dxfId="16" priority="15"/>
  </conditionalFormatting>
  <conditionalFormatting sqref="G203">
    <cfRule type="duplicateValues" dxfId="15" priority="4"/>
  </conditionalFormatting>
  <conditionalFormatting sqref="G204">
    <cfRule type="duplicateValues" dxfId="14" priority="3"/>
  </conditionalFormatting>
  <conditionalFormatting sqref="G215:G222 G225:G232">
    <cfRule type="duplicateValues" dxfId="13" priority="9"/>
  </conditionalFormatting>
  <conditionalFormatting sqref="G223">
    <cfRule type="duplicateValues" dxfId="12" priority="5"/>
    <cfRule type="duplicateValues" dxfId="11" priority="6"/>
  </conditionalFormatting>
  <conditionalFormatting sqref="G224">
    <cfRule type="duplicateValues" dxfId="10" priority="1"/>
    <cfRule type="duplicateValues" dxfId="9" priority="2"/>
  </conditionalFormatting>
  <conditionalFormatting sqref="G225:G232 G185:G202 G205:G222 G236:G238">
    <cfRule type="duplicateValues" dxfId="8" priority="7"/>
  </conditionalFormatting>
  <conditionalFormatting sqref="G226">
    <cfRule type="duplicateValues" dxfId="7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2026-07-29T08:02:12Z</dcterms:modified>
</cp:coreProperties>
</file>