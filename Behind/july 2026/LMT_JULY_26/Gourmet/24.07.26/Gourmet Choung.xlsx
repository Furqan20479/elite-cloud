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D8C3DFC-2CD4-4500-B016-81F188F711BA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<sst xmlns="http://schemas.openxmlformats.org/spreadsheetml/2006/main" count="3913" uniqueCount="515">
  <si>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</si>
  <si>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</si>
  <si>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</si>
  <si>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</si>
  <si>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</si>
  <si>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</si>
  <si>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</si>
  <si>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</si>
  <si>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</si>
  <si>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</si>
  <si>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</si>
  <si>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</si>
  <si>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</si>
  <si>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</si>
  <si>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</si>
  <si>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</si>
  <si>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</si>
  <si>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</si>
  <si>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</si>
  <si>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</si>
  <si>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</si>
  <si>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</si>
  <si>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</si>
  <si>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</si>
  <si>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</si>
  <si>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</si>
  <si>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</si>
  <si>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</si>
  <si>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</si>
  <si>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</si>
  <si>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</si>
  <si>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</si>
  <si>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</si>
  <si>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</si>
  <si>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</si>
  <si>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</si>
  <si>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</si>
  <si>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</si>
  <si>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</si>
  <si>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</si>
  <si>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</si>
  <si>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</si>
  <si>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</si>
  <si>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</si>
  <si>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</si>
  <si>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</si>
  <si>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</si>
  <si>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</si>
  <si>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</si>
  <si>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</si>
  <si>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</si>
  <si>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</si>
  <si>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</si>
  <si>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</si>
  <si>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</si>
  <si>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</si>
  <si>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</si>
  <si>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</si>
  <si>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</si>
  <si>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</si>
  <si>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</si>
  <si>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</si>
  <si>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</si>
  <si>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</si>
  <si>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</si>
  <si>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</si>
  <si>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</si>
  <si>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</si>
  <si>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</si>
  <si>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</si>
  <si>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</si>
  <si>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</si>
  <si>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</si>
  <si>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</si>
  <si>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</si>
  <si>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</si>
  <si>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</si>
  <si>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</si>
  <si>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</si>
  <si>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</si>
  <si>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</si>
  <si>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</si>
  <si>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</si>
  <si>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</si>
  <si>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</si>
  <si>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</si>
  <si>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</si>
  <si>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</si>
  <si>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</si>
  <si>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</si>
  <si>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</si>
  <si>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</si>
  <si>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</si>
  <si>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</si>
  <si>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</si>
  <si>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</si>
  <si>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</si>
  <si>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</si>
  <si>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</si>
  <si>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</si>
  <si>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</si>
  <si>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</si>
  <si>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</si>
  <si>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</si>
  <si>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</si>
  <si>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</si>
  <si>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</si>
  <si>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</si>
  <si>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</si>
  <si>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</si>
  <si>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</si>
  <si>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</si>
  <si>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</si>
  <si>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</si>
  <si>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</si>
  <si>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</si>
  <si>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</si>
  <si>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</si>
  <si>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</si>
  <si>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</si>
  <si>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</si>
  <si>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</si>
  <si>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</si>
  <si>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</si>
  <si>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</si>
  <si>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</si>
  <si>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</si>
  <si>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</si>
  <si>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</si>
  <si>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</si>
  <si>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</si>
  <si>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</si>
  <si>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</si>
  <si>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</si>
  <si>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</si>
  <si>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</si>
  <si>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</si>
  <si>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</si>
  <si>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</si>
  <si>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</si>
  <si>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</si>
  <si>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</si>
  <si>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</si>
  <si>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</si>
  <si>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</si>
  <si>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</si>
  <si>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</si>
  <si>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</si>
  <si>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</si>
  <si>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</si>
  <si>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</si>
  <si>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</si>
  <si>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</si>
  <si>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</si>
  <si>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</si>
  <si>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</si>
  <si>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</si>
  <si>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</si>
  <si>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</si>
  <si>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</si>
  <si>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</si>
  <si>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</si>
  <si>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</si>
  <si>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</si>
  <si>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</si>
  <si>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</si>
  <si>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</si>
  <si>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</si>
  <si>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</si>
  <si>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</si>
  <si>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</si>
  <si>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</si>
  <si>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</si>
  <si>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</si>
  <si>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</si>
  <si>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</si>
  <si>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</si>
  <si>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</si>
  <si>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</si>
  <si>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</si>
  <si>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</si>
  <si>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</si>
  <si>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</si>
  <si>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</si>
  <si>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</si>
  <si>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</si>
  <si>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</si>
  <si>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</si>
  <si>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</si>
  <si>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</si>
  <si>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</si>
  <si>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</si>
  <si>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</si>
  <si>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</si>
  <si>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</si>
  <si>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</si>
  <si>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</si>
  <si>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</si>
  <si>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</si>
  <si>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</si>
  <si>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</si>
  <si>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</si>
  <si>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</si>
  <si>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</si>
  <si>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</si>
  <si>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</si>
  <si>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</si>
  <si>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</si>
  <si>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</si>
  <si>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</si>
  <si>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</si>
  <si>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</si>
  <si>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</si>
  <si>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</si>
  <si>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</si>
  <si>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</si>
  <si>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</si>
  <si>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</si>
  <si>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</si>
  <si>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</si>
  <si>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</si>
  <si>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</si>
  <si>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</si>
  <si>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</si>
  <si>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</si>
  <si>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</si>
  <si>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</si>
  <si>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</si>
  <si>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</si>
  <si>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</si>
  <si>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</si>
  <si>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</si>
  <si>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</si>
  <si>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</si>
  <si>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</si>
  <si>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</si>
  <si>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</si>
  <si>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</si>
  <si>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</si>
  <si>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</si>
  <si>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</si>
  <si>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</si>
  <si>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</si>
  <si>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</si>
  <si>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</si>
  <si>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</si>
  <si>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</si>
  <si>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</si>
  <si>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</si>
  <si>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</si>
  <si>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</si>
  <si>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</si>
  <si>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</si>
  <si>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</si>
  <si>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</si>
  <si>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</si>
  <si>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</si>
  <si>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</si>
  <si>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</si>
  <si>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</si>
  <si>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</si>
  <si>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</si>
  <si>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</si>
  <si>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</si>
  <si>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</si>
  <si>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</si>
  <si>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</si>
  <si>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</si>
  <si>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</si>
  <si>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</si>
  <si>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</si>
  <si>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</si>
  <si>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</si>
  <si>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</si>
  <si>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</si>
  <si>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</si>
  <si>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</si>
  <si>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</si>
  <si>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</si>
  <si>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</si>
  <si>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</si>
  <si>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</si>
  <si>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</si>
  <si>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</si>
  <si>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</si>
  <si>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</si>
  <si>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</si>
  <si>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</si>
  <si>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</si>
  <si>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</si>
  <si>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</si>
  <si>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</si>
  <si>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</si>
  <si>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</si>
  <si>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</si>
  <si>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</si>
  <si>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</si>
  <si>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</si>
  <si>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</si>
  <si>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</si>
  <si>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</si>
  <si>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</si>
  <si>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</si>
  <si>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</si>
  <si>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</si>
  <si>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</si>
  <si>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</si>
  <si>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</si>
  <si>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</si>
  <si>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</si>
  <si>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</si>
  <si>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</si>
  <si>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</si>
  <si>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</si>
  <si>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</si>
  <si>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</si>
  <si>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</si>
  <si>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</si>
  <si>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</si>
  <si>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</si>
  <si>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</si>
  <si>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</si>
  <si>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</si>
  <si>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</si>
  <si>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</si>
  <si>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</si>
  <si>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</si>
  <si>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</si>
  <si>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</si>
  <si>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</si>
  <si>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</si>
  <si>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</si>
  <si>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</si>
  <si>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</si>
  <si>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</si>
  <si>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</si>
  <si>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</si>
  <si>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</si>
  <si>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</si>
  <si>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</si>
  <si>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</si>
  <si>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</si>
  <si>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</si>
  <si>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</si>
  <si>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</si>
  <si>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</si>
  <si>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</si>
  <si>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</si>
  <si>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</si>
  <si>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</si>
  <si>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</si>
  <si>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</si>
  <si>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</si>
  <si>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</si>
  <si>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</si>
  <si>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</si>
  <si>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</si>
  <si>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</si>
  <si>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</si>
  <si>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</si>
  <si>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</si>
  <si>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</si>
  <si>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</si>
  <si>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</si>
  <si>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</si>
  <si>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</si>
  <si>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</si>
  <si>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</si>
  <si>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</si>
  <si>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</si>
  <si>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</si>
  <si>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</si>
  <si>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</si>
  <si>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</si>
  <si>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</si>
  <si>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</si>
  <si>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</si>
  <si>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</si>
  <si>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</si>
  <si>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</si>
  <si>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</si>
  <si>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</si>
  <si>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</si>
  <si>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</si>
  <si>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</si>
  <si>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</si>
  <si>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</si>
  <si>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</si>
  <si>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</si>
  <si>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</si>
  <si>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</si>
  <si>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</si>
  <si>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</si>
  <si>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</si>
  <si>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</si>
  <si>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</si>
  <si>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</si>
  <si>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</si>
  <si>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</si>
  <si>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</si>
  <si>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</si>
  <si>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</si>
  <si>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</si>
  <si>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</si>
  <si>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</si>
  <si>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</si>
  <si>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</si>
  <si>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</si>
  <si>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</si>
  <si>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</si>
  <si>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</si>
  <si>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</si>
  <si>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</si>
  <si>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</si>
  <si>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</si>
  <si>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</si>
  <si>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</si>
  <si>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</si>
  <si>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</si>
  <si>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</si>
  <si>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</si>
  <si>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</si>
  <si>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</si>
  <si>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</si>
  <si>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</si>
  <si>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</si>
  <si>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</si>
  <si>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</si>
  <si>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</si>
  <si>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</si>
  <si>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</si>
  <si>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</si>
  <si>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</si>
  <si>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</si>
  <si>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</si>
  <si>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</si>
  <si>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</si>
  <si>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</si>
  <si>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</si>
  <si>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</si>
  <si>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</si>
  <si>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</si>
  <si>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</si>
  <si>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</si>
  <si>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</si>
  <si>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</si>
  <si>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</si>
  <si>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</si>
  <si>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</si>
  <si>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</si>
  <si>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</si>
  <si>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</si>
  <si>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</si>
  <si>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</si>
  <si>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</si>
  <si>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</si>
  <si>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</si>
  <si>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</si>
  <si>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</si>
  <si>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</si>
  <si>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</si>
  <si>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</si>
  <si>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</si>
  <si>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</si>
  <si>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</si>
  <si>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</si>
  <si>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</si>
  <si>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</si>
  <si>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</si>
  <si>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</si>
  <si>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</si>
  <si>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</si>
  <si>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</si>
  <si>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</si>
  <si>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</si>
  <si>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</si>
  <si>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</si>
  <si>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</si>
  <si>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</si>
  <si>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</si>
  <si>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</si>
  <si>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</si>
  <si>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</si>
  <si>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</si>
  <si>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</si>
  <si>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</si>
  <si>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</si>
  <si>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</si>
  <si>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</si>
  <si>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</si>
  <si>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</si>
  <si>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</si>
  <si>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</si>
  <si>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</si>
  <si>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</si>
  <si>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</si>
  <si>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</si>
  <si>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</si>
  <si>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</si>
  <si>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</si>
  <si>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</si>
  <si>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</si>
  <si>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</si>
  <si>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</si>
  <si>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</si>
  <si>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</si>
  <si>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</si>
  <si>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</si>
  <si>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</si>
  <si>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</si>
  <si>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</si>
  <si>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</si>
  <si>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</si>
  <si>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</si>
  <si>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Gourmet Choung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</si>
</sst>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498</v>
      </c>
      <c r="F2" s="339"/>
      <c r="G2" s="339"/>
      <c r="H2" s="339" t="s">
        <v>512</v>
      </c>
      <c r="I2" s="339"/>
      <c r="J2" s="340"/>
      <c r="R2" s="336" t="s">
        <v>513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499</v>
      </c>
      <c r="F3" s="345"/>
      <c r="G3" s="345"/>
      <c r="H3" s="342">
        <f ca="1">+'1'!N4:N4</f>
        <v>46227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Gourmet Choung</v>
      </c>
      <c r="T3" s="301">
        <f>+'1'!P35</f>
        <v>7404.9489615889825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118">
        <f>M7+N7+O7</f>
        <v>566.26289570974575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119">
        <f t="shared" ref="P8:P15" si="2">M8+N8+O8</f>
        <v>566.26289570974575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116.224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1285.7280000000001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7.8015213559322039</v>
      </c>
      <c r="P10" s="119">
        <f t="shared" si="2"/>
        <v>1568.1057925423729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119">
        <f t="shared" si="2"/>
        <v>3136.2115850847458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119">
        <f t="shared" si="2"/>
        <v>1568.1057925423729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100</v>
      </c>
      <c r="I16" s="114">
        <f t="shared" si="3"/>
        <v>6860.45</v>
      </c>
      <c r="J16" s="274">
        <f>SUM(J7:J15)</f>
        <v>548.83600000000001</v>
      </c>
      <c r="K16" s="275">
        <f t="shared" si="3"/>
        <v>240.11575000000005</v>
      </c>
      <c r="L16" s="276">
        <f t="shared" si="3"/>
        <v>0</v>
      </c>
      <c r="M16" s="232">
        <f t="shared" si="3"/>
        <v>6071.4982500000006</v>
      </c>
      <c r="N16" s="233">
        <f>SUM(N7:N15)</f>
        <v>1296.6101694915253</v>
      </c>
      <c r="O16" s="101">
        <f>SUM(O7:O15)</f>
        <v>36.840542097457629</v>
      </c>
      <c r="P16" s="234">
        <f>SUM(P7:P15)</f>
        <v>7404.9489615889834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6860.45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548.83600000000001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240.11575000000005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6071.4982499999996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1296.6101694915253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7368.1084194915247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36.840542097457629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7404.9489615889825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7404.9489615889825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abSelected="1"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7.25" customHeight="1" x14ac:dyDescent="0.4">
      <c r="A6" s="383" t="s">
        <v>514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100</v>
      </c>
      <c r="I25" s="114">
        <f t="shared" ref="I25:M25" si="10">SUM(I16:I24)</f>
        <v>6860.45</v>
      </c>
      <c r="J25" s="274">
        <f>SUM(J16:J24)</f>
        <v>548.83600000000001</v>
      </c>
      <c r="K25" s="275">
        <f t="shared" si="10"/>
        <v>240.11575000000005</v>
      </c>
      <c r="L25" s="276">
        <f t="shared" si="10"/>
        <v>0</v>
      </c>
      <c r="M25" s="232">
        <f t="shared" si="10"/>
        <v>6071.4982500000006</v>
      </c>
      <c r="N25" s="233">
        <f>SUM(N16:N24)</f>
        <v>1296.6101694915253</v>
      </c>
      <c r="O25" s="101">
        <f>SUM(O16:O24)</f>
        <v>36.840542097457629</v>
      </c>
      <c r="P25" s="234">
        <f>SUM(P16:P24)</f>
        <v>7404.9489615889834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6860.45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548.83600000000001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240.11575000000005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6071.4982499999996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1296.6101694915253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7368.1084194915247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36.840542097457622</v>
      </c>
    </row>
    <row r="35" spans="2:16" ht="15.75" customHeight="1" thickBot="1" x14ac:dyDescent="0.4">
      <c r="N35" s="330" t="s">
        <v>88</v>
      </c>
      <c r="O35" s="331"/>
      <c r="P35" s="297">
        <f>+P33+P34</f>
        <v>7404.9489615889825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8.75" customHeight="1" x14ac:dyDescent="0.4">
      <c r="A6" s="383" t="s">
        <v>500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8.75" customHeight="1" x14ac:dyDescent="0.4">
      <c r="A6" s="383" t="s">
        <v>504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46227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46226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2026-07-23T12:42:30Z</dcterms:modified>
</cp:coreProperties>
</file>