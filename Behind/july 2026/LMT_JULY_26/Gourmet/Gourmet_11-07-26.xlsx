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0A01B73-2CD4-455E-B510-FC3D411560CD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'1'!$A$1:$P$36</definedName>
    <definedName name="_xlnm.Print_Area" localSheetId="4">'2'!$A$1:$P$36</definedName>
    <definedName name="_xlnm.Print_Area" localSheetId="5">'3'!$A$1:$P$36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U17" i="15"/>
  <c r="U16" i="1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36"/>
  <c r="K18" i="36"/>
  <c r="K19" i="36"/>
  <c r="K20" i="36"/>
  <c r="K21" i="36"/>
  <c r="K17" i="37"/>
  <c r="K18" i="37"/>
  <c r="K19" i="37"/>
  <c r="K20" i="37"/>
  <c r="K21" i="37"/>
  <c r="K17" i="38"/>
  <c r="K18" i="38"/>
  <c r="K19" i="38"/>
  <c r="K20" i="38"/>
  <c r="K21" i="38"/>
  <c r="K17" i="39"/>
  <c r="K18" i="39"/>
  <c r="K19" i="39"/>
  <c r="K20" i="39"/>
  <c r="K21" i="39"/>
  <c r="K17" i="40"/>
  <c r="K18" i="40"/>
  <c r="K19" i="40"/>
  <c r="K20" i="40"/>
  <c r="K21" i="40"/>
  <c r="K17" i="41"/>
  <c r="K18" i="41"/>
  <c r="K19" i="41"/>
  <c r="K20" i="41"/>
  <c r="K21" i="41"/>
  <c r="K17" i="42"/>
  <c r="K18" i="42"/>
  <c r="K19" i="42"/>
  <c r="K20" i="42"/>
  <c r="K21" i="42"/>
  <c r="K17" i="43"/>
  <c r="K18" i="43"/>
  <c r="K19" i="43"/>
  <c r="K20" i="43"/>
  <c r="K21" i="43"/>
  <c r="K17" i="16"/>
  <c r="K18" i="16"/>
  <c r="K19" i="16"/>
  <c r="K20" i="16"/>
  <c r="K21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36"/>
  <c r="K16" i="37"/>
  <c r="K16" i="38"/>
  <c r="K16" i="39"/>
  <c r="K16" i="40"/>
  <c r="K16" i="41"/>
  <c r="K16" i="42"/>
  <c r="K16" i="43"/>
  <c r="K16" i="16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M20" i="41" s="1"/>
  <c r="I21" i="41"/>
  <c r="I22" i="41"/>
  <c r="I23" i="41"/>
  <c r="I24" i="41"/>
  <c r="L24" i="41" s="1"/>
  <c r="I16" i="36"/>
  <c r="I17" i="36"/>
  <c r="I18" i="36"/>
  <c r="I19" i="36"/>
  <c r="I20" i="36"/>
  <c r="I21" i="36"/>
  <c r="I22" i="36"/>
  <c r="I23" i="36"/>
  <c r="I24" i="36"/>
  <c r="K24" i="36" s="1"/>
  <c r="L18" i="36"/>
  <c r="L19" i="36"/>
  <c r="K22" i="36"/>
  <c r="L22" i="36"/>
  <c r="M22" i="36"/>
  <c r="I25" i="36"/>
  <c r="P28" i="36" s="1"/>
  <c r="L21" i="36"/>
  <c r="L17" i="36"/>
  <c r="K23" i="36"/>
  <c r="L23" i="36"/>
  <c r="I25" i="42"/>
  <c r="P28" i="42" s="1"/>
  <c r="L16" i="42"/>
  <c r="L18" i="42"/>
  <c r="L20" i="42"/>
  <c r="K22" i="42"/>
  <c r="M22" i="42" s="1"/>
  <c r="L22" i="42"/>
  <c r="K23" i="42"/>
  <c r="L23" i="42"/>
  <c r="M23" i="42"/>
  <c r="L17" i="42"/>
  <c r="L19" i="42"/>
  <c r="L21" i="42"/>
  <c r="K24" i="42"/>
  <c r="L24" i="42"/>
  <c r="M24" i="42" s="1"/>
  <c r="L16" i="41"/>
  <c r="L18" i="41"/>
  <c r="L19" i="41"/>
  <c r="L20" i="41"/>
  <c r="K22" i="41"/>
  <c r="L22" i="41"/>
  <c r="K23" i="41"/>
  <c r="M23" i="41" s="1"/>
  <c r="L23" i="41"/>
  <c r="K24" i="41"/>
  <c r="M16" i="40"/>
  <c r="L16" i="40"/>
  <c r="L17" i="40"/>
  <c r="L19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L16" i="39"/>
  <c r="M16" i="39"/>
  <c r="L17" i="39"/>
  <c r="L18" i="39"/>
  <c r="L19" i="39"/>
  <c r="L20" i="39"/>
  <c r="M21" i="39"/>
  <c r="L21" i="39"/>
  <c r="K22" i="39"/>
  <c r="L22" i="39"/>
  <c r="L17" i="38"/>
  <c r="L20" i="38"/>
  <c r="K22" i="38"/>
  <c r="L22" i="38"/>
  <c r="K23" i="38"/>
  <c r="L23" i="38"/>
  <c r="L16" i="38"/>
  <c r="L18" i="38"/>
  <c r="M18" i="38" s="1"/>
  <c r="L19" i="38"/>
  <c r="L21" i="38"/>
  <c r="K24" i="38"/>
  <c r="L24" i="38"/>
  <c r="I25" i="37"/>
  <c r="P28" i="37" s="1"/>
  <c r="L16" i="37"/>
  <c r="L17" i="37"/>
  <c r="L20" i="37"/>
  <c r="K22" i="37"/>
  <c r="L22" i="37"/>
  <c r="K24" i="37"/>
  <c r="L24" i="37"/>
  <c r="L19" i="37"/>
  <c r="K23" i="37"/>
  <c r="L23" i="37"/>
  <c r="L18" i="37"/>
  <c r="M18" i="37" s="1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L21" i="41"/>
  <c r="M21" i="41" s="1"/>
  <c r="N21" i="41" s="1"/>
  <c r="M18" i="41"/>
  <c r="M21" i="42"/>
  <c r="M16" i="42"/>
  <c r="L20" i="36"/>
  <c r="L24" i="36"/>
  <c r="M24" i="36" s="1"/>
  <c r="L16" i="36"/>
  <c r="M16" i="36" s="1"/>
  <c r="N16" i="36" s="1"/>
  <c r="I17" i="33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22" i="35"/>
  <c r="L22" i="35"/>
  <c r="M22" i="35"/>
  <c r="K23" i="35"/>
  <c r="L23" i="35"/>
  <c r="L24" i="35"/>
  <c r="K23" i="34"/>
  <c r="L23" i="34"/>
  <c r="K22" i="33"/>
  <c r="L22" i="33"/>
  <c r="K24" i="33"/>
  <c r="L24" i="33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P17" i="38" l="1"/>
  <c r="P20" i="40"/>
  <c r="L22" i="30"/>
  <c r="L22" i="28"/>
  <c r="N24" i="36"/>
  <c r="O24" i="36" s="1"/>
  <c r="O17" i="36"/>
  <c r="P17" i="36" s="1"/>
  <c r="O24" i="41"/>
  <c r="P24" i="41" s="1"/>
  <c r="O21" i="41"/>
  <c r="P21" i="41" s="1"/>
  <c r="M24" i="29"/>
  <c r="M17" i="30"/>
  <c r="N17" i="30" s="1"/>
  <c r="O17" i="30" s="1"/>
  <c r="L24" i="32"/>
  <c r="I25" i="35"/>
  <c r="P28" i="35" s="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P18" i="38"/>
  <c r="N19" i="41"/>
  <c r="O19" i="41" s="1"/>
  <c r="P18" i="41"/>
  <c r="L22" i="34"/>
  <c r="M22" i="34" s="1"/>
  <c r="N22" i="34" s="1"/>
  <c r="O22" i="34" s="1"/>
  <c r="L22" i="32"/>
  <c r="P22" i="37"/>
  <c r="P22" i="36"/>
  <c r="M21" i="30"/>
  <c r="N21" i="30" s="1"/>
  <c r="O21" i="30" s="1"/>
  <c r="P19" i="40"/>
  <c r="M25" i="36"/>
  <c r="M25" i="41"/>
  <c r="M25" i="39"/>
  <c r="P31" i="38"/>
  <c r="P17" i="39"/>
  <c r="M16" i="30"/>
  <c r="N16" i="30" s="1"/>
  <c r="M16" i="3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L18" i="34"/>
  <c r="L25" i="34" s="1"/>
  <c r="P29" i="34" s="1"/>
  <c r="M21" i="34"/>
  <c r="N21" i="34" s="1"/>
  <c r="O21" i="34" s="1"/>
  <c r="L20" i="34"/>
  <c r="M19" i="34"/>
  <c r="N19" i="34" s="1"/>
  <c r="O19" i="34" s="1"/>
  <c r="L19" i="34"/>
  <c r="L20" i="33"/>
  <c r="M18" i="33"/>
  <c r="N18" i="33" s="1"/>
  <c r="O18" i="33" s="1"/>
  <c r="L18" i="33"/>
  <c r="M20" i="32"/>
  <c r="N20" i="32" s="1"/>
  <c r="O20" i="32" s="1"/>
  <c r="L20" i="32"/>
  <c r="L18" i="32"/>
  <c r="L21" i="31"/>
  <c r="M20" i="31"/>
  <c r="N20" i="31" s="1"/>
  <c r="O20" i="31" s="1"/>
  <c r="L19" i="31"/>
  <c r="L18" i="31"/>
  <c r="L18" i="30"/>
  <c r="L20" i="30"/>
  <c r="L19" i="29"/>
  <c r="M16" i="29"/>
  <c r="N16" i="29" s="1"/>
  <c r="L18" i="29"/>
  <c r="L17" i="29"/>
  <c r="L20" i="29"/>
  <c r="L19" i="28"/>
  <c r="L18" i="28"/>
  <c r="L20" i="28"/>
  <c r="M21" i="29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M19" i="30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25" i="33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22" i="27"/>
  <c r="L22" i="27"/>
  <c r="K23" i="27"/>
  <c r="L23" i="27"/>
  <c r="K24" i="27"/>
  <c r="L24" i="27"/>
  <c r="L22" i="26"/>
  <c r="K23" i="26"/>
  <c r="L23" i="26"/>
  <c r="K24" i="26"/>
  <c r="T23" i="15"/>
  <c r="T22" i="15"/>
  <c r="T21" i="15"/>
  <c r="T19" i="15"/>
  <c r="T18" i="15"/>
  <c r="T15" i="15"/>
  <c r="T14" i="15"/>
  <c r="P19" i="41" l="1"/>
  <c r="L25" i="30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M21" i="27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L18" i="26"/>
  <c r="L21" i="26"/>
  <c r="M21" i="26" s="1"/>
  <c r="N21" i="26" s="1"/>
  <c r="O21" i="26" s="1"/>
  <c r="L17" i="26"/>
  <c r="L16" i="26"/>
  <c r="M19" i="26"/>
  <c r="N19" i="26" s="1"/>
  <c r="O19" i="26" s="1"/>
  <c r="M20" i="26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O25" i="32" l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4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25" i="32" l="1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M18" i="19"/>
  <c r="N18" i="19" s="1"/>
  <c r="O18" i="19" s="1"/>
  <c r="K22" i="18"/>
  <c r="M22" i="18" s="1"/>
  <c r="L20" i="17"/>
  <c r="L16" i="17"/>
  <c r="L19" i="17"/>
  <c r="L17" i="17"/>
  <c r="L18" i="17"/>
  <c r="L19" i="18"/>
  <c r="L17" i="20"/>
  <c r="L19" i="20"/>
  <c r="M18" i="20"/>
  <c r="N18" i="20" s="1"/>
  <c r="O18" i="20" s="1"/>
  <c r="L18" i="20"/>
  <c r="M19" i="23"/>
  <c r="N19" i="23" s="1"/>
  <c r="O19" i="23" s="1"/>
  <c r="L19" i="23"/>
  <c r="L21" i="23"/>
  <c r="M17" i="25"/>
  <c r="N17" i="25" s="1"/>
  <c r="O17" i="25" s="1"/>
  <c r="L22" i="25"/>
  <c r="M21" i="24"/>
  <c r="N21" i="24" s="1"/>
  <c r="O21" i="24" s="1"/>
  <c r="L18" i="24"/>
  <c r="L20" i="24"/>
  <c r="L21" i="21"/>
  <c r="L20" i="21"/>
  <c r="L19" i="21"/>
  <c r="L18" i="21"/>
  <c r="M18" i="25"/>
  <c r="N18" i="25" s="1"/>
  <c r="O18" i="25" s="1"/>
  <c r="P25" i="34"/>
  <c r="M17" i="24"/>
  <c r="N17" i="24" s="1"/>
  <c r="O17" i="24" s="1"/>
  <c r="I25" i="25"/>
  <c r="P28" i="25" s="1"/>
  <c r="K23" i="19"/>
  <c r="M23" i="19" s="1"/>
  <c r="N23" i="19" s="1"/>
  <c r="O23" i="19" s="1"/>
  <c r="M19" i="19"/>
  <c r="N19" i="19" s="1"/>
  <c r="O19" i="19" s="1"/>
  <c r="L23" i="22"/>
  <c r="L25" i="22" s="1"/>
  <c r="P29" i="22" s="1"/>
  <c r="L25" i="25"/>
  <c r="P29" i="25" s="1"/>
  <c r="M21" i="25"/>
  <c r="N21" i="25" s="1"/>
  <c r="O21" i="25" s="1"/>
  <c r="P21" i="25" s="1"/>
  <c r="M16" i="24"/>
  <c r="N16" i="24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M19" i="24"/>
  <c r="N19" i="24" s="1"/>
  <c r="O19" i="24" s="1"/>
  <c r="P19" i="24" s="1"/>
  <c r="L24" i="21"/>
  <c r="M17" i="20"/>
  <c r="N17" i="20" s="1"/>
  <c r="O17" i="20" s="1"/>
  <c r="M17" i="19"/>
  <c r="N17" i="19" s="1"/>
  <c r="O17" i="19" s="1"/>
  <c r="M16" i="17"/>
  <c r="M20" i="18"/>
  <c r="N20" i="18" s="1"/>
  <c r="O20" i="18" s="1"/>
  <c r="M16" i="23"/>
  <c r="N16" i="23" s="1"/>
  <c r="L24" i="24"/>
  <c r="M24" i="24" s="1"/>
  <c r="N24" i="24" s="1"/>
  <c r="O24" i="24" s="1"/>
  <c r="L22" i="21"/>
  <c r="M22" i="21" s="1"/>
  <c r="N22" i="21" s="1"/>
  <c r="O22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M17" i="18"/>
  <c r="N17" i="18" s="1"/>
  <c r="O17" i="18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5"/>
  <c r="K18" i="15"/>
  <c r="L18" i="15"/>
  <c r="K16" i="15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5"/>
  <c r="P16" i="26"/>
  <c r="P25" i="26" s="1"/>
  <c r="K25" i="23"/>
  <c r="P30" i="23" s="1"/>
  <c r="L19" i="15"/>
  <c r="P34" i="26"/>
  <c r="P35" i="26" s="1"/>
  <c r="U24" i="15" s="1"/>
  <c r="I25" i="16"/>
  <c r="P28" i="16" s="1"/>
  <c r="K17" i="15"/>
  <c r="P23" i="22"/>
  <c r="I25" i="15"/>
  <c r="P44" i="15" s="1"/>
  <c r="M24" i="16"/>
  <c r="N24" i="16" s="1"/>
  <c r="K23" i="16"/>
  <c r="K19" i="15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P17" i="17" l="1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<sst xmlns="http://schemas.openxmlformats.org/spreadsheetml/2006/main" count="2001" uniqueCount="112">
  <si>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</si>
  <si>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</si>
  <si>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</si>
  <si>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</si>
  <si>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</si>
  <si>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</si>
  <si>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</si>
  <si>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</si>
  <si>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</si>
  <si>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</si>
  <si>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</si>
  <si>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</si>
  <si>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</si>
  <si>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</si>
  <si>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</si>
  <si>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</si>
  <si>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</si>
  <si>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</si>
  <si>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</si>
  <si>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</si>
  <si>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</si>
  <si>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</si>
  <si>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</si>
  <si>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</si>
  <si>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</si>
  <si>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</si>
  <si>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</si>
  <si>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</si>
  <si>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</si>
  <si>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</si>
  <si>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</si>
  <si>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</si>
  <si>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</si>
  <si>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</si>
  <si>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</si>
  <si>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</si>
  <si>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</si>
  <si>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</si>
  <si>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</si>
  <si>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</si>
  <si>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</si>
  <si>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</si>
  <si>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</si>
  <si>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</si>
  <si>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</si>
  <si>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</si>
  <si>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</si>
  <si>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</si>
  <si>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</si>
  <si>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</si>
  <si>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</si>
  <si>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</si>
  <si>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</si>
  <si>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</si>
  <si>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</si>
  <si>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</si>
  <si>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</si>
  <si>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</si>
  <si>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</si>
  <si>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</si>
  <si>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</si>
  <si>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</si>
  <si>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</si>
  <si>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</si>
  <si>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</si>
  <si>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</si>
  <si>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</si>
  <si>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</si>
  <si>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</si>
  <si>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</si>
  <si>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</si>
  <si>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</si>
  <si>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</si>
  <si>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</si>
  <si>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</si>
  <si>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</si>
  <si>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</si>
  <si>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</si>
  <si>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</si>
  <si>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</si>
  <si>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</si>
  <si>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</si>
  <si>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</si>
  <si>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</si>
  <si>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</si>
  <si>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</si>
  <si>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</si>
  <si>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</si>
  <si>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</si>
  <si>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</si>
  <si>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</si>
  <si>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</si>
  <si>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</si>
  <si>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</si>
  <si>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</si>
  <si>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</si>
  <si>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</si>
  <si>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</si>
  <si>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</si>
  <si>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</si>
  <si>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</si>
  <si>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</si>
  <si>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</si>
  <si>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</si>
  <si>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</si>
  <si>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</si>
  <si>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 xml:space="preserve">Customer Name : Gourmet Food Yateem Khana </t>
  </si>
  <si>
    <t>Address: Yateem Khana</t>
  </si>
  <si>
    <t>Customer Name : Gourmet Food Ravi Road</t>
  </si>
  <si>
    <t>Address: Ravi Raod</t>
  </si>
  <si>
    <t xml:space="preserve">Customer Name : Gourmet Food Rehman Garden </t>
  </si>
  <si>
    <t xml:space="preserve">Address: Rehman Garden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</si>
</sst>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1" sqref="H21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1" sqref="H21"/>
      <selection pane="topRight" activeCell="H21" sqref="H21"/>
      <selection pane="bottomLeft" activeCell="H21" sqref="H21"/>
      <selection pane="bottomRight" activeCell="H21" sqref="H2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T18" sqref="T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Gourmet Food Yateem Khana </v>
      </c>
      <c r="U14" s="163">
        <f>+'1'!P35</f>
        <v>12021.863204700001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Ravi Road</v>
      </c>
      <c r="U15" s="163">
        <f>+'2'!P35</f>
        <v>12021.863204700001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1133.1899999999998</v>
      </c>
      <c r="M16" s="105">
        <f>I16-K16-L16</f>
        <v>4941.9675000000007</v>
      </c>
      <c r="N16" s="100">
        <f>+'1'!N16+'2'!N16+'4'!N16+'3'!N16+'5'!N16+'6'!N16+'7'!N16+'8'!N16+'9'!N16+'10'!N16</f>
        <v>889.55414999999994</v>
      </c>
      <c r="O16" s="100">
        <f>+'1'!O16+'2'!O16+'4'!O16+'3'!O16+'5'!O16+'6'!O16+'7'!O16+'8'!O16+'9'!O16+'10'!O16</f>
        <v>29.157608249999996</v>
      </c>
      <c r="P16" s="104">
        <f t="shared" ref="P16:P24" si="0">M16+N16+O16</f>
        <v>5860.6792582500002</v>
      </c>
      <c r="Q16" s="107"/>
      <c r="T16" s="162" t="str">
        <f>+'3'!A5</f>
        <v xml:space="preserve">Customer Name : Gourmet Food Rehman Garden </v>
      </c>
      <c r="U16" s="163">
        <f>+'3'!P35</f>
        <v>12021.863204700001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1133.1899999999998</v>
      </c>
      <c r="M17" s="117">
        <f t="shared" ref="M17:M23" si="2">I17-K17-L17</f>
        <v>4941.9675000000007</v>
      </c>
      <c r="N17" s="100">
        <f>+'1'!N17+'2'!N17+'4'!N17+'3'!N17+'5'!N17+'6'!N17+'7'!N17+'8'!N17+'9'!N17+'10'!N17</f>
        <v>889.55414999999994</v>
      </c>
      <c r="O17" s="100">
        <f>+'1'!O17+'2'!O17+'4'!O17+'3'!O17+'5'!O17+'6'!O17+'7'!O17+'8'!O17+'9'!O17+'10'!O17</f>
        <v>29.157608249999996</v>
      </c>
      <c r="P17" s="119">
        <f t="shared" si="0"/>
        <v>5860.6792582500002</v>
      </c>
      <c r="S17" s="64"/>
      <c r="T17" s="162" t="str">
        <f>+'4'!A5</f>
        <v>Customer Name : Gourmet Food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1569.0239999999999</v>
      </c>
      <c r="M19" s="117">
        <f t="shared" si="2"/>
        <v>6842.6880000000001</v>
      </c>
      <c r="N19" s="100">
        <f>+'1'!N19+'2'!N19+'4'!N19+'3'!N19+'5'!N19+'6'!N19+'7'!N19+'8'!N19+'9'!N19+'10'!N19</f>
        <v>1231.6838400000001</v>
      </c>
      <c r="O19" s="100">
        <f>+'1'!O19+'2'!O19+'4'!O19+'3'!O19+'5'!O19+'6'!O19+'7'!O19+'8'!O19+'9'!O19+'10'!O19</f>
        <v>40.371859200000003</v>
      </c>
      <c r="P19" s="119">
        <f t="shared" si="0"/>
        <v>8114.7436991999994</v>
      </c>
      <c r="T19" s="162" t="str">
        <f>+'6'!A5</f>
        <v>Customer Name : Gourmet Food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1569.0239999999999</v>
      </c>
      <c r="M20" s="117">
        <f t="shared" si="2"/>
        <v>6842.6880000000001</v>
      </c>
      <c r="N20" s="100">
        <f>+'1'!N20+'2'!N20+'4'!N20+'3'!N20+'5'!N20+'6'!N20+'7'!N20+'8'!N20+'9'!N20+'10'!N20</f>
        <v>1231.6838400000001</v>
      </c>
      <c r="O20" s="100">
        <f>+'1'!O20+'2'!O20+'4'!O20+'3'!O20+'5'!O20+'6'!O20+'7'!O20+'8'!O20+'9'!O20+'10'!O20</f>
        <v>40.371859200000003</v>
      </c>
      <c r="P20" s="119">
        <f t="shared" si="0"/>
        <v>8114.7436991999994</v>
      </c>
      <c r="T20" s="162" t="str">
        <f>+'7'!A5</f>
        <v>Customer Name : Gourmet Food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305.08800000000002</v>
      </c>
      <c r="L21" s="174">
        <f>+'1'!L21+'2'!L21+'4'!L21+'3'!L21+'5'!L21+'6'!L21+'7'!L21+'8'!L21+'9'!L21+'10'!L21</f>
        <v>1569.0239999999999</v>
      </c>
      <c r="M21" s="117">
        <f t="shared" si="2"/>
        <v>6842.6880000000001</v>
      </c>
      <c r="N21" s="100">
        <f>+'1'!N21+'2'!N21+'4'!N21+'3'!N21+'5'!N21+'6'!N21+'7'!N21+'8'!N21+'9'!N21+'10'!N21</f>
        <v>1231.6838400000001</v>
      </c>
      <c r="O21" s="100">
        <f>+'1'!O21+'2'!O21+'4'!O21+'3'!O21+'5'!O21+'6'!O21+'7'!O21+'8'!O21+'9'!O21+'10'!O21</f>
        <v>40.371859200000003</v>
      </c>
      <c r="P21" s="119">
        <f t="shared" si="0"/>
        <v>8114.7436991999994</v>
      </c>
      <c r="T21" s="162" t="str">
        <f>+'8'!A5</f>
        <v>Customer Name : Gourmet Food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0</v>
      </c>
    </row>
    <row r="25" spans="1:21 16384:16384" ht="26.5" thickBot="1" x14ac:dyDescent="0.65">
      <c r="A25" s="304" t="s">
        <v>84</v>
      </c>
      <c r="B25" s="305"/>
      <c r="C25" s="306">
        <f>H25/40</f>
        <v>15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600</v>
      </c>
      <c r="I25" s="177">
        <f t="shared" si="3"/>
        <v>38741.399999999994</v>
      </c>
      <c r="J25" s="176">
        <f t="shared" si="3"/>
        <v>0</v>
      </c>
      <c r="K25" s="177">
        <f t="shared" si="3"/>
        <v>1355.9490000000001</v>
      </c>
      <c r="L25" s="178">
        <f t="shared" si="3"/>
        <v>6973.4519999999993</v>
      </c>
      <c r="M25" s="140">
        <f t="shared" si="3"/>
        <v>30411.999000000003</v>
      </c>
      <c r="N25" s="141">
        <f>SUM(N16:N24)</f>
        <v>5474.1598200000008</v>
      </c>
      <c r="O25" s="142">
        <f>SUM(O16:O24)</f>
        <v>179.43079410000001</v>
      </c>
      <c r="P25" s="143">
        <f>SUM(P16:P24)</f>
        <v>36065.589614099998</v>
      </c>
      <c r="T25" s="162" t="str">
        <f>+'12'!A5</f>
        <v>Customer Name : Gourmet Food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36065.589614100005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38741.399999999994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6973.4519999999993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1355.9490000000001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30411.998999999996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5474.1598200000008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35886.158819999997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897.15397050000001</v>
      </c>
    </row>
    <row r="51" spans="2:16" ht="15.75" customHeight="1" thickBot="1" x14ac:dyDescent="0.4">
      <c r="N51" s="298" t="s">
        <v>92</v>
      </c>
      <c r="O51" s="299"/>
      <c r="P51" s="159">
        <f>P49+P50</f>
        <v>36783.3127905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106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107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 t="shared" ref="O16:O24" si="1">(N16+M16)*$O$15</f>
        <v>9.7192027499999991</v>
      </c>
      <c r="P16" s="104">
        <f t="shared" ref="P16:P24" si="2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03">
        <f t="shared" ref="K17:K21" si="4">I17*3.5%</f>
        <v>73.447500000000005</v>
      </c>
      <c r="L17" s="104">
        <f t="shared" ref="L17:L21" si="5">I17*18%</f>
        <v>377.72999999999996</v>
      </c>
      <c r="M17" s="117">
        <f t="shared" ref="M17:M23" si="6">I17-K17-L17</f>
        <v>1647.3225</v>
      </c>
      <c r="N17" s="117">
        <f t="shared" si="0"/>
        <v>296.51804999999996</v>
      </c>
      <c r="O17" s="118">
        <f t="shared" si="1"/>
        <v>9.7192027499999991</v>
      </c>
      <c r="P17" s="119">
        <f t="shared" si="2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523.00799999999992</v>
      </c>
      <c r="M19" s="117">
        <f t="shared" si="6"/>
        <v>2280.8960000000002</v>
      </c>
      <c r="N19" s="117">
        <f t="shared" si="0"/>
        <v>410.56128000000001</v>
      </c>
      <c r="O19" s="118">
        <f t="shared" si="1"/>
        <v>13.457286400000001</v>
      </c>
      <c r="P19" s="119">
        <f t="shared" si="2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03">
        <f t="shared" si="4"/>
        <v>101.69600000000001</v>
      </c>
      <c r="L20" s="104">
        <f t="shared" si="5"/>
        <v>523.00799999999992</v>
      </c>
      <c r="M20" s="117">
        <f t="shared" si="6"/>
        <v>2280.8960000000002</v>
      </c>
      <c r="N20" s="117">
        <f t="shared" si="0"/>
        <v>410.56128000000001</v>
      </c>
      <c r="O20" s="118">
        <f t="shared" si="1"/>
        <v>13.457286400000001</v>
      </c>
      <c r="P20" s="119">
        <f t="shared" si="2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03">
        <f t="shared" si="4"/>
        <v>101.69600000000001</v>
      </c>
      <c r="L21" s="104">
        <f t="shared" si="5"/>
        <v>523.00799999999992</v>
      </c>
      <c r="M21" s="117">
        <f t="shared" si="6"/>
        <v>2280.8960000000002</v>
      </c>
      <c r="N21" s="117">
        <f t="shared" si="0"/>
        <v>410.56128000000001</v>
      </c>
      <c r="O21" s="118">
        <f t="shared" si="1"/>
        <v>13.457286400000001</v>
      </c>
      <c r="P21" s="119">
        <f t="shared" si="2"/>
        <v>2704.9145664000002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451.98300000000006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10137.333000000002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11962.052940000001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298" t="s">
        <v>92</v>
      </c>
      <c r="O35" s="299"/>
      <c r="P35" s="159">
        <f>P33+P34</f>
        <v>12021.863204700001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8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108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109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>(N16+M16)*$O$15</f>
        <v>9.7192027499999991</v>
      </c>
      <c r="P16" s="104">
        <f t="shared" ref="P16:P24" si="1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03">
        <f t="shared" ref="K17:K21" si="3">I17*3.5%</f>
        <v>73.447500000000005</v>
      </c>
      <c r="L17" s="104">
        <f t="shared" ref="L17:L21" si="4">I17*18%</f>
        <v>377.72999999999996</v>
      </c>
      <c r="M17" s="117">
        <f t="shared" ref="M17:M23" si="5">I17-K17-L17</f>
        <v>1647.3225</v>
      </c>
      <c r="N17" s="117">
        <f t="shared" si="0"/>
        <v>296.51804999999996</v>
      </c>
      <c r="O17" s="118">
        <f t="shared" ref="O17:O24" si="6">(N17+M17)*$O$15</f>
        <v>9.7192027499999991</v>
      </c>
      <c r="P17" s="119">
        <f t="shared" si="1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523.00799999999992</v>
      </c>
      <c r="M19" s="117">
        <f t="shared" si="5"/>
        <v>2280.8960000000002</v>
      </c>
      <c r="N19" s="117">
        <f t="shared" si="0"/>
        <v>410.56128000000001</v>
      </c>
      <c r="O19" s="118">
        <f t="shared" si="6"/>
        <v>13.457286400000001</v>
      </c>
      <c r="P19" s="119">
        <f t="shared" si="1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03">
        <f t="shared" si="3"/>
        <v>101.69600000000001</v>
      </c>
      <c r="L20" s="104">
        <f t="shared" si="4"/>
        <v>523.00799999999992</v>
      </c>
      <c r="M20" s="117">
        <f t="shared" si="5"/>
        <v>2280.8960000000002</v>
      </c>
      <c r="N20" s="117">
        <f t="shared" si="0"/>
        <v>410.56128000000001</v>
      </c>
      <c r="O20" s="118">
        <f t="shared" si="6"/>
        <v>13.457286400000001</v>
      </c>
      <c r="P20" s="119">
        <f t="shared" si="1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03">
        <f t="shared" si="3"/>
        <v>101.69600000000001</v>
      </c>
      <c r="L21" s="104">
        <f t="shared" si="4"/>
        <v>523.00799999999992</v>
      </c>
      <c r="M21" s="117">
        <f t="shared" si="5"/>
        <v>2280.8960000000002</v>
      </c>
      <c r="N21" s="117">
        <f t="shared" si="0"/>
        <v>410.56128000000001</v>
      </c>
      <c r="O21" s="118">
        <f t="shared" si="6"/>
        <v>13.457286400000001</v>
      </c>
      <c r="P21" s="119">
        <f t="shared" si="1"/>
        <v>2704.9145664000002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451.98300000000006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10137.333000000002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11962.052940000001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298" t="s">
        <v>92</v>
      </c>
      <c r="O35" s="299"/>
      <c r="P35" s="159">
        <f>P33+P34</f>
        <v>12021.863204700001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111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I16*3.5%</f>
        <v>73.447500000000005</v>
      </c>
      <c r="L16" s="104">
        <f>I16*18%</f>
        <v>377.72999999999996</v>
      </c>
      <c r="M16" s="105">
        <f>I16-K16-L16</f>
        <v>1647.3225</v>
      </c>
      <c r="N16" s="105">
        <f t="shared" ref="N16:N24" si="0">(M16*$N$15)+(J16*F16)*$N$15</f>
        <v>296.51804999999996</v>
      </c>
      <c r="O16" s="106">
        <f>(N16+M16)*$O$15</f>
        <v>9.7192027499999991</v>
      </c>
      <c r="P16" s="104">
        <f t="shared" ref="P16:P24" si="1">M16+N16+O16</f>
        <v>1953.5597527499999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03">
        <f t="shared" ref="K17:K21" si="3">I17*3.5%</f>
        <v>73.447500000000005</v>
      </c>
      <c r="L17" s="104">
        <f t="shared" ref="L17:L21" si="4">I17*18%</f>
        <v>377.72999999999996</v>
      </c>
      <c r="M17" s="117">
        <f t="shared" ref="M17:M23" si="5">I17-K17-L17</f>
        <v>1647.3225</v>
      </c>
      <c r="N17" s="117">
        <f t="shared" si="0"/>
        <v>296.51804999999996</v>
      </c>
      <c r="O17" s="118">
        <f t="shared" ref="O17:O24" si="6">(N17+M17)*$O$15</f>
        <v>9.7192027499999991</v>
      </c>
      <c r="P17" s="119">
        <f t="shared" si="1"/>
        <v>1953.5597527499999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523.00799999999992</v>
      </c>
      <c r="M19" s="117">
        <f t="shared" si="5"/>
        <v>2280.8960000000002</v>
      </c>
      <c r="N19" s="117">
        <f t="shared" si="0"/>
        <v>410.56128000000001</v>
      </c>
      <c r="O19" s="118">
        <f t="shared" si="6"/>
        <v>13.457286400000001</v>
      </c>
      <c r="P19" s="119">
        <f t="shared" si="1"/>
        <v>2704.9145664000002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03">
        <f t="shared" si="3"/>
        <v>101.69600000000001</v>
      </c>
      <c r="L20" s="104">
        <f t="shared" si="4"/>
        <v>523.00799999999992</v>
      </c>
      <c r="M20" s="117">
        <f t="shared" si="5"/>
        <v>2280.8960000000002</v>
      </c>
      <c r="N20" s="117">
        <f t="shared" si="0"/>
        <v>410.56128000000001</v>
      </c>
      <c r="O20" s="118">
        <f t="shared" si="6"/>
        <v>13.457286400000001</v>
      </c>
      <c r="P20" s="119">
        <f t="shared" si="1"/>
        <v>2704.9145664000002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03">
        <f t="shared" si="3"/>
        <v>101.69600000000001</v>
      </c>
      <c r="L21" s="104">
        <f t="shared" si="4"/>
        <v>523.00799999999992</v>
      </c>
      <c r="M21" s="117">
        <f t="shared" si="5"/>
        <v>2280.8960000000002</v>
      </c>
      <c r="N21" s="117">
        <f t="shared" si="0"/>
        <v>410.56128000000001</v>
      </c>
      <c r="O21" s="118">
        <f t="shared" si="6"/>
        <v>13.457286400000001</v>
      </c>
      <c r="P21" s="119">
        <f t="shared" si="1"/>
        <v>2704.9145664000002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451.98300000000006</v>
      </c>
      <c r="L25" s="139">
        <f t="shared" si="9"/>
        <v>2324.4839999999995</v>
      </c>
      <c r="M25" s="140">
        <f t="shared" si="9"/>
        <v>10137.333000000001</v>
      </c>
      <c r="N25" s="141">
        <f>SUM(N16:N24)</f>
        <v>1824.71994</v>
      </c>
      <c r="O25" s="142">
        <f>SUM(O16:O24)</f>
        <v>59.810264700000005</v>
      </c>
      <c r="P25" s="143">
        <f>SUM(P16:P24)</f>
        <v>12021.863204700001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451.98300000000006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10137.333000000002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1824.71994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11962.052940000001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59.810264700000005</v>
      </c>
    </row>
    <row r="35" spans="2:16" ht="15.75" customHeight="1" thickBot="1" x14ac:dyDescent="0.4">
      <c r="N35" s="298" t="s">
        <v>92</v>
      </c>
      <c r="O35" s="299"/>
      <c r="P35" s="159">
        <f>P33+P34</f>
        <v>12021.863204700001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21" zoomScale="106" zoomScaleNormal="106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8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46216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101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46215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105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0</v>
      </c>
      <c r="I16" s="216">
        <f>(G16*D16)*F16+H16*F16</f>
        <v>0</v>
      </c>
      <c r="J16" s="217"/>
      <c r="K16" s="218">
        <f>I16*3.5%</f>
        <v>0</v>
      </c>
      <c r="L16" s="219">
        <f>I16*18%</f>
        <v>0</v>
      </c>
      <c r="M16" s="220">
        <f>I16-K16-L16</f>
        <v>0</v>
      </c>
      <c r="N16" s="220">
        <f t="shared" ref="N16:N24" si="0">(M16*$N$15)+(J16*F16)*$N$15</f>
        <v>0</v>
      </c>
      <c r="O16" s="221">
        <f>(N16+M16)*$O$15</f>
        <v>0</v>
      </c>
      <c r="P16" s="219">
        <f t="shared" ref="P16:P24" si="1">M16+N16+O16</f>
        <v>0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0</v>
      </c>
      <c r="I17" s="228">
        <f t="shared" ref="I17:I23" si="2">(G17*D17)*F17+H17*F17</f>
        <v>0</v>
      </c>
      <c r="J17" s="229"/>
      <c r="K17" s="218">
        <f t="shared" ref="K17:K21" si="3">I17*3.5%</f>
        <v>0</v>
      </c>
      <c r="L17" s="219">
        <f t="shared" ref="L17:L21" si="4">I17*18%</f>
        <v>0</v>
      </c>
      <c r="M17" s="231">
        <f t="shared" ref="M17:M23" si="5">I17-K17-L17</f>
        <v>0</v>
      </c>
      <c r="N17" s="231">
        <f t="shared" si="0"/>
        <v>0</v>
      </c>
      <c r="O17" s="232">
        <f t="shared" ref="O17:O24" si="6">(N17+M17)*$O$15</f>
        <v>0</v>
      </c>
      <c r="P17" s="233">
        <f t="shared" si="1"/>
        <v>0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18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0</v>
      </c>
      <c r="I19" s="228">
        <f t="shared" si="2"/>
        <v>0</v>
      </c>
      <c r="J19" s="229"/>
      <c r="K19" s="218">
        <f t="shared" si="3"/>
        <v>0</v>
      </c>
      <c r="L19" s="219">
        <f t="shared" si="4"/>
        <v>0</v>
      </c>
      <c r="M19" s="231">
        <f t="shared" si="5"/>
        <v>0</v>
      </c>
      <c r="N19" s="231">
        <f t="shared" si="0"/>
        <v>0</v>
      </c>
      <c r="O19" s="232">
        <f t="shared" si="6"/>
        <v>0</v>
      </c>
      <c r="P19" s="233">
        <f t="shared" si="1"/>
        <v>0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0</v>
      </c>
      <c r="I20" s="228">
        <f t="shared" si="2"/>
        <v>0</v>
      </c>
      <c r="J20" s="229"/>
      <c r="K20" s="218">
        <f t="shared" si="3"/>
        <v>0</v>
      </c>
      <c r="L20" s="219">
        <f t="shared" si="4"/>
        <v>0</v>
      </c>
      <c r="M20" s="231">
        <f t="shared" si="5"/>
        <v>0</v>
      </c>
      <c r="N20" s="231">
        <f t="shared" si="0"/>
        <v>0</v>
      </c>
      <c r="O20" s="232">
        <f t="shared" si="6"/>
        <v>0</v>
      </c>
      <c r="P20" s="233">
        <f t="shared" si="1"/>
        <v>0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0</v>
      </c>
      <c r="I21" s="228">
        <f t="shared" si="2"/>
        <v>0</v>
      </c>
      <c r="J21" s="229"/>
      <c r="K21" s="218">
        <f t="shared" si="3"/>
        <v>0</v>
      </c>
      <c r="L21" s="219">
        <f t="shared" si="4"/>
        <v>0</v>
      </c>
      <c r="M21" s="231">
        <f t="shared" si="5"/>
        <v>0</v>
      </c>
      <c r="N21" s="231">
        <f t="shared" si="0"/>
        <v>0</v>
      </c>
      <c r="O21" s="232">
        <f t="shared" si="6"/>
        <v>0</v>
      </c>
      <c r="P21" s="233">
        <f t="shared" si="1"/>
        <v>0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0</v>
      </c>
      <c r="I25" s="251">
        <f t="shared" si="9"/>
        <v>0</v>
      </c>
      <c r="J25" s="252"/>
      <c r="K25" s="253">
        <f t="shared" si="9"/>
        <v>0</v>
      </c>
      <c r="L25" s="254">
        <f t="shared" si="9"/>
        <v>0</v>
      </c>
      <c r="M25" s="255">
        <f t="shared" si="9"/>
        <v>0</v>
      </c>
      <c r="N25" s="256">
        <f>SUM(N16:N24)</f>
        <v>0</v>
      </c>
      <c r="O25" s="257">
        <f>SUM(O16:O24)</f>
        <v>0</v>
      </c>
      <c r="P25" s="258">
        <f>SUM(P16:P24)</f>
        <v>0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0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0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0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0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0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0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0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20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0" sqref="H10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0" sqref="H10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46216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46215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I16*3.5%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activeCell="H10" sqref="H10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K16">
        <f>I16*3.5%</f>
        <v>0</v>
      </c>
      <c r="Q16">
        <v>0</v>
      </c>
    </row>
    <row r="17" spans="8:17" x14ac:dyDescent="0.35">
      <c r="H17">
        <v>0</v>
      </c>
      <c r="K17">
        <f t="shared" ref="K17:K21" si="0">I17*3.5%</f>
        <v>0</v>
      </c>
      <c r="Q17">
        <v>0</v>
      </c>
    </row>
    <row r="18" spans="8:17" x14ac:dyDescent="0.35">
      <c r="H18">
        <v>0</v>
      </c>
      <c r="K18">
        <f t="shared" si="0"/>
        <v>0</v>
      </c>
      <c r="Q18">
        <v>0</v>
      </c>
    </row>
    <row r="19" spans="8:17" x14ac:dyDescent="0.35">
      <c r="H19">
        <v>0</v>
      </c>
      <c r="K19">
        <f t="shared" si="0"/>
        <v>0</v>
      </c>
      <c r="Q19">
        <v>0</v>
      </c>
    </row>
    <row r="20" spans="8:17" x14ac:dyDescent="0.35">
      <c r="H20">
        <v>0</v>
      </c>
      <c r="K20">
        <f t="shared" si="0"/>
        <v>0</v>
      </c>
      <c r="Q20">
        <v>0</v>
      </c>
    </row>
    <row r="21" spans="8:17" x14ac:dyDescent="0.35">
      <c r="H21">
        <v>0</v>
      </c>
      <c r="K21">
        <f t="shared" si="0"/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</vt:i4>
      </vt:variant>
    </vt:vector>
  </HeadingPairs>
  <TitlesOfParts>
    <vt:vector size="3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'1'!Print_Area</vt:lpstr>
      <vt:lpstr>'2'!Print_Area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2026-07-13T10:05:22Z</dcterms:modified>
</cp:coreProperties>
</file>