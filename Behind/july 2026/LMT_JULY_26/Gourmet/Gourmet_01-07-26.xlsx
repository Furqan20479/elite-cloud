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E5A6071-D56A-44C4-9BEB-A6BE068DE5A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<sst xmlns="http://schemas.openxmlformats.org/spreadsheetml/2006/main" count="2001" uniqueCount="132">
  <si>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</si>
  <si>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</si>
  <si>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</si>
  <si>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</si>
  <si>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</si>
  <si>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</si>
  <si>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</si>
  <si>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</si>
  <si>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</si>
  <si>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</si>
  <si>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</si>
  <si>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</si>
  <si>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</si>
  <si>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</si>
  <si>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</si>
  <si>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</si>
  <si>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</si>
  <si>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</si>
  <si>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</si>
  <si>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</si>
  <si>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</si>
  <si>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</si>
  <si>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</si>
  <si>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</si>
  <si>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</si>
  <si>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</si>
  <si>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</si>
  <si>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</si>
  <si>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</si>
  <si>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</si>
  <si>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</si>
  <si>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</si>
  <si>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</si>
  <si>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</si>
  <si>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</si>
  <si>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</si>
  <si>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</si>
  <si>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</si>
  <si>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</si>
  <si>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</si>
  <si>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</si>
  <si>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</si>
  <si>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</si>
  <si>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</si>
  <si>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</si>
  <si>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</si>
  <si>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</si>
  <si>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</si>
  <si>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</si>
  <si>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</si>
  <si>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</si>
  <si>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</si>
  <si>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</si>
  <si>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</si>
  <si>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</si>
  <si>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</si>
  <si>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</si>
  <si>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</si>
  <si>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</si>
  <si>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</si>
  <si>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</si>
  <si>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</si>
  <si>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</si>
  <si>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</si>
  <si>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</si>
  <si>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</si>
  <si>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</si>
  <si>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</si>
  <si>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</si>
  <si>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</si>
  <si>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</si>
  <si>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</si>
  <si>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</si>
  <si>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</si>
  <si>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</si>
  <si>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</si>
  <si>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</si>
  <si>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</si>
  <si>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</si>
  <si>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</si>
  <si>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</si>
  <si>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</si>
  <si>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</si>
  <si>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</si>
  <si>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</si>
  <si>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</si>
  <si>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</si>
  <si>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</si>
  <si>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</si>
  <si>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</si>
  <si>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</si>
  <si>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</si>
  <si>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</si>
  <si>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</si>
  <si>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</si>
  <si>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</si>
  <si>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</si>
  <si>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</si>
  <si>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</si>
  <si>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</si>
  <si>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</si>
  <si>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</si>
  <si>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</si>
  <si>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</si>
  <si>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</si>
  <si>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</si>
  <si>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Awan Town </t>
  </si>
  <si>
    <t>Address: AWAN TOWN MULTAN ROAD LHR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</si>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</sst>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3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Awan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560</v>
      </c>
      <c r="I16" s="1">
        <f>(G16*D16)*F16+H16*F16</f>
        <v>29379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4155.03</v>
      </c>
      <c r="M16" s="105">
        <f>I16-K16-L16</f>
        <v>25223.97</v>
      </c>
      <c r="N16" s="100">
        <f>+'1'!N16+'2'!N16+'4'!N16+'3'!N16+'5'!N16+'6'!N16+'7'!N16+'8'!N16+'9'!N16+'10'!N16</f>
        <v>3407.1246000000001</v>
      </c>
      <c r="O16" s="100">
        <f>+'1'!O16+'2'!O16+'4'!O16+'3'!O16+'5'!O16+'6'!O16+'7'!O16+'8'!O16+'9'!O16+'10'!O16</f>
        <v>111.67797299999998</v>
      </c>
      <c r="P16" s="104">
        <f t="shared" ref="P16:P24" si="0">M16+N16+O16</f>
        <v>28742.772573000002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560</v>
      </c>
      <c r="I17" s="1">
        <f t="shared" ref="I17:I23" si="1">(G17*D17)*F17+H17*F17</f>
        <v>29379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4155.03</v>
      </c>
      <c r="M17" s="117">
        <f t="shared" ref="M17:M23" si="2">I17-K17-L17</f>
        <v>25223.97</v>
      </c>
      <c r="N17" s="100">
        <f>+'1'!N17+'2'!N17+'4'!N17+'3'!N17+'5'!N17+'6'!N17+'7'!N17+'8'!N17+'9'!N17+'10'!N17</f>
        <v>3407.1246000000001</v>
      </c>
      <c r="O17" s="100">
        <f>+'1'!O17+'2'!O17+'4'!O17+'3'!O17+'5'!O17+'6'!O17+'7'!O17+'8'!O17+'9'!O17+'10'!O17</f>
        <v>111.67797299999998</v>
      </c>
      <c r="P17" s="119">
        <f t="shared" si="0"/>
        <v>28742.772573000002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560</v>
      </c>
      <c r="I19" s="1">
        <f t="shared" si="1"/>
        <v>40678.400000000001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5753.0879999999988</v>
      </c>
      <c r="M19" s="117">
        <f t="shared" si="2"/>
        <v>34925.312000000005</v>
      </c>
      <c r="N19" s="100">
        <f>+'1'!N19+'2'!N19+'4'!N19+'3'!N19+'5'!N19+'6'!N19+'7'!N19+'8'!N19+'9'!N19+'10'!N19</f>
        <v>4717.5321600000007</v>
      </c>
      <c r="O19" s="100">
        <f>+'1'!O19+'2'!O19+'4'!O19+'3'!O19+'5'!O19+'6'!O19+'7'!O19+'8'!O19+'9'!O19+'10'!O19</f>
        <v>154.63022080000002</v>
      </c>
      <c r="P19" s="119">
        <f t="shared" si="0"/>
        <v>39797.474380800006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560</v>
      </c>
      <c r="I20" s="1">
        <f t="shared" si="1"/>
        <v>40678.400000000001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5753.0879999999988</v>
      </c>
      <c r="M20" s="117">
        <f t="shared" si="2"/>
        <v>34925.312000000005</v>
      </c>
      <c r="N20" s="100">
        <f>+'1'!N20+'2'!N20+'4'!N20+'3'!N20+'5'!N20+'6'!N20+'7'!N20+'8'!N20+'9'!N20+'10'!N20</f>
        <v>4717.5321600000007</v>
      </c>
      <c r="O20" s="100">
        <f>+'1'!O20+'2'!O20+'4'!O20+'3'!O20+'5'!O20+'6'!O20+'7'!O20+'8'!O20+'9'!O20+'10'!O20</f>
        <v>154.63022080000002</v>
      </c>
      <c r="P20" s="119">
        <f t="shared" si="0"/>
        <v>39797.474380800006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5753.0879999999988</v>
      </c>
      <c r="M21" s="117">
        <f t="shared" si="2"/>
        <v>34925.312000000005</v>
      </c>
      <c r="N21" s="100">
        <f>+'1'!N21+'2'!N21+'4'!N21+'3'!N21+'5'!N21+'6'!N21+'7'!N21+'8'!N21+'9'!N21+'10'!N21</f>
        <v>4717.5321600000007</v>
      </c>
      <c r="O21" s="100">
        <f>+'1'!O21+'2'!O21+'4'!O21+'3'!O21+'5'!O21+'6'!O21+'7'!O21+'8'!O21+'9'!O21+'10'!O21</f>
        <v>154.63022080000002</v>
      </c>
      <c r="P21" s="119">
        <f t="shared" si="0"/>
        <v>39797.474380800006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70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2800</v>
      </c>
      <c r="I25" s="177">
        <f t="shared" si="3"/>
        <v>180793.19999999998</v>
      </c>
      <c r="J25" s="176">
        <f t="shared" si="3"/>
        <v>0</v>
      </c>
      <c r="K25" s="177">
        <f t="shared" si="3"/>
        <v>0</v>
      </c>
      <c r="L25" s="178">
        <f t="shared" si="3"/>
        <v>25569.323999999997</v>
      </c>
      <c r="M25" s="140">
        <f t="shared" si="3"/>
        <v>155223.87600000002</v>
      </c>
      <c r="N25" s="141">
        <f>SUM(N16:N24)</f>
        <v>20966.845680000002</v>
      </c>
      <c r="O25" s="142">
        <f>SUM(O16:O24)</f>
        <v>687.24660840000001</v>
      </c>
      <c r="P25" s="143">
        <f>SUM(P16:P24)</f>
        <v>176877.96828840001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175810.17782160005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180793.19999999998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25569.323999999997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155223.87599999999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20966.845680000002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176190.72167999999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4404.7680419999997</v>
      </c>
    </row>
    <row r="51" spans="2:16" ht="15.75" customHeight="1" thickBot="1" x14ac:dyDescent="0.4">
      <c r="N51" s="314" t="s">
        <v>92</v>
      </c>
      <c r="O51" s="315"/>
      <c r="P51" s="159">
        <f>P49+P50</f>
        <v>180595.489722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128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46204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131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46203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130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12913.800000000001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2324.4839999999995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10589.316000000003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12495.392880000003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46204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46203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2026-07-01T11:26:39Z</dcterms:modified>
</cp:coreProperties>
</file>