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5440D64-9167-4B67-A9F8-F5A48A13C927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N22" i="15" l="1"/>
  <c r="O25" i="2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<sst xmlns="http://schemas.openxmlformats.org/spreadsheetml/2006/main" count="2001" uniqueCount="132">
  <si>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</si>
  <si>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</si>
  <si>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</si>
  <si>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</si>
  <si>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</si>
  <si>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</si>
  <si>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</si>
  <si>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</si>
  <si>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</si>
  <si>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</si>
  <si>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</si>
  <si>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</si>
  <si>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</si>
  <si>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</si>
  <si>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</si>
  <si>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</si>
  <si>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</si>
  <si>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</si>
  <si>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</si>
  <si>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</si>
  <si>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</si>
  <si>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</si>
  <si>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</si>
  <si>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</si>
  <si>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</si>
  <si>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</si>
  <si>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</si>
  <si>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</si>
  <si>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</si>
  <si>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</si>
  <si>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</si>
  <si>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</si>
  <si>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</si>
  <si>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</si>
  <si>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</si>
  <si>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</si>
  <si>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</si>
  <si>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</si>
  <si>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</si>
  <si>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</si>
  <si>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</si>
  <si>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</si>
  <si>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</si>
  <si>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</si>
  <si>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</si>
  <si>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</si>
  <si>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</si>
  <si>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</si>
  <si>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</si>
  <si>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</si>
  <si>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</si>
  <si>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</si>
  <si>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</si>
  <si>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</si>
  <si>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</si>
  <si>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</si>
  <si>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</si>
  <si>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</si>
  <si>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</si>
  <si>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</si>
  <si>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</si>
  <si>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</si>
  <si>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</si>
  <si>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</si>
  <si>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</si>
  <si>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</si>
  <si>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</si>
  <si>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</si>
  <si>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</si>
  <si>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</si>
  <si>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</si>
  <si>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</si>
  <si>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</si>
  <si>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</si>
  <si>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</si>
  <si>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</si>
  <si>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</si>
  <si>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</si>
  <si>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</si>
  <si>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</si>
  <si>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</si>
  <si>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</si>
  <si>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</si>
  <si>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</si>
  <si>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</si>
  <si>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</si>
  <si>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</si>
  <si>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</si>
  <si>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</si>
  <si>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</si>
  <si>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</si>
  <si>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</si>
  <si>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</si>
  <si>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</si>
  <si>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</si>
  <si>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</si>
  <si>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</si>
  <si>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</si>
  <si>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</si>
  <si>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</si>
  <si>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</si>
  <si>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</si>
  <si>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</si>
  <si>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</si>
  <si>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</si>
  <si>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</si>
  <si>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</si>
  <si>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</si>
  <si>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</si>
  <si>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</si>
  <si>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</si>
  <si>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</si>
  <si>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</si>
  <si>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</si>
  <si>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</si>
  <si>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</si>
  <si>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</si>
  <si>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</si>
  <si>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</si>
  <si>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</si>
  <si>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</si>
  <si>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</si>
  <si>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</si>
  <si>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</si>
  <si>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</si>
  <si>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</si>
  <si>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</si>
  <si>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</si>
  <si>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</si>
  <si>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</si>
  <si>
    <t>Customer Name : Gourmet Imamia Colony</t>
  </si>
  <si>
    <t>Address: Imamia Colony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</si>
</sst>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9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166" fontId="4" fillId="0" borderId="0" xfId="0" applyNumberFormat="1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5" sqref="H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zoomScale="70" zoomScaleNormal="70" workbookViewId="0">
      <selection activeCell="U15" sqref="U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340" t="s">
        <v>45</v>
      </c>
      <c r="B2" s="340"/>
      <c r="C2" s="340"/>
    </row>
    <row r="3" spans="1:21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339" t="s">
        <v>103</v>
      </c>
      <c r="B5" s="339"/>
      <c r="C5" s="339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21 16383:16384" ht="15" customHeight="1" x14ac:dyDescent="0.35">
      <c r="A6" s="339"/>
      <c r="B6" s="339"/>
      <c r="C6" s="339"/>
      <c r="F6" s="70"/>
      <c r="G6" s="74"/>
      <c r="K6" s="324" t="s">
        <v>52</v>
      </c>
      <c r="L6" s="324"/>
      <c r="M6" s="324"/>
      <c r="N6" s="337" t="s">
        <v>42</v>
      </c>
      <c r="O6" s="337"/>
      <c r="P6" s="33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21 16383:16384" hidden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21 16383:16384" x14ac:dyDescent="0.35">
      <c r="A10" s="322"/>
      <c r="B10" s="75"/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21 16383:16384" ht="15" thickBot="1" x14ac:dyDescent="0.4">
      <c r="A11" s="322"/>
      <c r="B11" s="76"/>
      <c r="C11" s="77"/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21 16383:16384" ht="14.65" customHeight="1" x14ac:dyDescent="0.35">
      <c r="A12" s="322"/>
      <c r="B12" s="76"/>
      <c r="C12" s="77"/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T12" s="294" t="s">
        <v>104</v>
      </c>
      <c r="U12" s="295"/>
      <c r="XFD12" t="s">
        <v>62</v>
      </c>
    </row>
    <row r="13" spans="1:21 16383:16384" ht="15" thickBot="1" x14ac:dyDescent="0.4">
      <c r="A13" s="323"/>
      <c r="J13" s="78"/>
      <c r="K13" s="78"/>
      <c r="L13" s="79">
        <v>0.05</v>
      </c>
      <c r="T13" s="296"/>
      <c r="U13" s="297"/>
      <c r="XFD13" t="s">
        <v>63</v>
      </c>
    </row>
    <row r="14" spans="1:21 16383:16384" ht="29.25" customHeight="1" x14ac:dyDescent="0.6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32" t="s">
        <v>68</v>
      </c>
      <c r="H14" s="333"/>
      <c r="I14" s="333" t="s">
        <v>69</v>
      </c>
      <c r="J14" s="333" t="s">
        <v>70</v>
      </c>
      <c r="K14" s="333"/>
      <c r="L14" s="335"/>
      <c r="M14" s="327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Imamia Colony</v>
      </c>
      <c r="U14" s="163">
        <f>+'1'!P35</f>
        <v>3139.4674611000009</v>
      </c>
      <c r="XFD14" t="s">
        <v>75</v>
      </c>
    </row>
    <row r="15" spans="1:21 16383:16384" ht="29.25" customHeight="1" thickBot="1" x14ac:dyDescent="0.65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34"/>
      <c r="J15" s="170" t="s">
        <v>78</v>
      </c>
      <c r="K15" s="170" t="s">
        <v>79</v>
      </c>
      <c r="L15" s="173" t="s">
        <v>80</v>
      </c>
      <c r="M15" s="32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530</v>
      </c>
      <c r="I16" s="1">
        <f>(G16*D16)*F16+H16*F16</f>
        <v>27805.125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3871.7325000000001</v>
      </c>
      <c r="M16" s="105">
        <f>I16-K16-L16</f>
        <v>23933.392500000002</v>
      </c>
      <c r="N16" s="100">
        <f>+'1'!N16+'2'!N16+'4'!N16+'3'!N16+'5'!N16+'6'!N16+'7'!N16+'8'!N16+'9'!N16+'10'!N16</f>
        <v>3174.8206500000001</v>
      </c>
      <c r="O16" s="100">
        <f>+'1'!O16+'2'!O16+'4'!O16+'3'!O16+'5'!O16+'6'!O16+'7'!O16+'8'!O16+'9'!O16+'10'!O16</f>
        <v>104.06356574999998</v>
      </c>
      <c r="P16" s="104">
        <f t="shared" ref="P16:P24" si="0">M16+N16+O16</f>
        <v>27212.276715750002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530</v>
      </c>
      <c r="I17" s="1">
        <f t="shared" ref="I17:I23" si="1">(G17*D17)*F17+H17*F17</f>
        <v>27805.125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3871.7325000000001</v>
      </c>
      <c r="M17" s="117">
        <f t="shared" ref="M17:M23" si="2">I17-K17-L17</f>
        <v>23933.392500000002</v>
      </c>
      <c r="N17" s="100">
        <f>+'1'!N17+'2'!N17+'4'!N17+'3'!N17+'5'!N17+'6'!N17+'7'!N17+'8'!N17+'9'!N17+'10'!N17</f>
        <v>3174.8206500000001</v>
      </c>
      <c r="O17" s="100">
        <f>+'1'!O17+'2'!O17+'4'!O17+'3'!O17+'5'!O17+'6'!O17+'7'!O17+'8'!O17+'9'!O17+'10'!O17</f>
        <v>104.06356574999998</v>
      </c>
      <c r="P17" s="119">
        <f t="shared" si="0"/>
        <v>27212.276715750002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530</v>
      </c>
      <c r="I19" s="1">
        <f t="shared" si="1"/>
        <v>38499.199999999997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5360.8319999999985</v>
      </c>
      <c r="M19" s="117">
        <f t="shared" si="2"/>
        <v>33138.368000000002</v>
      </c>
      <c r="N19" s="100">
        <f>+'1'!N19+'2'!N19+'4'!N19+'3'!N19+'5'!N19+'6'!N19+'7'!N19+'8'!N19+'9'!N19+'10'!N19</f>
        <v>4395.8822399999999</v>
      </c>
      <c r="O19" s="100">
        <f>+'1'!O19+'2'!O19+'4'!O19+'3'!O19+'5'!O19+'6'!O19+'7'!O19+'8'!O19+'9'!O19+'10'!O19</f>
        <v>144.0872512</v>
      </c>
      <c r="P19" s="119">
        <f t="shared" si="0"/>
        <v>37678.3374912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530</v>
      </c>
      <c r="I20" s="1">
        <f t="shared" si="1"/>
        <v>38499.199999999997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5360.8319999999985</v>
      </c>
      <c r="M20" s="117">
        <f t="shared" si="2"/>
        <v>33138.368000000002</v>
      </c>
      <c r="N20" s="100">
        <f>+'1'!N20+'2'!N20+'4'!N20+'3'!N20+'5'!N20+'6'!N20+'7'!N20+'8'!N20+'9'!N20+'10'!N20</f>
        <v>4395.8822399999999</v>
      </c>
      <c r="O20" s="100">
        <f>+'1'!O20+'2'!O20+'4'!O20+'3'!O20+'5'!O20+'6'!O20+'7'!O20+'8'!O20+'9'!O20+'10'!O20</f>
        <v>144.0872512</v>
      </c>
      <c r="P20" s="119">
        <f t="shared" si="0"/>
        <v>37678.3374912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530</v>
      </c>
      <c r="I21" s="1">
        <f t="shared" si="1"/>
        <v>38499.199999999997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5360.8319999999985</v>
      </c>
      <c r="M21" s="117">
        <f t="shared" si="2"/>
        <v>33138.368000000002</v>
      </c>
      <c r="N21" s="100">
        <f>+'1'!N21+'2'!N21+'4'!N21+'3'!N21+'5'!N21+'6'!N21+'7'!N21+'8'!N21+'9'!N21+'10'!N21</f>
        <v>4395.8822399999999</v>
      </c>
      <c r="O21" s="100">
        <f>+'1'!O21+'2'!O21+'4'!O21+'3'!O21+'5'!O21+'6'!O21+'7'!O21+'8'!O21+'9'!O21+'10'!O21</f>
        <v>144.0872512</v>
      </c>
      <c r="P21" s="119">
        <f t="shared" si="0"/>
        <v>37678.3374912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04" t="s">
        <v>84</v>
      </c>
      <c r="B25" s="305"/>
      <c r="C25" s="306">
        <f>H25/40</f>
        <v>66.25</v>
      </c>
      <c r="D25" s="300"/>
      <c r="E25" s="300"/>
      <c r="F25" s="300"/>
      <c r="G25" s="175">
        <f t="shared" ref="G25:M25" si="3">SUM(G16:G24)</f>
        <v>0</v>
      </c>
      <c r="H25" s="176">
        <f t="shared" si="3"/>
        <v>2650</v>
      </c>
      <c r="I25" s="177">
        <f t="shared" si="3"/>
        <v>171107.84999999998</v>
      </c>
      <c r="J25" s="176">
        <f t="shared" si="3"/>
        <v>0</v>
      </c>
      <c r="K25" s="177">
        <f t="shared" si="3"/>
        <v>0</v>
      </c>
      <c r="L25" s="178">
        <f t="shared" si="3"/>
        <v>23825.960999999996</v>
      </c>
      <c r="M25" s="140">
        <f t="shared" si="3"/>
        <v>147281.88900000002</v>
      </c>
      <c r="N25" s="141">
        <f>SUM(N16:N24)</f>
        <v>19537.28802</v>
      </c>
      <c r="O25" s="142">
        <f>SUM(O16:O24)</f>
        <v>640.38888509999992</v>
      </c>
      <c r="P25" s="143">
        <f>SUM(P16:P24)</f>
        <v>167459.5659051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166391.77543830004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07" t="s">
        <v>85</v>
      </c>
      <c r="C44" s="308"/>
      <c r="D44" s="308"/>
      <c r="E44" s="308"/>
      <c r="F44" s="308"/>
      <c r="G44" s="308"/>
      <c r="H44" s="308"/>
      <c r="I44" s="308"/>
      <c r="J44" s="308"/>
      <c r="K44" s="308"/>
      <c r="L44" s="309"/>
      <c r="N44" s="316" t="s">
        <v>86</v>
      </c>
      <c r="O44" s="317"/>
      <c r="P44" s="151">
        <f>I25</f>
        <v>171107.84999999998</v>
      </c>
    </row>
    <row r="45" spans="1:21" ht="15" customHeight="1" x14ac:dyDescent="0.35">
      <c r="B45" s="310"/>
      <c r="C45" s="311"/>
      <c r="D45" s="311"/>
      <c r="E45" s="311"/>
      <c r="F45" s="311"/>
      <c r="G45" s="311"/>
      <c r="H45" s="311"/>
      <c r="I45" s="311"/>
      <c r="J45" s="311"/>
      <c r="K45" s="311"/>
      <c r="L45" s="312"/>
      <c r="N45" s="318" t="s">
        <v>87</v>
      </c>
      <c r="O45" s="319"/>
      <c r="P45" s="152">
        <f>L25</f>
        <v>23825.960999999996</v>
      </c>
    </row>
    <row r="46" spans="1:21" ht="15" customHeight="1" x14ac:dyDescent="0.35">
      <c r="B46" s="310"/>
      <c r="C46" s="311"/>
      <c r="D46" s="311"/>
      <c r="E46" s="311"/>
      <c r="F46" s="311"/>
      <c r="G46" s="311"/>
      <c r="H46" s="311"/>
      <c r="I46" s="311"/>
      <c r="J46" s="311"/>
      <c r="K46" s="311"/>
      <c r="L46" s="312"/>
      <c r="N46" s="318" t="s">
        <v>4</v>
      </c>
      <c r="O46" s="319"/>
      <c r="P46" s="153">
        <f>K25</f>
        <v>0</v>
      </c>
    </row>
    <row r="47" spans="1:21" ht="15" customHeight="1" x14ac:dyDescent="0.35">
      <c r="B47" s="310"/>
      <c r="C47" s="311"/>
      <c r="D47" s="311"/>
      <c r="E47" s="311"/>
      <c r="F47" s="311"/>
      <c r="G47" s="311"/>
      <c r="H47" s="311"/>
      <c r="I47" s="311"/>
      <c r="J47" s="311"/>
      <c r="K47" s="311"/>
      <c r="L47" s="312"/>
      <c r="M47" s="2"/>
      <c r="N47" s="318" t="s">
        <v>88</v>
      </c>
      <c r="O47" s="319"/>
      <c r="P47" s="152">
        <f>P44-P45-P46</f>
        <v>147281.88899999997</v>
      </c>
    </row>
    <row r="48" spans="1:21" ht="15" customHeight="1" x14ac:dyDescent="0.35">
      <c r="B48" s="310"/>
      <c r="C48" s="311"/>
      <c r="D48" s="311"/>
      <c r="E48" s="311"/>
      <c r="F48" s="311"/>
      <c r="G48" s="311"/>
      <c r="H48" s="311"/>
      <c r="I48" s="311"/>
      <c r="J48" s="311"/>
      <c r="K48" s="311"/>
      <c r="L48" s="312"/>
      <c r="M48" s="2"/>
      <c r="N48" s="154" t="s">
        <v>89</v>
      </c>
      <c r="O48" s="155">
        <f>IF(B12="Registered",18%,22%)</f>
        <v>0.22</v>
      </c>
      <c r="P48" s="152">
        <f>N25</f>
        <v>19537.28802</v>
      </c>
    </row>
    <row r="49" spans="2:16" ht="15" customHeight="1" x14ac:dyDescent="0.35">
      <c r="B49" s="310"/>
      <c r="C49" s="311"/>
      <c r="D49" s="311"/>
      <c r="E49" s="311"/>
      <c r="F49" s="311"/>
      <c r="G49" s="311"/>
      <c r="H49" s="311"/>
      <c r="I49" s="311"/>
      <c r="J49" s="311"/>
      <c r="K49" s="311"/>
      <c r="L49" s="312"/>
      <c r="M49" s="2"/>
      <c r="N49" s="320" t="s">
        <v>90</v>
      </c>
      <c r="O49" s="321"/>
      <c r="P49" s="152">
        <f>P47+P48</f>
        <v>166819.17701999997</v>
      </c>
    </row>
    <row r="50" spans="2:16" ht="15" customHeight="1" thickBot="1" x14ac:dyDescent="0.4">
      <c r="B50" s="313"/>
      <c r="C50" s="314"/>
      <c r="D50" s="314"/>
      <c r="E50" s="314"/>
      <c r="F50" s="314"/>
      <c r="G50" s="314"/>
      <c r="H50" s="314"/>
      <c r="I50" s="314"/>
      <c r="J50" s="314"/>
      <c r="K50" s="314"/>
      <c r="L50" s="315"/>
      <c r="M50" s="156"/>
      <c r="N50" s="157" t="s">
        <v>91</v>
      </c>
      <c r="O50" s="158">
        <f>IF(B11="Filer",0.5%,2.5%)</f>
        <v>2.5000000000000001E-2</v>
      </c>
      <c r="P50" s="152">
        <f>O50*P49</f>
        <v>4170.4794254999997</v>
      </c>
    </row>
    <row r="51" spans="2:16" ht="15.75" customHeight="1" thickBot="1" x14ac:dyDescent="0.4">
      <c r="N51" s="298" t="s">
        <v>92</v>
      </c>
      <c r="O51" s="299"/>
      <c r="P51" s="159">
        <f>P49+P50</f>
        <v>170989.65644549998</v>
      </c>
    </row>
    <row r="52" spans="2:16" ht="15" thickBot="1" x14ac:dyDescent="0.4">
      <c r="B52" s="160" t="s">
        <v>93</v>
      </c>
      <c r="C52" s="300"/>
      <c r="D52" s="300"/>
      <c r="E52" s="300"/>
      <c r="F52" s="300"/>
      <c r="G52" s="300"/>
      <c r="H52" s="300"/>
      <c r="I52" s="301"/>
      <c r="J52" s="302"/>
      <c r="K52" s="303"/>
    </row>
    <row r="53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7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130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131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10</v>
      </c>
      <c r="I16" s="101">
        <f>(G16*D16)*F16+H16*F16</f>
        <v>524.625</v>
      </c>
      <c r="J16" s="102"/>
      <c r="K16" s="103">
        <f>I16*$K$13</f>
        <v>0</v>
      </c>
      <c r="L16" s="104">
        <f>I16*18%</f>
        <v>94.43249999999999</v>
      </c>
      <c r="M16" s="105">
        <f>I16-K16-L16</f>
        <v>430.1925</v>
      </c>
      <c r="N16" s="105">
        <f t="shared" ref="N16:N24" si="0">(M16*$N$15)+(J16*F16)*$N$15</f>
        <v>77.434649999999991</v>
      </c>
      <c r="O16" s="106">
        <f t="shared" ref="O16:O24" si="1">(N16+M16)*$O$15</f>
        <v>2.5381357499999999</v>
      </c>
      <c r="P16" s="104">
        <f t="shared" ref="P16:P24" si="2">M16+N16+O16</f>
        <v>510.16528574999995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10</v>
      </c>
      <c r="I17" s="115">
        <f t="shared" ref="I17:I23" si="3">(G17*D17)*F17+H17*F17</f>
        <v>524.625</v>
      </c>
      <c r="J17" s="116"/>
      <c r="K17" s="1">
        <f t="shared" ref="K17:K21" si="4">I17*$K$13</f>
        <v>0</v>
      </c>
      <c r="L17" s="104">
        <f t="shared" ref="L17:L21" si="5">I17*18%</f>
        <v>94.43249999999999</v>
      </c>
      <c r="M17" s="117">
        <f t="shared" ref="M17:M23" si="6">I17-K17-L17</f>
        <v>430.1925</v>
      </c>
      <c r="N17" s="117">
        <f t="shared" si="0"/>
        <v>77.434649999999991</v>
      </c>
      <c r="O17" s="118">
        <f t="shared" si="1"/>
        <v>2.5381357499999999</v>
      </c>
      <c r="P17" s="119">
        <f t="shared" si="2"/>
        <v>510.16528574999995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10</v>
      </c>
      <c r="I19" s="115">
        <f t="shared" si="3"/>
        <v>726.4</v>
      </c>
      <c r="J19" s="116"/>
      <c r="K19" s="1">
        <f t="shared" si="4"/>
        <v>0</v>
      </c>
      <c r="L19" s="104">
        <f t="shared" si="5"/>
        <v>130.75199999999998</v>
      </c>
      <c r="M19" s="117">
        <f t="shared" si="6"/>
        <v>595.64800000000002</v>
      </c>
      <c r="N19" s="117">
        <f t="shared" si="0"/>
        <v>107.21664</v>
      </c>
      <c r="O19" s="118">
        <f t="shared" si="1"/>
        <v>3.5143232000000002</v>
      </c>
      <c r="P19" s="119">
        <f t="shared" si="2"/>
        <v>706.37896320000004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10</v>
      </c>
      <c r="I20" s="115">
        <f t="shared" si="3"/>
        <v>726.4</v>
      </c>
      <c r="J20" s="116"/>
      <c r="K20" s="1">
        <f t="shared" si="4"/>
        <v>0</v>
      </c>
      <c r="L20" s="104">
        <f t="shared" si="5"/>
        <v>130.75199999999998</v>
      </c>
      <c r="M20" s="117">
        <f t="shared" si="6"/>
        <v>595.64800000000002</v>
      </c>
      <c r="N20" s="117">
        <f t="shared" si="0"/>
        <v>107.21664</v>
      </c>
      <c r="O20" s="118">
        <f t="shared" si="1"/>
        <v>3.5143232000000002</v>
      </c>
      <c r="P20" s="119">
        <f t="shared" si="2"/>
        <v>706.37896320000004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10</v>
      </c>
      <c r="I21" s="115">
        <f t="shared" si="3"/>
        <v>726.4</v>
      </c>
      <c r="J21" s="116"/>
      <c r="K21" s="1">
        <f t="shared" si="4"/>
        <v>0</v>
      </c>
      <c r="L21" s="104">
        <f t="shared" si="5"/>
        <v>130.75199999999998</v>
      </c>
      <c r="M21" s="117">
        <f t="shared" si="6"/>
        <v>595.64800000000002</v>
      </c>
      <c r="N21" s="117">
        <f t="shared" si="0"/>
        <v>107.21664</v>
      </c>
      <c r="O21" s="118">
        <f t="shared" si="1"/>
        <v>3.5143232000000002</v>
      </c>
      <c r="P21" s="119">
        <f t="shared" si="2"/>
        <v>706.37896320000004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50</v>
      </c>
      <c r="I25" s="136">
        <f t="shared" si="9"/>
        <v>3228.4500000000003</v>
      </c>
      <c r="J25" s="137"/>
      <c r="K25" s="138">
        <f t="shared" si="9"/>
        <v>0</v>
      </c>
      <c r="L25" s="139">
        <f t="shared" si="9"/>
        <v>581.12099999999987</v>
      </c>
      <c r="M25" s="140">
        <f t="shared" si="9"/>
        <v>2647.3290000000002</v>
      </c>
      <c r="N25" s="141">
        <f>SUM(N16:N24)</f>
        <v>476.51921999999996</v>
      </c>
      <c r="O25" s="142">
        <f>SUM(O16:O24)</f>
        <v>15.6192411</v>
      </c>
      <c r="P25" s="143">
        <f>SUM(P16:P24)</f>
        <v>3139.4674611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3228.4500000000003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581.12099999999987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2647.3290000000006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476.51921999999996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3123.8482200000008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15.619241100000004</v>
      </c>
    </row>
    <row r="35" spans="2:16" ht="15.75" customHeight="1" thickBot="1" x14ac:dyDescent="0.4">
      <c r="N35" s="298" t="s">
        <v>92</v>
      </c>
      <c r="O35" s="299"/>
      <c r="P35" s="159">
        <f>P33+P34</f>
        <v>3139.4674611000009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25827.600000000002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4648.9679999999989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21178.632000000005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24990.785760000006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298" t="s">
        <v>92</v>
      </c>
      <c r="O35" s="299"/>
      <c r="P35" s="159">
        <f>P33+P34</f>
        <v>25115.739688800008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1003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1005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1006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1007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8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1008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119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118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1009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120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66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123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122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1011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125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124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1012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127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126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12913.800000000001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2324.4839999999995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10589.316000000003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12495.392880000003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298" t="s">
        <v>92</v>
      </c>
      <c r="O35" s="299"/>
      <c r="P35" s="159">
        <f>P33+P34</f>
        <v>12557.869844400004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48" t="s">
        <v>45</v>
      </c>
      <c r="B2" s="348"/>
      <c r="C2" s="348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49" t="s">
        <v>46</v>
      </c>
      <c r="B3" s="349"/>
      <c r="C3" s="349"/>
      <c r="D3" s="182"/>
      <c r="E3" s="182"/>
      <c r="F3" s="184"/>
      <c r="G3" s="185"/>
      <c r="H3" s="182"/>
      <c r="I3" s="182"/>
      <c r="J3" s="182"/>
      <c r="K3" s="350" t="s">
        <v>47</v>
      </c>
      <c r="L3" s="350"/>
      <c r="M3" s="350"/>
      <c r="N3" s="349">
        <v>1013</v>
      </c>
      <c r="O3" s="349"/>
      <c r="P3" s="349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49" t="s">
        <v>94</v>
      </c>
      <c r="B4" s="349"/>
      <c r="C4" s="349"/>
      <c r="D4" s="182"/>
      <c r="E4" s="182"/>
      <c r="F4" s="184"/>
      <c r="G4" s="185"/>
      <c r="H4" s="182"/>
      <c r="I4" s="182"/>
      <c r="J4" s="182"/>
      <c r="K4" s="350" t="s">
        <v>49</v>
      </c>
      <c r="L4" s="350"/>
      <c r="M4" s="350"/>
      <c r="N4" s="351">
        <f ca="1">TODAY()</f>
        <v>46226</v>
      </c>
      <c r="O4" s="351"/>
      <c r="P4" s="35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52" t="s">
        <v>129</v>
      </c>
      <c r="B5" s="352"/>
      <c r="C5" s="352"/>
      <c r="D5" s="182"/>
      <c r="E5" s="182"/>
      <c r="F5" s="184"/>
      <c r="G5" s="185"/>
      <c r="H5" s="182"/>
      <c r="I5" s="182"/>
      <c r="J5" s="182"/>
      <c r="K5" s="350" t="s">
        <v>51</v>
      </c>
      <c r="L5" s="350"/>
      <c r="M5" s="350"/>
      <c r="N5" s="351">
        <f ca="1">N4-1</f>
        <v>46225</v>
      </c>
      <c r="O5" s="349"/>
      <c r="P5" s="349"/>
      <c r="Q5" s="182"/>
      <c r="R5" s="70"/>
      <c r="S5" s="71"/>
    </row>
    <row r="6" spans="1:19 16383:16384" ht="15" customHeight="1" x14ac:dyDescent="0.35">
      <c r="A6" s="350" t="s">
        <v>128</v>
      </c>
      <c r="B6" s="350"/>
      <c r="C6" s="350"/>
      <c r="D6" s="182"/>
      <c r="E6" s="182"/>
      <c r="F6" s="184"/>
      <c r="G6" s="186"/>
      <c r="H6" s="182"/>
      <c r="I6" s="182"/>
      <c r="J6" s="182"/>
      <c r="K6" s="350" t="s">
        <v>52</v>
      </c>
      <c r="L6" s="350"/>
      <c r="M6" s="350"/>
      <c r="N6" s="353" t="s">
        <v>100</v>
      </c>
      <c r="O6" s="353"/>
      <c r="P6" s="353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50"/>
      <c r="B7" s="350"/>
      <c r="C7" s="350"/>
      <c r="D7" s="187"/>
      <c r="E7" s="187"/>
      <c r="F7" s="184"/>
      <c r="G7" s="186"/>
      <c r="H7" s="187"/>
      <c r="I7" s="187"/>
      <c r="J7" s="187"/>
      <c r="K7" s="350"/>
      <c r="L7" s="350"/>
      <c r="M7" s="350"/>
      <c r="N7" s="353"/>
      <c r="O7" s="353"/>
      <c r="P7" s="353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54"/>
      <c r="B8" s="354"/>
      <c r="C8" s="354"/>
      <c r="D8" s="182"/>
      <c r="E8" s="182"/>
      <c r="F8" s="184"/>
      <c r="G8" s="186"/>
      <c r="H8" s="182"/>
      <c r="I8" s="182"/>
      <c r="J8" s="182"/>
      <c r="K8" s="350"/>
      <c r="L8" s="350"/>
      <c r="M8" s="350"/>
      <c r="N8" s="353"/>
      <c r="O8" s="353"/>
      <c r="P8" s="353"/>
      <c r="Q8" s="182"/>
      <c r="R8" s="70"/>
      <c r="S8" s="74"/>
    </row>
    <row r="9" spans="1:19 16383:16384" x14ac:dyDescent="0.35">
      <c r="A9" s="354"/>
      <c r="B9" s="354"/>
      <c r="C9" s="354"/>
      <c r="D9" s="182"/>
      <c r="E9" s="182"/>
      <c r="F9" s="184"/>
      <c r="G9" s="186"/>
      <c r="H9" s="182"/>
      <c r="I9" s="182"/>
      <c r="J9" s="182"/>
      <c r="K9" s="350"/>
      <c r="L9" s="350"/>
      <c r="M9" s="350"/>
      <c r="N9" s="353"/>
      <c r="O9" s="353"/>
      <c r="P9" s="353"/>
      <c r="Q9" s="182"/>
      <c r="R9" s="70"/>
      <c r="S9" s="74"/>
      <c r="XFD9" t="s">
        <v>55</v>
      </c>
    </row>
    <row r="10" spans="1:19 16383:16384" x14ac:dyDescent="0.35">
      <c r="A10" s="355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50" t="s">
        <v>56</v>
      </c>
      <c r="L10" s="350"/>
      <c r="M10" s="350"/>
      <c r="N10" s="349" t="s">
        <v>57</v>
      </c>
      <c r="O10" s="349"/>
      <c r="P10" s="349"/>
      <c r="Q10" s="182"/>
      <c r="R10" s="70"/>
      <c r="S10" s="71"/>
      <c r="XFD10" t="s">
        <v>58</v>
      </c>
    </row>
    <row r="11" spans="1:19 16383:16384" x14ac:dyDescent="0.35">
      <c r="A11" s="355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50" t="s">
        <v>59</v>
      </c>
      <c r="L11" s="350"/>
      <c r="M11" s="350"/>
      <c r="N11" s="349" t="s">
        <v>55</v>
      </c>
      <c r="O11" s="349"/>
      <c r="P11" s="349"/>
      <c r="Q11" s="182"/>
      <c r="R11" s="70"/>
      <c r="S11" s="71"/>
    </row>
    <row r="12" spans="1:19 16383:16384" ht="14.65" customHeight="1" x14ac:dyDescent="0.35">
      <c r="A12" s="355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50" t="s">
        <v>61</v>
      </c>
      <c r="L12" s="350"/>
      <c r="M12" s="350"/>
      <c r="N12" s="349"/>
      <c r="O12" s="349"/>
      <c r="P12" s="349"/>
      <c r="Q12" s="182"/>
      <c r="R12" s="70"/>
      <c r="S12" s="71"/>
      <c r="XFD12" t="s">
        <v>62</v>
      </c>
    </row>
    <row r="13" spans="1:19 16383:16384" ht="15" thickBot="1" x14ac:dyDescent="0.4">
      <c r="A13" s="356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57" t="s">
        <v>64</v>
      </c>
      <c r="B14" s="358"/>
      <c r="C14" s="361" t="s">
        <v>65</v>
      </c>
      <c r="D14" s="194" t="s">
        <v>2</v>
      </c>
      <c r="E14" s="195" t="s">
        <v>66</v>
      </c>
      <c r="F14" s="196" t="s">
        <v>67</v>
      </c>
      <c r="G14" s="363" t="s">
        <v>68</v>
      </c>
      <c r="H14" s="364"/>
      <c r="I14" s="365" t="s">
        <v>69</v>
      </c>
      <c r="J14" s="363" t="s">
        <v>70</v>
      </c>
      <c r="K14" s="367"/>
      <c r="L14" s="364"/>
      <c r="M14" s="36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59"/>
      <c r="B15" s="360"/>
      <c r="C15" s="36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66"/>
      <c r="J15" s="203" t="s">
        <v>78</v>
      </c>
      <c r="K15" s="205" t="s">
        <v>79</v>
      </c>
      <c r="L15" s="277">
        <v>0.18</v>
      </c>
      <c r="M15" s="36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74" t="s">
        <v>84</v>
      </c>
      <c r="B25" s="375"/>
      <c r="C25" s="376"/>
      <c r="D25" s="370"/>
      <c r="E25" s="370"/>
      <c r="F25" s="37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78" t="s">
        <v>85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M28" s="182"/>
      <c r="N28" s="387" t="s">
        <v>86</v>
      </c>
      <c r="O28" s="388"/>
      <c r="P28" s="266">
        <f>I25</f>
        <v>12913.800000000001</v>
      </c>
      <c r="Q28" s="182"/>
    </row>
    <row r="29" spans="1:19 16384:16384" ht="15" customHeight="1" x14ac:dyDescent="0.35">
      <c r="A29" s="182"/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M29" s="182"/>
      <c r="N29" s="389" t="s">
        <v>87</v>
      </c>
      <c r="O29" s="390"/>
      <c r="P29" s="268">
        <f>L25</f>
        <v>2324.4839999999995</v>
      </c>
      <c r="Q29" s="182"/>
    </row>
    <row r="30" spans="1:19 16384:16384" ht="15" customHeight="1" x14ac:dyDescent="0.35">
      <c r="A30" s="182"/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M30" s="182"/>
      <c r="N30" s="389" t="s">
        <v>4</v>
      </c>
      <c r="O30" s="390"/>
      <c r="P30" s="269">
        <f>K25</f>
        <v>0</v>
      </c>
      <c r="Q30" s="182"/>
    </row>
    <row r="31" spans="1:19 16384:16384" ht="15" customHeight="1" x14ac:dyDescent="0.35">
      <c r="A31" s="182"/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270"/>
      <c r="N31" s="389" t="s">
        <v>88</v>
      </c>
      <c r="O31" s="390"/>
      <c r="P31" s="268">
        <f>P28-P29-P30</f>
        <v>10589.316000000003</v>
      </c>
      <c r="Q31" s="182"/>
    </row>
    <row r="32" spans="1:19 16384:16384" ht="15" customHeight="1" x14ac:dyDescent="0.35">
      <c r="A32" s="182"/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270"/>
      <c r="N33" s="391" t="s">
        <v>90</v>
      </c>
      <c r="O33" s="392"/>
      <c r="P33" s="268">
        <f>P31+P32</f>
        <v>12495.392880000003</v>
      </c>
      <c r="Q33" s="182"/>
    </row>
    <row r="34" spans="1:17" ht="15" customHeight="1" thickBot="1" x14ac:dyDescent="0.4">
      <c r="A34" s="182"/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68" t="s">
        <v>92</v>
      </c>
      <c r="O35" s="36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70"/>
      <c r="D36" s="370"/>
      <c r="E36" s="370"/>
      <c r="F36" s="370"/>
      <c r="G36" s="370"/>
      <c r="H36" s="370"/>
      <c r="I36" s="371"/>
      <c r="J36" s="372"/>
      <c r="K36" s="37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1014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179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340" t="s">
        <v>45</v>
      </c>
      <c r="B2" s="340"/>
      <c r="C2" s="340"/>
    </row>
    <row r="3" spans="1:19 16383:16384" ht="1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  <c r="S5" s="71"/>
    </row>
    <row r="6" spans="1:19 16383:16384" ht="15" customHeight="1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24"/>
      <c r="B7" s="324"/>
      <c r="C7" s="324"/>
      <c r="F7" s="70"/>
      <c r="G7" s="74"/>
      <c r="K7" s="324"/>
      <c r="L7" s="324"/>
      <c r="M7" s="324"/>
      <c r="N7" s="337"/>
      <c r="O7" s="337"/>
      <c r="P7" s="33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  <c r="S8" s="74"/>
    </row>
    <row r="9" spans="1:19 16383:16384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  <c r="S9" s="74"/>
      <c r="XFD9" t="s">
        <v>55</v>
      </c>
    </row>
    <row r="10" spans="1:19 16383:16384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  <c r="S10" s="71"/>
      <c r="XFD10" t="s">
        <v>58</v>
      </c>
    </row>
    <row r="11" spans="1:19 16383:16384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  <c r="S11" s="71"/>
    </row>
    <row r="12" spans="1:19 16383:16384" ht="14.6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  <c r="S12" s="71"/>
      <c r="XFD12" t="s">
        <v>62</v>
      </c>
    </row>
    <row r="13" spans="1:19 16383:16384" ht="15" thickBot="1" x14ac:dyDescent="0.4">
      <c r="A13" s="323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9 16384:16384" ht="1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9 16384:16384" ht="1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9 16384:16384" ht="1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9 16384:16384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customHeight="1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340" t="s">
        <v>45</v>
      </c>
      <c r="B2" s="340"/>
      <c r="C2" s="340"/>
      <c r="N2" s="69"/>
    </row>
    <row r="3" spans="1:18" ht="14.5" customHeight="1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ht="14.5" customHeight="1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ht="14.5" customHeight="1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ht="14.5" customHeight="1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R7" s="70"/>
    </row>
    <row r="8" spans="1:18" ht="14.5" customHeight="1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ht="14.5" customHeight="1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ht="14.5" customHeight="1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8" ht="20.5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ht="14.5" customHeight="1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ht="14.5" customHeight="1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ht="14.5" customHeight="1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ht="15" customHeight="1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K8:M8"/>
    <mergeCell ref="N8:P8"/>
    <mergeCell ref="K9:M9"/>
    <mergeCell ref="N9:P9"/>
    <mergeCell ref="A8:C8"/>
    <mergeCell ref="A9:C9"/>
    <mergeCell ref="A10:A11"/>
    <mergeCell ref="K10:M10"/>
    <mergeCell ref="N10:P10"/>
    <mergeCell ref="K11:M11"/>
    <mergeCell ref="N11:P11"/>
    <mergeCell ref="A12:A13"/>
    <mergeCell ref="K12:M12"/>
    <mergeCell ref="N12:P12"/>
    <mergeCell ref="N33:O33"/>
    <mergeCell ref="N28:O28"/>
    <mergeCell ref="N29:O29"/>
    <mergeCell ref="N31:O31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ht="20" customHeight="1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ht="17" customHeight="1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340" t="s">
        <v>45</v>
      </c>
      <c r="B2" s="340"/>
      <c r="C2" s="340"/>
      <c r="N2" s="69"/>
    </row>
    <row r="3" spans="1:18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  <c r="R3" s="70"/>
    </row>
    <row r="4" spans="1:18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  <c r="R4" s="70"/>
    </row>
    <row r="5" spans="1:18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  <c r="R5" s="70"/>
    </row>
    <row r="6" spans="1:18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  <c r="R6" s="70"/>
    </row>
    <row r="7" spans="1:18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  <c r="R7" s="70"/>
    </row>
    <row r="8" spans="1:18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  <c r="R8" s="70"/>
    </row>
    <row r="9" spans="1:18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  <c r="R9" s="70"/>
    </row>
    <row r="10" spans="1:18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  <c r="R10" s="70"/>
    </row>
    <row r="11" spans="1:18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  <c r="R11" s="70"/>
    </row>
    <row r="12" spans="1:18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  <c r="R12" s="70"/>
    </row>
    <row r="13" spans="1:18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  <row r="37" spans="2:16" x14ac:dyDescent="0.35">
      <c r="N37" s="69"/>
    </row>
  </sheetData>
  <mergeCells count="47"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340" t="s">
        <v>45</v>
      </c>
      <c r="B2" s="340"/>
      <c r="C2" s="340"/>
      <c r="N2" s="69"/>
    </row>
    <row r="3" spans="1:17" x14ac:dyDescent="0.35">
      <c r="A3" s="325" t="s">
        <v>46</v>
      </c>
      <c r="B3" s="325"/>
      <c r="C3" s="325"/>
      <c r="F3" s="70"/>
      <c r="G3" s="71"/>
      <c r="K3" s="324" t="s">
        <v>47</v>
      </c>
      <c r="L3" s="324"/>
      <c r="M3" s="324"/>
      <c r="N3" s="325">
        <v>100</v>
      </c>
      <c r="O3" s="325"/>
      <c r="P3" s="325"/>
    </row>
    <row r="4" spans="1:17" x14ac:dyDescent="0.35">
      <c r="A4" s="325" t="s">
        <v>94</v>
      </c>
      <c r="B4" s="325"/>
      <c r="C4" s="325"/>
      <c r="F4" s="70"/>
      <c r="G4" s="71"/>
      <c r="K4" s="324" t="s">
        <v>49</v>
      </c>
      <c r="L4" s="324"/>
      <c r="M4" s="324"/>
      <c r="N4" s="338">
        <f ca="1">TODAY()</f>
        <v>46226</v>
      </c>
      <c r="O4" s="338"/>
      <c r="P4" s="338"/>
    </row>
    <row r="5" spans="1:17" x14ac:dyDescent="0.35">
      <c r="A5" s="347" t="s">
        <v>101</v>
      </c>
      <c r="B5" s="347"/>
      <c r="C5" s="347"/>
      <c r="F5" s="70"/>
      <c r="G5" s="71"/>
      <c r="K5" s="324" t="s">
        <v>51</v>
      </c>
      <c r="L5" s="324"/>
      <c r="M5" s="324"/>
      <c r="N5" s="338">
        <f ca="1">N4-1</f>
        <v>46225</v>
      </c>
      <c r="O5" s="325"/>
      <c r="P5" s="325"/>
    </row>
    <row r="6" spans="1:17" x14ac:dyDescent="0.35">
      <c r="A6" s="324" t="s">
        <v>105</v>
      </c>
      <c r="B6" s="324"/>
      <c r="C6" s="324"/>
      <c r="F6" s="70"/>
      <c r="G6" s="74"/>
      <c r="K6" s="324" t="s">
        <v>52</v>
      </c>
      <c r="L6" s="324"/>
      <c r="M6" s="324"/>
      <c r="N6" s="337" t="s">
        <v>100</v>
      </c>
      <c r="O6" s="337"/>
      <c r="P6" s="337"/>
    </row>
    <row r="7" spans="1:17" x14ac:dyDescent="0.35">
      <c r="A7" s="324"/>
      <c r="B7" s="324"/>
      <c r="C7" s="324"/>
      <c r="D7" s="73"/>
      <c r="E7" s="73"/>
      <c r="F7" s="70"/>
      <c r="G7" s="74"/>
      <c r="H7" s="73"/>
      <c r="I7" s="73"/>
      <c r="J7" s="73"/>
      <c r="K7" s="324"/>
      <c r="L7" s="324"/>
      <c r="M7" s="324"/>
      <c r="N7" s="337"/>
      <c r="O7" s="337"/>
      <c r="P7" s="337"/>
      <c r="Q7" s="73"/>
    </row>
    <row r="8" spans="1:17" x14ac:dyDescent="0.35">
      <c r="A8" s="336"/>
      <c r="B8" s="336"/>
      <c r="C8" s="336"/>
      <c r="F8" s="70"/>
      <c r="G8" s="74"/>
      <c r="K8" s="324"/>
      <c r="L8" s="324"/>
      <c r="M8" s="324"/>
      <c r="N8" s="337"/>
      <c r="O8" s="337"/>
      <c r="P8" s="337"/>
    </row>
    <row r="9" spans="1:17" x14ac:dyDescent="0.35">
      <c r="A9" s="336"/>
      <c r="B9" s="336"/>
      <c r="C9" s="336"/>
      <c r="F9" s="70"/>
      <c r="G9" s="74"/>
      <c r="K9" s="324"/>
      <c r="L9" s="324"/>
      <c r="M9" s="324"/>
      <c r="N9" s="337"/>
      <c r="O9" s="337"/>
      <c r="P9" s="337"/>
    </row>
    <row r="10" spans="1:17" x14ac:dyDescent="0.35">
      <c r="A10" s="322" t="s">
        <v>95</v>
      </c>
      <c r="B10" s="75" t="s">
        <v>102</v>
      </c>
      <c r="C10" s="75"/>
      <c r="F10" s="70"/>
      <c r="G10" s="71"/>
      <c r="K10" s="324" t="s">
        <v>56</v>
      </c>
      <c r="L10" s="324"/>
      <c r="M10" s="324"/>
      <c r="N10" s="325" t="s">
        <v>57</v>
      </c>
      <c r="O10" s="325"/>
      <c r="P10" s="325"/>
    </row>
    <row r="11" spans="1:17" x14ac:dyDescent="0.35">
      <c r="A11" s="322"/>
      <c r="B11" s="76" t="s">
        <v>48</v>
      </c>
      <c r="C11" s="77" t="str">
        <f>IF($O34&gt;2.49%,"No","Yes")</f>
        <v>Yes</v>
      </c>
      <c r="F11" s="70"/>
      <c r="G11" s="71"/>
      <c r="K11" s="324" t="s">
        <v>59</v>
      </c>
      <c r="L11" s="324"/>
      <c r="M11" s="324"/>
      <c r="N11" s="325" t="s">
        <v>55</v>
      </c>
      <c r="O11" s="325"/>
      <c r="P11" s="325"/>
    </row>
    <row r="12" spans="1:17" x14ac:dyDescent="0.35">
      <c r="A12" s="322" t="s">
        <v>60</v>
      </c>
      <c r="B12" s="76" t="s">
        <v>53</v>
      </c>
      <c r="C12" s="77" t="str">
        <f>IF($O32&gt;21.99%,"No","Yes")</f>
        <v>Yes</v>
      </c>
      <c r="F12" s="70"/>
      <c r="G12" s="71"/>
      <c r="K12" s="324" t="s">
        <v>61</v>
      </c>
      <c r="L12" s="324"/>
      <c r="M12" s="324"/>
      <c r="N12" s="325"/>
      <c r="O12" s="325"/>
      <c r="P12" s="325"/>
    </row>
    <row r="13" spans="1:17" ht="15" thickBot="1" x14ac:dyDescent="0.4">
      <c r="A13" s="323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26" t="s">
        <v>64</v>
      </c>
      <c r="B14" s="327"/>
      <c r="C14" s="330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28"/>
      <c r="B15" s="329"/>
      <c r="C15" s="331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04" t="s">
        <v>84</v>
      </c>
      <c r="B25" s="305"/>
      <c r="C25" s="306"/>
      <c r="D25" s="300"/>
      <c r="E25" s="300"/>
      <c r="F25" s="34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07" t="s">
        <v>85</v>
      </c>
      <c r="C28" s="308"/>
      <c r="D28" s="308"/>
      <c r="E28" s="308"/>
      <c r="F28" s="308"/>
      <c r="G28" s="308"/>
      <c r="H28" s="308"/>
      <c r="I28" s="308"/>
      <c r="J28" s="308"/>
      <c r="K28" s="308"/>
      <c r="L28" s="309"/>
      <c r="N28" s="316" t="s">
        <v>86</v>
      </c>
      <c r="O28" s="317"/>
      <c r="P28" s="151">
        <f>I25</f>
        <v>0</v>
      </c>
    </row>
    <row r="29" spans="1:17" x14ac:dyDescent="0.35">
      <c r="B29" s="310"/>
      <c r="C29" s="311"/>
      <c r="D29" s="311"/>
      <c r="E29" s="311"/>
      <c r="F29" s="311"/>
      <c r="G29" s="311"/>
      <c r="H29" s="311"/>
      <c r="I29" s="311"/>
      <c r="J29" s="311"/>
      <c r="K29" s="311"/>
      <c r="L29" s="312"/>
      <c r="N29" s="318" t="s">
        <v>87</v>
      </c>
      <c r="O29" s="319"/>
      <c r="P29" s="152">
        <f>L25</f>
        <v>0</v>
      </c>
    </row>
    <row r="30" spans="1:17" x14ac:dyDescent="0.35">
      <c r="B30" s="310"/>
      <c r="C30" s="311"/>
      <c r="D30" s="311"/>
      <c r="E30" s="311"/>
      <c r="F30" s="311"/>
      <c r="G30" s="311"/>
      <c r="H30" s="311"/>
      <c r="I30" s="311"/>
      <c r="J30" s="311"/>
      <c r="K30" s="311"/>
      <c r="L30" s="312"/>
      <c r="N30" s="318" t="s">
        <v>4</v>
      </c>
      <c r="O30" s="319"/>
      <c r="P30" s="153">
        <f>K25</f>
        <v>0</v>
      </c>
    </row>
    <row r="31" spans="1:17" x14ac:dyDescent="0.35">
      <c r="B31" s="310"/>
      <c r="C31" s="311"/>
      <c r="D31" s="311"/>
      <c r="E31" s="311"/>
      <c r="F31" s="311"/>
      <c r="G31" s="311"/>
      <c r="H31" s="311"/>
      <c r="I31" s="311"/>
      <c r="J31" s="311"/>
      <c r="K31" s="311"/>
      <c r="L31" s="312"/>
      <c r="M31" s="2"/>
      <c r="N31" s="318" t="s">
        <v>88</v>
      </c>
      <c r="O31" s="319"/>
      <c r="P31" s="152">
        <f>P28-P29-P30</f>
        <v>0</v>
      </c>
    </row>
    <row r="32" spans="1:17" x14ac:dyDescent="0.35">
      <c r="B32" s="310"/>
      <c r="C32" s="311"/>
      <c r="D32" s="311"/>
      <c r="E32" s="311"/>
      <c r="F32" s="311"/>
      <c r="G32" s="311"/>
      <c r="H32" s="311"/>
      <c r="I32" s="311"/>
      <c r="J32" s="311"/>
      <c r="K32" s="311"/>
      <c r="L32" s="31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10"/>
      <c r="C33" s="311"/>
      <c r="D33" s="311"/>
      <c r="E33" s="311"/>
      <c r="F33" s="311"/>
      <c r="G33" s="311"/>
      <c r="H33" s="311"/>
      <c r="I33" s="311"/>
      <c r="J33" s="311"/>
      <c r="K33" s="311"/>
      <c r="L33" s="312"/>
      <c r="M33" s="2"/>
      <c r="N33" s="320" t="s">
        <v>90</v>
      </c>
      <c r="O33" s="321"/>
      <c r="P33" s="152">
        <f>P31+P32</f>
        <v>0</v>
      </c>
    </row>
    <row r="34" spans="2:16" ht="15" thickBot="1" x14ac:dyDescent="0.4">
      <c r="B34" s="313"/>
      <c r="C34" s="314"/>
      <c r="D34" s="314"/>
      <c r="E34" s="314"/>
      <c r="F34" s="314"/>
      <c r="G34" s="314"/>
      <c r="H34" s="314"/>
      <c r="I34" s="314"/>
      <c r="J34" s="314"/>
      <c r="K34" s="314"/>
      <c r="L34" s="31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298" t="s">
        <v>92</v>
      </c>
      <c r="O35" s="299"/>
      <c r="P35" s="159">
        <f>P33+P34</f>
        <v>0</v>
      </c>
    </row>
    <row r="36" spans="2:16" ht="15" thickBot="1" x14ac:dyDescent="0.4">
      <c r="B36" s="160" t="s">
        <v>93</v>
      </c>
      <c r="C36" s="300"/>
      <c r="D36" s="300"/>
      <c r="E36" s="300"/>
      <c r="F36" s="300"/>
      <c r="G36" s="300"/>
      <c r="H36" s="300"/>
      <c r="I36" s="301"/>
      <c r="J36" s="302"/>
      <c r="K36" s="303"/>
      <c r="N36" s="69"/>
    </row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2026-07-23T07:24:51Z</dcterms:modified>
</cp:coreProperties>
</file>