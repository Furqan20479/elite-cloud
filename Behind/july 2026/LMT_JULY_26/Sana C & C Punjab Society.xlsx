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43B873C-D325-4A67-B681-B2375F9B8E7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<sst xmlns="http://schemas.openxmlformats.org/spreadsheetml/2006/main" count="1579" uniqueCount="107">
  <si>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</si>
  <si>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</si>
  <si>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</si>
  <si>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</si>
  <si>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</si>
  <si>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</si>
  <si>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</si>
  <si>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</si>
  <si>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</si>
  <si>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</si>
  <si>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</si>
  <si>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</si>
  <si>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</si>
  <si>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</si>
  <si>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</si>
  <si>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</si>
  <si>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</si>
  <si>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</si>
  <si>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</si>
  <si>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</si>
  <si>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</si>
  <si>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</si>
  <si>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</si>
  <si>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</si>
  <si>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</si>
  <si>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</si>
  <si>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</si>
  <si>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</si>
  <si>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</si>
  <si>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</si>
  <si>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</si>
  <si>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</si>
  <si>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</si>
  <si>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</si>
  <si>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</si>
  <si>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</si>
  <si>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</si>
  <si>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</si>
  <si>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</si>
  <si>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</si>
  <si>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</si>
  <si>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</si>
  <si>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</si>
  <si>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</si>
  <si>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</si>
  <si>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</si>
  <si>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</si>
  <si>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</si>
  <si>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</si>
  <si>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</si>
  <si>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</si>
  <si>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</si>
  <si>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</si>
  <si>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</si>
  <si>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</si>
  <si>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</si>
  <si>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</si>
  <si>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</si>
  <si>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</si>
  <si>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</si>
  <si>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</si>
  <si>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</si>
  <si>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</si>
  <si>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</si>
  <si>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</si>
  <si>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</si>
  <si>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</si>
  <si>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</si>
  <si>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</si>
  <si>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</si>
  <si>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</si>
  <si>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</si>
  <si>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</si>
  <si>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</si>
  <si>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</si>
  <si>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</si>
  <si>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</si>
  <si>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</si>
  <si>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</si>
  <si>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</si>
  <si>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</si>
  <si>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</si>
  <si>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</si>
  <si>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</si>
  <si>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</si>
  <si>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</si>
  <si>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</si>
  <si>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</si>
  <si>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</si>
  <si>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</si>
  <si>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</si>
  <si>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</si>
  <si>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</si>
  <si>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</si>
  <si>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</si>
  <si>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</si>
  <si>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</si>
  <si>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</si>
  <si>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</si>
  <si>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</si>
  <si>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</si>
  <si>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</si>
  <si>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Address: Punjab Society</t>
  </si>
  <si>
    <t>040250-2</t>
  </si>
  <si>
    <t xml:space="preserve">Customer Name : Sana Cash &amp; Carry </t>
  </si>
  <si>
    <t>Sana Cash &amp; Carry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</si>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</sst>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2" sqref="E1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/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Sana Cash &amp; Carry </v>
      </c>
      <c r="U14" s="163">
        <f>+'1'!P35</f>
        <v>31205.1395304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Sana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 xml:space="preserve">Customer Name : Sana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 xml:space="preserve">Customer Name : Sana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Sana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 xml:space="preserve">Customer Name : Sana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 xml:space="preserve">Customer Name : Sana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 xml:space="preserve">Customer Name : Sana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109.84400000000002</v>
      </c>
      <c r="L22" s="174">
        <f>+'1'!L22+'2'!L22+'4'!L22+'3'!L22+'5'!L22+'6'!L22+'7'!L22+'8'!L22+'9'!L22+'10'!L22</f>
        <v>156.92000000000004</v>
      </c>
      <c r="M22" s="117">
        <f t="shared" si="2"/>
        <v>2871.6360000000004</v>
      </c>
      <c r="N22" s="100">
        <f>+'1'!N22+'2'!N22+'4'!N22+'3'!N22+'5'!N22+'6'!N22+'7'!N22+'8'!N22+'9'!N22+'10'!N22</f>
        <v>516.89448000000004</v>
      </c>
      <c r="O22" s="100">
        <f>+'1'!O22+'2'!O22+'4'!O22+'3'!O22+'5'!O22+'6'!O22+'7'!O22+'8'!O22+'9'!O22+'10'!O22</f>
        <v>16.942652400000004</v>
      </c>
      <c r="P22" s="119">
        <f t="shared" si="0"/>
        <v>3405.4731324000004</v>
      </c>
      <c r="T22" s="162" t="str">
        <f>+'9'!A5</f>
        <v xml:space="preserve">Customer Name : Sana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Sana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Sana Cash &amp; Carry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12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480</v>
      </c>
      <c r="I25" s="177">
        <f t="shared" si="3"/>
        <v>28966.000000000004</v>
      </c>
      <c r="J25" s="176">
        <f t="shared" si="3"/>
        <v>20</v>
      </c>
      <c r="K25" s="177">
        <f t="shared" si="3"/>
        <v>109.84400000000002</v>
      </c>
      <c r="L25" s="178">
        <f t="shared" si="3"/>
        <v>2739.68</v>
      </c>
      <c r="M25" s="140">
        <f t="shared" si="3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  <c r="T25" s="162" t="str">
        <f>+'12'!A5</f>
        <v xml:space="preserve">Customer Name : Sana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Sana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Sana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Sana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Sana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Sana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Sana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31205.1395304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28966.000000000004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2739.68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109.84400000000002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26116.476000000002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4933.4140799999996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31049.890080000001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776.24725200000012</v>
      </c>
    </row>
    <row r="42" spans="1:21" ht="15.75" customHeight="1" thickBot="1" x14ac:dyDescent="0.4">
      <c r="N42" s="220" t="s">
        <v>92</v>
      </c>
      <c r="O42" s="221"/>
      <c r="P42" s="159">
        <f>P40+P41</f>
        <v>31826.137332000002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I26" sqref="I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 t="s">
        <v>106</v>
      </c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3"/>
        <v>3138.4000000000005</v>
      </c>
      <c r="J22" s="116"/>
      <c r="K22" s="1">
        <f>I22*3.5%</f>
        <v>109.84400000000002</v>
      </c>
      <c r="L22" s="119">
        <f>I22*5%</f>
        <v>156.92000000000004</v>
      </c>
      <c r="M22" s="117">
        <f t="shared" si="6"/>
        <v>2871.6360000000004</v>
      </c>
      <c r="N22" s="117">
        <f t="shared" si="0"/>
        <v>516.89448000000004</v>
      </c>
      <c r="O22" s="118">
        <f t="shared" si="1"/>
        <v>16.942652400000004</v>
      </c>
      <c r="P22" s="119">
        <f t="shared" si="2"/>
        <v>3405.4731324000004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480</v>
      </c>
      <c r="I25" s="136">
        <f t="shared" si="9"/>
        <v>28966.000000000004</v>
      </c>
      <c r="J25" s="182">
        <f>SUM(J16:J21)</f>
        <v>20</v>
      </c>
      <c r="K25" s="138">
        <f t="shared" si="9"/>
        <v>109.84400000000002</v>
      </c>
      <c r="L25" s="139">
        <f t="shared" si="9"/>
        <v>2739.68</v>
      </c>
      <c r="M25" s="140">
        <f t="shared" si="9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28966.000000000004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2739.68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109.84400000000002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26116.476000000002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4933.4140799999996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31049.890080000001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155.2494504</v>
      </c>
    </row>
    <row r="35" spans="2:16" ht="15.75" customHeight="1" thickBot="1" x14ac:dyDescent="0.4">
      <c r="N35" s="220" t="s">
        <v>92</v>
      </c>
      <c r="O35" s="221"/>
      <c r="P35" s="159">
        <f>P33+P34</f>
        <v>31205.1395304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46266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46265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2026-09-01T11:46:23Z</dcterms:modified>
</cp:coreProperties>
</file>