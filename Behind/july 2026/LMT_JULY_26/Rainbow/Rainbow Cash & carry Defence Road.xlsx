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670C0BA-4992-47AF-8E7B-B029D600D79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35" l="1"/>
  <c r="K18" i="35"/>
  <c r="K19" i="35"/>
  <c r="K20" i="35"/>
  <c r="K21" i="35"/>
  <c r="K17" i="34"/>
  <c r="K18" i="34"/>
  <c r="K19" i="34"/>
  <c r="K20" i="34"/>
  <c r="K21" i="34"/>
  <c r="K17" i="33"/>
  <c r="K18" i="33"/>
  <c r="K19" i="33"/>
  <c r="K20" i="33"/>
  <c r="K21" i="33"/>
  <c r="K17" i="32"/>
  <c r="K18" i="32"/>
  <c r="K19" i="32"/>
  <c r="K20" i="32"/>
  <c r="K21" i="32"/>
  <c r="K17" i="31"/>
  <c r="K18" i="31"/>
  <c r="K19" i="31"/>
  <c r="K20" i="31"/>
  <c r="K21" i="31"/>
  <c r="K17" i="30"/>
  <c r="K18" i="30"/>
  <c r="K19" i="30"/>
  <c r="K20" i="30"/>
  <c r="K21" i="30"/>
  <c r="K17" i="29"/>
  <c r="K18" i="29"/>
  <c r="K19" i="29"/>
  <c r="K20" i="29"/>
  <c r="K21" i="29"/>
  <c r="K17" i="28"/>
  <c r="K18" i="28"/>
  <c r="K19" i="28"/>
  <c r="K20" i="28"/>
  <c r="K21" i="28"/>
  <c r="K17" i="27"/>
  <c r="K18" i="27"/>
  <c r="K19" i="27"/>
  <c r="K20" i="27"/>
  <c r="K21" i="27"/>
  <c r="K17" i="26"/>
  <c r="K18" i="26"/>
  <c r="K19" i="26"/>
  <c r="K20" i="26"/>
  <c r="K21" i="26"/>
  <c r="K17" i="25"/>
  <c r="K18" i="25"/>
  <c r="K19" i="25"/>
  <c r="K20" i="25"/>
  <c r="K21" i="25"/>
  <c r="K17" i="24"/>
  <c r="K18" i="24"/>
  <c r="K19" i="24"/>
  <c r="K20" i="24"/>
  <c r="K21" i="24"/>
  <c r="K17" i="23"/>
  <c r="K18" i="23"/>
  <c r="K19" i="23"/>
  <c r="K20" i="23"/>
  <c r="K21" i="23"/>
  <c r="K17" i="22"/>
  <c r="K18" i="22"/>
  <c r="K19" i="22"/>
  <c r="K20" i="22"/>
  <c r="K21" i="22"/>
  <c r="K17" i="21"/>
  <c r="K18" i="21"/>
  <c r="K19" i="21"/>
  <c r="K20" i="21"/>
  <c r="K21" i="21"/>
  <c r="K17" i="20"/>
  <c r="K18" i="20"/>
  <c r="K19" i="20"/>
  <c r="K20" i="20"/>
  <c r="K21" i="20"/>
  <c r="K17" i="18"/>
  <c r="K18" i="18"/>
  <c r="K19" i="18"/>
  <c r="K20" i="18"/>
  <c r="K21" i="18"/>
  <c r="K17" i="19"/>
  <c r="K18" i="19"/>
  <c r="K19" i="19"/>
  <c r="K20" i="19"/>
  <c r="K21" i="19"/>
  <c r="K17" i="17"/>
  <c r="K18" i="17"/>
  <c r="K19" i="17"/>
  <c r="K20" i="17"/>
  <c r="K21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M21" i="30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M19" i="34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L17" i="15" s="1"/>
  <c r="L19" i="16"/>
  <c r="L19" i="15" s="1"/>
  <c r="K19" i="15"/>
  <c r="L20" i="16"/>
  <c r="L20" i="15" s="1"/>
  <c r="L21" i="16"/>
  <c r="L21" i="15" s="1"/>
  <c r="K18" i="15"/>
  <c r="L18" i="16"/>
  <c r="L18" i="15" s="1"/>
  <c r="K16" i="15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<sst xmlns="http://schemas.openxmlformats.org/spreadsheetml/2006/main" count="1560" uniqueCount="107">
  <si>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</si>
  <si>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</si>
  <si>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</si>
  <si>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</si>
  <si>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</si>
  <si>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</si>
  <si>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</si>
  <si>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</si>
  <si>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</si>
  <si>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</si>
  <si>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</si>
  <si>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</si>
  <si>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</si>
  <si>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</si>
  <si>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</si>
  <si>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</si>
  <si>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</si>
  <si>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</si>
  <si>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</si>
  <si>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</si>
  <si>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</si>
  <si>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</si>
  <si>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</si>
  <si>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</si>
  <si>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</si>
  <si>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</si>
  <si>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</si>
  <si>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</si>
  <si>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</si>
  <si>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</si>
  <si>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</si>
  <si>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</si>
  <si>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</si>
  <si>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</si>
  <si>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</si>
  <si>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</si>
  <si>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</si>
  <si>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</si>
  <si>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</si>
  <si>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</si>
  <si>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</si>
  <si>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</si>
  <si>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</si>
  <si>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</si>
  <si>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</si>
  <si>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</si>
  <si>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</si>
  <si>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</si>
  <si>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</si>
  <si>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</si>
  <si>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</si>
  <si>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</si>
  <si>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</si>
  <si>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</si>
  <si>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</si>
  <si>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</si>
  <si>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</si>
  <si>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</si>
  <si>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</si>
  <si>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</si>
  <si>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</si>
  <si>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</si>
  <si>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</si>
  <si>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</si>
  <si>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</si>
  <si>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</si>
  <si>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</si>
  <si>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</si>
  <si>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</si>
  <si>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</si>
  <si>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</si>
  <si>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</si>
  <si>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</si>
  <si>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</si>
  <si>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</si>
  <si>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</si>
  <si>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</si>
  <si>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</si>
  <si>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</si>
  <si>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</si>
  <si>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</si>
  <si>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</si>
  <si>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</si>
  <si>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</si>
  <si>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</si>
  <si>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</si>
  <si>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</si>
  <si>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</si>
  <si>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</si>
  <si>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</si>
  <si>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</si>
  <si>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</si>
  <si>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</si>
  <si>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</si>
  <si>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</si>
  <si>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</si>
  <si>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</si>
  <si>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</si>
  <si>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</si>
  <si>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</si>
  <si>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</si>
  <si>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</si>
  <si>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</si>
  <si>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</si>
  <si>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</si>
  <si>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 xml:space="preserve">Customer Name : Rainbow Wapda </t>
  </si>
  <si>
    <t>Address: Wapda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</si>
</sst>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" sqref="E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" sqref="E1"/>
      <selection pane="topRight" activeCell="E1" sqref="E1"/>
      <selection pane="bottomLeft" activeCell="E1" sqref="E1"/>
      <selection pane="bottomRight" activeCell="E1" sqref="E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E1" sqref="E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Rainbow Wapda </v>
      </c>
      <c r="U14" s="163">
        <f>+'1'!P35</f>
        <v>23917.016371199999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Rainbow Wapda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Rainbow Wapda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Rainbow Wapda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Rainbow Wapda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475.93727999999993</v>
      </c>
      <c r="O19" s="100">
        <f>+'1'!O19+'2'!O19+'4'!O19+'3'!O19+'5'!O19+'6'!O19+'7'!O19+'8'!O19+'9'!O19+'10'!O19</f>
        <v>14.873766399999999</v>
      </c>
      <c r="P19" s="119">
        <f t="shared" si="0"/>
        <v>2989.6270463999999</v>
      </c>
      <c r="T19" s="162" t="str">
        <f>+'6'!A5</f>
        <v xml:space="preserve">Customer Name : Rainbow Wapda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1220.3520000000001</v>
      </c>
      <c r="M20" s="117">
        <f t="shared" si="2"/>
        <v>7496.4479999999994</v>
      </c>
      <c r="N20" s="100">
        <f>+'1'!N20+'2'!N20+'4'!N20+'3'!N20+'5'!N20+'6'!N20+'7'!N20+'8'!N20+'9'!N20+'10'!N20</f>
        <v>1427.8118399999998</v>
      </c>
      <c r="O20" s="100">
        <f>+'1'!O20+'2'!O20+'4'!O20+'3'!O20+'5'!O20+'6'!O20+'7'!O20+'8'!O20+'9'!O20+'10'!O20</f>
        <v>44.621299199999996</v>
      </c>
      <c r="P20" s="119">
        <f t="shared" si="0"/>
        <v>8968.8811391999989</v>
      </c>
      <c r="T20" s="162" t="str">
        <f>+'7'!A5</f>
        <v xml:space="preserve">Customer Name : Rainbow Wapda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160</v>
      </c>
      <c r="I21" s="1">
        <f t="shared" si="1"/>
        <v>11622.4</v>
      </c>
      <c r="J21" s="171">
        <f>+'1'!J21+'2'!J21+'4'!J21+'3'!J21+'5'!J21+'6'!J21+'7'!J21+'8'!J21+'9'!J21+'10'!J21+'11'!J21+'12'!J21+'13'!J21+'14'!J21+'15'!J21+'16'!J21+'17'!J21+'18'!J21</f>
        <v>8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1627.1360000000002</v>
      </c>
      <c r="M21" s="117">
        <f t="shared" si="2"/>
        <v>9995.2639999999992</v>
      </c>
      <c r="N21" s="100">
        <f>+'1'!N21+'2'!N21+'4'!N21+'3'!N21+'5'!N21+'6'!N21+'7'!N21+'8'!N21+'9'!N21+'10'!N21</f>
        <v>1903.7491199999997</v>
      </c>
      <c r="O21" s="100">
        <f>+'1'!O21+'2'!O21+'4'!O21+'3'!O21+'5'!O21+'6'!O21+'7'!O21+'8'!O21+'9'!O21+'10'!O21</f>
        <v>59.495065599999997</v>
      </c>
      <c r="P21" s="119">
        <f t="shared" si="0"/>
        <v>11958.5081856</v>
      </c>
      <c r="T21" s="162" t="str">
        <f>+'8'!A5</f>
        <v xml:space="preserve">Customer Name : Rainbow Wapda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Rainbow Wapda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Rainbow Wapda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Rainbow Wapda 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8</v>
      </c>
      <c r="D25" s="206"/>
      <c r="E25" s="206"/>
      <c r="F25" s="206"/>
      <c r="G25" s="175">
        <f t="shared" ref="G25:M25" si="3">SUM(G16:G24)</f>
        <v>0</v>
      </c>
      <c r="H25" s="176">
        <f t="shared" si="3"/>
        <v>320</v>
      </c>
      <c r="I25" s="177">
        <f t="shared" si="3"/>
        <v>23244.799999999999</v>
      </c>
      <c r="J25" s="176">
        <f t="shared" si="3"/>
        <v>16</v>
      </c>
      <c r="K25" s="177">
        <f t="shared" si="3"/>
        <v>0</v>
      </c>
      <c r="L25" s="178">
        <f t="shared" si="3"/>
        <v>3254.2720000000004</v>
      </c>
      <c r="M25" s="140">
        <f t="shared" si="3"/>
        <v>19990.527999999998</v>
      </c>
      <c r="N25" s="141">
        <f>SUM(N16:N24)</f>
        <v>3807.4982399999994</v>
      </c>
      <c r="O25" s="142">
        <f>SUM(O16:O24)</f>
        <v>118.99013119999999</v>
      </c>
      <c r="P25" s="143">
        <f>SUM(P16:P24)</f>
        <v>23917.016371199999</v>
      </c>
      <c r="T25" s="162" t="str">
        <f>+'12'!A5</f>
        <v xml:space="preserve">Customer Name : Rainbow Wapda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Rainbow Wapda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Rainbow Wapda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Rainbow Wapda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Rainbow Wapda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Rainbow Wapda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Rainbow Wapda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23917.016371199999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23244.799999999999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3254.2720000000004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19990.527999999998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3807.4982399999994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23798.026239999999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594.95065599999998</v>
      </c>
    </row>
    <row r="42" spans="1:21" ht="15.75" customHeight="1" thickBot="1" x14ac:dyDescent="0.4">
      <c r="N42" s="204" t="s">
        <v>92</v>
      </c>
      <c r="O42" s="205"/>
      <c r="P42" s="159">
        <f>P40+P41</f>
        <v>24392.976896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">
        <f t="shared" si="4"/>
        <v>0</v>
      </c>
      <c r="L19" s="104">
        <f t="shared" si="5"/>
        <v>406.78400000000005</v>
      </c>
      <c r="M19" s="117">
        <f t="shared" si="6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>
        <v>6</v>
      </c>
      <c r="K20" s="1">
        <f t="shared" si="4"/>
        <v>0</v>
      </c>
      <c r="L20" s="104">
        <f t="shared" si="5"/>
        <v>1220.3520000000001</v>
      </c>
      <c r="M20" s="117">
        <f t="shared" si="6"/>
        <v>7496.4479999999994</v>
      </c>
      <c r="N20" s="117">
        <f t="shared" si="0"/>
        <v>1427.8118399999998</v>
      </c>
      <c r="O20" s="118">
        <f t="shared" si="1"/>
        <v>44.621299199999996</v>
      </c>
      <c r="P20" s="119">
        <f t="shared" si="2"/>
        <v>8968.8811391999989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3"/>
        <v>11622.4</v>
      </c>
      <c r="J21" s="116">
        <v>8</v>
      </c>
      <c r="K21" s="1">
        <f t="shared" si="4"/>
        <v>0</v>
      </c>
      <c r="L21" s="104">
        <f t="shared" si="5"/>
        <v>1627.1360000000002</v>
      </c>
      <c r="M21" s="117">
        <f t="shared" si="6"/>
        <v>9995.2639999999992</v>
      </c>
      <c r="N21" s="117">
        <f t="shared" si="0"/>
        <v>1903.7491199999997</v>
      </c>
      <c r="O21" s="118">
        <f t="shared" si="1"/>
        <v>59.495065599999997</v>
      </c>
      <c r="P21" s="119">
        <f t="shared" si="2"/>
        <v>11958.5081856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320</v>
      </c>
      <c r="I25" s="136">
        <f t="shared" si="9"/>
        <v>23244.799999999999</v>
      </c>
      <c r="J25" s="182">
        <f>SUM(J16:J21)</f>
        <v>16</v>
      </c>
      <c r="K25" s="138">
        <f t="shared" si="9"/>
        <v>0</v>
      </c>
      <c r="L25" s="139">
        <f t="shared" si="9"/>
        <v>3254.2720000000004</v>
      </c>
      <c r="M25" s="140">
        <f t="shared" si="9"/>
        <v>19990.527999999998</v>
      </c>
      <c r="N25" s="141">
        <f>SUM(N16:N24)</f>
        <v>3807.4982399999994</v>
      </c>
      <c r="O25" s="142">
        <f>SUM(O16:O24)</f>
        <v>118.99013119999999</v>
      </c>
      <c r="P25" s="143">
        <f>SUM(P16:P24)</f>
        <v>23917.016371199999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23244.799999999999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3254.2720000000004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19990.527999999998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3807.4982399999994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23798.026239999999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118.99013119999999</v>
      </c>
    </row>
    <row r="35" spans="2:16" ht="15.75" customHeight="1" thickBot="1" x14ac:dyDescent="0.4">
      <c r="N35" s="204" t="s">
        <v>92</v>
      </c>
      <c r="O35" s="205"/>
      <c r="P35" s="159">
        <f>P33+P34</f>
        <v>23917.016371199999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46215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2026-07-13T11:54:44Z</dcterms:modified>
</cp:coreProperties>
</file>