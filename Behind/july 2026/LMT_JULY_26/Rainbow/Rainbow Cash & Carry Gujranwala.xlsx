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221FE3B-1B87-4323-A807-3791DEF8A05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6" i="16" l="1"/>
  <c r="H20" i="16"/>
  <c r="H17" i="16"/>
  <c r="H19" i="16"/>
  <c r="H21" i="16"/>
  <c r="K17" i="17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8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17" i="33" l="1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I23" i="28"/>
  <c r="L23" i="28" s="1"/>
  <c r="I24" i="28"/>
  <c r="I22" i="32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M17" i="35"/>
  <c r="M18" i="35"/>
  <c r="M22" i="35"/>
  <c r="L22" i="35"/>
  <c r="K23" i="35"/>
  <c r="L23" i="35"/>
  <c r="M23" i="35" s="1"/>
  <c r="K24" i="35"/>
  <c r="L24" i="35"/>
  <c r="K23" i="34"/>
  <c r="M23" i="34" s="1"/>
  <c r="L23" i="34"/>
  <c r="L22" i="33"/>
  <c r="K23" i="33"/>
  <c r="K24" i="33"/>
  <c r="M24" i="33" s="1"/>
  <c r="L24" i="33"/>
  <c r="M17" i="33"/>
  <c r="L24" i="32"/>
  <c r="K23" i="32"/>
  <c r="K24" i="31"/>
  <c r="L24" i="31"/>
  <c r="L23" i="31"/>
  <c r="L23" i="30"/>
  <c r="L22" i="30"/>
  <c r="K24" i="30"/>
  <c r="L24" i="30"/>
  <c r="K24" i="29"/>
  <c r="M24" i="29"/>
  <c r="L24" i="29"/>
  <c r="K23" i="29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25" i="28" l="1"/>
  <c r="P28" i="28" s="1"/>
  <c r="M24" i="30"/>
  <c r="M18" i="30"/>
  <c r="N18" i="30" s="1"/>
  <c r="O18" i="30" s="1"/>
  <c r="P18" i="30" s="1"/>
  <c r="M24" i="31"/>
  <c r="P24" i="31" s="1"/>
  <c r="L22" i="32"/>
  <c r="M19" i="33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M20" i="32"/>
  <c r="N20" i="32" s="1"/>
  <c r="O20" i="32" s="1"/>
  <c r="L19" i="29"/>
  <c r="L25" i="29" s="1"/>
  <c r="P29" i="29" s="1"/>
  <c r="M24" i="34"/>
  <c r="N24" i="34" s="1"/>
  <c r="M20" i="34"/>
  <c r="N20" i="34" s="1"/>
  <c r="O20" i="34" s="1"/>
  <c r="L20" i="34"/>
  <c r="L19" i="31"/>
  <c r="M17" i="28"/>
  <c r="N17" i="28" s="1"/>
  <c r="O17" i="28" s="1"/>
  <c r="I25" i="30"/>
  <c r="P28" i="30" s="1"/>
  <c r="M21" i="30"/>
  <c r="N21" i="30" s="1"/>
  <c r="O21" i="30" s="1"/>
  <c r="M21" i="31"/>
  <c r="N21" i="31" s="1"/>
  <c r="O21" i="31" s="1"/>
  <c r="I25" i="32"/>
  <c r="P28" i="32" s="1"/>
  <c r="M24" i="35"/>
  <c r="K25" i="31"/>
  <c r="P30" i="31" s="1"/>
  <c r="L18" i="31"/>
  <c r="L18" i="33"/>
  <c r="M22" i="33"/>
  <c r="N22" i="33" s="1"/>
  <c r="O22" i="33" s="1"/>
  <c r="L22" i="31"/>
  <c r="M22" i="31" s="1"/>
  <c r="N22" i="31" s="1"/>
  <c r="O22" i="31" s="1"/>
  <c r="P22" i="31" s="1"/>
  <c r="M21" i="35"/>
  <c r="M19" i="34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23" i="27"/>
  <c r="L23" i="27"/>
  <c r="K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L18" i="26"/>
  <c r="M18" i="33"/>
  <c r="N18" i="33" s="1"/>
  <c r="O18" i="33" s="1"/>
  <c r="M16" i="26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8" i="33" l="1"/>
  <c r="M25" i="33"/>
  <c r="L25" i="26"/>
  <c r="P29" i="26" s="1"/>
  <c r="M18" i="26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4" i="25"/>
  <c r="L22" i="25"/>
  <c r="K23" i="25"/>
  <c r="K23" i="24"/>
  <c r="L23" i="23"/>
  <c r="K23" i="23"/>
  <c r="L22" i="22"/>
  <c r="L24" i="20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19" i="18"/>
  <c r="L25" i="18" s="1"/>
  <c r="P29" i="18" s="1"/>
  <c r="L20" i="21"/>
  <c r="M20" i="21" s="1"/>
  <c r="N20" i="21" s="1"/>
  <c r="O20" i="21" s="1"/>
  <c r="L18" i="24"/>
  <c r="L17" i="17"/>
  <c r="M17" i="17" s="1"/>
  <c r="N17" i="17" s="1"/>
  <c r="O17" i="17" s="1"/>
  <c r="L19" i="23"/>
  <c r="L19" i="21"/>
  <c r="M19" i="21" s="1"/>
  <c r="N19" i="21" s="1"/>
  <c r="O19" i="21" s="1"/>
  <c r="L20" i="17"/>
  <c r="L18" i="21"/>
  <c r="M18" i="21" s="1"/>
  <c r="N18" i="21" s="1"/>
  <c r="O18" i="21" s="1"/>
  <c r="L17" i="20"/>
  <c r="K24" i="18"/>
  <c r="M24" i="18" s="1"/>
  <c r="L19" i="17"/>
  <c r="L18" i="20"/>
  <c r="M18" i="20" s="1"/>
  <c r="N18" i="20" s="1"/>
  <c r="O18" i="20" s="1"/>
  <c r="L20" i="24"/>
  <c r="L19" i="20"/>
  <c r="M19" i="20" s="1"/>
  <c r="N19" i="20" s="1"/>
  <c r="O19" i="20" s="1"/>
  <c r="L18" i="25"/>
  <c r="L25" i="25" s="1"/>
  <c r="P29" i="25" s="1"/>
  <c r="L16" i="17"/>
  <c r="M21" i="24"/>
  <c r="N21" i="24" s="1"/>
  <c r="O21" i="24" s="1"/>
  <c r="L18" i="17"/>
  <c r="M21" i="21"/>
  <c r="N21" i="21" s="1"/>
  <c r="L21" i="21"/>
  <c r="L21" i="23"/>
  <c r="M21" i="18"/>
  <c r="N21" i="18" s="1"/>
  <c r="O21" i="18" s="1"/>
  <c r="I25" i="25"/>
  <c r="P28" i="25" s="1"/>
  <c r="M22" i="18"/>
  <c r="L22" i="19"/>
  <c r="M22" i="19" s="1"/>
  <c r="N22" i="19" s="1"/>
  <c r="O22" i="19" s="1"/>
  <c r="P22" i="19" s="1"/>
  <c r="K23" i="19"/>
  <c r="M23" i="19" s="1"/>
  <c r="N23" i="19" s="1"/>
  <c r="O23" i="19" s="1"/>
  <c r="L23" i="22"/>
  <c r="L25" i="22" s="1"/>
  <c r="P29" i="22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19"/>
  <c r="N17" i="19" s="1"/>
  <c r="O17" i="19" s="1"/>
  <c r="M20" i="18"/>
  <c r="N20" i="18" s="1"/>
  <c r="O20" i="18" s="1"/>
  <c r="M16" i="23"/>
  <c r="N16" i="23" s="1"/>
  <c r="L24" i="24"/>
  <c r="L22" i="21"/>
  <c r="M22" i="21" s="1"/>
  <c r="N22" i="21" s="1"/>
  <c r="O22" i="21" s="1"/>
  <c r="M16" i="20"/>
  <c r="N16" i="20" s="1"/>
  <c r="M22" i="17"/>
  <c r="N22" i="17" s="1"/>
  <c r="O22" i="17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7" i="16" l="1"/>
  <c r="K17" i="16"/>
  <c r="K17" i="15" s="1"/>
  <c r="L19" i="16"/>
  <c r="K19" i="16"/>
  <c r="K19" i="15" s="1"/>
  <c r="M18" i="25"/>
  <c r="N18" i="25" s="1"/>
  <c r="O18" i="25" s="1"/>
  <c r="K25" i="24"/>
  <c r="P30" i="24" s="1"/>
  <c r="M19" i="17"/>
  <c r="N19" i="17" s="1"/>
  <c r="O19" i="17" s="1"/>
  <c r="P19" i="17" s="1"/>
  <c r="M17" i="20"/>
  <c r="N17" i="20" s="1"/>
  <c r="O17" i="20" s="1"/>
  <c r="M20" i="17"/>
  <c r="N20" i="17" s="1"/>
  <c r="O20" i="17" s="1"/>
  <c r="M19" i="23"/>
  <c r="N19" i="23" s="1"/>
  <c r="O19" i="23" s="1"/>
  <c r="M18" i="24"/>
  <c r="N18" i="24" s="1"/>
  <c r="O18" i="24" s="1"/>
  <c r="K25" i="25"/>
  <c r="P30" i="25" s="1"/>
  <c r="P31" i="25" s="1"/>
  <c r="L20" i="16"/>
  <c r="L21" i="16"/>
  <c r="L21" i="15" s="1"/>
  <c r="K18" i="15"/>
  <c r="L18" i="16"/>
  <c r="L18" i="15" s="1"/>
  <c r="L16" i="16"/>
  <c r="M16" i="16" s="1"/>
  <c r="N16" i="16" s="1"/>
  <c r="K25" i="19"/>
  <c r="P30" i="19" s="1"/>
  <c r="P31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P17" i="20"/>
  <c r="M25" i="20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O16" i="16"/>
  <c r="P25" i="20" l="1"/>
  <c r="N18" i="15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<sst xmlns="http://schemas.openxmlformats.org/spreadsheetml/2006/main" count="1599" uniqueCount="108">
  <si>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</si>
  <si>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</si>
  <si>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</si>
  <si>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</si>
  <si>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</si>
  <si>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</si>
  <si>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</si>
  <si>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</si>
  <si>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</si>
  <si>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</si>
  <si>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</si>
  <si>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</si>
  <si>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</si>
  <si>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</si>
  <si>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</si>
  <si>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</si>
  <si>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</si>
  <si>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</si>
  <si>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</si>
  <si>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</si>
  <si>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</si>
  <si>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</si>
  <si>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</si>
  <si>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</si>
  <si>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</si>
  <si>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</si>
  <si>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</si>
  <si>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</si>
  <si>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</si>
  <si>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</si>
  <si>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</si>
  <si>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</si>
  <si>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</si>
  <si>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</si>
  <si>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</si>
  <si>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</si>
  <si>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</si>
  <si>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</si>
  <si>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</si>
  <si>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</si>
  <si>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</si>
  <si>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</si>
  <si>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</si>
  <si>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</si>
  <si>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</si>
  <si>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</si>
  <si>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</si>
  <si>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</si>
  <si>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</si>
  <si>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</si>
  <si>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</si>
  <si>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</si>
  <si>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</si>
  <si>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</si>
  <si>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</si>
  <si>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</si>
  <si>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</si>
  <si>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</si>
  <si>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</si>
  <si>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</si>
  <si>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</si>
  <si>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</si>
  <si>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</si>
  <si>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</si>
  <si>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</si>
  <si>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</si>
  <si>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</si>
  <si>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</si>
  <si>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</si>
  <si>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</si>
  <si>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</si>
  <si>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</si>
  <si>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</si>
  <si>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</si>
  <si>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</si>
  <si>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</si>
  <si>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</si>
  <si>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</si>
  <si>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</si>
  <si>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</si>
  <si>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</si>
  <si>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</si>
  <si>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</si>
  <si>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</si>
  <si>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</si>
  <si>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</si>
  <si>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</si>
  <si>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</si>
  <si>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</si>
  <si>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</si>
  <si>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</si>
  <si>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</si>
  <si>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</si>
  <si>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</si>
  <si>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</si>
  <si>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</si>
  <si>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</si>
  <si>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</si>
  <si>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</si>
  <si>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</si>
  <si>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</si>
  <si>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</si>
  <si>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</si>
  <si>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</si>
  <si>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</si>
  <si>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</si>
  <si>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Gujranwala</t>
  </si>
  <si>
    <t>Address: Shadra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</si>
</sst>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-266915.16884339997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1"/>
      <c r="J15" s="169" t="s">
        <v>78</v>
      </c>
      <c r="K15" s="169" t="s">
        <v>79</v>
      </c>
      <c r="L15" s="172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+'1'!H16+'2'!H16+'4'!H16+'3'!H16+'5'!H16+'6'!H16+'7'!H16+'8'!H16+'9'!H16+'10'!H16+'11'!H16+'12'!H16+'13'!H16+'14'!H16+'15'!H16+'16'!H16+'17'!H16+'18'!H16</f>
        <v>252</v>
      </c>
      <c r="I16" s="1">
        <f>(G16*D16)*F16+H16*F16</f>
        <v>13220.55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46271.924999999996</v>
      </c>
      <c r="L16" s="173">
        <f>+'1'!L16+'2'!L16+'4'!L16+'3'!L16+'5'!L16+'6'!L16+'7'!L16+'8'!L16+'9'!L16+'10'!L16</f>
        <v>1850.8770000000002</v>
      </c>
      <c r="M16" s="105">
        <f>I16-K16-L16</f>
        <v>-34902.252</v>
      </c>
      <c r="N16" s="100">
        <f>+'1'!N16+'2'!N16+'4'!N16+'3'!N16+'5'!N16+'6'!N16+'7'!N16+'8'!N16+'9'!N16+'10'!N16</f>
        <v>-6282.4053599999997</v>
      </c>
      <c r="O16" s="100">
        <f>+'1'!O16+'2'!O16+'4'!O16+'3'!O16+'5'!O16+'6'!O16+'7'!O16+'8'!O16+'9'!O16+'10'!O16</f>
        <v>-205.9232868</v>
      </c>
      <c r="P16" s="104">
        <f t="shared" ref="P16:P24" si="0">M16+N16+O16</f>
        <v>-41390.580646800001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+'1'!H17+'2'!H17+'4'!H17+'3'!H17+'5'!H17+'6'!H17+'7'!H17+'8'!H17+'9'!H17+'10'!H17+'11'!H17+'12'!H17+'13'!H17+'14'!H17+'15'!H17+'16'!H17+'17'!H17+'18'!H17</f>
        <v>210</v>
      </c>
      <c r="I17" s="1">
        <f t="shared" ref="I17:I23" si="1">(G17*D17)*F17+H17*F17</f>
        <v>11017.125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38559.9375</v>
      </c>
      <c r="L17" s="173">
        <f>+'1'!L17+'2'!L17+'4'!L17+'3'!L17+'5'!L17+'6'!L17+'7'!L17+'8'!L17+'9'!L17+'10'!L17</f>
        <v>1542.3975</v>
      </c>
      <c r="M17" s="117">
        <f t="shared" ref="M17:M23" si="2">I17-K17-L17</f>
        <v>-29085.21</v>
      </c>
      <c r="N17" s="100">
        <f>+'1'!N17+'2'!N17+'4'!N17+'3'!N17+'5'!N17+'6'!N17+'7'!N17+'8'!N17+'9'!N17+'10'!N17</f>
        <v>-5235.3377999999993</v>
      </c>
      <c r="O17" s="100">
        <f>+'1'!O17+'2'!O17+'4'!O17+'3'!O17+'5'!O17+'6'!O17+'7'!O17+'8'!O17+'9'!O17+'10'!O17</f>
        <v>-171.60273900000001</v>
      </c>
      <c r="P17" s="119">
        <f t="shared" si="0"/>
        <v>-34492.150539000002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+'1'!H19+'2'!H19+'4'!H19+'3'!H19+'5'!H19+'6'!H19+'7'!H19+'8'!H19+'9'!H19+'10'!H19+'11'!H19+'12'!H19+'13'!H19+'14'!H19+'15'!H19+'16'!H19+'17'!H19+'18'!H19</f>
        <v>168</v>
      </c>
      <c r="I19" s="1">
        <f t="shared" si="1"/>
        <v>12203.52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42712.32</v>
      </c>
      <c r="L19" s="173">
        <f>+'1'!L19+'2'!L19+'4'!L19+'3'!L19+'5'!L19+'6'!L19+'7'!L19+'8'!L19+'9'!L19+'10'!L19</f>
        <v>1708.4928000000002</v>
      </c>
      <c r="M19" s="117">
        <f t="shared" si="2"/>
        <v>-32217.292799999999</v>
      </c>
      <c r="N19" s="100">
        <f>+'1'!N19+'2'!N19+'4'!N19+'3'!N19+'5'!N19+'6'!N19+'7'!N19+'8'!N19+'9'!N19+'10'!N19</f>
        <v>-5799.1127039999992</v>
      </c>
      <c r="O19" s="100">
        <f>+'1'!O19+'2'!O19+'4'!O19+'3'!O19+'5'!O19+'6'!O19+'7'!O19+'8'!O19+'9'!O19+'10'!O19</f>
        <v>-190.08202751999997</v>
      </c>
      <c r="P19" s="119">
        <f t="shared" si="0"/>
        <v>-38206.487531519997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+'1'!H20+'2'!H20+'4'!H20+'3'!H20+'5'!H20+'6'!H20+'7'!H20+'8'!H20+'9'!H20+'10'!H20+'11'!H20+'12'!H20+'13'!H20+'14'!H20+'15'!H20+'16'!H20+'17'!H20+'18'!H20</f>
        <v>252</v>
      </c>
      <c r="I20" s="1">
        <f t="shared" si="1"/>
        <v>18305.28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64068.479999999996</v>
      </c>
      <c r="L20" s="173">
        <f>+'1'!L20+'2'!L20+'4'!L20+'3'!L20+'5'!L20+'6'!L20+'7'!L20+'8'!L20+'9'!L20+'10'!L20</f>
        <v>2562.7392</v>
      </c>
      <c r="M20" s="117">
        <f t="shared" si="2"/>
        <v>-48325.939199999993</v>
      </c>
      <c r="N20" s="100">
        <f>+'1'!N20+'2'!N20+'4'!N20+'3'!N20+'5'!N20+'6'!N20+'7'!N20+'8'!N20+'9'!N20+'10'!N20</f>
        <v>-8698.6690559999988</v>
      </c>
      <c r="O20" s="100">
        <f>+'1'!O20+'2'!O20+'4'!O20+'3'!O20+'5'!O20+'6'!O20+'7'!O20+'8'!O20+'9'!O20+'10'!O20</f>
        <v>-285.12304128</v>
      </c>
      <c r="P20" s="119">
        <f t="shared" si="0"/>
        <v>-57309.731297279992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+'1'!H21+'2'!H21+'4'!H21+'3'!H21+'5'!H21+'6'!H21+'7'!H21+'8'!H21+'9'!H21+'10'!H21+'11'!H21+'12'!H21+'13'!H21+'14'!H21+'15'!H21+'16'!H21+'17'!H21+'18'!H21</f>
        <v>420</v>
      </c>
      <c r="I21" s="1">
        <f t="shared" si="1"/>
        <v>30508.799999999999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106780.8</v>
      </c>
      <c r="L21" s="173">
        <f>+'1'!L21+'2'!L21+'4'!L21+'3'!L21+'5'!L21+'6'!L21+'7'!L21+'8'!L21+'9'!L21+'10'!L21</f>
        <v>4271.232</v>
      </c>
      <c r="M21" s="117">
        <f t="shared" si="2"/>
        <v>-80543.232000000004</v>
      </c>
      <c r="N21" s="100">
        <f>+'1'!N21+'2'!N21+'4'!N21+'3'!N21+'5'!N21+'6'!N21+'7'!N21+'8'!N21+'9'!N21+'10'!N21</f>
        <v>-14497.78176</v>
      </c>
      <c r="O21" s="100">
        <f>+'1'!O21+'2'!O21+'4'!O21+'3'!O21+'5'!O21+'6'!O21+'7'!O21+'8'!O21+'9'!O21+'10'!O21</f>
        <v>-475.20506879999999</v>
      </c>
      <c r="P21" s="119">
        <f t="shared" si="0"/>
        <v>-95516.218828800003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32.549999999999997</v>
      </c>
      <c r="D25" s="221"/>
      <c r="E25" s="221"/>
      <c r="F25" s="221"/>
      <c r="G25" s="174">
        <f t="shared" ref="G25:M25" si="3">SUM(G16:G24)</f>
        <v>0</v>
      </c>
      <c r="H25" s="175">
        <f t="shared" si="3"/>
        <v>1302</v>
      </c>
      <c r="I25" s="176">
        <f t="shared" si="3"/>
        <v>85255.274999999994</v>
      </c>
      <c r="J25" s="175">
        <f t="shared" si="3"/>
        <v>0</v>
      </c>
      <c r="K25" s="176">
        <f t="shared" si="3"/>
        <v>298393.46249999997</v>
      </c>
      <c r="L25" s="177">
        <f t="shared" si="3"/>
        <v>11935.738499999999</v>
      </c>
      <c r="M25" s="140">
        <f t="shared" si="3"/>
        <v>-225073.92599999998</v>
      </c>
      <c r="N25" s="141">
        <f>SUM(N16:N24)</f>
        <v>-40513.306679999994</v>
      </c>
      <c r="O25" s="142">
        <f>SUM(O16:O24)</f>
        <v>-1327.9361633999999</v>
      </c>
      <c r="P25" s="143">
        <f>SUM(P16:P24)</f>
        <v>-266915.16884340002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 t="str">
        <f>+'16'!A5</f>
        <v>Customer Name : Rainbow Cash &amp; Carry</v>
      </c>
      <c r="U29" s="180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79" t="str">
        <f>+'17'!A5</f>
        <v>Customer Name : Rainbow Cash &amp; Carry</v>
      </c>
      <c r="U30" s="180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79" t="str">
        <f>+'18'!A5</f>
        <v>Customer Name : Rainbow Cash &amp; Carry</v>
      </c>
      <c r="U31" s="180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79"/>
      <c r="U32" s="180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-266915.16884339997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1">
        <f>I25</f>
        <v>85255.274999999994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2">
        <f>L25</f>
        <v>11935.738499999999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3">
        <f>K25</f>
        <v>298393.46249999997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2">
        <f>P35-P36-P37</f>
        <v>-225073.92599999998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4" t="s">
        <v>89</v>
      </c>
      <c r="O39" s="155">
        <f>IF(B12="Registered",18%,22%)</f>
        <v>0.22</v>
      </c>
      <c r="P39" s="152">
        <f>N25</f>
        <v>-40513.306679999994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2">
        <f>P38+P39</f>
        <v>-265587.23267999996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6"/>
      <c r="N41" s="157" t="s">
        <v>91</v>
      </c>
      <c r="O41" s="158">
        <f>IF(B11="Filer",0.5%,2.5%)</f>
        <v>2.5000000000000001E-2</v>
      </c>
      <c r="P41" s="152">
        <f>O41*P40</f>
        <v>-6639.6808169999995</v>
      </c>
    </row>
    <row r="42" spans="1:21" ht="15.75" customHeight="1" thickBot="1" x14ac:dyDescent="0.4">
      <c r="N42" s="219" t="s">
        <v>92</v>
      </c>
      <c r="O42" s="220"/>
      <c r="P42" s="159">
        <f>P40+P41</f>
        <v>-272226.91349699994</v>
      </c>
    </row>
    <row r="43" spans="1:21" ht="15" thickBot="1" x14ac:dyDescent="0.4">
      <c r="B43" s="160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1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f>84+168</f>
        <v>252</v>
      </c>
      <c r="I16" s="101">
        <f>(G16*D16)*F16+H16*F16</f>
        <v>13220.55</v>
      </c>
      <c r="J16" s="102"/>
      <c r="K16" s="103">
        <f>I16*3.5</f>
        <v>46271.924999999996</v>
      </c>
      <c r="L16" s="104">
        <f>I16*14%</f>
        <v>1850.8770000000002</v>
      </c>
      <c r="M16" s="105">
        <f>I16-K16-L16</f>
        <v>-34902.252</v>
      </c>
      <c r="N16" s="105">
        <f t="shared" ref="N16:N24" si="0">(M16*$N$15)+(J16*F16)*$N$15</f>
        <v>-6282.4053599999997</v>
      </c>
      <c r="O16" s="106">
        <f t="shared" ref="O16:O24" si="1">(N16+M16)*$O$15</f>
        <v>-205.9232868</v>
      </c>
      <c r="P16" s="104">
        <f t="shared" ref="P16:P24" si="2">M16+N16+O16</f>
        <v>-41390.580646800001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f>84+126</f>
        <v>210</v>
      </c>
      <c r="I17" s="115">
        <f t="shared" ref="I17:I23" si="3">(G17*D17)*F17+H17*F17</f>
        <v>11017.125</v>
      </c>
      <c r="J17" s="116"/>
      <c r="K17" s="103">
        <f t="shared" ref="K17:K22" si="4">I17*3.5</f>
        <v>38559.9375</v>
      </c>
      <c r="L17" s="104">
        <f t="shared" ref="L17:L21" si="5">I17*14%</f>
        <v>1542.3975</v>
      </c>
      <c r="M17" s="117">
        <f t="shared" ref="M17:M23" si="6">I17-K17-L17</f>
        <v>-29085.21</v>
      </c>
      <c r="N17" s="117">
        <f t="shared" si="0"/>
        <v>-5235.3377999999993</v>
      </c>
      <c r="O17" s="118">
        <f t="shared" si="1"/>
        <v>-171.60273900000001</v>
      </c>
      <c r="P17" s="119">
        <f t="shared" si="2"/>
        <v>-34492.150539000002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f>42+126</f>
        <v>168</v>
      </c>
      <c r="I19" s="115">
        <f t="shared" si="3"/>
        <v>12203.52</v>
      </c>
      <c r="J19" s="116"/>
      <c r="K19" s="103">
        <f t="shared" si="4"/>
        <v>42712.32</v>
      </c>
      <c r="L19" s="104">
        <f t="shared" si="5"/>
        <v>1708.4928000000002</v>
      </c>
      <c r="M19" s="117">
        <f t="shared" si="6"/>
        <v>-32217.292799999999</v>
      </c>
      <c r="N19" s="117">
        <f t="shared" si="0"/>
        <v>-5799.1127039999992</v>
      </c>
      <c r="O19" s="118">
        <f t="shared" si="1"/>
        <v>-190.08202751999997</v>
      </c>
      <c r="P19" s="119">
        <f t="shared" si="2"/>
        <v>-38206.487531519997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f>126+126</f>
        <v>252</v>
      </c>
      <c r="I20" s="115">
        <f t="shared" si="3"/>
        <v>18305.28</v>
      </c>
      <c r="J20" s="116"/>
      <c r="K20" s="103">
        <f t="shared" si="4"/>
        <v>64068.479999999996</v>
      </c>
      <c r="L20" s="104">
        <f t="shared" si="5"/>
        <v>2562.7392</v>
      </c>
      <c r="M20" s="117">
        <f t="shared" si="6"/>
        <v>-48325.939199999993</v>
      </c>
      <c r="N20" s="117">
        <f t="shared" si="0"/>
        <v>-8698.6690559999988</v>
      </c>
      <c r="O20" s="118">
        <f t="shared" si="1"/>
        <v>-285.12304128</v>
      </c>
      <c r="P20" s="119">
        <f t="shared" si="2"/>
        <v>-57309.731297279992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f>168+252</f>
        <v>420</v>
      </c>
      <c r="I21" s="115">
        <f t="shared" si="3"/>
        <v>30508.799999999999</v>
      </c>
      <c r="J21" s="116"/>
      <c r="K21" s="103">
        <f t="shared" si="4"/>
        <v>106780.8</v>
      </c>
      <c r="L21" s="104">
        <f t="shared" si="5"/>
        <v>4271.232</v>
      </c>
      <c r="M21" s="117">
        <f t="shared" si="6"/>
        <v>-80543.232000000004</v>
      </c>
      <c r="N21" s="117">
        <f t="shared" si="0"/>
        <v>-14497.78176</v>
      </c>
      <c r="O21" s="118">
        <f t="shared" si="1"/>
        <v>-475.20506879999999</v>
      </c>
      <c r="P21" s="119">
        <f t="shared" si="2"/>
        <v>-95516.218828800003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si="4"/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1302</v>
      </c>
      <c r="I25" s="136">
        <f t="shared" si="9"/>
        <v>85255.274999999994</v>
      </c>
      <c r="J25" s="181">
        <f>SUM(J16:J21)</f>
        <v>0</v>
      </c>
      <c r="K25" s="138">
        <f t="shared" si="9"/>
        <v>298393.46249999997</v>
      </c>
      <c r="L25" s="139">
        <f t="shared" si="9"/>
        <v>11935.738499999999</v>
      </c>
      <c r="M25" s="140">
        <f t="shared" si="9"/>
        <v>-225073.92599999998</v>
      </c>
      <c r="N25" s="141">
        <f>SUM(N16:N24)</f>
        <v>-40513.306679999994</v>
      </c>
      <c r="O25" s="142">
        <f>SUM(O16:O24)</f>
        <v>-1327.9361633999999</v>
      </c>
      <c r="P25" s="143">
        <f>SUM(P16:P24)</f>
        <v>-266915.16884340002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85255.274999999994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11935.738499999999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298393.46249999997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-225073.92599999998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-40513.306679999994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-265587.23267999996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-1327.9361633999997</v>
      </c>
    </row>
    <row r="35" spans="2:16" ht="15.75" customHeight="1" thickBot="1" x14ac:dyDescent="0.4">
      <c r="N35" s="219" t="s">
        <v>92</v>
      </c>
      <c r="O35" s="220"/>
      <c r="P35" s="159">
        <f>P33+P34</f>
        <v>-266915.16884339997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7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2" si="3">I17*3.5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2026-07-03T04:58:34Z</dcterms:modified>
</cp:coreProperties>
</file>