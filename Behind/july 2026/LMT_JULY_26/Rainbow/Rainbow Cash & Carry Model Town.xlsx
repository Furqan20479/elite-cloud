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715945E-904D-4A3C-B7E8-DD59E331D5B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6" l="1"/>
  <c r="K22" i="16"/>
  <c r="K16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K16" i="17"/>
  <c r="L16" i="17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K20" i="16" s="1"/>
  <c r="I21" i="16"/>
  <c r="K21" i="16" s="1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L19" i="16" l="1"/>
  <c r="K19" i="16"/>
  <c r="K19" i="15" s="1"/>
  <c r="L17" i="16"/>
  <c r="K17" i="16"/>
  <c r="K25" i="25"/>
  <c r="P30" i="25" s="1"/>
  <c r="L20" i="16"/>
  <c r="L20" i="15" s="1"/>
  <c r="L21" i="16"/>
  <c r="L21" i="15" s="1"/>
  <c r="L18" i="16"/>
  <c r="L18" i="15" s="1"/>
  <c r="K16" i="15"/>
  <c r="L16" i="16"/>
  <c r="M16" i="16" s="1"/>
  <c r="N16" i="16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<sst xmlns="http://schemas.openxmlformats.org/spreadsheetml/2006/main" count="1579" uniqueCount="107">
  <si>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</si>
  <si>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</si>
  <si>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</si>
  <si>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</si>
  <si>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</si>
  <si>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</si>
  <si>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</si>
  <si>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</si>
  <si>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</si>
  <si>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</si>
  <si>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</si>
  <si>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</si>
  <si>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</si>
  <si>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</si>
  <si>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</si>
  <si>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</si>
  <si>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</si>
  <si>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</si>
  <si>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</si>
  <si>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</si>
  <si>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</si>
  <si>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</si>
  <si>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</si>
  <si>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</si>
  <si>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</si>
  <si>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</si>
  <si>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</si>
  <si>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</si>
  <si>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</si>
  <si>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</si>
  <si>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</si>
  <si>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</si>
  <si>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</si>
  <si>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</si>
  <si>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</si>
  <si>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</si>
  <si>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</si>
  <si>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</si>
  <si>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</si>
  <si>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</si>
  <si>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</si>
  <si>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</si>
  <si>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</si>
  <si>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</si>
  <si>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</si>
  <si>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</si>
  <si>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</si>
  <si>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</si>
  <si>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</si>
  <si>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</si>
  <si>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</si>
  <si>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</si>
  <si>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</si>
  <si>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</si>
  <si>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</si>
  <si>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</si>
  <si>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</si>
  <si>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</si>
  <si>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</si>
  <si>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</si>
  <si>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</si>
  <si>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</si>
  <si>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</si>
  <si>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</si>
  <si>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</si>
  <si>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</si>
  <si>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</si>
  <si>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</si>
  <si>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</si>
  <si>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</si>
  <si>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</si>
  <si>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</si>
  <si>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</si>
  <si>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</si>
  <si>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</si>
  <si>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</si>
  <si>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</si>
  <si>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</si>
  <si>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</si>
  <si>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</si>
  <si>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</si>
  <si>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</si>
  <si>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</si>
  <si>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</si>
  <si>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</si>
  <si>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</si>
  <si>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</si>
  <si>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</si>
  <si>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</si>
  <si>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</si>
  <si>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</si>
  <si>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</si>
  <si>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</si>
  <si>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</si>
  <si>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</si>
  <si>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</si>
  <si>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</si>
  <si>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</si>
  <si>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</si>
  <si>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</si>
  <si>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</si>
  <si>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</si>
  <si>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</si>
  <si>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</si>
  <si>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Model Town </t>
  </si>
  <si>
    <t>3344916-3</t>
  </si>
  <si>
    <t>Customer Name : Rainbow 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</si>
</sst>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10679.162411249999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2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1731.2625</v>
      </c>
      <c r="N17" s="100">
        <f>+'1'!N17+'2'!N17+'4'!N17+'3'!N17+'5'!N17+'6'!N17+'7'!N17+'8'!N17+'9'!N17+'10'!N17</f>
        <v>330.51375000000002</v>
      </c>
      <c r="O17" s="100">
        <f>+'1'!O17+'2'!O17+'4'!O17+'3'!O17+'5'!O17+'6'!O17+'7'!O17+'8'!O17+'9'!O17+'10'!O17</f>
        <v>10.308881249999999</v>
      </c>
      <c r="P17" s="119">
        <f t="shared" si="0"/>
        <v>2072.0851312499999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406.78400000000005</v>
      </c>
      <c r="M19" s="117">
        <f t="shared" si="2"/>
        <v>2397.12</v>
      </c>
      <c r="N19" s="100">
        <f>+'1'!N19+'2'!N19+'4'!N19+'3'!N19+'5'!N19+'6'!N19+'7'!N19+'8'!N19+'9'!N19+'10'!N19</f>
        <v>457.63199999999995</v>
      </c>
      <c r="O19" s="100">
        <f>+'1'!O19+'2'!O19+'4'!O19+'3'!O19+'5'!O19+'6'!O19+'7'!O19+'8'!O19+'9'!O19+'10'!O19</f>
        <v>14.273759999999999</v>
      </c>
      <c r="P19" s="119">
        <f t="shared" si="0"/>
        <v>2869.02576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2</v>
      </c>
      <c r="K20" s="171">
        <f>+'1'!K20+'2'!K20+'4'!K20+'3'!K20+'5'!K20+'6'!K20+'7'!K20+'8'!K20+'9'!K20+'10'!K20</f>
        <v>101.69600000000001</v>
      </c>
      <c r="L20" s="174">
        <f>+'1'!L20+'2'!L20+'4'!L20+'3'!L20+'5'!L20+'6'!L20+'7'!L20+'8'!L20+'9'!L20+'10'!L20</f>
        <v>406.78400000000005</v>
      </c>
      <c r="M20" s="117">
        <f t="shared" si="2"/>
        <v>2397.12</v>
      </c>
      <c r="N20" s="100">
        <f>+'1'!N20+'2'!N20+'4'!N20+'3'!N20+'5'!N20+'6'!N20+'7'!N20+'8'!N20+'9'!N20+'10'!N20</f>
        <v>457.63199999999995</v>
      </c>
      <c r="O20" s="100">
        <f>+'1'!O20+'2'!O20+'4'!O20+'3'!O20+'5'!O20+'6'!O20+'7'!O20+'8'!O20+'9'!O20+'10'!O20</f>
        <v>14.273759999999999</v>
      </c>
      <c r="P20" s="119">
        <f t="shared" si="0"/>
        <v>2869.02576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2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406.78400000000005</v>
      </c>
      <c r="M21" s="117">
        <f t="shared" si="2"/>
        <v>2397.12</v>
      </c>
      <c r="N21" s="100">
        <f>+'1'!N21+'2'!N21+'4'!N21+'3'!N21+'5'!N21+'6'!N21+'7'!N21+'8'!N21+'9'!N21+'10'!N21</f>
        <v>457.63199999999995</v>
      </c>
      <c r="O21" s="100">
        <f>+'1'!O21+'2'!O21+'4'!O21+'3'!O21+'5'!O21+'6'!O21+'7'!O21+'8'!O21+'9'!O21+'10'!O21</f>
        <v>14.273759999999999</v>
      </c>
      <c r="P21" s="119">
        <f t="shared" si="0"/>
        <v>2869.02576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4</v>
      </c>
      <c r="D25" s="206"/>
      <c r="E25" s="206"/>
      <c r="F25" s="206"/>
      <c r="G25" s="175">
        <f t="shared" ref="G25:M25" si="3">SUM(G16:G24)</f>
        <v>0</v>
      </c>
      <c r="H25" s="176">
        <f t="shared" si="3"/>
        <v>160</v>
      </c>
      <c r="I25" s="177">
        <f t="shared" si="3"/>
        <v>10815.300000000001</v>
      </c>
      <c r="J25" s="176">
        <f t="shared" si="3"/>
        <v>8</v>
      </c>
      <c r="K25" s="177">
        <f t="shared" si="3"/>
        <v>378.53550000000007</v>
      </c>
      <c r="L25" s="178">
        <f t="shared" si="3"/>
        <v>1514.1420000000003</v>
      </c>
      <c r="M25" s="140">
        <f t="shared" si="3"/>
        <v>8922.6224999999995</v>
      </c>
      <c r="N25" s="141">
        <f>SUM(N16:N24)</f>
        <v>1703.4097499999998</v>
      </c>
      <c r="O25" s="142">
        <f>SUM(O16:O24)</f>
        <v>53.13016125</v>
      </c>
      <c r="P25" s="143">
        <f>SUM(P16:P24)</f>
        <v>10679.162411250001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10679.162411249999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10815.300000000001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1514.1420000000003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378.53550000000007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8922.6225000000013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1703.4097499999998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10626.03225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265.65080625000002</v>
      </c>
    </row>
    <row r="42" spans="1:21" ht="15.75" customHeight="1" thickBot="1" x14ac:dyDescent="0.4">
      <c r="N42" s="204" t="s">
        <v>92</v>
      </c>
      <c r="O42" s="205"/>
      <c r="P42" s="159">
        <f>P40+P41</f>
        <v>10891.68305625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>
        <v>2</v>
      </c>
      <c r="K17" s="103">
        <f t="shared" ref="K17:K22" si="4">I17*3.5%</f>
        <v>73.447500000000005</v>
      </c>
      <c r="L17" s="104">
        <f t="shared" ref="L17:L21" si="5">I17*14%</f>
        <v>293.79000000000002</v>
      </c>
      <c r="M17" s="117">
        <f t="shared" ref="M17:M23" si="6">I17-K17-L17</f>
        <v>1731.2625</v>
      </c>
      <c r="N17" s="117">
        <f t="shared" si="0"/>
        <v>330.51375000000002</v>
      </c>
      <c r="O17" s="118">
        <f t="shared" si="1"/>
        <v>10.308881249999999</v>
      </c>
      <c r="P17" s="119">
        <f t="shared" si="2"/>
        <v>2072.0851312499999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03">
        <f t="shared" si="4"/>
        <v>101.69600000000001</v>
      </c>
      <c r="L19" s="104">
        <f t="shared" si="5"/>
        <v>406.78400000000005</v>
      </c>
      <c r="M19" s="117">
        <f t="shared" si="6"/>
        <v>2397.12</v>
      </c>
      <c r="N19" s="117">
        <f t="shared" si="0"/>
        <v>457.63199999999995</v>
      </c>
      <c r="O19" s="118">
        <f t="shared" si="1"/>
        <v>14.273759999999999</v>
      </c>
      <c r="P19" s="119">
        <f t="shared" si="2"/>
        <v>2869.02576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>
        <v>2</v>
      </c>
      <c r="K20" s="103">
        <f t="shared" si="4"/>
        <v>101.69600000000001</v>
      </c>
      <c r="L20" s="104">
        <f t="shared" si="5"/>
        <v>406.78400000000005</v>
      </c>
      <c r="M20" s="117">
        <f t="shared" si="6"/>
        <v>2397.12</v>
      </c>
      <c r="N20" s="117">
        <f t="shared" si="0"/>
        <v>457.63199999999995</v>
      </c>
      <c r="O20" s="118">
        <f t="shared" si="1"/>
        <v>14.273759999999999</v>
      </c>
      <c r="P20" s="119">
        <f t="shared" si="2"/>
        <v>2869.02576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>
        <v>2</v>
      </c>
      <c r="K21" s="103">
        <f t="shared" si="4"/>
        <v>101.69600000000001</v>
      </c>
      <c r="L21" s="104">
        <f t="shared" si="5"/>
        <v>406.78400000000005</v>
      </c>
      <c r="M21" s="117">
        <f t="shared" si="6"/>
        <v>2397.12</v>
      </c>
      <c r="N21" s="117">
        <f t="shared" si="0"/>
        <v>457.63199999999995</v>
      </c>
      <c r="O21" s="118">
        <f t="shared" si="1"/>
        <v>14.273759999999999</v>
      </c>
      <c r="P21" s="119">
        <f t="shared" si="2"/>
        <v>2869.02576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si="4"/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160</v>
      </c>
      <c r="I25" s="136">
        <f t="shared" si="9"/>
        <v>10815.300000000001</v>
      </c>
      <c r="J25" s="182">
        <f>SUM(J16:J21)</f>
        <v>8</v>
      </c>
      <c r="K25" s="138">
        <f t="shared" si="9"/>
        <v>378.53550000000007</v>
      </c>
      <c r="L25" s="139">
        <f t="shared" si="9"/>
        <v>1514.1420000000003</v>
      </c>
      <c r="M25" s="140">
        <f t="shared" si="9"/>
        <v>8922.6224999999995</v>
      </c>
      <c r="N25" s="141">
        <f>SUM(N16:N24)</f>
        <v>1703.4097499999998</v>
      </c>
      <c r="O25" s="142">
        <f>SUM(O16:O24)</f>
        <v>53.13016125</v>
      </c>
      <c r="P25" s="143">
        <f>SUM(P16:P24)</f>
        <v>10679.162411250001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10815.300000000001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1514.1420000000003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378.53550000000007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8922.6225000000013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1703.4097499999998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10626.03225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53.13016125</v>
      </c>
    </row>
    <row r="35" spans="2:16" ht="15.75" customHeight="1" thickBot="1" x14ac:dyDescent="0.4">
      <c r="N35" s="204" t="s">
        <v>92</v>
      </c>
      <c r="O35" s="205"/>
      <c r="P35" s="159">
        <f>P33+P34</f>
        <v>10679.162411249999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2026-07-03T12:42:55Z</dcterms:modified>
</cp:coreProperties>
</file>