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FA78A5E-96B3-4971-A47D-37881288C29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<sst xmlns="http://schemas.openxmlformats.org/spreadsheetml/2006/main" count="1599" uniqueCount="112">
  <si>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</si>
  <si>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</si>
  <si>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</si>
  <si>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</si>
  <si>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</si>
  <si>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</si>
  <si>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</si>
  <si>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</si>
  <si>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</si>
  <si>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</si>
  <si>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</si>
  <si>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</si>
  <si>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</si>
  <si>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</si>
  <si>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</si>
  <si>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</si>
  <si>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</si>
  <si>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</si>
  <si>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</si>
  <si>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</si>
  <si>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</si>
  <si>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</si>
  <si>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</si>
  <si>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</si>
  <si>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</si>
  <si>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</si>
  <si>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</si>
  <si>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</si>
  <si>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</si>
  <si>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</si>
  <si>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</si>
  <si>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</si>
  <si>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</si>
  <si>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</si>
  <si>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</si>
  <si>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</si>
  <si>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</si>
  <si>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</si>
  <si>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</si>
  <si>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</si>
  <si>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</si>
  <si>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</si>
  <si>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</si>
  <si>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</si>
  <si>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</si>
  <si>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</si>
  <si>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</si>
  <si>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</si>
  <si>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</si>
  <si>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</si>
  <si>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</si>
  <si>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</si>
  <si>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</si>
  <si>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</si>
  <si>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</si>
  <si>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</si>
  <si>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</si>
  <si>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</si>
  <si>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</si>
  <si>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</si>
  <si>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</si>
  <si>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</si>
  <si>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</si>
  <si>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</si>
  <si>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</si>
  <si>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</si>
  <si>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</si>
  <si>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</si>
  <si>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</si>
  <si>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</si>
  <si>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</si>
  <si>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</si>
  <si>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</si>
  <si>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</si>
  <si>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</si>
  <si>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</si>
  <si>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</si>
  <si>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</si>
  <si>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</si>
  <si>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</si>
  <si>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</si>
  <si>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</si>
  <si>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</si>
  <si>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</si>
  <si>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</si>
  <si>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</si>
  <si>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</si>
  <si>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</si>
  <si>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</si>
  <si>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</si>
  <si>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</si>
  <si>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</si>
  <si>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</si>
  <si>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</si>
  <si>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</si>
  <si>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</si>
  <si>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</si>
  <si>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</si>
  <si>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</si>
  <si>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</si>
  <si>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</si>
  <si>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</si>
  <si>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</si>
  <si>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</si>
  <si>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Customer Name : MB Traders (Risen)</t>
  </si>
  <si>
    <t>Address: Askari 11</t>
  </si>
  <si>
    <t>5526536-5</t>
  </si>
  <si>
    <t>327787616388-9</t>
  </si>
  <si>
    <t>Address: Sabzazar</t>
  </si>
  <si>
    <t>Customer Name : Risen Sabzazar</t>
  </si>
  <si>
    <t>9725069-2</t>
  </si>
  <si>
    <t>327787628553-1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</si>
</sst>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7" sqref="J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7" sqref="J7"/>
      <selection pane="topRight" activeCell="J7" sqref="J7"/>
      <selection pane="bottomLeft" activeCell="J7" sqref="J7"/>
      <selection pane="bottomRight" activeCell="J7" sqref="J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8" zoomScale="70" zoomScaleNormal="70" workbookViewId="0">
      <selection activeCell="J24" sqref="J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Risen Sabzazar</v>
      </c>
      <c r="U14" s="163">
        <f>+'1'!P35</f>
        <v>24200.692133400004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MB Traders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324.84780000000001</v>
      </c>
      <c r="O16" s="100">
        <f>+'1'!O16+'2'!O16+'4'!O16+'3'!O16+'5'!O16+'6'!O16+'7'!O16+'8'!O16+'9'!O16+'10'!O16</f>
        <v>10.647789000000001</v>
      </c>
      <c r="P16" s="104">
        <f t="shared" ref="P16:P24" si="0">M16+N16+O16</f>
        <v>2140.2055890000001</v>
      </c>
      <c r="Q16" s="107"/>
      <c r="T16" s="162" t="str">
        <f>+'4'!A5</f>
        <v>Customer Name : MB Traders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649.69560000000001</v>
      </c>
      <c r="O17" s="100">
        <f>+'1'!O17+'2'!O17+'4'!O17+'3'!O17+'5'!O17+'6'!O17+'7'!O17+'8'!O17+'9'!O17+'10'!O17</f>
        <v>21.295578000000003</v>
      </c>
      <c r="P17" s="119">
        <f t="shared" si="0"/>
        <v>4280.4111780000003</v>
      </c>
      <c r="S17" s="64"/>
      <c r="T17" s="162" t="str">
        <f>+'3'!A5</f>
        <v>Customer Name : MB Traders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MB Traders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899.57375999999988</v>
      </c>
      <c r="O19" s="100">
        <f>+'1'!O19+'2'!O19+'4'!O19+'3'!O19+'5'!O19+'6'!O19+'7'!O19+'8'!O19+'9'!O19+'10'!O19</f>
        <v>29.4860288</v>
      </c>
      <c r="P19" s="119">
        <f t="shared" si="0"/>
        <v>5926.6917887999998</v>
      </c>
      <c r="T19" s="162" t="str">
        <f>+'6'!A5</f>
        <v>Customer Name : MB Traders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813.5680000000001</v>
      </c>
      <c r="M20" s="117">
        <f t="shared" si="2"/>
        <v>4997.6319999999996</v>
      </c>
      <c r="N20" s="100">
        <f>+'1'!N20+'2'!N20+'4'!N20+'3'!N20+'5'!N20+'6'!N20+'7'!N20+'8'!N20+'9'!N20+'10'!N20</f>
        <v>899.57375999999988</v>
      </c>
      <c r="O20" s="100">
        <f>+'1'!O20+'2'!O20+'4'!O20+'3'!O20+'5'!O20+'6'!O20+'7'!O20+'8'!O20+'9'!O20+'10'!O20</f>
        <v>29.4860288</v>
      </c>
      <c r="P20" s="119">
        <f t="shared" si="0"/>
        <v>5926.6917887999998</v>
      </c>
      <c r="T20" s="162" t="str">
        <f>+'7'!A5</f>
        <v>Customer Name : MB Traders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899.57375999999988</v>
      </c>
      <c r="O21" s="100">
        <f>+'1'!O21+'2'!O21+'4'!O21+'3'!O21+'5'!O21+'6'!O21+'7'!O21+'8'!O21+'9'!O21+'10'!O21</f>
        <v>29.4860288</v>
      </c>
      <c r="P21" s="119">
        <f t="shared" si="0"/>
        <v>5926.6917887999998</v>
      </c>
      <c r="T21" s="162" t="str">
        <f>+'8'!A5</f>
        <v>Customer Name : MB Traders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MB Traders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MB Traders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MB Traders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9</v>
      </c>
      <c r="D25" s="221"/>
      <c r="E25" s="221"/>
      <c r="F25" s="221"/>
      <c r="G25" s="175">
        <f t="shared" ref="G25:M25" si="3">SUM(G16:G24)</f>
        <v>0</v>
      </c>
      <c r="H25" s="176">
        <f t="shared" si="3"/>
        <v>360</v>
      </c>
      <c r="I25" s="177">
        <f t="shared" si="3"/>
        <v>23729.100000000002</v>
      </c>
      <c r="J25" s="176">
        <f t="shared" si="3"/>
        <v>0</v>
      </c>
      <c r="K25" s="177">
        <f t="shared" si="3"/>
        <v>0</v>
      </c>
      <c r="L25" s="178">
        <f t="shared" si="3"/>
        <v>3322.0740000000005</v>
      </c>
      <c r="M25" s="140">
        <f t="shared" si="3"/>
        <v>20407.025999999998</v>
      </c>
      <c r="N25" s="141">
        <f>SUM(N16:N24)</f>
        <v>3673.2646799999993</v>
      </c>
      <c r="O25" s="142">
        <f>SUM(O16:O24)</f>
        <v>120.40145339999999</v>
      </c>
      <c r="P25" s="143">
        <f>SUM(P16:P24)</f>
        <v>24200.6921334</v>
      </c>
      <c r="T25" s="162" t="str">
        <f>+'12'!A5</f>
        <v>Customer Name : MB Traders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MB Traders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MB Traders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MB Traders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24200.692133400004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23729.100000000002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3322.0740000000005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20407.026000000002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3673.2646799999993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24080.290680000002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602.00726700000007</v>
      </c>
    </row>
    <row r="39" spans="2:16" ht="15.75" customHeight="1" thickBot="1" x14ac:dyDescent="0.4">
      <c r="N39" s="219" t="s">
        <v>92</v>
      </c>
      <c r="O39" s="220"/>
      <c r="P39" s="159">
        <f>P37+P38</f>
        <v>24682.297947000003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A14" sqref="A14:B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324.84780000000001</v>
      </c>
      <c r="O16" s="106">
        <f t="shared" ref="O16:O24" si="1">(N16+M16)*$O$15</f>
        <v>10.647789000000001</v>
      </c>
      <c r="P16" s="104">
        <f t="shared" ref="P16:P24" si="2">M16+N16+O16</f>
        <v>2140.2055890000001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649.69560000000001</v>
      </c>
      <c r="O17" s="118">
        <f t="shared" si="1"/>
        <v>21.295578000000003</v>
      </c>
      <c r="P17" s="119">
        <f t="shared" si="2"/>
        <v>4280.4111780000003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899.57375999999988</v>
      </c>
      <c r="O19" s="118">
        <f t="shared" si="1"/>
        <v>29.4860288</v>
      </c>
      <c r="P19" s="119">
        <f t="shared" si="2"/>
        <v>5926.6917887999998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813.5680000000001</v>
      </c>
      <c r="M20" s="117">
        <f t="shared" si="6"/>
        <v>4997.6319999999996</v>
      </c>
      <c r="N20" s="117">
        <f t="shared" si="0"/>
        <v>899.57375999999988</v>
      </c>
      <c r="O20" s="118">
        <f t="shared" si="1"/>
        <v>29.4860288</v>
      </c>
      <c r="P20" s="119">
        <f t="shared" si="2"/>
        <v>5926.6917887999998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899.57375999999988</v>
      </c>
      <c r="O21" s="118">
        <f t="shared" si="1"/>
        <v>29.4860288</v>
      </c>
      <c r="P21" s="119">
        <f t="shared" si="2"/>
        <v>5926.6917887999998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360</v>
      </c>
      <c r="I25" s="136">
        <f t="shared" si="9"/>
        <v>23729.100000000002</v>
      </c>
      <c r="J25" s="137"/>
      <c r="K25" s="138">
        <f t="shared" si="9"/>
        <v>0</v>
      </c>
      <c r="L25" s="139">
        <f t="shared" si="9"/>
        <v>3322.0740000000005</v>
      </c>
      <c r="M25" s="140">
        <f t="shared" si="9"/>
        <v>20407.025999999998</v>
      </c>
      <c r="N25" s="141">
        <f>SUM(N16:N24)</f>
        <v>3673.2646799999993</v>
      </c>
      <c r="O25" s="142">
        <f>SUM(O16:O24)</f>
        <v>120.40145339999999</v>
      </c>
      <c r="P25" s="143">
        <f>SUM(P16:P24)</f>
        <v>24200.6921334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23729.100000000002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3322.0740000000005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20407.026000000002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3673.2646799999993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24080.290680000002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120.40145340000001</v>
      </c>
    </row>
    <row r="35" spans="2:16" ht="15.75" customHeight="1" thickBot="1" x14ac:dyDescent="0.4">
      <c r="N35" s="219" t="s">
        <v>92</v>
      </c>
      <c r="O35" s="220"/>
      <c r="P35" s="159">
        <f>P33+P34</f>
        <v>24200.692133400004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46283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2026-09-19T06:17:33Z</dcterms:modified>
</cp:coreProperties>
</file>