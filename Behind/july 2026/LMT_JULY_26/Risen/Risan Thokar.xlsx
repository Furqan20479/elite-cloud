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83EBC1C-18A7-4DD2-8C99-5A41EEF7B56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16" i="16" l="1"/>
  <c r="L16" i="16"/>
  <c r="K20" i="16"/>
  <c r="L20" i="16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<sst xmlns="http://schemas.openxmlformats.org/spreadsheetml/2006/main" count="1599" uniqueCount="112">
  <si>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</si>
  <si>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</si>
  <si>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</si>
  <si>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</si>
  <si>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</si>
  <si>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</si>
  <si>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</si>
  <si>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</si>
  <si>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</si>
  <si>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</si>
  <si>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</si>
  <si>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</si>
  <si>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</si>
  <si>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</si>
  <si>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</si>
  <si>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</si>
  <si>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</si>
  <si>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</si>
  <si>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</si>
  <si>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</si>
  <si>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</si>
  <si>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</si>
  <si>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</si>
  <si>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</si>
  <si>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</si>
  <si>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</si>
  <si>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</si>
  <si>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</si>
  <si>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</si>
  <si>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</si>
  <si>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</si>
  <si>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</si>
  <si>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</si>
  <si>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</si>
  <si>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</si>
  <si>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</si>
  <si>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</si>
  <si>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</si>
  <si>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</si>
  <si>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</si>
  <si>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</si>
  <si>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</si>
  <si>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</si>
  <si>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</si>
  <si>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</si>
  <si>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</si>
  <si>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</si>
  <si>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</si>
  <si>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</si>
  <si>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</si>
  <si>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</si>
  <si>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</si>
  <si>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</si>
  <si>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</si>
  <si>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</si>
  <si>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</si>
  <si>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</si>
  <si>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</si>
  <si>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</si>
  <si>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</si>
  <si>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</si>
  <si>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</si>
  <si>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</si>
  <si>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</si>
  <si>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</si>
  <si>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</si>
  <si>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</si>
  <si>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</si>
  <si>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</si>
  <si>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</si>
  <si>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</si>
  <si>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</si>
  <si>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</si>
  <si>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</si>
  <si>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</si>
  <si>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</si>
  <si>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</si>
  <si>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</si>
  <si>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</si>
  <si>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</si>
  <si>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</si>
  <si>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</si>
  <si>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</si>
  <si>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</si>
  <si>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</si>
  <si>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</si>
  <si>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</si>
  <si>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</si>
  <si>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</si>
  <si>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</si>
  <si>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</si>
  <si>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</si>
  <si>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</si>
  <si>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</si>
  <si>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</si>
  <si>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</si>
  <si>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</si>
  <si>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</si>
  <si>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</si>
  <si>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</si>
  <si>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</si>
  <si>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</si>
  <si>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</si>
  <si>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</si>
  <si>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Customer Name : MB Traders (Risen)</t>
  </si>
  <si>
    <t>Address: Askari 11</t>
  </si>
  <si>
    <t>5526536-5</t>
  </si>
  <si>
    <t>327787616388-9</t>
  </si>
  <si>
    <t>Customer Name : TN Traders (Risen)</t>
  </si>
  <si>
    <t>Address: Thokar Niaz Bag</t>
  </si>
  <si>
    <t>9402653-2</t>
  </si>
  <si>
    <t>327787628948-9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</si>
</sst>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7" sqref="J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7" sqref="J7"/>
      <selection pane="topRight" activeCell="J7" sqref="J7"/>
      <selection pane="bottomLeft" activeCell="J7" sqref="J7"/>
      <selection pane="bottomRight" activeCell="J7" sqref="J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TN Traders (Risen)</v>
      </c>
      <c r="U14" s="163">
        <f>+'1'!P35</f>
        <v>11958.5081856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MB Traders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MB Traders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MB Traders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MB Traders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MB Traders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2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406.78400000000005</v>
      </c>
      <c r="M20" s="117">
        <f t="shared" si="2"/>
        <v>2498.8159999999998</v>
      </c>
      <c r="N20" s="100">
        <f>+'1'!N20+'2'!N20+'4'!N20+'3'!N20+'5'!N20+'6'!N20+'7'!N20+'8'!N20+'9'!N20+'10'!N20</f>
        <v>475.93727999999993</v>
      </c>
      <c r="O20" s="100">
        <f>+'1'!O20+'2'!O20+'4'!O20+'3'!O20+'5'!O20+'6'!O20+'7'!O20+'8'!O20+'9'!O20+'10'!O20</f>
        <v>14.873766399999999</v>
      </c>
      <c r="P20" s="119">
        <f t="shared" si="0"/>
        <v>2989.6270463999999</v>
      </c>
      <c r="T20" s="162" t="str">
        <f>+'7'!A5</f>
        <v>Customer Name : MB Traders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MB Traders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MB Traders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MB Traders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MB Traders (Risen)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4</v>
      </c>
      <c r="D25" s="221"/>
      <c r="E25" s="221"/>
      <c r="F25" s="221"/>
      <c r="G25" s="175">
        <f t="shared" ref="G25:M25" si="3">SUM(G16:G24)</f>
        <v>0</v>
      </c>
      <c r="H25" s="176">
        <f t="shared" si="3"/>
        <v>160</v>
      </c>
      <c r="I25" s="177">
        <f t="shared" si="3"/>
        <v>11622.4</v>
      </c>
      <c r="J25" s="176">
        <f t="shared" si="3"/>
        <v>8</v>
      </c>
      <c r="K25" s="177">
        <f t="shared" si="3"/>
        <v>0</v>
      </c>
      <c r="L25" s="178">
        <f t="shared" si="3"/>
        <v>1627.1360000000002</v>
      </c>
      <c r="M25" s="140">
        <f t="shared" si="3"/>
        <v>9995.2639999999992</v>
      </c>
      <c r="N25" s="141">
        <f>SUM(N16:N24)</f>
        <v>1903.7491199999997</v>
      </c>
      <c r="O25" s="142">
        <f>SUM(O16:O24)</f>
        <v>59.495065599999997</v>
      </c>
      <c r="P25" s="143">
        <f>SUM(P16:P24)</f>
        <v>11958.5081856</v>
      </c>
      <c r="T25" s="162" t="str">
        <f>+'12'!A5</f>
        <v>Customer Name : MB Traders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MB Traders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MB Traders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MB Traders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11958.5081856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11622.4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1627.1360000000002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9995.2639999999992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1903.7491199999997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11899.01312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297.47532799999999</v>
      </c>
    </row>
    <row r="39" spans="2:16" ht="15.75" customHeight="1" thickBot="1" x14ac:dyDescent="0.4">
      <c r="N39" s="219" t="s">
        <v>92</v>
      </c>
      <c r="O39" s="220"/>
      <c r="P39" s="159">
        <f>P37+P38</f>
        <v>12196.488448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8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">
        <f t="shared" si="4"/>
        <v>0</v>
      </c>
      <c r="L20" s="104">
        <f t="shared" si="5"/>
        <v>406.78400000000005</v>
      </c>
      <c r="M20" s="117">
        <f t="shared" si="6"/>
        <v>2498.8159999999998</v>
      </c>
      <c r="N20" s="117">
        <f t="shared" si="0"/>
        <v>475.93727999999993</v>
      </c>
      <c r="O20" s="118">
        <f t="shared" si="1"/>
        <v>14.873766399999999</v>
      </c>
      <c r="P20" s="119">
        <f t="shared" si="2"/>
        <v>2989.6270463999999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160</v>
      </c>
      <c r="I25" s="136">
        <f t="shared" si="9"/>
        <v>11622.4</v>
      </c>
      <c r="J25" s="137"/>
      <c r="K25" s="138">
        <f t="shared" si="9"/>
        <v>0</v>
      </c>
      <c r="L25" s="139">
        <f t="shared" si="9"/>
        <v>1627.1360000000002</v>
      </c>
      <c r="M25" s="140">
        <f t="shared" si="9"/>
        <v>9995.2639999999992</v>
      </c>
      <c r="N25" s="141">
        <f>SUM(N16:N24)</f>
        <v>1903.7491199999997</v>
      </c>
      <c r="O25" s="142">
        <f>SUM(O16:O24)</f>
        <v>59.495065599999997</v>
      </c>
      <c r="P25" s="143">
        <f>SUM(P16:P24)</f>
        <v>11958.5081856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11622.4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1627.1360000000002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9995.2639999999992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1903.7491199999997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11899.01312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59.495065599999997</v>
      </c>
    </row>
    <row r="35" spans="2:16" ht="15.75" customHeight="1" thickBot="1" x14ac:dyDescent="0.4">
      <c r="N35" s="219" t="s">
        <v>92</v>
      </c>
      <c r="O35" s="220"/>
      <c r="P35" s="159">
        <f>P33+P34</f>
        <v>11958.5081856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2026-07-10T13:13:17Z</dcterms:modified>
</cp:coreProperties>
</file>