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489DBE8-D34D-42F2-9A12-A5C9F23FE0D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6" l="1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7"/>
  <c r="L17" i="16"/>
  <c r="L18" i="16"/>
  <c r="L19" i="16"/>
  <c r="L20" i="16"/>
  <c r="L21" i="16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7"/>
  <c r="L18" i="17"/>
  <c r="L19" i="17"/>
  <c r="L20" i="17"/>
  <c r="L21" i="17"/>
  <c r="L16" i="16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7"/>
  <c r="K17" i="16"/>
  <c r="K18" i="16"/>
  <c r="K19" i="16"/>
  <c r="K20" i="16"/>
  <c r="K21" i="16"/>
  <c r="K22" i="16"/>
  <c r="K23" i="16"/>
  <c r="K17" i="19"/>
  <c r="K18" i="19"/>
  <c r="K19" i="19"/>
  <c r="K20" i="19"/>
  <c r="K21" i="19"/>
  <c r="K22" i="19"/>
  <c r="K23" i="19"/>
  <c r="K17" i="18"/>
  <c r="K18" i="18"/>
  <c r="K19" i="18"/>
  <c r="K20" i="18"/>
  <c r="K21" i="18"/>
  <c r="K22" i="18"/>
  <c r="K23" i="18"/>
  <c r="K17" i="20"/>
  <c r="K18" i="20"/>
  <c r="K19" i="20"/>
  <c r="K20" i="20"/>
  <c r="K21" i="20"/>
  <c r="K22" i="20"/>
  <c r="K23" i="20"/>
  <c r="K17" i="21"/>
  <c r="K18" i="21"/>
  <c r="K19" i="21"/>
  <c r="K20" i="21"/>
  <c r="K21" i="21"/>
  <c r="K22" i="21"/>
  <c r="K23" i="21"/>
  <c r="K17" i="22"/>
  <c r="K18" i="22"/>
  <c r="K19" i="22"/>
  <c r="K20" i="22"/>
  <c r="K21" i="22"/>
  <c r="K22" i="22"/>
  <c r="K23" i="22"/>
  <c r="K17" i="23"/>
  <c r="K18" i="23"/>
  <c r="K19" i="23"/>
  <c r="K20" i="23"/>
  <c r="K21" i="23"/>
  <c r="K22" i="23"/>
  <c r="K23" i="23"/>
  <c r="K17" i="24"/>
  <c r="K18" i="24"/>
  <c r="K19" i="24"/>
  <c r="K20" i="24"/>
  <c r="K21" i="24"/>
  <c r="K22" i="24"/>
  <c r="K23" i="24"/>
  <c r="K17" i="25"/>
  <c r="K18" i="25"/>
  <c r="K19" i="25"/>
  <c r="K20" i="25"/>
  <c r="K21" i="25"/>
  <c r="K22" i="25"/>
  <c r="K23" i="25"/>
  <c r="K17" i="26"/>
  <c r="K18" i="26"/>
  <c r="K19" i="26"/>
  <c r="K20" i="26"/>
  <c r="K21" i="26"/>
  <c r="K22" i="26"/>
  <c r="K23" i="26"/>
  <c r="K17" i="27"/>
  <c r="K18" i="27"/>
  <c r="K19" i="27"/>
  <c r="K20" i="27"/>
  <c r="K21" i="27"/>
  <c r="K22" i="27"/>
  <c r="K23" i="27"/>
  <c r="K17" i="28"/>
  <c r="K18" i="28"/>
  <c r="K19" i="28"/>
  <c r="K20" i="28"/>
  <c r="K21" i="28"/>
  <c r="K22" i="28"/>
  <c r="K23" i="28"/>
  <c r="K17" i="29"/>
  <c r="K18" i="29"/>
  <c r="K19" i="29"/>
  <c r="K20" i="29"/>
  <c r="K21" i="29"/>
  <c r="K22" i="29"/>
  <c r="K23" i="29"/>
  <c r="K17" i="30"/>
  <c r="K18" i="30"/>
  <c r="K19" i="30"/>
  <c r="K20" i="30"/>
  <c r="K21" i="30"/>
  <c r="K22" i="30"/>
  <c r="K23" i="30"/>
  <c r="K17" i="31"/>
  <c r="K18" i="31"/>
  <c r="K19" i="31"/>
  <c r="K20" i="31"/>
  <c r="K21" i="31"/>
  <c r="K22" i="31"/>
  <c r="K23" i="31"/>
  <c r="K17" i="32"/>
  <c r="K18" i="32"/>
  <c r="K19" i="32"/>
  <c r="K20" i="32"/>
  <c r="K21" i="32"/>
  <c r="K22" i="32"/>
  <c r="K23" i="32"/>
  <c r="K17" i="33"/>
  <c r="K18" i="33"/>
  <c r="K19" i="33"/>
  <c r="K20" i="33"/>
  <c r="K21" i="33"/>
  <c r="K22" i="33"/>
  <c r="K23" i="33"/>
  <c r="K17" i="34"/>
  <c r="K18" i="34"/>
  <c r="K19" i="34"/>
  <c r="K20" i="34"/>
  <c r="K21" i="34"/>
  <c r="K22" i="34"/>
  <c r="K23" i="34"/>
  <c r="K17" i="35"/>
  <c r="K18" i="35"/>
  <c r="K19" i="35"/>
  <c r="K20" i="35"/>
  <c r="K21" i="35"/>
  <c r="K22" i="35"/>
  <c r="K23" i="35"/>
  <c r="K17" i="17"/>
  <c r="K18" i="17"/>
  <c r="K19" i="17"/>
  <c r="K20" i="17"/>
  <c r="K21" i="17"/>
  <c r="K22" i="17"/>
  <c r="K23" i="17"/>
  <c r="K16" i="16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7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I18" i="33"/>
  <c r="F18" i="33"/>
  <c r="E18" i="33"/>
  <c r="D18" i="33"/>
  <c r="C18" i="33"/>
  <c r="B18" i="33"/>
  <c r="I17" i="33"/>
  <c r="F17" i="33"/>
  <c r="E17" i="33"/>
  <c r="D17" i="33"/>
  <c r="C17" i="33"/>
  <c r="B17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M17" i="35"/>
  <c r="M18" i="35"/>
  <c r="M19" i="35"/>
  <c r="M20" i="35"/>
  <c r="M21" i="35"/>
  <c r="M22" i="35"/>
  <c r="L23" i="35"/>
  <c r="M23" i="35"/>
  <c r="K24" i="35"/>
  <c r="M24" i="35" s="1"/>
  <c r="L24" i="35"/>
  <c r="I25" i="34"/>
  <c r="P28" i="34" s="1"/>
  <c r="M16" i="34"/>
  <c r="M17" i="34"/>
  <c r="M18" i="34"/>
  <c r="M19" i="34"/>
  <c r="M20" i="34"/>
  <c r="M21" i="34"/>
  <c r="M22" i="34"/>
  <c r="M23" i="34"/>
  <c r="L23" i="34"/>
  <c r="K24" i="34"/>
  <c r="L24" i="34"/>
  <c r="M24" i="34" s="1"/>
  <c r="M21" i="33"/>
  <c r="M22" i="33"/>
  <c r="M19" i="33"/>
  <c r="L25" i="33"/>
  <c r="P29" i="33" s="1"/>
  <c r="M23" i="33"/>
  <c r="L23" i="33"/>
  <c r="M20" i="33"/>
  <c r="K24" i="33"/>
  <c r="L24" i="33"/>
  <c r="M24" i="33"/>
  <c r="M17" i="33"/>
  <c r="M18" i="33"/>
  <c r="K25" i="33"/>
  <c r="P30" i="33" s="1"/>
  <c r="K24" i="32"/>
  <c r="M24" i="32" s="1"/>
  <c r="L24" i="32"/>
  <c r="I25" i="32"/>
  <c r="P28" i="32" s="1"/>
  <c r="M16" i="32"/>
  <c r="M17" i="32"/>
  <c r="M18" i="32"/>
  <c r="M19" i="32"/>
  <c r="M20" i="32"/>
  <c r="M21" i="32"/>
  <c r="L23" i="32"/>
  <c r="M23" i="32" s="1"/>
  <c r="M22" i="32"/>
  <c r="M17" i="31"/>
  <c r="M19" i="31"/>
  <c r="M21" i="31"/>
  <c r="M22" i="31"/>
  <c r="K24" i="31"/>
  <c r="L24" i="31"/>
  <c r="M24" i="31" s="1"/>
  <c r="I25" i="31"/>
  <c r="P28" i="31" s="1"/>
  <c r="L25" i="31"/>
  <c r="P29" i="31" s="1"/>
  <c r="M18" i="31"/>
  <c r="M20" i="31"/>
  <c r="M23" i="31"/>
  <c r="L23" i="31"/>
  <c r="M18" i="30"/>
  <c r="M20" i="30"/>
  <c r="M21" i="30"/>
  <c r="L23" i="30"/>
  <c r="M23" i="30"/>
  <c r="I25" i="30"/>
  <c r="P28" i="30" s="1"/>
  <c r="M16" i="30"/>
  <c r="L25" i="30"/>
  <c r="P29" i="30" s="1"/>
  <c r="M17" i="30"/>
  <c r="M19" i="30"/>
  <c r="M22" i="30"/>
  <c r="K24" i="30"/>
  <c r="L24" i="30"/>
  <c r="M24" i="30"/>
  <c r="I25" i="29"/>
  <c r="P28" i="29" s="1"/>
  <c r="M16" i="29"/>
  <c r="M19" i="29"/>
  <c r="M21" i="29"/>
  <c r="K24" i="29"/>
  <c r="M24" i="29"/>
  <c r="L24" i="29"/>
  <c r="M17" i="29"/>
  <c r="M20" i="29"/>
  <c r="M22" i="29"/>
  <c r="M18" i="29"/>
  <c r="M23" i="29"/>
  <c r="L23" i="29"/>
  <c r="I25" i="28"/>
  <c r="P28" i="28" s="1"/>
  <c r="M17" i="28"/>
  <c r="M18" i="28"/>
  <c r="M19" i="28"/>
  <c r="M20" i="28"/>
  <c r="M21" i="28"/>
  <c r="M22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P31" i="33" l="1"/>
  <c r="N20" i="35"/>
  <c r="O20" i="35" s="1"/>
  <c r="P20" i="35" s="1"/>
  <c r="N24" i="35"/>
  <c r="O24" i="35" s="1"/>
  <c r="P24" i="35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K25" i="32"/>
  <c r="P30" i="32" s="1"/>
  <c r="N21" i="31"/>
  <c r="O21" i="31" s="1"/>
  <c r="P21" i="31"/>
  <c r="N18" i="31"/>
  <c r="O18" i="31" s="1"/>
  <c r="N20" i="31"/>
  <c r="O20" i="31" s="1"/>
  <c r="P20" i="31"/>
  <c r="N24" i="31"/>
  <c r="O24" i="31" s="1"/>
  <c r="P24" i="3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N21" i="30"/>
  <c r="O21" i="30" s="1"/>
  <c r="N17" i="30"/>
  <c r="O17" i="30" s="1"/>
  <c r="N18" i="30"/>
  <c r="O18" i="30" s="1"/>
  <c r="K25" i="30"/>
  <c r="P30" i="30" s="1"/>
  <c r="P31" i="30" s="1"/>
  <c r="N24" i="30"/>
  <c r="O24" i="30" s="1"/>
  <c r="P24" i="30"/>
  <c r="N22" i="30"/>
  <c r="O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/>
  <c r="M25" i="29"/>
  <c r="N16" i="29"/>
  <c r="N20" i="29"/>
  <c r="O20" i="29" s="1"/>
  <c r="N18" i="29"/>
  <c r="O18" i="29" s="1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/>
  <c r="N20" i="28"/>
  <c r="O20" i="28" s="1"/>
  <c r="N22" i="28"/>
  <c r="O22" i="28" s="1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N17" i="28"/>
  <c r="O17" i="28" s="1"/>
  <c r="J25" i="15"/>
  <c r="I25" i="27"/>
  <c r="P28" i="27" s="1"/>
  <c r="M23" i="27"/>
  <c r="L23" i="27"/>
  <c r="K24" i="27"/>
  <c r="L24" i="27"/>
  <c r="M17" i="26"/>
  <c r="L23" i="26"/>
  <c r="K24" i="26"/>
  <c r="L24" i="26"/>
  <c r="M24" i="26" s="1"/>
  <c r="I25" i="26"/>
  <c r="P28" i="26" s="1"/>
  <c r="T23" i="15"/>
  <c r="T22" i="15"/>
  <c r="T21" i="15"/>
  <c r="T20" i="15"/>
  <c r="T19" i="15"/>
  <c r="T18" i="15"/>
  <c r="T17" i="15"/>
  <c r="T16" i="15"/>
  <c r="T15" i="15"/>
  <c r="T14" i="15"/>
  <c r="P22" i="28" l="1"/>
  <c r="P21" i="30"/>
  <c r="P20" i="28"/>
  <c r="P17" i="31"/>
  <c r="P18" i="31"/>
  <c r="P31" i="34"/>
  <c r="P31" i="28"/>
  <c r="P17" i="33"/>
  <c r="P18" i="28"/>
  <c r="P31" i="29"/>
  <c r="P18" i="29"/>
  <c r="P21" i="29"/>
  <c r="P22" i="30"/>
  <c r="P22" i="32"/>
  <c r="P22" i="35"/>
  <c r="P18" i="30"/>
  <c r="P31" i="35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6" i="32" l="1"/>
  <c r="P25" i="32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I24" i="22"/>
  <c r="L24" i="22" s="1"/>
  <c r="I23" i="21"/>
  <c r="I16" i="23"/>
  <c r="I18" i="23"/>
  <c r="I20" i="23"/>
  <c r="I22" i="23"/>
  <c r="I24" i="23"/>
  <c r="L24" i="23" s="1"/>
  <c r="I16" i="20"/>
  <c r="I18" i="20"/>
  <c r="I20" i="20"/>
  <c r="I22" i="20"/>
  <c r="I24" i="20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I24" i="17"/>
  <c r="K24" i="17" s="1"/>
  <c r="I19" i="18"/>
  <c r="I23" i="18"/>
  <c r="L23" i="18" s="1"/>
  <c r="I25" i="25"/>
  <c r="P28" i="25" s="1"/>
  <c r="K24" i="25"/>
  <c r="L24" i="25"/>
  <c r="L23" i="25"/>
  <c r="L23" i="24"/>
  <c r="L23" i="23"/>
  <c r="L23" i="22"/>
  <c r="K24" i="20"/>
  <c r="L24" i="20"/>
  <c r="K24" i="19"/>
  <c r="L24" i="19"/>
  <c r="L23" i="19"/>
  <c r="M22" i="18"/>
  <c r="K24" i="18"/>
  <c r="M24" i="18" s="1"/>
  <c r="M18" i="18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4" i="21"/>
  <c r="M20" i="18"/>
  <c r="L24" i="24"/>
  <c r="L25" i="24" s="1"/>
  <c r="P29" i="24" s="1"/>
  <c r="M16" i="20"/>
  <c r="N16" i="20" s="1"/>
  <c r="K25" i="19"/>
  <c r="P30" i="19" s="1"/>
  <c r="M22" i="17"/>
  <c r="N22" i="17" s="1"/>
  <c r="O22" i="17" s="1"/>
  <c r="M19" i="21"/>
  <c r="N19" i="21" s="1"/>
  <c r="O19" i="21" s="1"/>
  <c r="M17" i="21"/>
  <c r="N17" i="21" s="1"/>
  <c r="O17" i="21" s="1"/>
  <c r="P17" i="21" s="1"/>
  <c r="M19" i="17"/>
  <c r="N19" i="17" s="1"/>
  <c r="O19" i="17" s="1"/>
  <c r="P19" i="17" s="1"/>
  <c r="M20" i="17"/>
  <c r="N20" i="17" s="1"/>
  <c r="O20" i="17" s="1"/>
  <c r="M22" i="24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16" i="23"/>
  <c r="N16" i="23" s="1"/>
  <c r="L23" i="21"/>
  <c r="M23" i="21" s="1"/>
  <c r="N23" i="21" s="1"/>
  <c r="O23" i="21" s="1"/>
  <c r="P23" i="21" s="1"/>
  <c r="I25" i="19"/>
  <c r="P28" i="19" s="1"/>
  <c r="L25" i="18"/>
  <c r="P29" i="18" s="1"/>
  <c r="O25" i="27"/>
  <c r="M23" i="25"/>
  <c r="M16" i="24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M19" i="24"/>
  <c r="N19" i="24" s="1"/>
  <c r="O19" i="24" s="1"/>
  <c r="P19" i="24" s="1"/>
  <c r="M18" i="24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16" i="21"/>
  <c r="N16" i="21" s="1"/>
  <c r="I25" i="20"/>
  <c r="P28" i="20" s="1"/>
  <c r="M20" i="19"/>
  <c r="M23" i="19"/>
  <c r="N23" i="19" s="1"/>
  <c r="O23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K25" i="25"/>
  <c r="P30" i="25" s="1"/>
  <c r="M16" i="25"/>
  <c r="N23" i="25"/>
  <c r="O23" i="25" s="1"/>
  <c r="P23" i="25" s="1"/>
  <c r="N23" i="24"/>
  <c r="O23" i="24" s="1"/>
  <c r="N24" i="24"/>
  <c r="O24" i="24" s="1"/>
  <c r="N18" i="24"/>
  <c r="O18" i="24" s="1"/>
  <c r="N16" i="24"/>
  <c r="K25" i="24"/>
  <c r="P30" i="24" s="1"/>
  <c r="N24" i="22"/>
  <c r="O24" i="22" s="1"/>
  <c r="P24" i="22" s="1"/>
  <c r="N18" i="22"/>
  <c r="O18" i="22" s="1"/>
  <c r="L25" i="22"/>
  <c r="P29" i="22" s="1"/>
  <c r="M16" i="22"/>
  <c r="M21" i="21"/>
  <c r="N21" i="21" s="1"/>
  <c r="M19" i="20"/>
  <c r="N19" i="20" s="1"/>
  <c r="O19" i="20" s="1"/>
  <c r="M17" i="19"/>
  <c r="N17" i="19" s="1"/>
  <c r="O17" i="19" s="1"/>
  <c r="M21" i="19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1" i="15" l="1"/>
  <c r="K20" i="15"/>
  <c r="L20" i="15"/>
  <c r="K18" i="15"/>
  <c r="L18" i="15"/>
  <c r="L16" i="15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5"/>
  <c r="M22" i="15" s="1"/>
  <c r="M22" i="23"/>
  <c r="N22" i="23" s="1"/>
  <c r="O22" i="23" s="1"/>
  <c r="M22" i="20"/>
  <c r="N22" i="20" s="1"/>
  <c r="O22" i="20" s="1"/>
  <c r="M25" i="24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28" i="15" s="1"/>
  <c r="K19" i="15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P31" i="21" l="1"/>
  <c r="P31" i="17"/>
  <c r="M18" i="15"/>
  <c r="M21" i="15"/>
  <c r="M24" i="16"/>
  <c r="N24" i="16" s="1"/>
  <c r="M17" i="15"/>
  <c r="M18" i="16"/>
  <c r="N18" i="16" s="1"/>
  <c r="O18" i="16" s="1"/>
  <c r="O18" i="15" s="1"/>
  <c r="L25" i="16"/>
  <c r="P29" i="16" s="1"/>
  <c r="M22" i="16"/>
  <c r="N22" i="16" s="1"/>
  <c r="N22" i="15" s="1"/>
  <c r="M16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31" i="16" l="1"/>
  <c r="O22" i="16"/>
  <c r="O22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<sst xmlns="http://schemas.openxmlformats.org/spreadsheetml/2006/main" count="1579" uniqueCount="127">
  <si>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</si>
  <si>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</si>
  <si>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</si>
  <si>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</si>
  <si>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</si>
  <si>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</si>
  <si>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</si>
  <si>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</si>
  <si>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</si>
  <si>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</si>
  <si>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</si>
  <si>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</si>
  <si>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</si>
  <si>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</si>
  <si>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</si>
  <si>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</si>
  <si>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</si>
  <si>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</si>
  <si>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</si>
  <si>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</si>
  <si>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</si>
  <si>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</si>
  <si>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</si>
  <si>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</si>
  <si>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</si>
  <si>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</si>
  <si>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</si>
  <si>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</si>
  <si>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</si>
  <si>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</si>
  <si>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</si>
  <si>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</si>
  <si>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</si>
  <si>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</si>
  <si>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</si>
  <si>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</si>
  <si>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</si>
  <si>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</si>
  <si>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</si>
  <si>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</si>
  <si>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</si>
  <si>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</si>
  <si>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</si>
  <si>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</si>
  <si>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</si>
  <si>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</si>
  <si>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</si>
  <si>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</si>
  <si>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</si>
  <si>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</si>
  <si>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</si>
  <si>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</si>
  <si>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</si>
  <si>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</si>
  <si>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</si>
  <si>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</si>
  <si>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</si>
  <si>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</si>
  <si>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</si>
  <si>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</si>
  <si>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</si>
  <si>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</si>
  <si>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</si>
  <si>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</si>
  <si>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</si>
  <si>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</si>
  <si>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</si>
  <si>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</si>
  <si>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</si>
  <si>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</si>
  <si>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</si>
  <si>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</si>
  <si>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</si>
  <si>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</si>
  <si>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</si>
  <si>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</si>
  <si>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</si>
  <si>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</si>
  <si>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</si>
  <si>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</si>
  <si>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</si>
  <si>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</si>
  <si>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</si>
  <si>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</si>
  <si>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</si>
  <si>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</si>
  <si>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</si>
  <si>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</si>
  <si>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</si>
  <si>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</si>
  <si>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</si>
  <si>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</si>
  <si>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</si>
  <si>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</si>
  <si>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</si>
  <si>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</si>
  <si>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</si>
  <si>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</si>
  <si>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</si>
  <si>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</si>
  <si>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</si>
  <si>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</si>
  <si>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</si>
  <si>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</si>
  <si>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</si>
  <si>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</si>
  <si>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</si>
  <si>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</si>
  <si>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</si>
  <si>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</si>
  <si>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</si>
  <si>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</si>
  <si>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</si>
  <si>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</si>
  <si>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</si>
  <si>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</si>
  <si>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</si>
  <si>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</si>
  <si>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</si>
  <si>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</si>
  <si>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</si>
  <si>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9725069-2</t>
  </si>
  <si>
    <t>327787628553-1</t>
  </si>
  <si>
    <t>Risen (muredky)</t>
  </si>
  <si>
    <t>Shop Bill Summary (Muredky)</t>
  </si>
  <si>
    <t>Customer Name : MS Rafaqat Son (Risen)</t>
  </si>
  <si>
    <t>Address: Muredky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</si>
</sst>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6" sqref="K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6" sqref="K16"/>
      <selection pane="topRight" activeCell="K16" sqref="K16"/>
      <selection pane="bottomLeft" activeCell="K16" sqref="K16"/>
      <selection pane="bottomRight" activeCell="K16" sqref="K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79"/>
      <c r="B3" s="179"/>
      <c r="C3" s="179"/>
      <c r="D3" s="179"/>
      <c r="E3" s="179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</row>
    <row r="4" spans="1:29" x14ac:dyDescent="0.35">
      <c r="A4" s="181" t="s">
        <v>6</v>
      </c>
      <c r="B4" s="5" t="s">
        <v>7</v>
      </c>
      <c r="C4" s="5"/>
      <c r="D4" s="183" t="s">
        <v>8</v>
      </c>
      <c r="E4" s="185" t="s">
        <v>9</v>
      </c>
      <c r="F4" s="187" t="s">
        <v>3</v>
      </c>
      <c r="G4" s="187"/>
      <c r="H4" s="188" t="s">
        <v>10</v>
      </c>
      <c r="I4" s="188"/>
      <c r="J4" s="189" t="s">
        <v>11</v>
      </c>
      <c r="K4" s="190"/>
      <c r="L4" s="189" t="s">
        <v>12</v>
      </c>
      <c r="M4" s="190"/>
      <c r="N4" s="191" t="s">
        <v>13</v>
      </c>
      <c r="O4" s="191"/>
      <c r="P4" s="189" t="s">
        <v>4</v>
      </c>
      <c r="Q4" s="190"/>
      <c r="R4" s="189" t="s">
        <v>14</v>
      </c>
      <c r="S4" s="190"/>
      <c r="T4" s="192" t="s">
        <v>15</v>
      </c>
      <c r="U4" s="192"/>
      <c r="V4" s="193" t="s">
        <v>16</v>
      </c>
      <c r="W4" s="194"/>
      <c r="X4" s="193" t="s">
        <v>17</v>
      </c>
      <c r="Y4" s="194"/>
    </row>
    <row r="5" spans="1:29" ht="26.25" customHeight="1" thickBot="1" x14ac:dyDescent="0.4">
      <c r="A5" s="182"/>
      <c r="B5" s="7" t="s">
        <v>18</v>
      </c>
      <c r="C5" s="7" t="s">
        <v>8</v>
      </c>
      <c r="D5" s="184"/>
      <c r="E5" s="186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5" t="s">
        <v>45</v>
      </c>
      <c r="B2" s="195"/>
      <c r="C2" s="195"/>
    </row>
    <row r="3" spans="1:21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0" t="s">
        <v>123</v>
      </c>
      <c r="B5" s="200"/>
      <c r="C5" s="200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21 16383:16384" ht="15" customHeight="1" x14ac:dyDescent="0.35">
      <c r="A6" s="200"/>
      <c r="B6" s="200"/>
      <c r="C6" s="200"/>
      <c r="F6" s="70"/>
      <c r="G6" s="74"/>
      <c r="K6" s="197" t="s">
        <v>52</v>
      </c>
      <c r="L6" s="197"/>
      <c r="M6" s="197"/>
      <c r="N6" s="199" t="s">
        <v>42</v>
      </c>
      <c r="O6" s="199"/>
      <c r="P6" s="19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21 16383:16384" hidden="1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21 16383:16384" x14ac:dyDescent="0.35">
      <c r="A10" s="202"/>
      <c r="B10" s="75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21 16383:16384" ht="15" thickBot="1" x14ac:dyDescent="0.4">
      <c r="A11" s="202"/>
      <c r="B11" s="76"/>
      <c r="C11" s="77"/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21 16383:16384" ht="14.65" customHeight="1" x14ac:dyDescent="0.35">
      <c r="A12" s="202"/>
      <c r="B12" s="76"/>
      <c r="C12" s="77"/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T12" s="211" t="s">
        <v>124</v>
      </c>
      <c r="U12" s="212"/>
      <c r="XFD12" t="s">
        <v>62</v>
      </c>
    </row>
    <row r="13" spans="1:21 16383:16384" ht="15" thickBot="1" x14ac:dyDescent="0.4">
      <c r="A13" s="239"/>
      <c r="J13" s="78"/>
      <c r="K13" s="78"/>
      <c r="L13" s="79">
        <v>0.05</v>
      </c>
      <c r="T13" s="213"/>
      <c r="U13" s="214"/>
      <c r="XFD13" t="s">
        <v>63</v>
      </c>
    </row>
    <row r="14" spans="1:21 16383:16384" ht="29.25" customHeight="1" x14ac:dyDescent="0.6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05" t="s">
        <v>68</v>
      </c>
      <c r="H14" s="206"/>
      <c r="I14" s="206" t="s">
        <v>69</v>
      </c>
      <c r="J14" s="206" t="s">
        <v>70</v>
      </c>
      <c r="K14" s="206"/>
      <c r="L14" s="208"/>
      <c r="M14" s="209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MS Rafaqat Son (Risen)</v>
      </c>
      <c r="U14" s="163">
        <f>+'1'!P35</f>
        <v>30097.956999600006</v>
      </c>
      <c r="XFD14" t="s">
        <v>75</v>
      </c>
    </row>
    <row r="15" spans="1:21 16383:16384" ht="29.25" customHeight="1" thickBot="1" x14ac:dyDescent="0.65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07"/>
      <c r="J15" s="170" t="s">
        <v>78</v>
      </c>
      <c r="K15" s="170" t="s">
        <v>79</v>
      </c>
      <c r="L15" s="173" t="s">
        <v>80</v>
      </c>
      <c r="M15" s="21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Smart Mart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</f>
        <v>80</v>
      </c>
      <c r="I16" s="1">
        <f>(G16*D16)*F16+H16*F16</f>
        <v>4197</v>
      </c>
      <c r="J16" s="171">
        <f>+'1'!J16+'2'!J16+'4'!J16+'3'!J16+'5'!J16+'6'!J16+'7'!J16+'8'!J16+'9'!J16+'10'!J16+'11'!J16+'12'!J16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587.58000000000004</v>
      </c>
      <c r="M16" s="105">
        <f>I16-K16-L16</f>
        <v>3462.5250000000001</v>
      </c>
      <c r="N16" s="100">
        <f>+'1'!N16+'2'!N16+'4'!N16+'3'!N16+'5'!N16+'6'!N16+'7'!N16+'8'!N16+'9'!N16+'10'!N16</f>
        <v>623.25450000000001</v>
      </c>
      <c r="O16" s="100">
        <f>+'1'!O16+'2'!O16+'4'!O16+'3'!O16+'5'!O16+'6'!O16+'7'!O16+'8'!O16+'9'!O16+'10'!O16</f>
        <v>20.428897500000001</v>
      </c>
      <c r="P16" s="104">
        <f t="shared" ref="P16:P24" si="0">M16+N16+O16</f>
        <v>4106.2083975000005</v>
      </c>
      <c r="Q16" s="107"/>
      <c r="T16" s="162" t="str">
        <f>+'4'!A5</f>
        <v>Customer Name : Nazeer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3462.5250000000001</v>
      </c>
      <c r="N17" s="100">
        <f>+'1'!N17+'2'!N17+'4'!N17+'3'!N17+'5'!N17+'6'!N17+'7'!N17+'8'!N17+'9'!N17+'10'!N17</f>
        <v>623.25450000000001</v>
      </c>
      <c r="O17" s="100">
        <f>+'1'!O17+'2'!O17+'4'!O17+'3'!O17+'5'!O17+'6'!O17+'7'!O17+'8'!O17+'9'!O17+'10'!O17</f>
        <v>20.428897500000001</v>
      </c>
      <c r="P17" s="119">
        <f t="shared" si="0"/>
        <v>4106.2083975000005</v>
      </c>
      <c r="S17" s="64"/>
      <c r="T17" s="162" t="str">
        <f>+'3'!A5</f>
        <v>Customer Name : Haneef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</f>
        <v>0</v>
      </c>
      <c r="I18" s="1">
        <f t="shared" si="1"/>
        <v>0</v>
      </c>
      <c r="J18" s="171">
        <f>+'1'!J18+'2'!J18+'4'!J18+'3'!J18+'5'!J18+'6'!J18+'7'!J18+'8'!J18+'9'!J18+'10'!J18+'11'!J18+'12'!J18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Tufail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</f>
        <v>80</v>
      </c>
      <c r="I19" s="1">
        <f t="shared" si="1"/>
        <v>5811.2</v>
      </c>
      <c r="J19" s="171">
        <f>+'1'!J19+'2'!J19+'4'!J19+'3'!J19+'5'!J19+'6'!J19+'7'!J19+'8'!J19+'9'!J19+'10'!J19+'11'!J19+'12'!J19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813.5680000000001</v>
      </c>
      <c r="M19" s="117">
        <f t="shared" si="2"/>
        <v>4794.24</v>
      </c>
      <c r="N19" s="100">
        <f>+'1'!N19+'2'!N19+'4'!N19+'3'!N19+'5'!N19+'6'!N19+'7'!N19+'8'!N19+'9'!N19+'10'!N19</f>
        <v>862.96319999999992</v>
      </c>
      <c r="O19" s="100">
        <f>+'1'!O19+'2'!O19+'4'!O19+'3'!O19+'5'!O19+'6'!O19+'7'!O19+'8'!O19+'9'!O19+'10'!O19</f>
        <v>28.286016</v>
      </c>
      <c r="P19" s="119">
        <f t="shared" si="0"/>
        <v>5685.4892159999999</v>
      </c>
      <c r="T19" s="162" t="str">
        <f>+'6'!A5</f>
        <v>Customer Name : Sadat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</f>
        <v>80</v>
      </c>
      <c r="I20" s="1">
        <f t="shared" si="1"/>
        <v>5811.2</v>
      </c>
      <c r="J20" s="171">
        <f>+'1'!J20+'2'!J20+'4'!J20+'3'!J20+'5'!J20+'6'!J20+'7'!J20+'8'!J20+'9'!J20+'10'!J20+'11'!J20+'12'!J20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813.5680000000001</v>
      </c>
      <c r="M20" s="117">
        <f t="shared" si="2"/>
        <v>4794.24</v>
      </c>
      <c r="N20" s="100">
        <f>+'1'!N20+'2'!N20+'4'!N20+'3'!N20+'5'!N20+'6'!N20+'7'!N20+'8'!N20+'9'!N20+'10'!N20</f>
        <v>862.96319999999992</v>
      </c>
      <c r="O20" s="100">
        <f>+'1'!O20+'2'!O20+'4'!O20+'3'!O20+'5'!O20+'6'!O20+'7'!O20+'8'!O20+'9'!O20+'10'!O20</f>
        <v>28.286016</v>
      </c>
      <c r="P20" s="119">
        <f t="shared" si="0"/>
        <v>5685.4892159999999</v>
      </c>
      <c r="T20" s="162" t="str">
        <f>+'7'!A5</f>
        <v>Customer Name : Araf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</f>
        <v>80</v>
      </c>
      <c r="I21" s="1">
        <f t="shared" si="1"/>
        <v>5811.2</v>
      </c>
      <c r="J21" s="171">
        <f>+'1'!J21+'2'!J21+'4'!J21+'3'!J21+'5'!J21+'6'!J21+'7'!J21+'8'!J21+'9'!J21+'10'!J21+'11'!J21+'12'!J21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813.5680000000001</v>
      </c>
      <c r="M21" s="117">
        <f t="shared" si="2"/>
        <v>4794.24</v>
      </c>
      <c r="N21" s="100">
        <f>+'1'!N21+'2'!N21+'4'!N21+'3'!N21+'5'!N21+'6'!N21+'7'!N21+'8'!N21+'9'!N21+'10'!N21</f>
        <v>862.96319999999992</v>
      </c>
      <c r="O21" s="100">
        <f>+'1'!O21+'2'!O21+'4'!O21+'3'!O21+'5'!O21+'6'!O21+'7'!O21+'8'!O21+'9'!O21+'10'!O21</f>
        <v>28.286016</v>
      </c>
      <c r="P21" s="119">
        <f t="shared" si="0"/>
        <v>5685.4892159999999</v>
      </c>
      <c r="T21" s="162" t="str">
        <f>+'8'!A5</f>
        <v>Customer Name : Nafees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</f>
        <v>120</v>
      </c>
      <c r="I22" s="1">
        <f t="shared" si="1"/>
        <v>4707.6000000000004</v>
      </c>
      <c r="J22" s="171">
        <f>+'1'!J22+'2'!J22+'4'!J22+'3'!J22+'5'!J22+'6'!J22+'7'!J22+'8'!J22+'9'!J22+'10'!J22+'11'!J22+'12'!J22</f>
        <v>0</v>
      </c>
      <c r="K22" s="171">
        <f>+'1'!K22+'2'!K22+'4'!K22+'3'!K22+'5'!K22+'6'!K22+'7'!K22+'8'!K22+'9'!K22+'10'!K22</f>
        <v>164.76600000000002</v>
      </c>
      <c r="L22" s="174">
        <f>+'1'!L22+'2'!L22+'4'!L22+'3'!L22+'5'!L22+'6'!L22+'7'!L22+'8'!L22+'9'!L22+'10'!L22</f>
        <v>470.76000000000005</v>
      </c>
      <c r="M22" s="117">
        <f t="shared" si="2"/>
        <v>4072.0740000000005</v>
      </c>
      <c r="N22" s="100">
        <f>+'1'!N22+'2'!N22+'4'!N22+'3'!N22+'5'!N22+'6'!N22+'7'!N22+'8'!N22+'9'!N22+'10'!N22</f>
        <v>732.97332000000006</v>
      </c>
      <c r="O22" s="100">
        <f>+'1'!O22+'2'!O22+'4'!O22+'3'!O22+'5'!O22+'6'!O22+'7'!O22+'8'!O22+'9'!O22+'10'!O22</f>
        <v>24.025236600000003</v>
      </c>
      <c r="P22" s="119">
        <f t="shared" si="0"/>
        <v>4829.072556600001</v>
      </c>
      <c r="T22" s="162" t="str">
        <f>+'9'!A5</f>
        <v>Customer Name : Rehman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</f>
        <v>0</v>
      </c>
      <c r="I23" s="1">
        <f t="shared" si="1"/>
        <v>0</v>
      </c>
      <c r="J23" s="171">
        <f>+'1'!J23+'2'!J23+'4'!J23+'3'!J23+'5'!J23+'6'!J23+'7'!J23+'8'!J23+'9'!J23+'10'!J23+'11'!J23+'12'!J23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Tuqeer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</f>
        <v>0</v>
      </c>
      <c r="I24" s="1">
        <f>(G24*D24)*F24+H24*F24</f>
        <v>0</v>
      </c>
      <c r="J24" s="171">
        <f>+'1'!J24+'2'!J24+'4'!J24+'3'!J24+'5'!J24+'6'!J24+'7'!J24+'8'!J24+'9'!J24+'10'!J24+'11'!J24+'12'!J24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</v>
      </c>
      <c r="U24" s="163">
        <f>+'11'!P35</f>
        <v>0</v>
      </c>
    </row>
    <row r="25" spans="1:21 16384:16384" ht="26.5" thickBot="1" x14ac:dyDescent="0.65">
      <c r="A25" s="221" t="s">
        <v>84</v>
      </c>
      <c r="B25" s="222"/>
      <c r="C25" s="223"/>
      <c r="D25" s="217"/>
      <c r="E25" s="217"/>
      <c r="F25" s="217"/>
      <c r="G25" s="175">
        <f t="shared" ref="G25:M25" si="3">SUM(G16:G24)</f>
        <v>0</v>
      </c>
      <c r="H25" s="176">
        <f t="shared" si="3"/>
        <v>520</v>
      </c>
      <c r="I25" s="177">
        <f t="shared" si="3"/>
        <v>30535.200000000004</v>
      </c>
      <c r="J25" s="176">
        <f t="shared" si="3"/>
        <v>0</v>
      </c>
      <c r="K25" s="177">
        <f t="shared" si="3"/>
        <v>1068.7320000000002</v>
      </c>
      <c r="L25" s="178">
        <f t="shared" si="3"/>
        <v>4086.6240000000007</v>
      </c>
      <c r="M25" s="140">
        <f t="shared" si="3"/>
        <v>25379.843999999997</v>
      </c>
      <c r="N25" s="141">
        <f>SUM(N16:N24)</f>
        <v>4568.3719200000005</v>
      </c>
      <c r="O25" s="142">
        <f>SUM(O16:O24)</f>
        <v>149.74107960000001</v>
      </c>
      <c r="P25" s="143">
        <f>SUM(P16:P24)</f>
        <v>30097.956999600003</v>
      </c>
      <c r="T25" s="162" t="str">
        <f>+'12'!A5</f>
        <v xml:space="preserve">Customer Name : </v>
      </c>
      <c r="U25" s="163">
        <f>+'12'!P35</f>
        <v>0</v>
      </c>
    </row>
    <row r="26" spans="1:21 16384:16384" ht="26.5" thickBot="1" x14ac:dyDescent="0.6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  <c r="T26" s="165" t="s">
        <v>84</v>
      </c>
      <c r="U26" s="164">
        <f>SUM(U14:U25)</f>
        <v>30097.956999600006</v>
      </c>
    </row>
    <row r="27" spans="1:21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1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30535.200000000004</v>
      </c>
    </row>
    <row r="29" spans="1:21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4086.6240000000007</v>
      </c>
    </row>
    <row r="30" spans="1:21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1068.7320000000002</v>
      </c>
    </row>
    <row r="31" spans="1:21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25379.844000000005</v>
      </c>
    </row>
    <row r="32" spans="1:21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4568.3719200000005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29948.215920000006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748.70539800000017</v>
      </c>
    </row>
    <row r="35" spans="2:16" ht="15.75" customHeight="1" thickBot="1" x14ac:dyDescent="0.4">
      <c r="N35" s="215" t="s">
        <v>92</v>
      </c>
      <c r="O35" s="216"/>
      <c r="P35" s="159">
        <f>P33+P34</f>
        <v>30696.921318000008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1001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125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126</v>
      </c>
      <c r="B6" s="197"/>
      <c r="C6" s="197"/>
      <c r="F6" s="70"/>
      <c r="G6" s="74"/>
      <c r="K6" s="197" t="s">
        <v>52</v>
      </c>
      <c r="L6" s="197"/>
      <c r="M6" s="197"/>
      <c r="N6" s="199" t="s">
        <v>105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121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167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 t="shared" ref="O16:O24" si="1">(N16+M16)*$O$15</f>
        <v>20.428897500000001</v>
      </c>
      <c r="P16" s="104">
        <f t="shared" ref="P16:P24" si="2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3">(G17*D17)*F17+H17*F17</f>
        <v>4197</v>
      </c>
      <c r="J17" s="116"/>
      <c r="K17" s="103">
        <f t="shared" ref="K17:K23" si="4">I17*3.5%</f>
        <v>146.89500000000001</v>
      </c>
      <c r="L17" s="104">
        <f t="shared" ref="L17:L21" si="5">I17*14%</f>
        <v>587.58000000000004</v>
      </c>
      <c r="M17" s="117">
        <f t="shared" ref="M17:M23" si="6">I17-K17-L17</f>
        <v>3462.5250000000001</v>
      </c>
      <c r="N17" s="117">
        <f t="shared" si="0"/>
        <v>623.25450000000001</v>
      </c>
      <c r="O17" s="118">
        <f t="shared" si="1"/>
        <v>20.428897500000001</v>
      </c>
      <c r="P17" s="119">
        <f t="shared" si="2"/>
        <v>4106.2083975000005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813.5680000000001</v>
      </c>
      <c r="M19" s="117">
        <f t="shared" si="6"/>
        <v>4794.24</v>
      </c>
      <c r="N19" s="117">
        <f t="shared" si="0"/>
        <v>862.96319999999992</v>
      </c>
      <c r="O19" s="118">
        <f t="shared" si="1"/>
        <v>28.286016</v>
      </c>
      <c r="P19" s="119">
        <f t="shared" si="2"/>
        <v>5685.4892159999999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813.5680000000001</v>
      </c>
      <c r="M20" s="117">
        <f t="shared" si="6"/>
        <v>4794.24</v>
      </c>
      <c r="N20" s="117">
        <f t="shared" si="0"/>
        <v>862.96319999999992</v>
      </c>
      <c r="O20" s="118">
        <f t="shared" si="1"/>
        <v>28.286016</v>
      </c>
      <c r="P20" s="119">
        <f t="shared" si="2"/>
        <v>5685.4892159999999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813.5680000000001</v>
      </c>
      <c r="M21" s="117">
        <f t="shared" si="6"/>
        <v>4794.24</v>
      </c>
      <c r="N21" s="117">
        <f t="shared" si="0"/>
        <v>862.96319999999992</v>
      </c>
      <c r="O21" s="118">
        <f t="shared" si="1"/>
        <v>28.286016</v>
      </c>
      <c r="P21" s="119">
        <f t="shared" si="2"/>
        <v>5685.4892159999999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00">
        <v>120</v>
      </c>
      <c r="I22" s="115">
        <f t="shared" si="3"/>
        <v>4707.6000000000004</v>
      </c>
      <c r="J22" s="116"/>
      <c r="K22" s="103">
        <f t="shared" si="4"/>
        <v>164.76600000000002</v>
      </c>
      <c r="L22" s="119">
        <f>I22*10%</f>
        <v>470.76000000000005</v>
      </c>
      <c r="M22" s="117">
        <f t="shared" si="6"/>
        <v>4072.0740000000005</v>
      </c>
      <c r="N22" s="117">
        <f t="shared" si="0"/>
        <v>732.97332000000006</v>
      </c>
      <c r="O22" s="118">
        <f t="shared" si="1"/>
        <v>24.025236600000003</v>
      </c>
      <c r="P22" s="119">
        <f t="shared" si="2"/>
        <v>4829.072556600001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00"/>
      <c r="I23" s="115">
        <f t="shared" si="3"/>
        <v>0</v>
      </c>
      <c r="J23" s="116"/>
      <c r="K23" s="103">
        <f t="shared" si="4"/>
        <v>0</v>
      </c>
      <c r="L23" s="119">
        <f t="shared" ref="L23:L24" si="7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00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520</v>
      </c>
      <c r="I25" s="136">
        <f t="shared" si="9"/>
        <v>30535.200000000004</v>
      </c>
      <c r="J25" s="137"/>
      <c r="K25" s="138">
        <f t="shared" si="9"/>
        <v>1068.7320000000002</v>
      </c>
      <c r="L25" s="139">
        <f t="shared" si="9"/>
        <v>4086.6240000000007</v>
      </c>
      <c r="M25" s="140">
        <f t="shared" si="9"/>
        <v>25379.843999999997</v>
      </c>
      <c r="N25" s="141">
        <f>SUM(N16:N24)</f>
        <v>4568.3719200000005</v>
      </c>
      <c r="O25" s="142">
        <f>SUM(O16:O24)</f>
        <v>149.74107960000001</v>
      </c>
      <c r="P25" s="143">
        <f>SUM(P16:P24)</f>
        <v>30097.956999600003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30535.200000000004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4086.6240000000007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1068.7320000000002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25379.844000000005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0.18</v>
      </c>
      <c r="P32" s="152">
        <f>N25</f>
        <v>4568.3719200000005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29948.215920000006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149.74107960000003</v>
      </c>
    </row>
    <row r="35" spans="2:16" ht="15.75" customHeight="1" thickBot="1" x14ac:dyDescent="0.4">
      <c r="N35" s="215" t="s">
        <v>92</v>
      </c>
      <c r="O35" s="216"/>
      <c r="P35" s="159">
        <f>P33+P34</f>
        <v>30097.956999600006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2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106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107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50</v>
      </c>
      <c r="C11" s="77" t="str">
        <f>IF($O34&gt;2.49%,"No","Yes")</f>
        <v>No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4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108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107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168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50</v>
      </c>
      <c r="C11" s="77" t="str">
        <f>IF($O34&gt;2.49%,"No","Yes")</f>
        <v>No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3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109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110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50</v>
      </c>
      <c r="C11" s="77" t="str">
        <f>IF($O34&gt;2.49%,"No","Yes")</f>
        <v>No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0.18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5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111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112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168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50</v>
      </c>
      <c r="C11" s="77" t="str">
        <f>IF($O34&gt;2.49%,"No","Yes")</f>
        <v>No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6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113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114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50</v>
      </c>
      <c r="C11" s="77" t="str">
        <f>IF($O34&gt;2.49%,"No","Yes")</f>
        <v>No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7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115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116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168">
        <v>3520242563059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8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117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118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50</v>
      </c>
      <c r="C11" s="77" t="str">
        <f>IF($O34&gt;2.49%,"No","Yes")</f>
        <v>No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9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119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116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166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50</v>
      </c>
      <c r="C11" s="77" t="str">
        <f>IF($O34&gt;2.49%,"No","Yes")</f>
        <v>No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120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116</v>
      </c>
      <c r="B6" s="197"/>
      <c r="C6" s="197"/>
      <c r="F6" s="70"/>
      <c r="G6" s="74"/>
      <c r="K6" s="197" t="s">
        <v>52</v>
      </c>
      <c r="L6" s="197"/>
      <c r="M6" s="197"/>
      <c r="N6" s="199" t="s">
        <v>44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>
        <v>3628249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97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/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50</v>
      </c>
      <c r="C11" s="77" t="str">
        <f>IF($O34&gt;2.49%,"No","Yes")</f>
        <v>No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5" t="s">
        <v>45</v>
      </c>
      <c r="B2" s="195"/>
      <c r="C2" s="195"/>
    </row>
    <row r="3" spans="1:19 16383:16384" ht="15" customHeight="1" x14ac:dyDescent="0.35">
      <c r="A3" s="196" t="s">
        <v>46</v>
      </c>
      <c r="B3" s="196"/>
      <c r="C3" s="196"/>
      <c r="F3" s="70"/>
      <c r="G3" s="71"/>
      <c r="K3" s="197" t="s">
        <v>47</v>
      </c>
      <c r="L3" s="197"/>
      <c r="M3" s="197"/>
      <c r="N3" s="196">
        <v>10</v>
      </c>
      <c r="O3" s="196"/>
      <c r="P3" s="19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6" t="s">
        <v>94</v>
      </c>
      <c r="B4" s="196"/>
      <c r="C4" s="196"/>
      <c r="F4" s="70"/>
      <c r="G4" s="71"/>
      <c r="K4" s="197" t="s">
        <v>49</v>
      </c>
      <c r="L4" s="197"/>
      <c r="M4" s="197"/>
      <c r="N4" s="198">
        <f ca="1">TODAY()</f>
        <v>46211</v>
      </c>
      <c r="O4" s="198"/>
      <c r="P4" s="19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2" t="s">
        <v>95</v>
      </c>
      <c r="B5" s="242"/>
      <c r="C5" s="242"/>
      <c r="F5" s="70"/>
      <c r="G5" s="71"/>
      <c r="K5" s="197" t="s">
        <v>51</v>
      </c>
      <c r="L5" s="197"/>
      <c r="M5" s="197"/>
      <c r="N5" s="198">
        <f ca="1">N4-1</f>
        <v>46210</v>
      </c>
      <c r="O5" s="196"/>
      <c r="P5" s="196"/>
      <c r="R5" s="70"/>
      <c r="S5" s="71"/>
    </row>
    <row r="6" spans="1:19 16383:16384" ht="15" customHeight="1" x14ac:dyDescent="0.35">
      <c r="A6" s="197" t="s">
        <v>99</v>
      </c>
      <c r="B6" s="197"/>
      <c r="C6" s="197"/>
      <c r="F6" s="70"/>
      <c r="G6" s="74"/>
      <c r="K6" s="197" t="s">
        <v>52</v>
      </c>
      <c r="L6" s="197"/>
      <c r="M6" s="197"/>
      <c r="N6" s="199" t="s">
        <v>101</v>
      </c>
      <c r="O6" s="199"/>
      <c r="P6" s="19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7"/>
      <c r="B7" s="197"/>
      <c r="C7" s="197"/>
      <c r="F7" s="70"/>
      <c r="G7" s="74"/>
      <c r="K7" s="197"/>
      <c r="L7" s="197"/>
      <c r="M7" s="197"/>
      <c r="N7" s="199"/>
      <c r="O7" s="199"/>
      <c r="P7" s="19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1"/>
      <c r="B8" s="201"/>
      <c r="C8" s="201"/>
      <c r="F8" s="70"/>
      <c r="G8" s="74"/>
      <c r="K8" s="197"/>
      <c r="L8" s="197"/>
      <c r="M8" s="197"/>
      <c r="N8" s="199"/>
      <c r="O8" s="199"/>
      <c r="P8" s="199"/>
      <c r="R8" s="70"/>
      <c r="S8" s="74"/>
    </row>
    <row r="9" spans="1:19 16383:16384" x14ac:dyDescent="0.35">
      <c r="A9" s="201"/>
      <c r="B9" s="201"/>
      <c r="C9" s="201"/>
      <c r="F9" s="70"/>
      <c r="G9" s="74"/>
      <c r="K9" s="197"/>
      <c r="L9" s="197"/>
      <c r="M9" s="197"/>
      <c r="N9" s="199"/>
      <c r="O9" s="199"/>
      <c r="P9" s="199"/>
      <c r="R9" s="70"/>
      <c r="S9" s="74"/>
      <c r="XFD9" t="s">
        <v>55</v>
      </c>
    </row>
    <row r="10" spans="1:19 16383:16384" x14ac:dyDescent="0.35">
      <c r="A10" s="202" t="s">
        <v>96</v>
      </c>
      <c r="B10" s="75" t="s">
        <v>100</v>
      </c>
      <c r="C10" s="75"/>
      <c r="F10" s="70"/>
      <c r="G10" s="71"/>
      <c r="K10" s="197" t="s">
        <v>56</v>
      </c>
      <c r="L10" s="197"/>
      <c r="M10" s="197"/>
      <c r="N10" s="196" t="s">
        <v>57</v>
      </c>
      <c r="O10" s="196"/>
      <c r="P10" s="196"/>
      <c r="R10" s="70"/>
      <c r="S10" s="71"/>
      <c r="XFD10" t="s">
        <v>58</v>
      </c>
    </row>
    <row r="11" spans="1:19 16383:16384" x14ac:dyDescent="0.35">
      <c r="A11" s="202"/>
      <c r="B11" s="76" t="s">
        <v>48</v>
      </c>
      <c r="C11" s="77" t="str">
        <f>IF($O34&gt;2.49%,"No","Yes")</f>
        <v>Yes</v>
      </c>
      <c r="F11" s="70"/>
      <c r="G11" s="71"/>
      <c r="K11" s="197" t="s">
        <v>59</v>
      </c>
      <c r="L11" s="197"/>
      <c r="M11" s="197"/>
      <c r="N11" s="196" t="s">
        <v>55</v>
      </c>
      <c r="O11" s="196"/>
      <c r="P11" s="196"/>
      <c r="R11" s="70"/>
      <c r="S11" s="71"/>
    </row>
    <row r="12" spans="1:19 16383:16384" ht="14.65" customHeight="1" x14ac:dyDescent="0.35">
      <c r="A12" s="202" t="s">
        <v>60</v>
      </c>
      <c r="B12" s="76" t="s">
        <v>54</v>
      </c>
      <c r="C12" s="77" t="str">
        <f>IF($O32&gt;21.99%,"No","Yes")</f>
        <v>No</v>
      </c>
      <c r="F12" s="70"/>
      <c r="G12" s="71"/>
      <c r="K12" s="197" t="s">
        <v>61</v>
      </c>
      <c r="L12" s="197"/>
      <c r="M12" s="197"/>
      <c r="N12" s="196"/>
      <c r="O12" s="196"/>
      <c r="P12" s="196"/>
      <c r="R12" s="70"/>
      <c r="S12" s="71"/>
      <c r="XFD12" t="s">
        <v>62</v>
      </c>
    </row>
    <row r="13" spans="1:19 16383:16384" ht="15" thickBot="1" x14ac:dyDescent="0.4">
      <c r="A13" s="239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09"/>
      <c r="C14" s="203" t="s">
        <v>65</v>
      </c>
      <c r="D14" s="80" t="s">
        <v>2</v>
      </c>
      <c r="E14" s="81" t="s">
        <v>66</v>
      </c>
      <c r="F14" s="82" t="s">
        <v>67</v>
      </c>
      <c r="G14" s="243" t="s">
        <v>68</v>
      </c>
      <c r="H14" s="244"/>
      <c r="I14" s="245" t="s">
        <v>69</v>
      </c>
      <c r="J14" s="243" t="s">
        <v>70</v>
      </c>
      <c r="K14" s="247"/>
      <c r="L14" s="244"/>
      <c r="M14" s="2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10"/>
      <c r="C15" s="20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6"/>
      <c r="J15" s="88" t="s">
        <v>78</v>
      </c>
      <c r="K15" s="90" t="s">
        <v>79</v>
      </c>
      <c r="L15" s="249">
        <v>0.14000000000000001</v>
      </c>
      <c r="M15" s="246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3" si="3">I17*3.5%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 t="shared" si="3"/>
        <v>0</v>
      </c>
      <c r="L22" s="119">
        <f>I22*10%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03">
        <f t="shared" si="3"/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ref="K23:K24" si="8">I24*3.5%</f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1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2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3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2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2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5" t="s">
        <v>92</v>
      </c>
      <c r="O35" s="216"/>
      <c r="P35" s="159">
        <f>P33+P34</f>
        <v>0</v>
      </c>
    </row>
    <row r="36" spans="2:16" ht="15" thickBot="1" x14ac:dyDescent="0.4">
      <c r="B36" s="160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2026-07-08T07:56:52Z</dcterms:modified>
</cp:coreProperties>
</file>