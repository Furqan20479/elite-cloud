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4759632A-EF1D-4E49-A8D8-79AAC8223F8E}" xr6:coauthVersionLast="47" xr6:coauthVersionMax="47" xr10:uidLastSave="{00000000-0000-0000-0000-000000000000}"/>
  <bookViews>
    <workbookView xWindow="-110" yWindow="-110" windowWidth="19420" windowHeight="10420" tabRatio="949" activeTab="4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16" i="17"/>
  <c r="L18" i="17"/>
  <c r="L20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5" i="17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9" i="17" l="1"/>
  <c r="L17" i="17"/>
  <c r="K23" i="24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K16" i="16"/>
  <c r="K16" i="15" s="1"/>
  <c r="L16" i="16"/>
  <c r="L16" i="15" s="1"/>
  <c r="K18" i="16"/>
  <c r="L18" i="16"/>
  <c r="L21" i="15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6"/>
  <c r="N16" i="16" s="1"/>
  <c r="M16" i="15"/>
  <c r="M22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6" i="15" l="1"/>
  <c r="N22" i="15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<sst xmlns="http://schemas.openxmlformats.org/spreadsheetml/2006/main" count="1581" uniqueCount="107">
  <si>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</si>
  <si>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</si>
  <si>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</si>
  <si>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</si>
  <si>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</si>
  <si>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</si>
  <si>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</si>
  <si>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</si>
  <si>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</si>
  <si>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</si>
  <si>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</si>
  <si>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</si>
  <si>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</si>
  <si>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</si>
  <si>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</si>
  <si>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</si>
  <si>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</si>
  <si>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</si>
  <si>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</si>
  <si>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</si>
  <si>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</si>
  <si>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</si>
  <si>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</si>
  <si>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</si>
  <si>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</si>
  <si>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</si>
  <si>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</si>
  <si>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</si>
  <si>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</si>
  <si>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</si>
  <si>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</si>
  <si>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</si>
  <si>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</si>
  <si>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</si>
  <si>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</si>
  <si>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</si>
  <si>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</si>
  <si>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</si>
  <si>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</si>
  <si>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</si>
  <si>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</si>
  <si>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</si>
  <si>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</si>
  <si>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</si>
  <si>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</si>
  <si>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</si>
  <si>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</si>
  <si>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</si>
  <si>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</si>
  <si>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</si>
  <si>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</si>
  <si>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</si>
  <si>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</si>
  <si>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</si>
  <si>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</si>
  <si>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</si>
  <si>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</si>
  <si>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</si>
  <si>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</si>
  <si>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</si>
  <si>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</si>
  <si>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</si>
  <si>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</si>
  <si>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</si>
  <si>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</si>
  <si>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</si>
  <si>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</si>
  <si>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</si>
  <si>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</si>
  <si>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</si>
  <si>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</si>
  <si>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</si>
  <si>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</si>
  <si>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</si>
  <si>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</si>
  <si>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</si>
  <si>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</si>
  <si>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</si>
  <si>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</si>
  <si>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</si>
  <si>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</si>
  <si>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</si>
  <si>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</si>
  <si>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</si>
  <si>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</si>
  <si>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</si>
  <si>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</si>
  <si>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</si>
  <si>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</si>
  <si>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</si>
  <si>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</si>
  <si>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</si>
  <si>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</si>
  <si>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</si>
  <si>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</si>
  <si>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</si>
  <si>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</si>
  <si>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</si>
  <si>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</si>
  <si>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</si>
  <si>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</si>
  <si>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</si>
  <si>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4987374-2</t>
  </si>
  <si>
    <t>Manavan (Risen)</t>
  </si>
  <si>
    <t>Shop Bill Summary (Manavan (Risen))</t>
  </si>
  <si>
    <t>Customer Name : Manawa (Risen)</t>
  </si>
  <si>
    <t>Address: Manawan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</si>
</sst>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2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6" sqref="H2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6" sqref="H26"/>
      <selection pane="topRight" activeCell="H26" sqref="H26"/>
      <selection pane="bottomLeft" activeCell="H26" sqref="H26"/>
      <selection pane="bottomRight" activeCell="H26" sqref="H2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2"/>
      <c r="B3" s="182"/>
      <c r="C3" s="182"/>
      <c r="D3" s="182"/>
      <c r="E3" s="182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</row>
    <row r="4" spans="1:29" x14ac:dyDescent="0.35">
      <c r="A4" s="184" t="s">
        <v>6</v>
      </c>
      <c r="B4" s="5" t="s">
        <v>7</v>
      </c>
      <c r="C4" s="5"/>
      <c r="D4" s="186" t="s">
        <v>8</v>
      </c>
      <c r="E4" s="188" t="s">
        <v>9</v>
      </c>
      <c r="F4" s="190" t="s">
        <v>3</v>
      </c>
      <c r="G4" s="190"/>
      <c r="H4" s="191" t="s">
        <v>10</v>
      </c>
      <c r="I4" s="191"/>
      <c r="J4" s="192" t="s">
        <v>11</v>
      </c>
      <c r="K4" s="193"/>
      <c r="L4" s="192" t="s">
        <v>12</v>
      </c>
      <c r="M4" s="193"/>
      <c r="N4" s="194" t="s">
        <v>13</v>
      </c>
      <c r="O4" s="194"/>
      <c r="P4" s="192" t="s">
        <v>4</v>
      </c>
      <c r="Q4" s="193"/>
      <c r="R4" s="192" t="s">
        <v>14</v>
      </c>
      <c r="S4" s="193"/>
      <c r="T4" s="195" t="s">
        <v>15</v>
      </c>
      <c r="U4" s="195"/>
      <c r="V4" s="196" t="s">
        <v>16</v>
      </c>
      <c r="W4" s="197"/>
      <c r="X4" s="196" t="s">
        <v>17</v>
      </c>
      <c r="Y4" s="197"/>
    </row>
    <row r="5" spans="1:29" ht="26.25" customHeight="1" thickBot="1" x14ac:dyDescent="0.4">
      <c r="A5" s="185"/>
      <c r="B5" s="7" t="s">
        <v>18</v>
      </c>
      <c r="C5" s="7" t="s">
        <v>8</v>
      </c>
      <c r="D5" s="187"/>
      <c r="E5" s="18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8" t="s">
        <v>45</v>
      </c>
      <c r="B2" s="198"/>
      <c r="C2" s="198"/>
    </row>
    <row r="3" spans="1:21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3" t="s">
        <v>103</v>
      </c>
      <c r="B5" s="203"/>
      <c r="C5" s="203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21 16383:16384" ht="15" customHeight="1" x14ac:dyDescent="0.35">
      <c r="A6" s="203"/>
      <c r="B6" s="203"/>
      <c r="C6" s="203"/>
      <c r="F6" s="70"/>
      <c r="G6" s="74"/>
      <c r="K6" s="200" t="s">
        <v>52</v>
      </c>
      <c r="L6" s="200"/>
      <c r="M6" s="200"/>
      <c r="N6" s="202" t="s">
        <v>42</v>
      </c>
      <c r="O6" s="202"/>
      <c r="P6" s="20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21 16383:16384" hidden="1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21 16383:16384" x14ac:dyDescent="0.35">
      <c r="A10" s="205"/>
      <c r="B10" s="75"/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21 16383:16384" ht="15" thickBot="1" x14ac:dyDescent="0.4">
      <c r="A11" s="205"/>
      <c r="B11" s="76"/>
      <c r="C11" s="77"/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21 16383:16384" ht="14.65" customHeight="1" x14ac:dyDescent="0.35">
      <c r="A12" s="205"/>
      <c r="B12" s="76"/>
      <c r="C12" s="77"/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T12" s="214" t="s">
        <v>104</v>
      </c>
      <c r="U12" s="215"/>
      <c r="XFD12" t="s">
        <v>62</v>
      </c>
    </row>
    <row r="13" spans="1:21 16383:16384" ht="15" thickBot="1" x14ac:dyDescent="0.4">
      <c r="A13" s="242"/>
      <c r="J13" s="78"/>
      <c r="K13" s="78"/>
      <c r="L13" s="79">
        <v>0.05</v>
      </c>
      <c r="T13" s="216"/>
      <c r="U13" s="217"/>
      <c r="XFD13" t="s">
        <v>63</v>
      </c>
    </row>
    <row r="14" spans="1:21 16383:16384" ht="29.25" customHeight="1" x14ac:dyDescent="0.6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08" t="s">
        <v>68</v>
      </c>
      <c r="H14" s="209"/>
      <c r="I14" s="209" t="s">
        <v>69</v>
      </c>
      <c r="J14" s="209" t="s">
        <v>70</v>
      </c>
      <c r="K14" s="209"/>
      <c r="L14" s="211"/>
      <c r="M14" s="21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Manawa (Risen)</v>
      </c>
      <c r="U14" s="163">
        <f>+'1'!P35</f>
        <v>25744.067839499996</v>
      </c>
      <c r="XFD14" t="s">
        <v>75</v>
      </c>
    </row>
    <row r="15" spans="1:21 16383:16384" ht="29.25" customHeight="1" thickBot="1" x14ac:dyDescent="0.65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10"/>
      <c r="J15" s="169" t="s">
        <v>78</v>
      </c>
      <c r="K15" s="169" t="s">
        <v>79</v>
      </c>
      <c r="L15" s="172" t="s">
        <v>80</v>
      </c>
      <c r="M15" s="21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Manawa (Risen)</v>
      </c>
      <c r="U15" s="163">
        <f>+'2'!P35</f>
        <v>13424.082630749999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</f>
        <v>120</v>
      </c>
      <c r="I16" s="1">
        <f>(G16*D16)*F16+H16*F16</f>
        <v>6295.5</v>
      </c>
      <c r="J16" s="170">
        <f>+'1'!J16+'2'!J16+'4'!J16+'3'!J16+'5'!J16+'6'!J16+'7'!J16+'8'!J16+'9'!J16+'10'!J16+'11'!J16+'12'!J16+'13'!J16+'14'!J16+'15'!J16+'16'!J16+'17'!J16+'18'!J16</f>
        <v>6</v>
      </c>
      <c r="K16" s="170">
        <f>+'1'!K16+'2'!K16+'4'!K16+'3'!K16+'5'!K16+'6'!K16+'7'!K16+'8'!K16+'9'!K16+'10'!K16</f>
        <v>0</v>
      </c>
      <c r="L16" s="173">
        <f>+'1'!L16+'2'!L16+'4'!L16+'3'!L16+'5'!L16+'6'!L16+'7'!L16+'8'!L16+'9'!L16+'10'!L16</f>
        <v>881.37000000000012</v>
      </c>
      <c r="M16" s="105">
        <f>I16-K16-L16</f>
        <v>5414.13</v>
      </c>
      <c r="N16" s="100">
        <f>+'1'!N16+'2'!N16+'4'!N16+'3'!N16+'5'!N16+'6'!N16+'7'!N16+'8'!N16+'9'!N16+'10'!N16</f>
        <v>1031.2029</v>
      </c>
      <c r="O16" s="100">
        <f>+'1'!O16+'2'!O16+'4'!O16+'3'!O16+'5'!O16+'6'!O16+'7'!O16+'8'!O16+'9'!O16+'10'!O16</f>
        <v>32.226664500000005</v>
      </c>
      <c r="P16" s="104">
        <f t="shared" ref="P16:P24" si="0">M16+N16+O16</f>
        <v>6477.5595645000003</v>
      </c>
      <c r="Q16" s="107"/>
      <c r="T16" s="162" t="str">
        <f>+'4'!A5</f>
        <v>Customer Name : Manawa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</f>
        <v>120</v>
      </c>
      <c r="I17" s="1">
        <f t="shared" ref="I17:I23" si="1">(G17*D17)*F17+H17*F17</f>
        <v>6295.5</v>
      </c>
      <c r="J17" s="170">
        <f>+'1'!J17+'2'!J17+'4'!J17+'3'!J17+'5'!J17+'6'!J17+'7'!J17+'8'!J17+'9'!J17+'10'!J17+'11'!J17+'12'!J17+'13'!J17+'14'!J17+'15'!J17+'16'!J17+'17'!J17+'18'!J17</f>
        <v>4</v>
      </c>
      <c r="K17" s="170">
        <f>+'1'!K17+'2'!K17+'4'!K17+'3'!K17+'5'!K17+'6'!K17+'7'!K17+'8'!K17+'9'!K17+'10'!K17</f>
        <v>73.447500000000005</v>
      </c>
      <c r="L17" s="173">
        <f>+'1'!L17+'2'!L17+'4'!L17+'3'!L17+'5'!L17+'6'!L17+'7'!L17+'8'!L17+'9'!L17+'10'!L17</f>
        <v>881.37000000000012</v>
      </c>
      <c r="M17" s="117">
        <f t="shared" ref="M17:M23" si="2">I17-K17-L17</f>
        <v>5340.6824999999999</v>
      </c>
      <c r="N17" s="100">
        <f>+'1'!N17+'2'!N17+'4'!N17+'3'!N17+'5'!N17+'6'!N17+'7'!N17+'8'!N17+'9'!N17+'10'!N17</f>
        <v>999.09585000000004</v>
      </c>
      <c r="O17" s="100">
        <f>+'1'!O17+'2'!O17+'4'!O17+'3'!O17+'5'!O17+'6'!O17+'7'!O17+'8'!O17+'9'!O17+'10'!O17</f>
        <v>31.698891750000001</v>
      </c>
      <c r="P17" s="119">
        <f t="shared" si="0"/>
        <v>6371.4772417499998</v>
      </c>
      <c r="S17" s="64"/>
      <c r="T17" s="162" t="str">
        <f>+'3'!A5</f>
        <v>Customer Name : Manawa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Manawa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0">
        <f>+'1'!J19+'2'!J19+'4'!J19+'3'!J19+'5'!J19+'6'!J19+'7'!J19+'8'!J19+'9'!J19+'10'!J19+'11'!J19+'12'!J19+'13'!J19+'14'!J19+'15'!J19+'16'!J19+'17'!J19+'18'!J19</f>
        <v>2</v>
      </c>
      <c r="K19" s="170">
        <f>+'1'!K19+'2'!K19+'4'!K19+'3'!K19+'5'!K19+'6'!K19+'7'!K19+'8'!K19+'9'!K19+'10'!K19</f>
        <v>101.69600000000001</v>
      </c>
      <c r="L19" s="173">
        <f>+'1'!L19+'2'!L19+'4'!L19+'3'!L19+'5'!L19+'6'!L19+'7'!L19+'8'!L19+'9'!L19+'10'!L19</f>
        <v>813.5680000000001</v>
      </c>
      <c r="M19" s="117">
        <f t="shared" si="2"/>
        <v>4895.9359999999997</v>
      </c>
      <c r="N19" s="100">
        <f>+'1'!N19+'2'!N19+'4'!N19+'3'!N19+'5'!N19+'6'!N19+'7'!N19+'8'!N19+'9'!N19+'10'!N19</f>
        <v>907.41887999999994</v>
      </c>
      <c r="O19" s="100">
        <f>+'1'!O19+'2'!O19+'4'!O19+'3'!O19+'5'!O19+'6'!O19+'7'!O19+'8'!O19+'9'!O19+'10'!O19</f>
        <v>29.016774399999999</v>
      </c>
      <c r="P19" s="119">
        <f t="shared" si="0"/>
        <v>5832.3716543999999</v>
      </c>
      <c r="T19" s="162" t="str">
        <f>+'6'!A5</f>
        <v>Customer Name : Manawa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0">
        <f>+'1'!J20+'2'!J20+'4'!J20+'3'!J20+'5'!J20+'6'!J20+'7'!J20+'8'!J20+'9'!J20+'10'!J20+'11'!J20+'12'!J20+'13'!J20+'14'!J20+'15'!J20+'16'!J20+'17'!J20+'18'!J20</f>
        <v>2</v>
      </c>
      <c r="K20" s="170">
        <f>+'1'!K20+'2'!K20+'4'!K20+'3'!K20+'5'!K20+'6'!K20+'7'!K20+'8'!K20+'9'!K20+'10'!K20</f>
        <v>0</v>
      </c>
      <c r="L20" s="173">
        <f>+'1'!L20+'2'!L20+'4'!L20+'3'!L20+'5'!L20+'6'!L20+'7'!L20+'8'!L20+'9'!L20+'10'!L20</f>
        <v>406.78400000000005</v>
      </c>
      <c r="M20" s="117">
        <f t="shared" si="2"/>
        <v>2498.8159999999998</v>
      </c>
      <c r="N20" s="100">
        <f>+'1'!N20+'2'!N20+'4'!N20+'3'!N20+'5'!N20+'6'!N20+'7'!N20+'8'!N20+'9'!N20+'10'!N20</f>
        <v>475.93727999999993</v>
      </c>
      <c r="O20" s="100">
        <f>+'1'!O20+'2'!O20+'4'!O20+'3'!O20+'5'!O20+'6'!O20+'7'!O20+'8'!O20+'9'!O20+'10'!O20</f>
        <v>14.873766399999999</v>
      </c>
      <c r="P20" s="119">
        <f t="shared" si="0"/>
        <v>2989.6270463999999</v>
      </c>
      <c r="T20" s="162" t="str">
        <f>+'7'!A5</f>
        <v>Customer Name : Manawa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</f>
        <v>240</v>
      </c>
      <c r="I21" s="1">
        <f t="shared" si="1"/>
        <v>17433.599999999999</v>
      </c>
      <c r="J21" s="170">
        <f>+'1'!J21+'2'!J21+'4'!J21+'3'!J21+'5'!J21+'6'!J21+'7'!J21+'8'!J21+'9'!J21+'10'!J21+'11'!J21+'12'!J21+'13'!J21+'14'!J21+'15'!J21+'16'!J21+'17'!J21+'18'!J21</f>
        <v>6</v>
      </c>
      <c r="K21" s="170">
        <f>+'1'!K21+'2'!K21+'4'!K21+'3'!K21+'5'!K21+'6'!K21+'7'!K21+'8'!K21+'9'!K21+'10'!K21</f>
        <v>305.08800000000002</v>
      </c>
      <c r="L21" s="173">
        <f>+'1'!L21+'2'!L21+'4'!L21+'3'!L21+'5'!L21+'6'!L21+'7'!L21+'8'!L21+'9'!L21+'10'!L21</f>
        <v>2440.7040000000002</v>
      </c>
      <c r="M21" s="117">
        <f t="shared" si="2"/>
        <v>14687.807999999999</v>
      </c>
      <c r="N21" s="100">
        <f>+'1'!N21+'2'!N21+'4'!N21+'3'!N21+'5'!N21+'6'!N21+'7'!N21+'8'!N21+'9'!N21+'10'!N21</f>
        <v>2722.2566399999996</v>
      </c>
      <c r="O21" s="100">
        <f>+'1'!O21+'2'!O21+'4'!O21+'3'!O21+'5'!O21+'6'!O21+'7'!O21+'8'!O21+'9'!O21+'10'!O21</f>
        <v>87.050323199999994</v>
      </c>
      <c r="P21" s="119">
        <f t="shared" si="0"/>
        <v>17497.114963199998</v>
      </c>
      <c r="T21" s="162" t="str">
        <f>+'8'!A5</f>
        <v>Customer Name : Manawa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Manawa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Manawa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Manawa (Risen)</v>
      </c>
      <c r="U24" s="163">
        <f>+'11'!P35</f>
        <v>0</v>
      </c>
    </row>
    <row r="25" spans="1:21 16384:16384" ht="26.5" thickBot="1" x14ac:dyDescent="0.65">
      <c r="A25" s="224" t="s">
        <v>84</v>
      </c>
      <c r="B25" s="225"/>
      <c r="C25" s="226">
        <f>H25/40</f>
        <v>15</v>
      </c>
      <c r="D25" s="220"/>
      <c r="E25" s="220"/>
      <c r="F25" s="220"/>
      <c r="G25" s="174">
        <f t="shared" ref="G25:M25" si="3">SUM(G16:G24)</f>
        <v>0</v>
      </c>
      <c r="H25" s="175">
        <f t="shared" si="3"/>
        <v>600</v>
      </c>
      <c r="I25" s="176">
        <f t="shared" si="3"/>
        <v>38741.399999999994</v>
      </c>
      <c r="J25" s="175">
        <f t="shared" si="3"/>
        <v>20</v>
      </c>
      <c r="K25" s="176">
        <f t="shared" si="3"/>
        <v>480.23150000000004</v>
      </c>
      <c r="L25" s="177">
        <f t="shared" si="3"/>
        <v>5423.7960000000003</v>
      </c>
      <c r="M25" s="140">
        <f t="shared" si="3"/>
        <v>32837.372499999998</v>
      </c>
      <c r="N25" s="141">
        <f>SUM(N16:N24)</f>
        <v>6135.9115499999998</v>
      </c>
      <c r="O25" s="142">
        <f>SUM(O16:O24)</f>
        <v>194.86642024999998</v>
      </c>
      <c r="P25" s="143">
        <f>SUM(P16:P24)</f>
        <v>39168.150470249995</v>
      </c>
      <c r="T25" s="162" t="str">
        <f>+'12'!A5</f>
        <v>Customer Name : Manawa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Manawa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Manawa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Manawa (Risen)</v>
      </c>
      <c r="U28" s="180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/>
      <c r="U29" s="180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39168.150470249995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7" t="s">
        <v>85</v>
      </c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N32" s="236" t="s">
        <v>86</v>
      </c>
      <c r="O32" s="237"/>
      <c r="P32" s="151">
        <f>I25</f>
        <v>38741.399999999994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N33" s="238" t="s">
        <v>87</v>
      </c>
      <c r="O33" s="239"/>
      <c r="P33" s="152">
        <f>L25</f>
        <v>5423.7960000000003</v>
      </c>
    </row>
    <row r="34" spans="2:16" ht="15" customHeight="1" x14ac:dyDescent="0.35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N34" s="238" t="s">
        <v>4</v>
      </c>
      <c r="O34" s="239"/>
      <c r="P34" s="153">
        <f>K25</f>
        <v>480.23150000000004</v>
      </c>
    </row>
    <row r="35" spans="2:16" ht="15" customHeight="1" x14ac:dyDescent="0.35">
      <c r="B35" s="230"/>
      <c r="C35" s="231"/>
      <c r="D35" s="231"/>
      <c r="E35" s="231"/>
      <c r="F35" s="231"/>
      <c r="G35" s="231"/>
      <c r="H35" s="231"/>
      <c r="I35" s="231"/>
      <c r="J35" s="231"/>
      <c r="K35" s="231"/>
      <c r="L35" s="232"/>
      <c r="M35" s="2"/>
      <c r="N35" s="238" t="s">
        <v>88</v>
      </c>
      <c r="O35" s="239"/>
      <c r="P35" s="152">
        <f>P32-P33-P34</f>
        <v>32837.37249999999</v>
      </c>
    </row>
    <row r="36" spans="2:16" ht="15" customHeight="1" x14ac:dyDescent="0.35">
      <c r="B36" s="230"/>
      <c r="C36" s="231"/>
      <c r="D36" s="231"/>
      <c r="E36" s="231"/>
      <c r="F36" s="231"/>
      <c r="G36" s="231"/>
      <c r="H36" s="231"/>
      <c r="I36" s="231"/>
      <c r="J36" s="231"/>
      <c r="K36" s="231"/>
      <c r="L36" s="232"/>
      <c r="M36" s="2"/>
      <c r="N36" s="154" t="s">
        <v>89</v>
      </c>
      <c r="O36" s="155">
        <f>IF(B12="Registered",18%,22%)</f>
        <v>0.22</v>
      </c>
      <c r="P36" s="152">
        <f>N25</f>
        <v>6135.9115499999998</v>
      </c>
    </row>
    <row r="37" spans="2:16" ht="15" customHeight="1" x14ac:dyDescent="0.35">
      <c r="B37" s="230"/>
      <c r="C37" s="231"/>
      <c r="D37" s="231"/>
      <c r="E37" s="231"/>
      <c r="F37" s="231"/>
      <c r="G37" s="231"/>
      <c r="H37" s="231"/>
      <c r="I37" s="231"/>
      <c r="J37" s="231"/>
      <c r="K37" s="231"/>
      <c r="L37" s="232"/>
      <c r="M37" s="2"/>
      <c r="N37" s="240" t="s">
        <v>90</v>
      </c>
      <c r="O37" s="241"/>
      <c r="P37" s="152">
        <f>P35+P36</f>
        <v>38973.284049999987</v>
      </c>
    </row>
    <row r="38" spans="2:16" ht="15" customHeight="1" thickBot="1" x14ac:dyDescent="0.4">
      <c r="B38" s="233"/>
      <c r="C38" s="234"/>
      <c r="D38" s="234"/>
      <c r="E38" s="234"/>
      <c r="F38" s="234"/>
      <c r="G38" s="234"/>
      <c r="H38" s="234"/>
      <c r="I38" s="234"/>
      <c r="J38" s="234"/>
      <c r="K38" s="234"/>
      <c r="L38" s="235"/>
      <c r="M38" s="156"/>
      <c r="N38" s="157" t="s">
        <v>91</v>
      </c>
      <c r="O38" s="158">
        <f>IF(B11="Filer",0.5%,2.5%)</f>
        <v>2.5000000000000001E-2</v>
      </c>
      <c r="P38" s="152">
        <f>O38*P37</f>
        <v>974.33210124999971</v>
      </c>
    </row>
    <row r="39" spans="2:16" ht="15.75" customHeight="1" thickBot="1" x14ac:dyDescent="0.4">
      <c r="N39" s="218" t="s">
        <v>92</v>
      </c>
      <c r="O39" s="219"/>
      <c r="P39" s="159">
        <f>P37+P38</f>
        <v>39947.616151249989</v>
      </c>
    </row>
    <row r="40" spans="2:16" ht="15" thickBot="1" x14ac:dyDescent="0.4">
      <c r="B40" s="160" t="s">
        <v>93</v>
      </c>
      <c r="C40" s="220"/>
      <c r="D40" s="220"/>
      <c r="E40" s="220"/>
      <c r="F40" s="220"/>
      <c r="G40" s="220"/>
      <c r="H40" s="220"/>
      <c r="I40" s="221"/>
      <c r="J40" s="222"/>
      <c r="K40" s="223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1002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101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</v>
      </c>
      <c r="I16" s="101">
        <f>(G16*D16)*F16+H16*F16</f>
        <v>6295.5</v>
      </c>
      <c r="J16" s="102">
        <v>6</v>
      </c>
      <c r="K16" s="103">
        <f>I16*$K$13</f>
        <v>0</v>
      </c>
      <c r="L16" s="104">
        <f>I16*14%</f>
        <v>881.37000000000012</v>
      </c>
      <c r="M16" s="105">
        <f>I16-K16-L16</f>
        <v>5414.13</v>
      </c>
      <c r="N16" s="105">
        <f t="shared" ref="N16:N24" si="0">(M16*$N$15)+(J16*F16)*$N$15</f>
        <v>1031.2029</v>
      </c>
      <c r="O16" s="106">
        <f t="shared" ref="O16:O24" si="1">(N16+M16)*$O$15</f>
        <v>32.226664500000005</v>
      </c>
      <c r="P16" s="104">
        <f t="shared" ref="P16:P24" si="2">M16+N16+O16</f>
        <v>6477.5595645000003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I17*14%</f>
        <v>587.58000000000004</v>
      </c>
      <c r="M17" s="117">
        <f t="shared" ref="M17:M23" si="6">I17-K17-L17</f>
        <v>3609.42</v>
      </c>
      <c r="N17" s="117">
        <f t="shared" si="0"/>
        <v>687.46860000000004</v>
      </c>
      <c r="O17" s="118">
        <f t="shared" si="1"/>
        <v>21.484443000000002</v>
      </c>
      <c r="P17" s="119">
        <f t="shared" si="2"/>
        <v>4318.3730430000005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>
        <v>2</v>
      </c>
      <c r="K19" s="1">
        <f t="shared" si="4"/>
        <v>0</v>
      </c>
      <c r="L19" s="104">
        <f t="shared" si="5"/>
        <v>406.78400000000005</v>
      </c>
      <c r="M19" s="117">
        <f t="shared" si="6"/>
        <v>2498.8159999999998</v>
      </c>
      <c r="N19" s="117">
        <f t="shared" si="0"/>
        <v>475.93727999999993</v>
      </c>
      <c r="O19" s="118">
        <f t="shared" si="1"/>
        <v>14.873766399999999</v>
      </c>
      <c r="P19" s="119">
        <f t="shared" si="2"/>
        <v>2989.6270463999999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>
        <v>2</v>
      </c>
      <c r="K20" s="1">
        <f t="shared" si="4"/>
        <v>0</v>
      </c>
      <c r="L20" s="104">
        <f t="shared" si="5"/>
        <v>406.78400000000005</v>
      </c>
      <c r="M20" s="117">
        <f t="shared" si="6"/>
        <v>2498.8159999999998</v>
      </c>
      <c r="N20" s="117">
        <f t="shared" si="0"/>
        <v>475.93727999999993</v>
      </c>
      <c r="O20" s="118">
        <f t="shared" si="1"/>
        <v>14.873766399999999</v>
      </c>
      <c r="P20" s="119">
        <f t="shared" si="2"/>
        <v>2989.6270463999999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16">
        <v>6</v>
      </c>
      <c r="K21" s="1">
        <f t="shared" si="4"/>
        <v>0</v>
      </c>
      <c r="L21" s="104">
        <f t="shared" si="5"/>
        <v>1220.3520000000001</v>
      </c>
      <c r="M21" s="117">
        <f t="shared" si="6"/>
        <v>7496.4479999999994</v>
      </c>
      <c r="N21" s="117">
        <f t="shared" si="0"/>
        <v>1427.8118399999998</v>
      </c>
      <c r="O21" s="118">
        <f t="shared" si="1"/>
        <v>44.621299199999996</v>
      </c>
      <c r="P21" s="119">
        <f t="shared" si="2"/>
        <v>8968.8811391999989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400</v>
      </c>
      <c r="I25" s="136">
        <f t="shared" si="9"/>
        <v>25020.5</v>
      </c>
      <c r="J25" s="137"/>
      <c r="K25" s="138">
        <f t="shared" si="9"/>
        <v>0</v>
      </c>
      <c r="L25" s="139">
        <f t="shared" si="9"/>
        <v>3502.8700000000008</v>
      </c>
      <c r="M25" s="140">
        <f t="shared" si="9"/>
        <v>21517.629999999997</v>
      </c>
      <c r="N25" s="141">
        <f>SUM(N16:N24)</f>
        <v>4098.3579</v>
      </c>
      <c r="O25" s="142">
        <f>SUM(O16:O24)</f>
        <v>128.07993949999999</v>
      </c>
      <c r="P25" s="143">
        <f>SUM(P16:P24)</f>
        <v>25744.0678395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25020.5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3502.8700000000008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21517.629999999997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0.18</v>
      </c>
      <c r="P32" s="152">
        <f>N25</f>
        <v>4098.3579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25615.987899999996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128.07993949999999</v>
      </c>
    </row>
    <row r="35" spans="2:16" ht="15.75" customHeight="1" thickBot="1" x14ac:dyDescent="0.4">
      <c r="N35" s="218" t="s">
        <v>92</v>
      </c>
      <c r="O35" s="219"/>
      <c r="P35" s="159">
        <f>P33+P34</f>
        <v>25744.067839499996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A5" workbookViewId="0">
      <selection activeCell="I11" sqref="I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1002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v>46214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>N4-1</f>
        <v>46213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101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102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2">(G17*D17)*F17+H17*F17</f>
        <v>2098.5</v>
      </c>
      <c r="J17" s="116"/>
      <c r="K17" s="103">
        <f t="shared" ref="K17:K21" si="3">I17*3.5%</f>
        <v>73.447500000000005</v>
      </c>
      <c r="L17" s="104">
        <f t="shared" ref="L17:L21" si="4">I17*14%</f>
        <v>293.79000000000002</v>
      </c>
      <c r="M17" s="117">
        <f t="shared" ref="M17:M23" si="5">I17-K17-L17</f>
        <v>1731.2625</v>
      </c>
      <c r="N17" s="117">
        <f t="shared" si="0"/>
        <v>311.62725</v>
      </c>
      <c r="O17" s="118">
        <f t="shared" ref="O17:O24" si="6">(N17+M17)*$O$15</f>
        <v>10.214448750000001</v>
      </c>
      <c r="P17" s="119">
        <f t="shared" si="1"/>
        <v>2053.1041987500003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2"/>
        <v>2905.6</v>
      </c>
      <c r="J19" s="116"/>
      <c r="K19" s="103">
        <f t="shared" si="3"/>
        <v>101.69600000000001</v>
      </c>
      <c r="L19" s="104">
        <f t="shared" si="4"/>
        <v>406.78400000000005</v>
      </c>
      <c r="M19" s="117">
        <f t="shared" si="5"/>
        <v>2397.12</v>
      </c>
      <c r="N19" s="117">
        <f t="shared" si="0"/>
        <v>431.48159999999996</v>
      </c>
      <c r="O19" s="118">
        <f t="shared" si="6"/>
        <v>14.143008</v>
      </c>
      <c r="P19" s="119">
        <f t="shared" si="1"/>
        <v>2842.744608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2"/>
        <v>8716.7999999999993</v>
      </c>
      <c r="J21" s="116"/>
      <c r="K21" s="103">
        <f t="shared" si="3"/>
        <v>305.08800000000002</v>
      </c>
      <c r="L21" s="104">
        <f t="shared" si="4"/>
        <v>1220.3520000000001</v>
      </c>
      <c r="M21" s="117">
        <f t="shared" si="5"/>
        <v>7191.36</v>
      </c>
      <c r="N21" s="117">
        <f t="shared" si="0"/>
        <v>1294.4448</v>
      </c>
      <c r="O21" s="118">
        <f t="shared" si="6"/>
        <v>42.429023999999998</v>
      </c>
      <c r="P21" s="119">
        <f t="shared" si="1"/>
        <v>8528.233823999999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200</v>
      </c>
      <c r="I25" s="136">
        <f t="shared" si="9"/>
        <v>13720.9</v>
      </c>
      <c r="J25" s="137"/>
      <c r="K25" s="138">
        <f t="shared" si="9"/>
        <v>480.23150000000004</v>
      </c>
      <c r="L25" s="139">
        <f t="shared" si="9"/>
        <v>1920.9260000000002</v>
      </c>
      <c r="M25" s="140">
        <f t="shared" si="9"/>
        <v>11319.7425</v>
      </c>
      <c r="N25" s="141">
        <f>SUM(N16:N24)</f>
        <v>2037.5536499999998</v>
      </c>
      <c r="O25" s="142">
        <f>SUM(O16:O24)</f>
        <v>66.786480749999996</v>
      </c>
      <c r="P25" s="143">
        <f>SUM(P16:P24)</f>
        <v>13424.082630749999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13720.9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1920.9260000000002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480.23150000000004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11319.7425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0.18</v>
      </c>
      <c r="P32" s="152">
        <f>N25</f>
        <v>2037.5536499999998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13357.29615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66.786480749999996</v>
      </c>
    </row>
    <row r="35" spans="2:16" ht="15.75" customHeight="1" thickBot="1" x14ac:dyDescent="0.4">
      <c r="N35" s="218" t="s">
        <v>92</v>
      </c>
      <c r="O35" s="219"/>
      <c r="P35" s="159">
        <f>P33+P34</f>
        <v>13424.082630749999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6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78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46237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105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46236</v>
      </c>
      <c r="O5" s="199"/>
      <c r="P5" s="199"/>
      <c r="R5" s="70"/>
      <c r="S5" s="71"/>
    </row>
    <row r="6" spans="1:19 16383:16384" ht="15" customHeight="1" x14ac:dyDescent="0.35">
      <c r="A6" s="200" t="s">
        <v>106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102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0.14000000000000001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2026-08-03T11:21:25Z</dcterms:modified>
</cp:coreProperties>
</file>