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DAB5B0D-C014-4732-B8C8-810313377733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7" l="1"/>
  <c r="J18" i="17"/>
  <c r="J19" i="17"/>
  <c r="J19" i="15" s="1"/>
  <c r="J20" i="17"/>
  <c r="J20" i="15" s="1"/>
  <c r="J21" i="17"/>
  <c r="J16" i="17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L17" i="34" s="1"/>
  <c r="I18" i="34"/>
  <c r="I19" i="34"/>
  <c r="L19" i="34" s="1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L19" i="33" s="1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K18" i="34"/>
  <c r="L18" i="34"/>
  <c r="K21" i="34"/>
  <c r="L21" i="34"/>
  <c r="K22" i="34"/>
  <c r="L22" i="34"/>
  <c r="K23" i="34"/>
  <c r="M23" i="34"/>
  <c r="L23" i="34"/>
  <c r="K24" i="34"/>
  <c r="K21" i="33"/>
  <c r="L21" i="33"/>
  <c r="K22" i="33"/>
  <c r="L22" i="33"/>
  <c r="K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L19" i="31"/>
  <c r="K21" i="31"/>
  <c r="L21" i="31"/>
  <c r="K24" i="31"/>
  <c r="L24" i="31"/>
  <c r="M24" i="31" s="1"/>
  <c r="K16" i="31"/>
  <c r="L16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L20" i="34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K20" i="26"/>
  <c r="K21" i="26"/>
  <c r="L21" i="26"/>
  <c r="K24" i="26"/>
  <c r="L24" i="26"/>
  <c r="M24" i="26" s="1"/>
  <c r="L16" i="26"/>
  <c r="T23" i="15"/>
  <c r="T22" i="15"/>
  <c r="T21" i="15"/>
  <c r="T20" i="15"/>
  <c r="T19" i="15"/>
  <c r="T18" i="15"/>
  <c r="T17" i="15"/>
  <c r="T16" i="15"/>
  <c r="T15" i="15"/>
  <c r="T14" i="15"/>
  <c r="L18" i="26" l="1"/>
  <c r="K25" i="34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L17" i="25" s="1"/>
  <c r="I18" i="25"/>
  <c r="K18" i="25" s="1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L18" i="25"/>
  <c r="K17" i="24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18" i="16" l="1"/>
  <c r="L18" i="16"/>
  <c r="K16" i="16"/>
  <c r="L16" i="16"/>
  <c r="L16" i="15" s="1"/>
  <c r="L21" i="16"/>
  <c r="L21" i="15" s="1"/>
  <c r="K20" i="16"/>
  <c r="L20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16" i="15"/>
  <c r="M21" i="15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18" i="15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<sst xmlns="http://schemas.openxmlformats.org/spreadsheetml/2006/main" count="1598" uniqueCount="107">
  <si>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</si>
  <si>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</si>
  <si>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</si>
  <si>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</si>
  <si>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</si>
  <si>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</si>
  <si>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</si>
  <si>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</si>
  <si>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</si>
  <si>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</si>
  <si>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</si>
  <si>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</si>
  <si>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</si>
  <si>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</si>
  <si>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</si>
  <si>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</si>
  <si>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</si>
  <si>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</si>
  <si>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</si>
  <si>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</si>
  <si>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</si>
  <si>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</si>
  <si>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</si>
  <si>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</si>
  <si>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</si>
  <si>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</si>
  <si>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</si>
  <si>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</si>
  <si>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</si>
  <si>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</si>
  <si>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</si>
  <si>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</si>
  <si>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</si>
  <si>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</si>
  <si>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</si>
  <si>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</si>
  <si>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</si>
  <si>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</si>
  <si>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</si>
  <si>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</si>
  <si>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</si>
  <si>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</si>
  <si>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</si>
  <si>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</si>
  <si>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</si>
  <si>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</si>
  <si>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</si>
  <si>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</si>
  <si>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</si>
  <si>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</si>
  <si>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</si>
  <si>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</si>
  <si>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</si>
  <si>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</si>
  <si>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</si>
  <si>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</si>
  <si>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</si>
  <si>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</si>
  <si>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</si>
  <si>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</si>
  <si>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</si>
  <si>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</si>
  <si>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</si>
  <si>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</si>
  <si>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</si>
  <si>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</si>
  <si>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</si>
  <si>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</si>
  <si>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</si>
  <si>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</si>
  <si>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</si>
  <si>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</si>
  <si>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</si>
  <si>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</si>
  <si>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</si>
  <si>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</si>
  <si>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</si>
  <si>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</si>
  <si>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</si>
  <si>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</si>
  <si>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</si>
  <si>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</si>
  <si>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</si>
  <si>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</si>
  <si>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</si>
  <si>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</si>
  <si>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</si>
  <si>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</si>
  <si>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</si>
  <si>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</si>
  <si>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</si>
  <si>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</si>
  <si>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</si>
  <si>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</si>
  <si>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</si>
  <si>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</si>
  <si>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</si>
  <si>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</si>
  <si>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</si>
  <si>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</si>
  <si>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</si>
  <si>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</si>
  <si>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VIP</t>
  </si>
  <si>
    <t>Shop Bill Summary (VIP)</t>
  </si>
  <si>
    <t>Address: Zarar Shaheed Road Sadar</t>
  </si>
  <si>
    <t>Customer Name : VIP General Store</t>
  </si>
  <si>
    <t>7974614-2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</si>
</sst>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3" zoomScale="70" zoomScaleNormal="70" workbookViewId="0">
      <selection activeCell="S15" sqref="S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1" t="s">
        <v>45</v>
      </c>
      <c r="B2" s="201"/>
      <c r="C2" s="201"/>
    </row>
    <row r="3" spans="1:21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6" t="s">
        <v>102</v>
      </c>
      <c r="B5" s="206"/>
      <c r="C5" s="206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21 16383:16384" ht="15" customHeight="1" x14ac:dyDescent="0.35">
      <c r="A6" s="206"/>
      <c r="B6" s="206"/>
      <c r="C6" s="206"/>
      <c r="F6" s="70"/>
      <c r="G6" s="74"/>
      <c r="K6" s="203" t="s">
        <v>52</v>
      </c>
      <c r="L6" s="203"/>
      <c r="M6" s="203"/>
      <c r="N6" s="205" t="s">
        <v>42</v>
      </c>
      <c r="O6" s="205"/>
      <c r="P6" s="205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21 16383:16384" hidden="1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21 16383:16384" x14ac:dyDescent="0.35">
      <c r="A10" s="208"/>
      <c r="B10" s="75"/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21 16383:16384" ht="15" thickBot="1" x14ac:dyDescent="0.4">
      <c r="A11" s="208"/>
      <c r="B11" s="76"/>
      <c r="C11" s="77"/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21 16383:16384" ht="14.65" customHeight="1" x14ac:dyDescent="0.35">
      <c r="A12" s="208"/>
      <c r="B12" s="76"/>
      <c r="C12" s="77"/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T12" s="217" t="s">
        <v>103</v>
      </c>
      <c r="U12" s="218"/>
      <c r="XFD12" t="s">
        <v>62</v>
      </c>
    </row>
    <row r="13" spans="1:21 16383:16384" ht="15" thickBot="1" x14ac:dyDescent="0.4">
      <c r="A13" s="245"/>
      <c r="J13" s="78"/>
      <c r="K13" s="78"/>
      <c r="L13" s="79">
        <v>0.05</v>
      </c>
      <c r="T13" s="219"/>
      <c r="U13" s="220"/>
      <c r="XFD13" t="s">
        <v>63</v>
      </c>
    </row>
    <row r="14" spans="1:21 16383:16384" ht="29.25" customHeight="1" x14ac:dyDescent="0.6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11" t="s">
        <v>68</v>
      </c>
      <c r="H14" s="212"/>
      <c r="I14" s="212" t="s">
        <v>69</v>
      </c>
      <c r="J14" s="212" t="s">
        <v>70</v>
      </c>
      <c r="K14" s="212"/>
      <c r="L14" s="214"/>
      <c r="M14" s="215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VIP General Store</v>
      </c>
      <c r="U14" s="164">
        <f>+'1'!P35</f>
        <v>55053.757209599993</v>
      </c>
      <c r="XFD14" t="s">
        <v>75</v>
      </c>
    </row>
    <row r="15" spans="1:21 16383:16384" ht="29.25" customHeight="1" thickBot="1" x14ac:dyDescent="0.65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3"/>
      <c r="J15" s="171" t="s">
        <v>78</v>
      </c>
      <c r="K15" s="171" t="s">
        <v>79</v>
      </c>
      <c r="L15" s="174" t="s">
        <v>80</v>
      </c>
      <c r="M15" s="21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VIP General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VIP General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VIP General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VIP General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240</v>
      </c>
      <c r="I19" s="1">
        <f t="shared" si="1"/>
        <v>17433.599999999999</v>
      </c>
      <c r="J19" s="172">
        <f>+'1'!J19+'2'!J19+'4'!J19+'3'!J19+'5'!J19+'6'!J19+'7'!J19+'8'!J19+'9'!J19+'10'!J19+'11'!J19+'12'!J19+'13'!J19+'14'!J19+'15'!J19+'16'!J19+'17'!J19+'18'!J19</f>
        <v>12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2092.0319999999997</v>
      </c>
      <c r="M19" s="118">
        <f t="shared" si="2"/>
        <v>15341.567999999999</v>
      </c>
      <c r="N19" s="101">
        <f>+'1'!N19+'2'!N19+'4'!N19+'3'!N19+'5'!N19+'6'!N19+'7'!N19+'8'!N19+'9'!N19+'10'!N19</f>
        <v>2918.3846399999998</v>
      </c>
      <c r="O19" s="101">
        <f>+'1'!O19+'2'!O19+'4'!O19+'3'!O19+'5'!O19+'6'!O19+'7'!O19+'8'!O19+'9'!O19+'10'!O19</f>
        <v>91.299763200000001</v>
      </c>
      <c r="P19" s="120">
        <f t="shared" si="0"/>
        <v>18351.2524032</v>
      </c>
      <c r="T19" s="163" t="str">
        <f>+'6'!A5</f>
        <v>Customer Name : VIP General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240</v>
      </c>
      <c r="I20" s="1">
        <f t="shared" si="1"/>
        <v>17433.599999999999</v>
      </c>
      <c r="J20" s="172">
        <f>+'1'!J20+'2'!J20+'4'!J20+'3'!J20+'5'!J20+'6'!J20+'7'!J20+'8'!J20+'9'!J20+'10'!J20+'11'!J20+'12'!J20+'13'!J20+'14'!J20+'15'!J20+'16'!J20+'17'!J20+'18'!J20</f>
        <v>12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2092.0319999999997</v>
      </c>
      <c r="M20" s="118">
        <f t="shared" si="2"/>
        <v>15341.567999999999</v>
      </c>
      <c r="N20" s="101">
        <f>+'1'!N20+'2'!N20+'4'!N20+'3'!N20+'5'!N20+'6'!N20+'7'!N20+'8'!N20+'9'!N20+'10'!N20</f>
        <v>2918.3846399999998</v>
      </c>
      <c r="O20" s="101">
        <f>+'1'!O20+'2'!O20+'4'!O20+'3'!O20+'5'!O20+'6'!O20+'7'!O20+'8'!O20+'9'!O20+'10'!O20</f>
        <v>91.299763200000001</v>
      </c>
      <c r="P20" s="120">
        <f t="shared" si="0"/>
        <v>18351.2524032</v>
      </c>
      <c r="T20" s="163" t="str">
        <f>+'7'!A5</f>
        <v>Customer Name : VIP General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240</v>
      </c>
      <c r="I21" s="1">
        <f t="shared" si="1"/>
        <v>17433.599999999999</v>
      </c>
      <c r="J21" s="172">
        <f>+'1'!J21+'2'!J21+'4'!J21+'3'!J21+'5'!J21+'6'!J21+'7'!J21+'8'!J21+'9'!J21+'10'!J21+'11'!J21+'12'!J21+'13'!J21+'14'!J21+'15'!J21+'16'!J21+'17'!J21+'18'!J21</f>
        <v>12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2092.0319999999997</v>
      </c>
      <c r="M21" s="118">
        <f t="shared" si="2"/>
        <v>15341.567999999999</v>
      </c>
      <c r="N21" s="101">
        <f>+'1'!N21+'2'!N21+'4'!N21+'3'!N21+'5'!N21+'6'!N21+'7'!N21+'8'!N21+'9'!N21+'10'!N21</f>
        <v>2918.3846399999998</v>
      </c>
      <c r="O21" s="101">
        <f>+'1'!O21+'2'!O21+'4'!O21+'3'!O21+'5'!O21+'6'!O21+'7'!O21+'8'!O21+'9'!O21+'10'!O21</f>
        <v>91.299763200000001</v>
      </c>
      <c r="P21" s="120">
        <f t="shared" si="0"/>
        <v>18351.2524032</v>
      </c>
      <c r="T21" s="163" t="str">
        <f>+'8'!A5</f>
        <v>Customer Name : VIP General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VIP General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VIP General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VIP General Store</v>
      </c>
      <c r="U24" s="164">
        <f>+'11'!P35</f>
        <v>0</v>
      </c>
    </row>
    <row r="25" spans="1:21 16384:16384" ht="26.5" thickBot="1" x14ac:dyDescent="0.65">
      <c r="A25" s="227" t="s">
        <v>84</v>
      </c>
      <c r="B25" s="228"/>
      <c r="C25" s="229">
        <f>H25/40</f>
        <v>18</v>
      </c>
      <c r="D25" s="223"/>
      <c r="E25" s="223"/>
      <c r="F25" s="223"/>
      <c r="G25" s="176">
        <f t="shared" ref="G25:M25" si="3">SUM(G16:G24)</f>
        <v>0</v>
      </c>
      <c r="H25" s="177">
        <f t="shared" si="3"/>
        <v>720</v>
      </c>
      <c r="I25" s="178">
        <f t="shared" si="3"/>
        <v>52300.799999999996</v>
      </c>
      <c r="J25" s="177">
        <f t="shared" si="3"/>
        <v>36</v>
      </c>
      <c r="K25" s="178">
        <f t="shared" si="3"/>
        <v>0</v>
      </c>
      <c r="L25" s="179">
        <f t="shared" si="3"/>
        <v>6276.0959999999995</v>
      </c>
      <c r="M25" s="141">
        <f t="shared" si="3"/>
        <v>46024.703999999998</v>
      </c>
      <c r="N25" s="142">
        <f>SUM(N16:N24)</f>
        <v>8755.1539199999988</v>
      </c>
      <c r="O25" s="143">
        <f>SUM(O16:O24)</f>
        <v>273.89928959999997</v>
      </c>
      <c r="P25" s="144">
        <f>SUM(P16:P24)</f>
        <v>55053.7572096</v>
      </c>
      <c r="T25" s="163" t="str">
        <f>+'12'!A5</f>
        <v>Customer Name : VIP General Store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VIP General Store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VIP General Store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VIP General Store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VIP General Store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VIP General Store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>Customer Name : VIP General Store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55053.757209599993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30" t="s">
        <v>85</v>
      </c>
      <c r="C35" s="231"/>
      <c r="D35" s="231"/>
      <c r="E35" s="231"/>
      <c r="F35" s="231"/>
      <c r="G35" s="231"/>
      <c r="H35" s="231"/>
      <c r="I35" s="231"/>
      <c r="J35" s="231"/>
      <c r="K35" s="231"/>
      <c r="L35" s="232"/>
      <c r="N35" s="239" t="s">
        <v>86</v>
      </c>
      <c r="O35" s="240"/>
      <c r="P35" s="152">
        <f>I25</f>
        <v>52300.799999999996</v>
      </c>
    </row>
    <row r="36" spans="1:21" ht="15" customHeight="1" x14ac:dyDescent="0.35">
      <c r="B36" s="233"/>
      <c r="C36" s="234"/>
      <c r="D36" s="234"/>
      <c r="E36" s="234"/>
      <c r="F36" s="234"/>
      <c r="G36" s="234"/>
      <c r="H36" s="234"/>
      <c r="I36" s="234"/>
      <c r="J36" s="234"/>
      <c r="K36" s="234"/>
      <c r="L36" s="235"/>
      <c r="N36" s="241" t="s">
        <v>87</v>
      </c>
      <c r="O36" s="242"/>
      <c r="P36" s="153">
        <f>L25</f>
        <v>6276.0959999999995</v>
      </c>
    </row>
    <row r="37" spans="1:21" ht="15" customHeight="1" x14ac:dyDescent="0.35">
      <c r="B37" s="233"/>
      <c r="C37" s="234"/>
      <c r="D37" s="234"/>
      <c r="E37" s="234"/>
      <c r="F37" s="234"/>
      <c r="G37" s="234"/>
      <c r="H37" s="234"/>
      <c r="I37" s="234"/>
      <c r="J37" s="234"/>
      <c r="K37" s="234"/>
      <c r="L37" s="235"/>
      <c r="N37" s="241" t="s">
        <v>4</v>
      </c>
      <c r="O37" s="242"/>
      <c r="P37" s="154">
        <f>K25</f>
        <v>0</v>
      </c>
    </row>
    <row r="38" spans="1:21" ht="15" customHeight="1" x14ac:dyDescent="0.35">
      <c r="B38" s="233"/>
      <c r="C38" s="234"/>
      <c r="D38" s="234"/>
      <c r="E38" s="234"/>
      <c r="F38" s="234"/>
      <c r="G38" s="234"/>
      <c r="H38" s="234"/>
      <c r="I38" s="234"/>
      <c r="J38" s="234"/>
      <c r="K38" s="234"/>
      <c r="L38" s="235"/>
      <c r="M38" s="2"/>
      <c r="N38" s="241" t="s">
        <v>88</v>
      </c>
      <c r="O38" s="242"/>
      <c r="P38" s="153">
        <f>P35-P36-P37</f>
        <v>46024.703999999998</v>
      </c>
    </row>
    <row r="39" spans="1:21" ht="15" customHeight="1" x14ac:dyDescent="0.35">
      <c r="B39" s="233"/>
      <c r="C39" s="234"/>
      <c r="D39" s="234"/>
      <c r="E39" s="234"/>
      <c r="F39" s="234"/>
      <c r="G39" s="234"/>
      <c r="H39" s="234"/>
      <c r="I39" s="234"/>
      <c r="J39" s="234"/>
      <c r="K39" s="234"/>
      <c r="L39" s="235"/>
      <c r="M39" s="2"/>
      <c r="N39" s="155" t="s">
        <v>89</v>
      </c>
      <c r="O39" s="156">
        <f>IF(B12="Registered",18%,22%)</f>
        <v>0.22</v>
      </c>
      <c r="P39" s="153">
        <f>N25</f>
        <v>8755.1539199999988</v>
      </c>
    </row>
    <row r="40" spans="1:21" ht="15" customHeight="1" x14ac:dyDescent="0.35">
      <c r="B40" s="233"/>
      <c r="C40" s="234"/>
      <c r="D40" s="234"/>
      <c r="E40" s="234"/>
      <c r="F40" s="234"/>
      <c r="G40" s="234"/>
      <c r="H40" s="234"/>
      <c r="I40" s="234"/>
      <c r="J40" s="234"/>
      <c r="K40" s="234"/>
      <c r="L40" s="235"/>
      <c r="M40" s="2"/>
      <c r="N40" s="243" t="s">
        <v>90</v>
      </c>
      <c r="O40" s="244"/>
      <c r="P40" s="153">
        <f>P38+P39</f>
        <v>54779.857919999995</v>
      </c>
    </row>
    <row r="41" spans="1:21" ht="15" customHeight="1" thickBot="1" x14ac:dyDescent="0.4">
      <c r="B41" s="236"/>
      <c r="C41" s="237"/>
      <c r="D41" s="237"/>
      <c r="E41" s="237"/>
      <c r="F41" s="237"/>
      <c r="G41" s="237"/>
      <c r="H41" s="237"/>
      <c r="I41" s="237"/>
      <c r="J41" s="237"/>
      <c r="K41" s="237"/>
      <c r="L41" s="238"/>
      <c r="M41" s="157"/>
      <c r="N41" s="158" t="s">
        <v>91</v>
      </c>
      <c r="O41" s="159">
        <f>IF(B11="Filer",0.5%,2.5%)</f>
        <v>2.5000000000000001E-2</v>
      </c>
      <c r="P41" s="153">
        <f>O41*P40</f>
        <v>1369.4964479999999</v>
      </c>
    </row>
    <row r="42" spans="1:21" ht="15.75" customHeight="1" thickBot="1" x14ac:dyDescent="0.4">
      <c r="N42" s="221" t="s">
        <v>92</v>
      </c>
      <c r="O42" s="222"/>
      <c r="P42" s="160">
        <f>P40+P41</f>
        <v>56149.354367999993</v>
      </c>
    </row>
    <row r="43" spans="1:21" ht="15" thickBot="1" x14ac:dyDescent="0.4">
      <c r="B43" s="161" t="s">
        <v>93</v>
      </c>
      <c r="C43" s="223"/>
      <c r="D43" s="223"/>
      <c r="E43" s="223"/>
      <c r="F43" s="223"/>
      <c r="G43" s="223"/>
      <c r="H43" s="223"/>
      <c r="I43" s="224"/>
      <c r="J43" s="225"/>
      <c r="K43" s="226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G5" sqref="G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v>46205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>N4-1</f>
        <v>46204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4">
        <v>0.12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>
        <v>0</v>
      </c>
      <c r="K17" s="1">
        <f t="shared" ref="K17:K21" si="4">I17*$K$13</f>
        <v>0</v>
      </c>
      <c r="L17" s="105">
        <f t="shared" ref="L17:L21" si="5">I17*12%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>
        <v>0</v>
      </c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240</v>
      </c>
      <c r="I19" s="116">
        <f t="shared" si="3"/>
        <v>17433.599999999999</v>
      </c>
      <c r="J19" s="117">
        <v>12</v>
      </c>
      <c r="K19" s="1">
        <f t="shared" si="4"/>
        <v>0</v>
      </c>
      <c r="L19" s="105">
        <f t="shared" si="5"/>
        <v>2092.0319999999997</v>
      </c>
      <c r="M19" s="118">
        <f t="shared" si="6"/>
        <v>15341.567999999999</v>
      </c>
      <c r="N19" s="118">
        <f t="shared" si="0"/>
        <v>2918.3846399999998</v>
      </c>
      <c r="O19" s="119">
        <f t="shared" si="1"/>
        <v>91.299763200000001</v>
      </c>
      <c r="P19" s="120">
        <f t="shared" si="2"/>
        <v>18351.2524032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240</v>
      </c>
      <c r="I20" s="116">
        <f t="shared" si="3"/>
        <v>17433.599999999999</v>
      </c>
      <c r="J20" s="117">
        <v>12</v>
      </c>
      <c r="K20" s="1">
        <f t="shared" si="4"/>
        <v>0</v>
      </c>
      <c r="L20" s="105">
        <f t="shared" si="5"/>
        <v>2092.0319999999997</v>
      </c>
      <c r="M20" s="118">
        <f t="shared" si="6"/>
        <v>15341.567999999999</v>
      </c>
      <c r="N20" s="118">
        <f t="shared" si="0"/>
        <v>2918.3846399999998</v>
      </c>
      <c r="O20" s="119">
        <f t="shared" si="1"/>
        <v>91.299763200000001</v>
      </c>
      <c r="P20" s="120">
        <f t="shared" si="2"/>
        <v>18351.2524032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240</v>
      </c>
      <c r="I21" s="116">
        <f t="shared" si="3"/>
        <v>17433.599999999999</v>
      </c>
      <c r="J21" s="117">
        <v>12</v>
      </c>
      <c r="K21" s="1">
        <f t="shared" si="4"/>
        <v>0</v>
      </c>
      <c r="L21" s="105">
        <f t="shared" si="5"/>
        <v>2092.0319999999997</v>
      </c>
      <c r="M21" s="118">
        <f t="shared" si="6"/>
        <v>15341.567999999999</v>
      </c>
      <c r="N21" s="118">
        <f t="shared" si="0"/>
        <v>2918.3846399999998</v>
      </c>
      <c r="O21" s="119">
        <f t="shared" si="1"/>
        <v>91.299763200000001</v>
      </c>
      <c r="P21" s="120">
        <f t="shared" si="2"/>
        <v>18351.2524032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720</v>
      </c>
      <c r="I25" s="137">
        <f t="shared" si="9"/>
        <v>52300.799999999996</v>
      </c>
      <c r="J25" s="183">
        <f>SUM(J16:J21)</f>
        <v>36</v>
      </c>
      <c r="K25" s="139">
        <f t="shared" si="9"/>
        <v>0</v>
      </c>
      <c r="L25" s="140">
        <f t="shared" si="9"/>
        <v>6276.0959999999995</v>
      </c>
      <c r="M25" s="141">
        <f t="shared" si="9"/>
        <v>46024.703999999998</v>
      </c>
      <c r="N25" s="142">
        <f>SUM(N16:N24)</f>
        <v>8755.1539199999988</v>
      </c>
      <c r="O25" s="143">
        <f>SUM(O16:O24)</f>
        <v>273.89928959999997</v>
      </c>
      <c r="P25" s="144">
        <f>SUM(P16:P24)</f>
        <v>55053.7572096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52300.799999999996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6276.0959999999995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46024.703999999998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8755.1539199999988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54779.857919999995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273.89928959999997</v>
      </c>
    </row>
    <row r="35" spans="2:16" ht="15.75" customHeight="1" thickBot="1" x14ac:dyDescent="0.4">
      <c r="N35" s="221" t="s">
        <v>92</v>
      </c>
      <c r="O35" s="222"/>
      <c r="P35" s="160">
        <f>P33+P34</f>
        <v>55053.757209599993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2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f>H16/20</f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03">
        <f t="shared" ref="J17:J21" si="3">H17/20</f>
        <v>0</v>
      </c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ref="O17:O24" si="7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03">
        <f t="shared" si="3"/>
        <v>0</v>
      </c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7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03">
        <f t="shared" si="3"/>
        <v>0</v>
      </c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7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03">
        <f t="shared" si="3"/>
        <v>0</v>
      </c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7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03">
        <f t="shared" si="3"/>
        <v>0</v>
      </c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7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03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7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8">I23*3.5%</f>
        <v>0</v>
      </c>
      <c r="L23" s="120">
        <f t="shared" ref="L23:L24" si="9">I23*$L$13</f>
        <v>0</v>
      </c>
      <c r="M23" s="118">
        <f t="shared" si="6"/>
        <v>0</v>
      </c>
      <c r="N23" s="118">
        <f t="shared" si="0"/>
        <v>0</v>
      </c>
      <c r="O23" s="119">
        <f t="shared" si="7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8"/>
        <v>0</v>
      </c>
      <c r="L24" s="132">
        <f t="shared" si="9"/>
        <v>0</v>
      </c>
      <c r="M24" s="133">
        <f>I24-K24-L24</f>
        <v>0</v>
      </c>
      <c r="N24" s="133">
        <f t="shared" si="0"/>
        <v>0</v>
      </c>
      <c r="O24" s="134">
        <f t="shared" si="7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10">SUM(G16:G24)</f>
        <v>0</v>
      </c>
      <c r="H25" s="136">
        <f t="shared" si="10"/>
        <v>0</v>
      </c>
      <c r="I25" s="137">
        <f t="shared" si="10"/>
        <v>0</v>
      </c>
      <c r="J25" s="138"/>
      <c r="K25" s="139">
        <f t="shared" si="10"/>
        <v>0</v>
      </c>
      <c r="L25" s="140">
        <f t="shared" si="10"/>
        <v>0</v>
      </c>
      <c r="M25" s="141">
        <f t="shared" si="10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4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9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3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5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9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6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7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9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8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9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7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80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46247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46246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2026-08-13T05:59:45Z</dcterms:modified>
</cp:coreProperties>
</file>