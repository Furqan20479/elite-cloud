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12624A7-6453-446C-88ED-49D46E42527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20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22" i="17"/>
  <c r="K17" i="19"/>
  <c r="K18" i="19"/>
  <c r="K20" i="19"/>
  <c r="K21" i="19"/>
  <c r="K22" i="19"/>
  <c r="K17" i="18"/>
  <c r="K18" i="18"/>
  <c r="K20" i="18"/>
  <c r="K17" i="20"/>
  <c r="K18" i="20"/>
  <c r="K19" i="20"/>
  <c r="K21" i="20"/>
  <c r="K22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2" i="16"/>
  <c r="K16" i="17"/>
  <c r="K16" i="19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2" i="22" l="1"/>
  <c r="K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5" l="1"/>
  <c r="L22" i="25"/>
  <c r="L21" i="25"/>
  <c r="K21" i="25"/>
  <c r="L22" i="24"/>
  <c r="K22" i="24"/>
  <c r="M22" i="24" s="1"/>
  <c r="N22" i="24" s="1"/>
  <c r="O22" i="24" s="1"/>
  <c r="K22" i="23"/>
  <c r="L22" i="23"/>
  <c r="L22" i="21"/>
  <c r="K22" i="21"/>
  <c r="M22" i="21" s="1"/>
  <c r="N22" i="21" s="1"/>
  <c r="O22" i="21" s="1"/>
  <c r="L20" i="20"/>
  <c r="K20" i="20"/>
  <c r="L21" i="18"/>
  <c r="L16" i="18"/>
  <c r="K16" i="18"/>
  <c r="L22" i="18"/>
  <c r="K22" i="18"/>
  <c r="L19" i="19"/>
  <c r="M19" i="19" s="1"/>
  <c r="N19" i="19" s="1"/>
  <c r="O19" i="19" s="1"/>
  <c r="K19" i="19"/>
  <c r="L21" i="17"/>
  <c r="K21" i="17"/>
  <c r="L24" i="17"/>
  <c r="M21" i="19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19" i="25" l="1"/>
  <c r="N19" i="25" s="1"/>
  <c r="O19" i="25" s="1"/>
  <c r="K25" i="24"/>
  <c r="P30" i="24" s="1"/>
  <c r="L25" i="19"/>
  <c r="P29" i="19" s="1"/>
  <c r="L17" i="16"/>
  <c r="M23" i="22"/>
  <c r="N23" i="22" s="1"/>
  <c r="O23" i="22" s="1"/>
  <c r="L21" i="16"/>
  <c r="L21" i="15" s="1"/>
  <c r="K25" i="19"/>
  <c r="P30" i="19" s="1"/>
  <c r="P31" i="19" s="1"/>
  <c r="L22" i="15"/>
  <c r="L19" i="16"/>
  <c r="K22" i="15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24" l="1"/>
  <c r="P33" i="24" s="1"/>
  <c r="P34" i="24" s="1"/>
  <c r="P35" i="24" s="1"/>
  <c r="U22" i="15" s="1"/>
  <c r="M21" i="15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<sst xmlns="http://schemas.openxmlformats.org/spreadsheetml/2006/main" count="1635" uniqueCount="139">
  <si>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</si>
  <si>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</si>
  <si>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</si>
  <si>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</si>
  <si>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</si>
  <si>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</si>
  <si>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</si>
  <si>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</si>
  <si>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</si>
  <si>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</si>
  <si>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</si>
  <si>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</si>
  <si>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</si>
  <si>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</si>
  <si>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</si>
  <si>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</si>
  <si>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</si>
  <si>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</si>
  <si>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</si>
  <si>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</si>
  <si>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</si>
  <si>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</si>
  <si>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</si>
  <si>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</si>
  <si>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</si>
  <si>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</si>
  <si>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</si>
  <si>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</si>
  <si>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</si>
  <si>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</si>
  <si>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</si>
  <si>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</si>
  <si>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</si>
  <si>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</si>
  <si>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</si>
  <si>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</si>
  <si>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</si>
  <si>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</si>
  <si>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</si>
  <si>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</si>
  <si>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</si>
  <si>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</si>
  <si>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</si>
  <si>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</si>
  <si>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</si>
  <si>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</si>
  <si>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</si>
  <si>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</si>
  <si>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</si>
  <si>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</si>
  <si>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</si>
  <si>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</si>
  <si>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</si>
  <si>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</si>
  <si>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</si>
  <si>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</si>
  <si>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</si>
  <si>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</si>
  <si>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</si>
  <si>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</si>
  <si>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</si>
  <si>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</si>
  <si>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</si>
  <si>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</si>
  <si>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</si>
  <si>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</si>
  <si>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</si>
  <si>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</si>
  <si>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</si>
  <si>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</si>
  <si>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</si>
  <si>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</si>
  <si>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</si>
  <si>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</si>
  <si>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</si>
  <si>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</si>
  <si>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</si>
  <si>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</si>
  <si>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</si>
  <si>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</si>
  <si>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</si>
  <si>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</si>
  <si>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</si>
  <si>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</si>
  <si>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</si>
  <si>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</si>
  <si>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</si>
  <si>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</si>
  <si>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</si>
  <si>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</si>
  <si>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</si>
  <si>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</si>
  <si>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</si>
  <si>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</si>
  <si>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</si>
  <si>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</si>
  <si>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</si>
  <si>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</si>
  <si>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</si>
  <si>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</si>
  <si>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</si>
  <si>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</si>
  <si>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</si>
  <si>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</si>
  <si>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</si>
  <si>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</si>
  <si>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</si>
  <si>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</si>
  <si>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</si>
  <si>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</si>
  <si>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</si>
  <si>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</si>
  <si>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</si>
  <si>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</si>
  <si>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</si>
  <si>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</si>
  <si>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</si>
  <si>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</si>
  <si>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</si>
  <si>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</si>
  <si>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Zeshan </t>
  </si>
  <si>
    <t>Shop Bill Summary (Zeshan)</t>
  </si>
  <si>
    <t>Customer Name : Yaseen Sadiq</t>
  </si>
  <si>
    <t>Address: Bedian</t>
  </si>
  <si>
    <t>4689765-5</t>
  </si>
  <si>
    <t>Customer Name : Fakhir Grocerry</t>
  </si>
  <si>
    <t xml:space="preserve">Address: Bedian </t>
  </si>
  <si>
    <t>Customer Name : Mian Bakers</t>
  </si>
  <si>
    <t>Customer Name : Essag</t>
  </si>
  <si>
    <t>Address: Phase 5</t>
  </si>
  <si>
    <t>1302558-9</t>
  </si>
  <si>
    <t>Customer Name : Nadeem Store</t>
  </si>
  <si>
    <t>Customer Name : Rehman Store</t>
  </si>
  <si>
    <t>Address: Bedian Store</t>
  </si>
  <si>
    <t>Customer Name : Irfan Bakers</t>
  </si>
  <si>
    <t>Customer Name : Malik Store</t>
  </si>
  <si>
    <t>Customer Name : Farhan Store</t>
  </si>
  <si>
    <t xml:space="preserve">Customer Name : Cart Carry </t>
  </si>
  <si>
    <t>2829662-1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</si>
</sst>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5" zoomScale="70" zoomScaleNormal="70" workbookViewId="0">
      <selection activeCell="S40" sqref="S4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Yaseen Sadiq</v>
      </c>
      <c r="U14" s="164">
        <f>+'1'!P35</f>
        <v>788.21555039999998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Fakhir Grocerry</v>
      </c>
      <c r="U15" s="164">
        <f>+'2'!P35</f>
        <v>788.21555039999998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>Customer Name : Mian Bakers</v>
      </c>
      <c r="U16" s="164">
        <f>+'3'!P35</f>
        <v>788.21555039999998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Essag</v>
      </c>
      <c r="U17" s="164">
        <f>+'4'!P35</f>
        <v>14570.271583350001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Nadeem Store</v>
      </c>
      <c r="U18" s="164">
        <f>+'5'!P35</f>
        <v>803.901432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130</v>
      </c>
      <c r="I19" s="1">
        <f t="shared" si="1"/>
        <v>9443.2000000000007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330.51200000000006</v>
      </c>
      <c r="L19" s="175">
        <f>+'1'!L19+'2'!L19+'4'!L19+'3'!L19+'5'!L19+'6'!L19+'7'!L19+'8'!L19+'9'!L19+'10'!L19</f>
        <v>755.45600000000002</v>
      </c>
      <c r="M19" s="118">
        <f t="shared" si="2"/>
        <v>8357.232</v>
      </c>
      <c r="N19" s="101">
        <f>+'1'!N19+'2'!N19+'4'!N19+'3'!N19+'5'!N19+'6'!N19+'7'!N19+'8'!N19+'9'!N19+'10'!N19</f>
        <v>1530.01632</v>
      </c>
      <c r="O19" s="101">
        <f>+'1'!O19+'2'!O19+'4'!O19+'3'!O19+'5'!O19+'6'!O19+'7'!O19+'8'!O19+'9'!O19+'10'!O19</f>
        <v>49.436241600000002</v>
      </c>
      <c r="P19" s="120">
        <f t="shared" si="0"/>
        <v>9936.684561600001</v>
      </c>
      <c r="T19" s="163" t="str">
        <f>+'6'!A5</f>
        <v>Customer Name : Rehman Store</v>
      </c>
      <c r="U19" s="164">
        <f>+'6'!P35</f>
        <v>424.34404475000008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50</v>
      </c>
      <c r="I20" s="1">
        <f t="shared" si="1"/>
        <v>3632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127.12000000000002</v>
      </c>
      <c r="L20" s="175">
        <f>+'1'!L20+'2'!L20+'4'!L20+'3'!L20+'5'!L20+'6'!L20+'7'!L20+'8'!L20+'9'!L20+'10'!L20</f>
        <v>290.56</v>
      </c>
      <c r="M20" s="118">
        <f t="shared" si="2"/>
        <v>3214.32</v>
      </c>
      <c r="N20" s="101">
        <f>+'1'!N20+'2'!N20+'4'!N20+'3'!N20+'5'!N20+'6'!N20+'7'!N20+'8'!N20+'9'!N20+'10'!N20</f>
        <v>604.29215999999997</v>
      </c>
      <c r="O20" s="101">
        <f>+'1'!O20+'2'!O20+'4'!O20+'3'!O20+'5'!O20+'6'!O20+'7'!O20+'8'!O20+'9'!O20+'10'!O20</f>
        <v>34.778942400000005</v>
      </c>
      <c r="P20" s="120">
        <f t="shared" si="0"/>
        <v>3853.3911023999999</v>
      </c>
      <c r="T20" s="163" t="str">
        <f>+'7'!A5</f>
        <v>Customer Name : Irfan Bakers</v>
      </c>
      <c r="U20" s="164">
        <f>+'7'!P35</f>
        <v>424.34404475000008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260</v>
      </c>
      <c r="I21" s="1">
        <f t="shared" si="1"/>
        <v>18886.400000000001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661.02400000000011</v>
      </c>
      <c r="L21" s="175">
        <f>+'1'!L21+'2'!L21+'4'!L21+'3'!L21+'5'!L21+'6'!L21+'7'!L21+'8'!L21+'9'!L21+'10'!L21</f>
        <v>1510.912</v>
      </c>
      <c r="M21" s="118">
        <f t="shared" si="2"/>
        <v>16714.464</v>
      </c>
      <c r="N21" s="101">
        <f>+'1'!N21+'2'!N21+'4'!N21+'3'!N21+'5'!N21+'6'!N21+'7'!N21+'8'!N21+'9'!N21+'10'!N21</f>
        <v>3060.0326399999999</v>
      </c>
      <c r="O21" s="101">
        <f>+'1'!O21+'2'!O21+'4'!O21+'3'!O21+'5'!O21+'6'!O21+'7'!O21+'8'!O21+'9'!O21+'10'!O21</f>
        <v>98.872483200000005</v>
      </c>
      <c r="P21" s="120">
        <f t="shared" si="0"/>
        <v>19873.369123200002</v>
      </c>
      <c r="T21" s="163" t="str">
        <f>+'8'!A5</f>
        <v>Customer Name : Malik Store</v>
      </c>
      <c r="U21" s="164">
        <f>+'8'!P35</f>
        <v>424.34404475000008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200</v>
      </c>
      <c r="I22" s="1">
        <f t="shared" si="1"/>
        <v>7846.0000000000009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274.61000000000007</v>
      </c>
      <c r="L22" s="175">
        <f>+'1'!L22+'2'!L22+'4'!L22+'3'!L22+'5'!L22+'6'!L22+'7'!L22+'8'!L22+'9'!L22+'10'!L22</f>
        <v>784.60000000000025</v>
      </c>
      <c r="M22" s="118">
        <f t="shared" si="2"/>
        <v>6786.7900000000009</v>
      </c>
      <c r="N22" s="101">
        <f>+'1'!N22+'2'!N22+'4'!N22+'3'!N22+'5'!N22+'6'!N22+'7'!N22+'8'!N22+'9'!N22+'10'!N22</f>
        <v>1275.9165200000002</v>
      </c>
      <c r="O22" s="101">
        <f>+'1'!O22+'2'!O22+'4'!O22+'3'!O22+'5'!O22+'6'!O22+'7'!O22+'8'!O22+'9'!O22+'10'!O22</f>
        <v>73.433067800000018</v>
      </c>
      <c r="P22" s="120">
        <f t="shared" si="0"/>
        <v>8136.1395878000012</v>
      </c>
      <c r="T22" s="163" t="str">
        <f>+'9'!A5</f>
        <v>Customer Name : Farhan Store</v>
      </c>
      <c r="U22" s="164">
        <f>+'9'!P35</f>
        <v>424.34404475000008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Cart Carry </v>
      </c>
      <c r="U23" s="164">
        <f>+'10'!P35</f>
        <v>24565.809397199999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17</v>
      </c>
      <c r="D25" s="215"/>
      <c r="E25" s="215"/>
      <c r="F25" s="215"/>
      <c r="G25" s="176">
        <f t="shared" ref="G25:M25" si="3">SUM(G16:G24)</f>
        <v>0</v>
      </c>
      <c r="H25" s="177">
        <f t="shared" si="3"/>
        <v>680</v>
      </c>
      <c r="I25" s="178">
        <f t="shared" si="3"/>
        <v>41906.100000000006</v>
      </c>
      <c r="J25" s="177">
        <f t="shared" si="3"/>
        <v>0</v>
      </c>
      <c r="K25" s="178">
        <f t="shared" si="3"/>
        <v>1466.7135000000003</v>
      </c>
      <c r="L25" s="179">
        <f t="shared" si="3"/>
        <v>3509.4080000000004</v>
      </c>
      <c r="M25" s="141">
        <f t="shared" si="3"/>
        <v>36929.978499999997</v>
      </c>
      <c r="N25" s="142">
        <f>SUM(N16:N24)</f>
        <v>6804.5486899999996</v>
      </c>
      <c r="O25" s="143">
        <f>SUM(O16:O24)</f>
        <v>267.47805275000002</v>
      </c>
      <c r="P25" s="144">
        <f>SUM(P16:P24)</f>
        <v>44002.005242750005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44002.005242749998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41906.100000000006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3509.4080000000004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1466.7135000000003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36929.978500000005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6804.5486899999996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43734.527190000008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1093.3631797500002</v>
      </c>
    </row>
    <row r="43" spans="1:21" ht="15.75" customHeight="1" thickBot="1" x14ac:dyDescent="0.4">
      <c r="N43" s="213" t="s">
        <v>92</v>
      </c>
      <c r="O43" s="214"/>
      <c r="P43" s="160">
        <f>P41+P42</f>
        <v>44827.890369750006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04">
        <f t="shared" si="4"/>
        <v>25.424000000000003</v>
      </c>
      <c r="L21" s="105">
        <f t="shared" si="5"/>
        <v>58.112000000000002</v>
      </c>
      <c r="M21" s="118">
        <f t="shared" si="6"/>
        <v>642.86400000000003</v>
      </c>
      <c r="N21" s="118">
        <f t="shared" si="0"/>
        <v>141.43008</v>
      </c>
      <c r="O21" s="119">
        <f t="shared" si="1"/>
        <v>3.9214704</v>
      </c>
      <c r="P21" s="120">
        <f t="shared" si="2"/>
        <v>788.21555039999998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10</v>
      </c>
      <c r="I25" s="137">
        <f t="shared" si="13"/>
        <v>726.4</v>
      </c>
      <c r="J25" s="138"/>
      <c r="K25" s="139">
        <f t="shared" si="13"/>
        <v>25.424000000000003</v>
      </c>
      <c r="L25" s="140">
        <f t="shared" si="13"/>
        <v>58.112000000000002</v>
      </c>
      <c r="M25" s="141">
        <f t="shared" si="13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25.424000000000003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642.86400000000003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784.29408000000001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13" t="s">
        <v>92</v>
      </c>
      <c r="O35" s="214"/>
      <c r="P35" s="160">
        <f>P33+P34</f>
        <v>788.21555039999998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58997662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25.424000000000003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642.86400000000003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784.29408000000001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13" t="s">
        <v>92</v>
      </c>
      <c r="O35" s="214"/>
      <c r="P35" s="160">
        <f>P33+P34</f>
        <v>788.21555039999998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7007653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25.424000000000003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642.86400000000003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784.29408000000001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13" t="s">
        <v>92</v>
      </c>
      <c r="O35" s="214"/>
      <c r="P35" s="160">
        <f>P33+P34</f>
        <v>788.21555039999998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129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374050480721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 t="shared" si="3"/>
        <v>109.84400000000002</v>
      </c>
      <c r="L22" s="120">
        <f>I22*10%</f>
        <v>313.84000000000009</v>
      </c>
      <c r="M22" s="118">
        <f t="shared" si="5"/>
        <v>2714.7160000000003</v>
      </c>
      <c r="N22" s="118">
        <f t="shared" si="0"/>
        <v>488.64888000000002</v>
      </c>
      <c r="O22" s="119">
        <f t="shared" si="6"/>
        <v>16.016824400000004</v>
      </c>
      <c r="P22" s="120">
        <f t="shared" si="1"/>
        <v>3219.3817044000007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240</v>
      </c>
      <c r="I25" s="137">
        <f t="shared" si="9"/>
        <v>13953.7</v>
      </c>
      <c r="J25" s="138"/>
      <c r="K25" s="139">
        <f t="shared" si="9"/>
        <v>488.37950000000012</v>
      </c>
      <c r="L25" s="140">
        <f t="shared" si="9"/>
        <v>1179.0640000000001</v>
      </c>
      <c r="M25" s="141">
        <f t="shared" si="9"/>
        <v>12286.256500000001</v>
      </c>
      <c r="N25" s="142">
        <f>SUM(N16:N24)</f>
        <v>2211.5261700000001</v>
      </c>
      <c r="O25" s="143">
        <f>SUM(O16:O24)</f>
        <v>72.488913350000004</v>
      </c>
      <c r="P25" s="144">
        <f>SUM(P16:P24)</f>
        <v>14570.271583349999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13953.7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1179.0640000000001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488.37950000000012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12286.2565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2211.5261700000001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14497.782670000001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72.488913350000004</v>
      </c>
    </row>
    <row r="35" spans="2:16" ht="15.75" customHeight="1" thickBot="1" x14ac:dyDescent="0.4">
      <c r="N35" s="213" t="s">
        <v>92</v>
      </c>
      <c r="O35" s="214"/>
      <c r="P35" s="160">
        <f>P33+P34</f>
        <v>14570.271583350001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19.607352000000002</v>
      </c>
      <c r="P25" s="144">
        <f>SUM(P16:P24)</f>
        <v>803.901432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25.424000000000003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642.86400000000003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784.29408000000001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19.607352000000002</v>
      </c>
    </row>
    <row r="35" spans="2:16" ht="15.75" customHeight="1" thickBot="1" x14ac:dyDescent="0.4">
      <c r="N35" s="213" t="s">
        <v>92</v>
      </c>
      <c r="O35" s="214"/>
      <c r="P35" s="160">
        <f>P33+P34</f>
        <v>803.901432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138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3520285330471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/>
      <c r="K21" s="104">
        <f t="shared" si="3"/>
        <v>406.78400000000005</v>
      </c>
      <c r="L21" s="105">
        <f t="shared" si="4"/>
        <v>929.79200000000003</v>
      </c>
      <c r="M21" s="118">
        <f t="shared" si="5"/>
        <v>10285.824000000001</v>
      </c>
      <c r="N21" s="118">
        <f t="shared" si="0"/>
        <v>1851.44832</v>
      </c>
      <c r="O21" s="119">
        <f t="shared" si="6"/>
        <v>60.686361599999998</v>
      </c>
      <c r="P21" s="120">
        <f t="shared" si="1"/>
        <v>12197.958681599999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 t="shared" si="3"/>
        <v>109.84400000000002</v>
      </c>
      <c r="L22" s="120">
        <f>I22*10%</f>
        <v>313.84000000000009</v>
      </c>
      <c r="M22" s="118">
        <f t="shared" si="5"/>
        <v>2714.7160000000003</v>
      </c>
      <c r="N22" s="118">
        <f t="shared" si="0"/>
        <v>488.64888000000002</v>
      </c>
      <c r="O22" s="119">
        <f t="shared" si="6"/>
        <v>16.016824400000004</v>
      </c>
      <c r="P22" s="120">
        <f t="shared" si="1"/>
        <v>3219.3817044000007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360</v>
      </c>
      <c r="I25" s="137">
        <f t="shared" si="9"/>
        <v>23477.599999999999</v>
      </c>
      <c r="J25" s="138"/>
      <c r="K25" s="139">
        <f t="shared" si="9"/>
        <v>821.71600000000012</v>
      </c>
      <c r="L25" s="140">
        <f t="shared" si="9"/>
        <v>1940.9760000000001</v>
      </c>
      <c r="M25" s="141">
        <f t="shared" si="9"/>
        <v>20714.908000000003</v>
      </c>
      <c r="N25" s="142">
        <f>SUM(N16:N24)</f>
        <v>3728.6834400000002</v>
      </c>
      <c r="O25" s="143">
        <f>SUM(O16:O24)</f>
        <v>122.2179572</v>
      </c>
      <c r="P25" s="144">
        <f>SUM(P16:P24)</f>
        <v>24565.809397199999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23477.599999999999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1940.9760000000001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821.71600000000012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20714.907999999999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3728.6834400000002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24443.59144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122.2179572</v>
      </c>
    </row>
    <row r="35" spans="2:16" ht="15.75" customHeight="1" thickBot="1" x14ac:dyDescent="0.4">
      <c r="N35" s="213" t="s">
        <v>92</v>
      </c>
      <c r="O35" s="214"/>
      <c r="P35" s="160">
        <f>P33+P34</f>
        <v>24565.809397199999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2026-07-06T04:36:47Z</dcterms:modified>
</cp:coreProperties>
</file>