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5AB766A-9090-435A-A7E8-358BA025159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22" i="17"/>
  <c r="K17" i="18"/>
  <c r="K18" i="18"/>
  <c r="K22" i="18"/>
  <c r="K17" i="20"/>
  <c r="K18" i="20"/>
  <c r="K22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22" i="16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9" l="1"/>
  <c r="K18" i="19"/>
  <c r="L19" i="19"/>
  <c r="K19" i="19"/>
  <c r="K22" i="19"/>
  <c r="L22" i="19"/>
  <c r="L21" i="19"/>
  <c r="K21" i="19"/>
  <c r="M21" i="19" s="1"/>
  <c r="L21" i="20"/>
  <c r="K21" i="20"/>
  <c r="L20" i="20"/>
  <c r="K20" i="20"/>
  <c r="L21" i="18"/>
  <c r="L20" i="18"/>
  <c r="K20" i="18"/>
  <c r="L17" i="19"/>
  <c r="K17" i="19"/>
  <c r="L16" i="19"/>
  <c r="K16" i="19"/>
  <c r="L21" i="17"/>
  <c r="K21" i="17"/>
  <c r="L24" i="17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5" i="19" l="1"/>
  <c r="P29" i="19" s="1"/>
  <c r="L17" i="16"/>
  <c r="M23" i="22"/>
  <c r="N23" i="22" s="1"/>
  <c r="O23" i="22" s="1"/>
  <c r="L21" i="16"/>
  <c r="L21" i="15" s="1"/>
  <c r="K25" i="19"/>
  <c r="P30" i="19" s="1"/>
  <c r="P31" i="19" s="1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<sst xmlns="http://schemas.openxmlformats.org/spreadsheetml/2006/main" count="1633" uniqueCount="133">
  <si>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</si>
  <si>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</si>
  <si>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</si>
  <si>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</si>
  <si>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</si>
  <si>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</si>
  <si>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</si>
  <si>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</si>
  <si>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</si>
  <si>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</si>
  <si>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</si>
  <si>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</si>
  <si>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</si>
  <si>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</si>
  <si>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</si>
  <si>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</si>
  <si>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</si>
  <si>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</si>
  <si>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</si>
  <si>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</si>
  <si>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</si>
  <si>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</si>
  <si>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</si>
  <si>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</si>
  <si>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</si>
  <si>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</si>
  <si>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</si>
  <si>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</si>
  <si>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</si>
  <si>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</si>
  <si>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</si>
  <si>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</si>
  <si>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</si>
  <si>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</si>
  <si>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</si>
  <si>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</si>
  <si>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</si>
  <si>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</si>
  <si>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</si>
  <si>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</si>
  <si>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</si>
  <si>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</si>
  <si>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</si>
  <si>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</si>
  <si>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</si>
  <si>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</si>
  <si>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</si>
  <si>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</si>
  <si>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</si>
  <si>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</si>
  <si>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</si>
  <si>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</si>
  <si>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</si>
  <si>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</si>
  <si>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</si>
  <si>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</si>
  <si>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</si>
  <si>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</si>
  <si>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</si>
  <si>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</si>
  <si>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</si>
  <si>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</si>
  <si>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</si>
  <si>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</si>
  <si>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</si>
  <si>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</si>
  <si>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</si>
  <si>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</si>
  <si>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</si>
  <si>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</si>
  <si>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</si>
  <si>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</si>
  <si>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</si>
  <si>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</si>
  <si>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</si>
  <si>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</si>
  <si>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</si>
  <si>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</si>
  <si>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</si>
  <si>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</si>
  <si>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</si>
  <si>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</si>
  <si>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</si>
  <si>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</si>
  <si>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</si>
  <si>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</si>
  <si>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</si>
  <si>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</si>
  <si>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</si>
  <si>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</si>
  <si>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</si>
  <si>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</si>
  <si>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</si>
  <si>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</si>
  <si>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</si>
  <si>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</si>
  <si>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</si>
  <si>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</si>
  <si>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</si>
  <si>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</si>
  <si>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</si>
  <si>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</si>
  <si>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</si>
  <si>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</si>
  <si>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</si>
  <si>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</si>
  <si>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</si>
  <si>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</si>
  <si>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</si>
  <si>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</si>
  <si>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</si>
  <si>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</si>
  <si>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</si>
  <si>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</si>
  <si>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</si>
  <si>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</si>
  <si>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</si>
  <si>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</si>
  <si>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</si>
  <si>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</si>
  <si>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Mubeen </t>
  </si>
  <si>
    <t>Shop Bill Summary (Mubeen)</t>
  </si>
  <si>
    <t>Customer Name : Bhai Jan Medical Store</t>
  </si>
  <si>
    <t xml:space="preserve">Address: Dharam pura </t>
  </si>
  <si>
    <t>Customer Name : Basics Store</t>
  </si>
  <si>
    <t>Address: Upper Mall</t>
  </si>
  <si>
    <t>Customer Name : Bravo Store</t>
  </si>
  <si>
    <t>Address: Phase 6</t>
  </si>
  <si>
    <t>Customer Name : Rehmat Store</t>
  </si>
  <si>
    <t>Address: Phase 8 Eden Park</t>
  </si>
  <si>
    <t>Customer Name : Al noor Store</t>
  </si>
  <si>
    <t>Address: Phase 8</t>
  </si>
  <si>
    <t>0159676-4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</si>
</sst>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22" sqref="L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22" sqref="L22"/>
      <selection pane="topRight" activeCell="L22" sqref="L22"/>
      <selection pane="bottomLeft" activeCell="L22" sqref="L22"/>
      <selection pane="bottomRight" activeCell="L22" sqref="L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5" zoomScale="70" zoomScaleNormal="70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Bhai Jan Medical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Basics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Bravo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Rehmat Store</v>
      </c>
      <c r="U17" s="164">
        <f>+'4'!P35</f>
        <v>9458.5866047999989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noor Store</v>
      </c>
      <c r="U18" s="164">
        <f>+'5'!P35</f>
        <v>6305.7244031999999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464.89600000000002</v>
      </c>
      <c r="M19" s="118">
        <f t="shared" si="2"/>
        <v>5142.9120000000003</v>
      </c>
      <c r="N19" s="101">
        <f>+'1'!N19+'2'!N19+'4'!N19+'3'!N19+'5'!N19+'6'!N19+'7'!N19+'8'!N19+'9'!N19+'10'!N19</f>
        <v>1131.44064</v>
      </c>
      <c r="O19" s="101">
        <f>+'1'!O19+'2'!O19+'4'!O19+'3'!O19+'5'!O19+'6'!O19+'7'!O19+'8'!O19+'9'!O19+'10'!O19</f>
        <v>31.3717632</v>
      </c>
      <c r="P19" s="120">
        <f t="shared" si="0"/>
        <v>6305.7244031999999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152.54400000000001</v>
      </c>
      <c r="L20" s="175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848.58048000000008</v>
      </c>
      <c r="O20" s="101">
        <f>+'1'!O20+'2'!O20+'4'!O20+'3'!O20+'5'!O20+'6'!O20+'7'!O20+'8'!O20+'9'!O20+'10'!O20</f>
        <v>23.528822399999999</v>
      </c>
      <c r="P20" s="120">
        <f t="shared" si="0"/>
        <v>4729.2933023999994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152.54400000000001</v>
      </c>
      <c r="L21" s="175">
        <f>+'1'!L21+'2'!L21+'4'!L21+'3'!L21+'5'!L21+'6'!L21+'7'!L21+'8'!L21+'9'!L21+'10'!L21</f>
        <v>348.67200000000003</v>
      </c>
      <c r="M21" s="118">
        <f t="shared" si="2"/>
        <v>3857.1839999999997</v>
      </c>
      <c r="N21" s="101">
        <f>+'1'!N21+'2'!N21+'4'!N21+'3'!N21+'5'!N21+'6'!N21+'7'!N21+'8'!N21+'9'!N21+'10'!N21</f>
        <v>848.58048000000008</v>
      </c>
      <c r="O21" s="101">
        <f>+'1'!O21+'2'!O21+'4'!O21+'3'!O21+'5'!O21+'6'!O21+'7'!O21+'8'!O21+'9'!O21+'10'!O21</f>
        <v>23.528822399999999</v>
      </c>
      <c r="P21" s="120">
        <f t="shared" si="0"/>
        <v>4729.2933023999994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200</v>
      </c>
      <c r="I25" s="178">
        <f t="shared" si="3"/>
        <v>14527.999999999998</v>
      </c>
      <c r="J25" s="177">
        <f t="shared" si="3"/>
        <v>0</v>
      </c>
      <c r="K25" s="178">
        <f t="shared" si="3"/>
        <v>508.48</v>
      </c>
      <c r="L25" s="179">
        <f t="shared" si="3"/>
        <v>1162.24</v>
      </c>
      <c r="M25" s="141">
        <f t="shared" si="3"/>
        <v>12857.279999999999</v>
      </c>
      <c r="N25" s="142">
        <f>SUM(N16:N24)</f>
        <v>2828.6016</v>
      </c>
      <c r="O25" s="143">
        <f>SUM(O16:O24)</f>
        <v>78.429407999999995</v>
      </c>
      <c r="P25" s="144">
        <f>SUM(P16:P24)</f>
        <v>15764.311007999999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15764.311007999999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14527.999999999998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1162.24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508.48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12857.279999999999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2828.6016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15685.881599999999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392.14704</v>
      </c>
    </row>
    <row r="43" spans="1:21" ht="15.75" customHeight="1" thickBot="1" x14ac:dyDescent="0.4">
      <c r="N43" s="229" t="s">
        <v>92</v>
      </c>
      <c r="O43" s="230"/>
      <c r="P43" s="160">
        <f>P41+P42</f>
        <v>16078.028639999999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17" sqref="H17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H16" sqref="H16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3520114555018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34601123341403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1697.1609600000002</v>
      </c>
      <c r="O25" s="143">
        <f>SUM(O16:O24)</f>
        <v>47.057644799999998</v>
      </c>
      <c r="P25" s="144">
        <f>SUM(P16:P24)</f>
        <v>9458.5866047999989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1697.1609600000002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9411.5289599999996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47.057644799999998</v>
      </c>
    </row>
    <row r="35" spans="2:16" ht="15.75" customHeight="1" thickBot="1" x14ac:dyDescent="0.4">
      <c r="N35" s="229" t="s">
        <v>92</v>
      </c>
      <c r="O35" s="230"/>
      <c r="P35" s="160">
        <f>P33+P34</f>
        <v>9458.5866047999989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131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3520114555018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1131.44064</v>
      </c>
      <c r="O25" s="143">
        <f>SUM(O16:O24)</f>
        <v>31.3717632</v>
      </c>
      <c r="P25" s="144">
        <f>SUM(P16:P24)</f>
        <v>6305.7244031999999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5811.2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464.89600000000002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203.39200000000002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5142.9120000000003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1131.44064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6274.3526400000001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31.3717632</v>
      </c>
    </row>
    <row r="35" spans="2:16" ht="15.75" customHeight="1" thickBot="1" x14ac:dyDescent="0.4">
      <c r="N35" s="229" t="s">
        <v>92</v>
      </c>
      <c r="O35" s="230"/>
      <c r="P35" s="160">
        <f>P33+P34</f>
        <v>6305.7244031999999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13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2026-07-06T12:56:06Z</dcterms:modified>
</cp:coreProperties>
</file>