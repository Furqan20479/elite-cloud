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updateLinks="always" codeName="ThisWorkbook" defaultThemeVersion="124226"/>
  <xr:revisionPtr revIDLastSave="0" documentId="13_ncr:1_{BC3A3A6D-9575-4FB6-8BAC-C23302D3B3FB}" xr6:coauthVersionLast="47" xr6:coauthVersionMax="47" xr10:uidLastSave="{00000000-0000-0000-0000-000000000000}"/>
  <bookViews>
    <workbookView xWindow="-110" yWindow="-110" windowWidth="19420" windowHeight="10420" tabRatio="949" activeTab="10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3" l="1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17" i="19"/>
  <c r="K18" i="19"/>
  <c r="K19" i="19"/>
  <c r="K20" i="19"/>
  <c r="K21" i="19"/>
  <c r="K18" i="20"/>
  <c r="K18" i="21"/>
  <c r="K19" i="21"/>
  <c r="K20" i="21"/>
  <c r="K21" i="21"/>
  <c r="K18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22" i="16"/>
  <c r="K16" i="19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2" i="22" l="1"/>
  <c r="K22" i="22"/>
  <c r="P33" i="32"/>
  <c r="P34" i="32" s="1"/>
  <c r="P35" i="32" s="1"/>
  <c r="U30" i="15" s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K21" i="18" s="1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K16" i="17" s="1"/>
  <c r="I17" i="17"/>
  <c r="I18" i="17"/>
  <c r="I19" i="17"/>
  <c r="I20" i="17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7" i="21" l="1"/>
  <c r="K17" i="21"/>
  <c r="L16" i="21"/>
  <c r="K16" i="21"/>
  <c r="L22" i="21"/>
  <c r="K22" i="21"/>
  <c r="L22" i="20"/>
  <c r="K22" i="20"/>
  <c r="L21" i="20"/>
  <c r="K21" i="20"/>
  <c r="L20" i="20"/>
  <c r="K20" i="20"/>
  <c r="L16" i="20"/>
  <c r="K16" i="20"/>
  <c r="L22" i="18"/>
  <c r="M22" i="18" s="1"/>
  <c r="N22" i="18" s="1"/>
  <c r="O22" i="18" s="1"/>
  <c r="K22" i="18"/>
  <c r="L21" i="18"/>
  <c r="M21" i="18" s="1"/>
  <c r="N21" i="18" s="1"/>
  <c r="O21" i="18" s="1"/>
  <c r="L20" i="18"/>
  <c r="K20" i="18"/>
  <c r="L17" i="18"/>
  <c r="K17" i="18"/>
  <c r="L18" i="18"/>
  <c r="K18" i="18"/>
  <c r="L16" i="18"/>
  <c r="K16" i="18"/>
  <c r="L22" i="19"/>
  <c r="K22" i="19"/>
  <c r="M22" i="19" s="1"/>
  <c r="N22" i="19" s="1"/>
  <c r="O22" i="19" s="1"/>
  <c r="P22" i="19" s="1"/>
  <c r="L21" i="17"/>
  <c r="K21" i="17"/>
  <c r="L22" i="17"/>
  <c r="K22" i="17"/>
  <c r="M22" i="17" s="1"/>
  <c r="N22" i="17" s="1"/>
  <c r="O22" i="17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M18" i="18" l="1"/>
  <c r="N18" i="18" s="1"/>
  <c r="O18" i="18" s="1"/>
  <c r="L25" i="18"/>
  <c r="P29" i="18" s="1"/>
  <c r="L17" i="16"/>
  <c r="M23" i="22"/>
  <c r="N23" i="22" s="1"/>
  <c r="O23" i="22" s="1"/>
  <c r="P23" i="22" s="1"/>
  <c r="L21" i="16"/>
  <c r="L21" i="15" s="1"/>
  <c r="K25" i="19"/>
  <c r="P30" i="19" s="1"/>
  <c r="P31" i="19" s="1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O16" i="16"/>
  <c r="P25" i="20" l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<sst xmlns="http://schemas.openxmlformats.org/spreadsheetml/2006/main" count="1633" uniqueCount="131">
  <si>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</si>
  <si>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</si>
  <si>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</si>
  <si>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</si>
  <si>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</si>
  <si>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</si>
  <si>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</si>
  <si>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</si>
  <si>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</si>
  <si>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</si>
  <si>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</si>
  <si>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</si>
  <si>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</si>
  <si>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</si>
  <si>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</si>
  <si>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</si>
  <si>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</si>
  <si>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</si>
  <si>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</si>
  <si>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</si>
  <si>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</si>
  <si>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</si>
  <si>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</si>
  <si>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</si>
  <si>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</si>
  <si>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</si>
  <si>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</si>
  <si>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</si>
  <si>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</si>
  <si>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</si>
  <si>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</si>
  <si>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</si>
  <si>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</si>
  <si>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</si>
  <si>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</si>
  <si>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</si>
  <si>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</si>
  <si>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</si>
  <si>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</si>
  <si>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</si>
  <si>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</si>
  <si>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</si>
  <si>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</si>
  <si>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</si>
  <si>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</si>
  <si>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</si>
  <si>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</si>
  <si>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</si>
  <si>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</si>
  <si>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</si>
  <si>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</si>
  <si>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</si>
  <si>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</si>
  <si>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</si>
  <si>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</si>
  <si>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</si>
  <si>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</si>
  <si>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</si>
  <si>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</si>
  <si>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</si>
  <si>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</si>
  <si>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</si>
  <si>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</si>
  <si>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</si>
  <si>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</si>
  <si>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</si>
  <si>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</si>
  <si>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</si>
  <si>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</si>
  <si>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</si>
  <si>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</si>
  <si>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</si>
  <si>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</si>
  <si>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</si>
  <si>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</si>
  <si>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</si>
  <si>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</si>
  <si>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</si>
  <si>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</si>
  <si>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</si>
  <si>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</si>
  <si>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</si>
  <si>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</si>
  <si>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</si>
  <si>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</si>
  <si>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</si>
  <si>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</si>
  <si>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</si>
  <si>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</si>
  <si>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</si>
  <si>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</si>
  <si>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</si>
  <si>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</si>
  <si>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</si>
  <si>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</si>
  <si>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</si>
  <si>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</si>
  <si>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</si>
  <si>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</si>
  <si>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</si>
  <si>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</si>
  <si>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</si>
  <si>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</si>
  <si>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</si>
  <si>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</si>
  <si>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</si>
  <si>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</si>
  <si>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</si>
  <si>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</si>
  <si>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</si>
  <si>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</si>
  <si>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</si>
  <si>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</si>
  <si>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</si>
  <si>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</si>
  <si>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</si>
  <si>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</si>
  <si>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</si>
  <si>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</si>
  <si>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</si>
  <si>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Umair </t>
  </si>
  <si>
    <t>Shop Bill Summary (Umair)</t>
  </si>
  <si>
    <t xml:space="preserve">Customer Name : AS Cash &amp; Carry </t>
  </si>
  <si>
    <t xml:space="preserve">Address: Central Park </t>
  </si>
  <si>
    <t>Customer Name : Hasan Market</t>
  </si>
  <si>
    <t xml:space="preserve">Customer Name : Khan Mubarik </t>
  </si>
  <si>
    <t>5614311-3</t>
  </si>
  <si>
    <t xml:space="preserve">Customer Name : Safa Mart </t>
  </si>
  <si>
    <t xml:space="preserve">Customer Name : Al Faisal Mart </t>
  </si>
  <si>
    <t xml:space="preserve">Customer Name : Bajwa Mart </t>
  </si>
  <si>
    <t xml:space="preserve">Customer Name : Sufiyan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</si>
</sst>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T16" sqref="T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AS Cash &amp; Carry </v>
      </c>
      <c r="U14" s="164">
        <f>+'1'!P35</f>
        <v>3152.8622015999999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Hasan Market</v>
      </c>
      <c r="U15" s="164">
        <f>+'2'!P35</f>
        <v>8758.4546914500006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180</v>
      </c>
      <c r="I16" s="1">
        <f>(G16*D16)*F16+H16*F16</f>
        <v>9443.25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330.51375000000002</v>
      </c>
      <c r="L16" s="175">
        <f>+'1'!L16+'2'!L16+'4'!L16+'3'!L16+'5'!L16+'6'!L16+'7'!L16+'8'!L16+'9'!L16+'10'!L16</f>
        <v>755.45999999999992</v>
      </c>
      <c r="M16" s="106">
        <f>I16-K16-L16</f>
        <v>8357.2762500000008</v>
      </c>
      <c r="N16" s="101">
        <f>+'1'!N16+'2'!N16+'4'!N16+'3'!N16+'5'!N16+'6'!N16+'7'!N16+'8'!N16+'9'!N16+'10'!N16</f>
        <v>1838.6007750000001</v>
      </c>
      <c r="O16" s="101">
        <f>+'1'!O16+'2'!O16+'4'!O16+'3'!O16+'5'!O16+'6'!O16+'7'!O16+'8'!O16+'9'!O16+'10'!O16</f>
        <v>73.636889625000009</v>
      </c>
      <c r="P16" s="105">
        <f t="shared" ref="P16:P24" si="0">M16+N16+O16</f>
        <v>10269.513914625002</v>
      </c>
      <c r="Q16" s="108"/>
      <c r="T16" s="163" t="str">
        <f>+'3'!A5</f>
        <v xml:space="preserve">Customer Name : Khan Mubarik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140</v>
      </c>
      <c r="I17" s="1">
        <f t="shared" ref="I17:I23" si="1">(G17*D17)*F17+H17*F17</f>
        <v>7344.75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257.06625000000003</v>
      </c>
      <c r="L17" s="175">
        <f>+'1'!L17+'2'!L17+'4'!L17+'3'!L17+'5'!L17+'6'!L17+'7'!L17+'8'!L17+'9'!L17+'10'!L17</f>
        <v>587.57999999999993</v>
      </c>
      <c r="M17" s="118">
        <f t="shared" ref="M17:M23" si="2">I17-K17-L17</f>
        <v>6500.1037500000002</v>
      </c>
      <c r="N17" s="101">
        <f>+'1'!N17+'2'!N17+'4'!N17+'3'!N17+'5'!N17+'6'!N17+'7'!N17+'8'!N17+'9'!N17+'10'!N17</f>
        <v>1430.0228250000002</v>
      </c>
      <c r="O17" s="101">
        <f>+'1'!O17+'2'!O17+'4'!O17+'3'!O17+'5'!O17+'6'!O17+'7'!O17+'8'!O17+'9'!O17+'10'!O17</f>
        <v>62.308137375000008</v>
      </c>
      <c r="P17" s="120">
        <f t="shared" si="0"/>
        <v>7992.4347123750003</v>
      </c>
      <c r="S17" s="64"/>
      <c r="T17" s="163" t="str">
        <f>+'4'!A5</f>
        <v xml:space="preserve">Customer Name : Safa Mart </v>
      </c>
      <c r="U17" s="164">
        <f>+'4'!P35</f>
        <v>14012.745009300002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 Faisal Mart </v>
      </c>
      <c r="U18" s="164">
        <f>+'5'!P35</f>
        <v>15677.001653100002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135</v>
      </c>
      <c r="I19" s="1">
        <f t="shared" si="1"/>
        <v>9806.4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343.22400000000005</v>
      </c>
      <c r="L19" s="175">
        <f>+'1'!L19+'2'!L19+'4'!L19+'3'!L19+'5'!L19+'6'!L19+'7'!L19+'8'!L19+'9'!L19+'10'!L19</f>
        <v>784.51199999999994</v>
      </c>
      <c r="M19" s="118">
        <f t="shared" si="2"/>
        <v>8678.6639999999989</v>
      </c>
      <c r="N19" s="101">
        <f>+'1'!N19+'2'!N19+'4'!N19+'3'!N19+'5'!N19+'6'!N19+'7'!N19+'8'!N19+'9'!N19+'10'!N19</f>
        <v>1909.3060799999998</v>
      </c>
      <c r="O19" s="101">
        <f>+'1'!O19+'2'!O19+'4'!O19+'3'!O19+'5'!O19+'6'!O19+'7'!O19+'8'!O19+'9'!O19+'10'!O19</f>
        <v>52.939850400000005</v>
      </c>
      <c r="P19" s="120">
        <f t="shared" si="0"/>
        <v>10640.909930399999</v>
      </c>
      <c r="T19" s="163" t="str">
        <f>+'6'!A5</f>
        <v xml:space="preserve">Customer Name : Bajwa Mart </v>
      </c>
      <c r="U19" s="164">
        <f>+'6'!P35</f>
        <v>3171.0823007500003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135</v>
      </c>
      <c r="I20" s="1">
        <f t="shared" si="1"/>
        <v>9806.4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343.22400000000005</v>
      </c>
      <c r="L20" s="175">
        <f>+'1'!L20+'2'!L20+'4'!L20+'3'!L20+'5'!L20+'6'!L20+'7'!L20+'8'!L20+'9'!L20+'10'!L20</f>
        <v>784.51199999999994</v>
      </c>
      <c r="M20" s="118">
        <f t="shared" si="2"/>
        <v>8678.6639999999989</v>
      </c>
      <c r="N20" s="101">
        <f>+'1'!N20+'2'!N20+'4'!N20+'3'!N20+'5'!N20+'6'!N20+'7'!N20+'8'!N20+'9'!N20+'10'!N20</f>
        <v>1909.3060799999998</v>
      </c>
      <c r="O20" s="101">
        <f>+'1'!O20+'2'!O20+'4'!O20+'3'!O20+'5'!O20+'6'!O20+'7'!O20+'8'!O20+'9'!O20+'10'!O20</f>
        <v>52.939850400000005</v>
      </c>
      <c r="P20" s="120">
        <f t="shared" si="0"/>
        <v>10640.909930399999</v>
      </c>
      <c r="T20" s="163" t="str">
        <f>+'7'!A5</f>
        <v xml:space="preserve">Customer Name : Sufiyan Mart </v>
      </c>
      <c r="U20" s="164">
        <f>+'7'!P35</f>
        <v>14012.745009300002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170</v>
      </c>
      <c r="I21" s="1">
        <f t="shared" si="1"/>
        <v>12348.8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432.20800000000008</v>
      </c>
      <c r="L21" s="175">
        <f>+'1'!L21+'2'!L21+'4'!L21+'3'!L21+'5'!L21+'6'!L21+'7'!L21+'8'!L21+'9'!L21+'10'!L21</f>
        <v>987.904</v>
      </c>
      <c r="M21" s="118">
        <f t="shared" si="2"/>
        <v>10928.687999999998</v>
      </c>
      <c r="N21" s="101">
        <f>+'1'!N21+'2'!N21+'4'!N21+'3'!N21+'5'!N21+'6'!N21+'7'!N21+'8'!N21+'9'!N21+'10'!N21</f>
        <v>2404.3113599999997</v>
      </c>
      <c r="O21" s="101">
        <f>+'1'!O21+'2'!O21+'4'!O21+'3'!O21+'5'!O21+'6'!O21+'7'!O21+'8'!O21+'9'!O21+'10'!O21</f>
        <v>66.664996799999997</v>
      </c>
      <c r="P21" s="120">
        <f t="shared" si="0"/>
        <v>13399.664356799998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140</v>
      </c>
      <c r="I22" s="1">
        <f t="shared" si="1"/>
        <v>5492.2000000000007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192.22700000000003</v>
      </c>
      <c r="L22" s="175">
        <f>+'1'!L22+'2'!L22+'4'!L22+'3'!L22+'5'!L22+'6'!L22+'7'!L22+'8'!L22+'9'!L22+'10'!L22</f>
        <v>549.22000000000014</v>
      </c>
      <c r="M22" s="118">
        <f t="shared" si="2"/>
        <v>4750.7530000000006</v>
      </c>
      <c r="N22" s="101">
        <f>+'1'!N22+'2'!N22+'4'!N22+'3'!N22+'5'!N22+'6'!N22+'7'!N22+'8'!N22+'9'!N22+'10'!N22</f>
        <v>1045.1656600000001</v>
      </c>
      <c r="O22" s="101">
        <f>+'1'!O22+'2'!O22+'4'!O22+'3'!O22+'5'!O22+'6'!O22+'7'!O22+'8'!O22+'9'!O22+'10'!O22</f>
        <v>45.539360900000013</v>
      </c>
      <c r="P22" s="120">
        <f t="shared" si="0"/>
        <v>5841.4580209000014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22.5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900</v>
      </c>
      <c r="I25" s="178">
        <f t="shared" si="3"/>
        <v>54241.8</v>
      </c>
      <c r="J25" s="177">
        <f t="shared" si="3"/>
        <v>0</v>
      </c>
      <c r="K25" s="178">
        <f t="shared" si="3"/>
        <v>1898.4630000000004</v>
      </c>
      <c r="L25" s="179">
        <f t="shared" si="3"/>
        <v>4449.1879999999992</v>
      </c>
      <c r="M25" s="141">
        <f t="shared" si="3"/>
        <v>47894.14899999999</v>
      </c>
      <c r="N25" s="142">
        <f>SUM(N16:N24)</f>
        <v>10536.71278</v>
      </c>
      <c r="O25" s="143">
        <f>SUM(O16:O24)</f>
        <v>354.02908550000006</v>
      </c>
      <c r="P25" s="144">
        <f>SUM(P16:P24)</f>
        <v>58784.890865499998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58784.890865500005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54241.8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4449.1879999999992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1898.4630000000004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47894.148999999998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10536.71278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58430.861779999999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1460.7715445000001</v>
      </c>
    </row>
    <row r="43" spans="1:21" ht="15.75" customHeight="1" thickBot="1" x14ac:dyDescent="0.4">
      <c r="N43" s="213" t="s">
        <v>92</v>
      </c>
      <c r="O43" s="214"/>
      <c r="P43" s="160">
        <f>P41+P42</f>
        <v>59891.633324499999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>
        <v>3520143554037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212.14511999999999</v>
      </c>
      <c r="O19" s="119">
        <f t="shared" si="1"/>
        <v>5.8822055999999998</v>
      </c>
      <c r="P19" s="120">
        <f t="shared" si="2"/>
        <v>1182.3233255999999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3"/>
        <v>1089.5999999999999</v>
      </c>
      <c r="J20" s="117"/>
      <c r="K20" s="104">
        <f t="shared" si="4"/>
        <v>38.136000000000003</v>
      </c>
      <c r="L20" s="105">
        <f t="shared" si="5"/>
        <v>87.167999999999992</v>
      </c>
      <c r="M20" s="118">
        <f t="shared" si="6"/>
        <v>964.29599999999994</v>
      </c>
      <c r="N20" s="118">
        <f t="shared" si="0"/>
        <v>212.14511999999999</v>
      </c>
      <c r="O20" s="119">
        <f t="shared" si="1"/>
        <v>5.8822055999999998</v>
      </c>
      <c r="P20" s="120">
        <f t="shared" si="2"/>
        <v>1182.3233255999999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04">
        <f t="shared" si="4"/>
        <v>25.424000000000003</v>
      </c>
      <c r="L21" s="105">
        <f t="shared" si="5"/>
        <v>58.112000000000002</v>
      </c>
      <c r="M21" s="118">
        <f t="shared" si="6"/>
        <v>642.86400000000003</v>
      </c>
      <c r="N21" s="118">
        <f t="shared" si="0"/>
        <v>141.43008</v>
      </c>
      <c r="O21" s="119">
        <f t="shared" si="1"/>
        <v>3.9214704</v>
      </c>
      <c r="P21" s="120">
        <f t="shared" si="2"/>
        <v>788.21555039999998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101.69600000000001</v>
      </c>
      <c r="L25" s="140">
        <f t="shared" si="13"/>
        <v>232.44799999999998</v>
      </c>
      <c r="M25" s="141">
        <f t="shared" si="13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101.69600000000001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13" t="s">
        <v>92</v>
      </c>
      <c r="O35" s="214"/>
      <c r="P35" s="160">
        <f>P33+P34</f>
        <v>3152.8622015999999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G23" sqref="G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47331365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 t="shared" si="3"/>
        <v>109.84400000000002</v>
      </c>
      <c r="L22" s="120">
        <f>I22*10%</f>
        <v>313.84000000000009</v>
      </c>
      <c r="M22" s="118">
        <f t="shared" si="5"/>
        <v>2714.7160000000003</v>
      </c>
      <c r="N22" s="118">
        <f t="shared" si="0"/>
        <v>597.23752000000013</v>
      </c>
      <c r="O22" s="119">
        <f t="shared" si="6"/>
        <v>16.559767600000004</v>
      </c>
      <c r="P22" s="120">
        <f t="shared" si="1"/>
        <v>3328.5132876000007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160</v>
      </c>
      <c r="I25" s="137">
        <f t="shared" si="9"/>
        <v>8142.5000000000009</v>
      </c>
      <c r="J25" s="138"/>
      <c r="K25" s="139">
        <f t="shared" si="9"/>
        <v>284.98750000000007</v>
      </c>
      <c r="L25" s="140">
        <f t="shared" si="9"/>
        <v>714.16800000000012</v>
      </c>
      <c r="M25" s="141">
        <f t="shared" si="9"/>
        <v>7143.3445000000011</v>
      </c>
      <c r="N25" s="142">
        <f>SUM(N16:N24)</f>
        <v>1571.5357900000001</v>
      </c>
      <c r="O25" s="143">
        <f>SUM(O16:O24)</f>
        <v>43.574401450000011</v>
      </c>
      <c r="P25" s="144">
        <f>SUM(P16:P24)</f>
        <v>8758.4546914500006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8142.5000000000009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714.16800000000012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284.98750000000007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7143.3445000000002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1571.5357900000001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8714.880290000001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43.574401450000003</v>
      </c>
    </row>
    <row r="35" spans="2:16" ht="15.75" customHeight="1" thickBot="1" x14ac:dyDescent="0.4">
      <c r="N35" s="213" t="s">
        <v>92</v>
      </c>
      <c r="O35" s="214"/>
      <c r="P35" s="160">
        <f>P33+P34</f>
        <v>8758.4546914500006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9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3520115707091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451.98300000000006</v>
      </c>
      <c r="L25" s="140">
        <f t="shared" si="9"/>
        <v>1033.104</v>
      </c>
      <c r="M25" s="141">
        <f t="shared" si="9"/>
        <v>11428.713000000002</v>
      </c>
      <c r="N25" s="142">
        <f>SUM(N16:N24)</f>
        <v>2514.3168599999999</v>
      </c>
      <c r="O25" s="143">
        <f>SUM(O16:O24)</f>
        <v>69.715149300000007</v>
      </c>
      <c r="P25" s="144">
        <f>SUM(P16:P24)</f>
        <v>14012.745009300001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12913.800000000001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1033.104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451.98300000000006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11428.713000000002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2514.3168599999999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13943.029860000002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69.715149300000007</v>
      </c>
    </row>
    <row r="35" spans="2:16" ht="15.75" customHeight="1" thickBot="1" x14ac:dyDescent="0.4">
      <c r="N35" s="213" t="s">
        <v>92</v>
      </c>
      <c r="O35" s="214"/>
      <c r="P35" s="160">
        <f>P33+P34</f>
        <v>14012.745009300002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F21" sqref="F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3520140230173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506.90500000000009</v>
      </c>
      <c r="L25" s="140">
        <f t="shared" si="9"/>
        <v>1190.0240000000001</v>
      </c>
      <c r="M25" s="141">
        <f t="shared" si="9"/>
        <v>12786.071000000002</v>
      </c>
      <c r="N25" s="142">
        <f>SUM(N16:N24)</f>
        <v>2812.9356200000002</v>
      </c>
      <c r="O25" s="143">
        <f>SUM(O16:O24)</f>
        <v>77.995033100000015</v>
      </c>
      <c r="P25" s="144">
        <f>SUM(P16:P24)</f>
        <v>15677.0016531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14483.000000000002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1190.0240000000001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506.90500000000009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12786.071000000002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2812.9356200000002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15599.006620000002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77.995033100000015</v>
      </c>
    </row>
    <row r="35" spans="2:16" ht="15.75" customHeight="1" thickBot="1" x14ac:dyDescent="0.4">
      <c r="N35" s="213" t="s">
        <v>92</v>
      </c>
      <c r="O35" s="214"/>
      <c r="P35" s="160">
        <f>P33+P34</f>
        <v>15677.001653100002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 t="shared" si="3"/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20.699709500000004</v>
      </c>
      <c r="P22" s="120">
        <f t="shared" si="1"/>
        <v>848.68808950000016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60</v>
      </c>
      <c r="I25" s="137">
        <f t="shared" si="9"/>
        <v>2883.1000000000004</v>
      </c>
      <c r="J25" s="138"/>
      <c r="K25" s="139">
        <f t="shared" si="9"/>
        <v>100.9085</v>
      </c>
      <c r="L25" s="140">
        <f t="shared" si="9"/>
        <v>246.34000000000003</v>
      </c>
      <c r="M25" s="141">
        <f t="shared" si="9"/>
        <v>2535.8515000000002</v>
      </c>
      <c r="N25" s="142">
        <f>SUM(N16:N24)</f>
        <v>557.88733000000002</v>
      </c>
      <c r="O25" s="143">
        <f>SUM(O16:O24)</f>
        <v>77.343470750000009</v>
      </c>
      <c r="P25" s="144">
        <f>SUM(P16:P24)</f>
        <v>3171.0823007500003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2883.1000000000004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246.34000000000003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100.9085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2535.8515000000002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557.88733000000002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3093.7388300000002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77.343470750000009</v>
      </c>
    </row>
    <row r="35" spans="2:16" ht="15.75" customHeight="1" thickBot="1" x14ac:dyDescent="0.4">
      <c r="N35" s="213" t="s">
        <v>92</v>
      </c>
      <c r="O35" s="214"/>
      <c r="P35" s="160">
        <f>P33+P34</f>
        <v>3171.0823007500003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2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451.98300000000006</v>
      </c>
      <c r="L25" s="140">
        <f t="shared" si="9"/>
        <v>1033.104</v>
      </c>
      <c r="M25" s="141">
        <f t="shared" si="9"/>
        <v>11428.713000000002</v>
      </c>
      <c r="N25" s="142">
        <f>SUM(N16:N24)</f>
        <v>2514.3168599999999</v>
      </c>
      <c r="O25" s="143">
        <f>SUM(O16:O24)</f>
        <v>69.715149300000007</v>
      </c>
      <c r="P25" s="144">
        <f>SUM(P16:P24)</f>
        <v>14012.745009300001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12913.800000000001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1033.104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451.98300000000006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11428.713000000002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2514.3168599999999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13943.029860000002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69.715149300000007</v>
      </c>
    </row>
    <row r="35" spans="2:16" ht="15.75" customHeight="1" thickBot="1" x14ac:dyDescent="0.4">
      <c r="N35" s="213" t="s">
        <v>92</v>
      </c>
      <c r="O35" s="214"/>
      <c r="P35" s="160">
        <f>P33+P34</f>
        <v>14012.745009300002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abSelected="1"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46214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46213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2026-07-11T08:46:14Z</dcterms:modified>
</cp:coreProperties>
</file>