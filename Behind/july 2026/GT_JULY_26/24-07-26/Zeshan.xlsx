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1B57742-E137-4026-81BE-ED3B6908C06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<sst xmlns="http://schemas.openxmlformats.org/spreadsheetml/2006/main" count="3913" uniqueCount="520">
  <si>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</si>
  <si>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</si>
  <si>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</si>
  <si>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</si>
  <si>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</si>
  <si>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</si>
  <si>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</si>
  <si>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</si>
  <si>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</si>
  <si>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</si>
  <si>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</si>
  <si>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</si>
  <si>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</si>
  <si>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</si>
  <si>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</si>
  <si>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</si>
  <si>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</si>
  <si>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</si>
  <si>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</si>
  <si>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</si>
  <si>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</si>
  <si>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</si>
  <si>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</si>
  <si>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</si>
  <si>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</si>
  <si>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</si>
  <si>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</si>
  <si>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</si>
  <si>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</si>
  <si>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</si>
  <si>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</si>
  <si>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</si>
  <si>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</si>
  <si>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</si>
  <si>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</si>
  <si>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</si>
  <si>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</si>
  <si>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</si>
  <si>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</si>
  <si>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</si>
  <si>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</si>
  <si>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</si>
  <si>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</si>
  <si>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</si>
  <si>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</si>
  <si>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</si>
  <si>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</si>
  <si>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</si>
  <si>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</si>
  <si>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</si>
  <si>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</si>
  <si>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</si>
  <si>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</si>
  <si>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</si>
  <si>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</si>
  <si>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</si>
  <si>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</si>
  <si>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</si>
  <si>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</si>
  <si>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</si>
  <si>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</si>
  <si>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</si>
  <si>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</si>
  <si>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</si>
  <si>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</si>
  <si>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</si>
  <si>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</si>
  <si>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</si>
  <si>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</si>
  <si>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</si>
  <si>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</si>
  <si>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</si>
  <si>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</si>
  <si>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</si>
  <si>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</si>
  <si>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</si>
  <si>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</si>
  <si>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</si>
  <si>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</si>
  <si>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</si>
  <si>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</si>
  <si>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</si>
  <si>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</si>
  <si>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</si>
  <si>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</si>
  <si>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</si>
  <si>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</si>
  <si>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</si>
  <si>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</si>
  <si>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</si>
  <si>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</si>
  <si>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</si>
  <si>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</si>
  <si>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</si>
  <si>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</si>
  <si>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</si>
  <si>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</si>
  <si>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</si>
  <si>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</si>
  <si>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</si>
  <si>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</si>
  <si>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</si>
  <si>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</si>
  <si>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</si>
  <si>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</si>
  <si>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</si>
  <si>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</si>
  <si>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</si>
  <si>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</si>
  <si>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</si>
  <si>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</si>
  <si>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</si>
  <si>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</si>
  <si>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</si>
  <si>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</si>
  <si>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</si>
  <si>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</si>
  <si>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</si>
  <si>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</si>
  <si>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</si>
  <si>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</si>
  <si>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</si>
  <si>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</si>
  <si>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</si>
  <si>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</si>
  <si>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</si>
  <si>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</si>
  <si>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</si>
  <si>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</si>
  <si>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</si>
  <si>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</si>
  <si>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</si>
  <si>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</si>
  <si>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</si>
  <si>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</si>
  <si>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</si>
  <si>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</si>
  <si>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</si>
  <si>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</si>
  <si>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</si>
  <si>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</si>
  <si>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</si>
  <si>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</si>
  <si>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</si>
  <si>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</si>
  <si>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</si>
  <si>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</si>
  <si>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</si>
  <si>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</si>
  <si>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</si>
  <si>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</si>
  <si>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</si>
  <si>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</si>
  <si>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</si>
  <si>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</si>
  <si>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</si>
  <si>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</si>
  <si>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</si>
  <si>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</si>
  <si>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</si>
  <si>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</si>
  <si>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</si>
  <si>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</si>
  <si>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</si>
  <si>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</si>
  <si>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</si>
  <si>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</si>
  <si>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</si>
  <si>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</si>
  <si>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</si>
  <si>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</si>
  <si>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</si>
  <si>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</si>
  <si>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</si>
  <si>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</si>
  <si>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</si>
  <si>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</si>
  <si>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</si>
  <si>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</si>
  <si>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</si>
  <si>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</si>
  <si>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</si>
  <si>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</si>
  <si>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</si>
  <si>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</si>
  <si>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</si>
  <si>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</si>
  <si>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</si>
  <si>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</si>
  <si>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</si>
  <si>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</si>
  <si>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</si>
  <si>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</si>
  <si>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</si>
  <si>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</si>
  <si>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</si>
  <si>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</si>
  <si>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</si>
  <si>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</si>
  <si>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</si>
  <si>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</si>
  <si>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</si>
  <si>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</si>
  <si>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</si>
  <si>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</si>
  <si>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</si>
  <si>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</si>
  <si>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</si>
  <si>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</si>
  <si>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</si>
  <si>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</si>
  <si>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</si>
  <si>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</si>
  <si>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</si>
  <si>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</si>
  <si>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</si>
  <si>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</si>
  <si>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</si>
  <si>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</si>
  <si>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</si>
  <si>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</si>
  <si>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</si>
  <si>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</si>
  <si>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</si>
  <si>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</si>
  <si>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</si>
  <si>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</si>
  <si>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</si>
  <si>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</si>
  <si>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</si>
  <si>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</si>
  <si>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</si>
  <si>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</si>
  <si>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</si>
  <si>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</si>
  <si>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</si>
  <si>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</si>
  <si>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</si>
  <si>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</si>
  <si>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</si>
  <si>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</si>
  <si>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</si>
  <si>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</si>
  <si>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</si>
  <si>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</si>
  <si>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</si>
  <si>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</si>
  <si>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</si>
  <si>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</si>
  <si>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</si>
  <si>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</si>
  <si>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</si>
  <si>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</si>
  <si>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</si>
  <si>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</si>
  <si>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</si>
  <si>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</si>
  <si>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</si>
  <si>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</si>
  <si>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</si>
  <si>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</si>
  <si>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</si>
  <si>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</si>
  <si>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</si>
  <si>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</si>
  <si>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</si>
  <si>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</si>
  <si>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</si>
  <si>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</si>
  <si>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</si>
  <si>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</si>
  <si>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</si>
  <si>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</si>
  <si>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</si>
  <si>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</si>
  <si>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</si>
  <si>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</si>
  <si>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</si>
  <si>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</si>
  <si>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</si>
  <si>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</si>
  <si>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</si>
  <si>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</si>
  <si>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</si>
  <si>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</si>
  <si>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</si>
  <si>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</si>
  <si>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</si>
  <si>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</si>
  <si>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</si>
  <si>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</si>
  <si>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</si>
  <si>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</si>
  <si>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</si>
  <si>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</si>
  <si>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</si>
  <si>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</si>
  <si>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</si>
  <si>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</si>
  <si>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</si>
  <si>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</si>
  <si>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</si>
  <si>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</si>
  <si>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</si>
  <si>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</si>
  <si>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</si>
  <si>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</si>
  <si>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</si>
  <si>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</si>
  <si>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</si>
  <si>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</si>
  <si>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</si>
  <si>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</si>
  <si>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</si>
  <si>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</si>
  <si>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</si>
  <si>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</si>
  <si>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</si>
  <si>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</si>
  <si>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</si>
  <si>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</si>
  <si>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</si>
  <si>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</si>
  <si>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</si>
  <si>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</si>
  <si>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</si>
  <si>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</si>
  <si>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</si>
  <si>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</si>
  <si>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</si>
  <si>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</si>
  <si>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</si>
  <si>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</si>
  <si>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</si>
  <si>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</si>
  <si>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</si>
  <si>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</si>
  <si>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</si>
  <si>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</si>
  <si>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</si>
  <si>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</si>
  <si>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</si>
  <si>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</si>
  <si>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</si>
  <si>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</si>
  <si>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</si>
  <si>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</si>
  <si>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</si>
  <si>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</si>
  <si>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</si>
  <si>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</si>
  <si>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</si>
  <si>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</si>
  <si>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</si>
  <si>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</si>
  <si>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</si>
  <si>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</si>
  <si>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</si>
  <si>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</si>
  <si>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</si>
  <si>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</si>
  <si>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</si>
  <si>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</si>
  <si>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</si>
  <si>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</si>
  <si>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</si>
  <si>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</si>
  <si>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</si>
  <si>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</si>
  <si>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</si>
  <si>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</si>
  <si>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</si>
  <si>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</si>
  <si>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</si>
  <si>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</si>
  <si>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</si>
  <si>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</si>
  <si>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</si>
  <si>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</si>
  <si>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</si>
  <si>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</si>
  <si>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</si>
  <si>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</si>
  <si>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</si>
  <si>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</si>
  <si>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</si>
  <si>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</si>
  <si>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</si>
  <si>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</si>
  <si>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</si>
  <si>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</si>
  <si>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</si>
  <si>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</si>
  <si>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</si>
  <si>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</si>
  <si>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</si>
  <si>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</si>
  <si>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</si>
  <si>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</si>
  <si>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</si>
  <si>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</si>
  <si>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</si>
  <si>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</si>
  <si>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</si>
  <si>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</si>
  <si>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</si>
  <si>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</si>
  <si>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</si>
  <si>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</si>
  <si>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</si>
  <si>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</si>
  <si>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</si>
  <si>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</si>
  <si>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</si>
  <si>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</si>
  <si>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</si>
  <si>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</si>
  <si>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</si>
  <si>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</si>
  <si>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</si>
  <si>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</si>
  <si>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</si>
  <si>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</si>
  <si>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</si>
  <si>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</si>
  <si>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</si>
  <si>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</si>
  <si>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</si>
  <si>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</si>
  <si>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</si>
  <si>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</si>
  <si>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</si>
  <si>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</si>
  <si>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</si>
  <si>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</si>
  <si>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</si>
  <si>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</si>
  <si>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</si>
  <si>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</si>
  <si>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</si>
  <si>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</si>
  <si>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</si>
  <si>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</si>
  <si>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</si>
  <si>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</si>
  <si>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</si>
  <si>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</si>
  <si>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</si>
  <si>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</si>
  <si>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</si>
  <si>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</si>
  <si>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</si>
  <si>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</si>
  <si>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</si>
  <si>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</si>
  <si>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</si>
  <si>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</si>
  <si>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</si>
  <si>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</si>
  <si>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</si>
  <si>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</si>
  <si>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</si>
  <si>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</si>
  <si>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</si>
  <si>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</si>
  <si>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</si>
  <si>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</si>
  <si>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</si>
  <si>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</si>
  <si>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</si>
  <si>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</si>
  <si>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</si>
  <si>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</si>
  <si>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</si>
  <si>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</si>
  <si>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</si>
  <si>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</si>
  <si>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</si>
  <si>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</si>
  <si>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</si>
  <si>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</si>
  <si>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</si>
  <si>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</si>
  <si>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</si>
  <si>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</si>
  <si>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</si>
  <si>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</si>
  <si>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</si>
  <si>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</si>
  <si>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</si>
  <si>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</si>
  <si>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</si>
  <si>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</si>
  <si>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</si>
  <si>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</si>
  <si>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</si>
  <si>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</si>
  <si>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</si>
  <si>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</si>
  <si>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</si>
  <si>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</si>
  <si>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</si>
  <si>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</si>
  <si>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</si>
  <si>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</si>
  <si>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</si>
  <si>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</si>
  <si>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</si>
  <si>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</si>
  <si>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</si>
  <si>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</si>
  <si>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Makkah Store</t>
  </si>
  <si>
    <t xml:space="preserve">Hikers </t>
  </si>
  <si>
    <t>Hadi Store</t>
  </si>
  <si>
    <t xml:space="preserve">Kashmir Bakers </t>
  </si>
  <si>
    <t>Ahmad Store</t>
  </si>
  <si>
    <t>Rana Store</t>
  </si>
  <si>
    <t>Madina Store</t>
  </si>
  <si>
    <t>Al Barkat Store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</si>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</sst>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499</v>
      </c>
      <c r="F2" s="339"/>
      <c r="G2" s="339"/>
      <c r="H2" s="339" t="s">
        <v>519</v>
      </c>
      <c r="I2" s="339"/>
      <c r="J2" s="340"/>
      <c r="R2" s="336" t="s">
        <v>498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500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Makkah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Hikers 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Hadi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Kashmir Bakers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Ahmad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Rana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Madina Store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119">
        <f t="shared" si="2"/>
        <v>3136.2115850847458</v>
      </c>
      <c r="R10" s="299">
        <v>8</v>
      </c>
      <c r="S10" s="300" t="str">
        <f>+'8'!A6:A6</f>
        <v>Al Barkat Store</v>
      </c>
      <c r="T10" s="301">
        <f>+'8'!P35</f>
        <v>1568.1057925423729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119">
        <f t="shared" si="2"/>
        <v>9408.6347552542375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160</v>
      </c>
      <c r="I16" s="114">
        <f t="shared" si="3"/>
        <v>11622.4</v>
      </c>
      <c r="J16" s="274">
        <f>SUM(J7:J15)</f>
        <v>929.79199999999992</v>
      </c>
      <c r="K16" s="275">
        <f t="shared" si="3"/>
        <v>406.78400000000005</v>
      </c>
      <c r="L16" s="276">
        <f t="shared" si="3"/>
        <v>0</v>
      </c>
      <c r="M16" s="232">
        <f t="shared" si="3"/>
        <v>10285.824000000001</v>
      </c>
      <c r="N16" s="233">
        <f>SUM(N7:N15)</f>
        <v>2196.6101694915255</v>
      </c>
      <c r="O16" s="101">
        <f>SUM(O7:O15)</f>
        <v>62.412170847457631</v>
      </c>
      <c r="P16" s="234">
        <f>SUM(P7:P15)</f>
        <v>12544.846340338983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11622.4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929.79199999999992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406.78400000000005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10285.824000000001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2196.6101694915255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12482.434169491526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62.412170847457631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12544.846340338983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12544.846340338983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511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513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240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R21" sqref="R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514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30" t="s">
        <v>88</v>
      </c>
      <c r="O35" s="331"/>
      <c r="P35" s="297">
        <f>+P33+P34</f>
        <v>6272.4231701694916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515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516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30" t="s">
        <v>88</v>
      </c>
      <c r="O35" s="331"/>
      <c r="P35" s="297">
        <f>+P33+P34</f>
        <v>784.05289627118646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517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518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0" t="s">
        <v>88</v>
      </c>
      <c r="O35" s="331"/>
      <c r="P35" s="297">
        <f>+P33+P34</f>
        <v>1568.1057925423729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E9" sqref="E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504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510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510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2026-07-24T12:34:21Z</dcterms:modified>
</cp:coreProperties>
</file>