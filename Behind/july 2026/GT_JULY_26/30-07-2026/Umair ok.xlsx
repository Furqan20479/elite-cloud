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49FDB3F-1250-4970-82B2-2B9924220A35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2" i="52"/>
  <c r="O22" i="52" s="1"/>
  <c r="P22" i="52" s="1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<sst xmlns="http://schemas.openxmlformats.org/spreadsheetml/2006/main" count="3913" uniqueCount="530">
  <si>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</si>
  <si>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</si>
  <si>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</si>
  <si>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</si>
  <si>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</si>
  <si>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</si>
  <si>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</si>
  <si>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</si>
  <si>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</si>
  <si>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</si>
  <si>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</si>
  <si>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</si>
  <si>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</si>
  <si>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</si>
  <si>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</si>
  <si>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</si>
  <si>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</si>
  <si>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</si>
  <si>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</si>
  <si>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</si>
  <si>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</si>
  <si>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</si>
  <si>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</si>
  <si>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</si>
  <si>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</si>
  <si>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</si>
  <si>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</si>
  <si>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</si>
  <si>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</si>
  <si>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</si>
  <si>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</si>
  <si>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</si>
  <si>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</si>
  <si>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</si>
  <si>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</si>
  <si>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</si>
  <si>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</si>
  <si>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</si>
  <si>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</si>
  <si>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</si>
  <si>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</si>
  <si>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</si>
  <si>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</si>
  <si>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</si>
  <si>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</si>
  <si>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</si>
  <si>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</si>
  <si>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</si>
  <si>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</si>
  <si>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</si>
  <si>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</si>
  <si>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</si>
  <si>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</si>
  <si>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</si>
  <si>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</si>
  <si>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</si>
  <si>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</si>
  <si>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</si>
  <si>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</si>
  <si>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</si>
  <si>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</si>
  <si>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</si>
  <si>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</si>
  <si>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</si>
  <si>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</si>
  <si>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</si>
  <si>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</si>
  <si>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</si>
  <si>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</si>
  <si>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</si>
  <si>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</si>
  <si>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</si>
  <si>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</si>
  <si>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</si>
  <si>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</si>
  <si>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</si>
  <si>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</si>
  <si>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</si>
  <si>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</si>
  <si>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</si>
  <si>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</si>
  <si>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</si>
  <si>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</si>
  <si>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</si>
  <si>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</si>
  <si>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</si>
  <si>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</si>
  <si>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</si>
  <si>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</si>
  <si>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</si>
  <si>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</si>
  <si>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</si>
  <si>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</si>
  <si>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</si>
  <si>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</si>
  <si>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</si>
  <si>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</si>
  <si>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</si>
  <si>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</si>
  <si>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</si>
  <si>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</si>
  <si>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</si>
  <si>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</si>
  <si>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</si>
  <si>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</si>
  <si>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</si>
  <si>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</si>
  <si>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</si>
  <si>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</si>
  <si>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</si>
  <si>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</si>
  <si>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</si>
  <si>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</si>
  <si>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</si>
  <si>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</si>
  <si>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</si>
  <si>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</si>
  <si>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</si>
  <si>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</si>
  <si>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</si>
  <si>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</si>
  <si>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</si>
  <si>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</si>
  <si>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</si>
  <si>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</si>
  <si>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</si>
  <si>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</si>
  <si>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</si>
  <si>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</si>
  <si>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</si>
  <si>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</si>
  <si>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</si>
  <si>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</si>
  <si>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</si>
  <si>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</si>
  <si>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</si>
  <si>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</si>
  <si>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</si>
  <si>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</si>
  <si>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</si>
  <si>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</si>
  <si>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</si>
  <si>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</si>
  <si>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</si>
  <si>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</si>
  <si>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</si>
  <si>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</si>
  <si>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</si>
  <si>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</si>
  <si>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</si>
  <si>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</si>
  <si>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</si>
  <si>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</si>
  <si>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</si>
  <si>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</si>
  <si>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</si>
  <si>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</si>
  <si>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</si>
  <si>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</si>
  <si>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</si>
  <si>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</si>
  <si>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</si>
  <si>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</si>
  <si>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</si>
  <si>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</si>
  <si>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</si>
  <si>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</si>
  <si>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</si>
  <si>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</si>
  <si>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</si>
  <si>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</si>
  <si>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</si>
  <si>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</si>
  <si>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</si>
  <si>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</si>
  <si>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</si>
  <si>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</si>
  <si>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</si>
  <si>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</si>
  <si>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</si>
  <si>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</si>
  <si>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</si>
  <si>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</si>
  <si>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</si>
  <si>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</si>
  <si>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</si>
  <si>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</si>
  <si>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</si>
  <si>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</si>
  <si>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</si>
  <si>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</si>
  <si>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</si>
  <si>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</si>
  <si>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</si>
  <si>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</si>
  <si>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</si>
  <si>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</si>
  <si>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</si>
  <si>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</si>
  <si>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</si>
  <si>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</si>
  <si>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</si>
  <si>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</si>
  <si>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</si>
  <si>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</si>
  <si>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</si>
  <si>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</si>
  <si>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</si>
  <si>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</si>
  <si>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</si>
  <si>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</si>
  <si>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</si>
  <si>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</si>
  <si>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</si>
  <si>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</si>
  <si>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</si>
  <si>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</si>
  <si>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</si>
  <si>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</si>
  <si>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</si>
  <si>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</si>
  <si>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</si>
  <si>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</si>
  <si>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</si>
  <si>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</si>
  <si>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</si>
  <si>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</si>
  <si>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</si>
  <si>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</si>
  <si>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</si>
  <si>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</si>
  <si>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</si>
  <si>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</si>
  <si>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</si>
  <si>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</si>
  <si>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</si>
  <si>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</si>
  <si>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</si>
  <si>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</si>
  <si>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</si>
  <si>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</si>
  <si>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</si>
  <si>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</si>
  <si>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</si>
  <si>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</si>
  <si>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</si>
  <si>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</si>
  <si>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</si>
  <si>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</si>
  <si>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</si>
  <si>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</si>
  <si>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</si>
  <si>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</si>
  <si>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</si>
  <si>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</si>
  <si>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</si>
  <si>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</si>
  <si>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</si>
  <si>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</si>
  <si>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</si>
  <si>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</si>
  <si>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</si>
  <si>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</si>
  <si>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</si>
  <si>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</si>
  <si>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</si>
  <si>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</si>
  <si>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</si>
  <si>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</si>
  <si>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</si>
  <si>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</si>
  <si>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</si>
  <si>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</si>
  <si>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</si>
  <si>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</si>
  <si>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</si>
  <si>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</si>
  <si>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</si>
  <si>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</si>
  <si>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</si>
  <si>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</si>
  <si>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</si>
  <si>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</si>
  <si>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</si>
  <si>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</si>
  <si>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</si>
  <si>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</si>
  <si>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</si>
  <si>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</si>
  <si>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</si>
  <si>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</si>
  <si>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</si>
  <si>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</si>
  <si>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</si>
  <si>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</si>
  <si>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</si>
  <si>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</si>
  <si>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</si>
  <si>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</si>
  <si>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</si>
  <si>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</si>
  <si>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</si>
  <si>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</si>
  <si>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</si>
  <si>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</si>
  <si>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</si>
  <si>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</si>
  <si>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</si>
  <si>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</si>
  <si>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</si>
  <si>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</si>
  <si>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</si>
  <si>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</si>
  <si>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</si>
  <si>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</si>
  <si>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</si>
  <si>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</si>
  <si>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</si>
  <si>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</si>
  <si>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</si>
  <si>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</si>
  <si>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</si>
  <si>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</si>
  <si>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</si>
  <si>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</si>
  <si>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</si>
  <si>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</si>
  <si>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</si>
  <si>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</si>
  <si>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</si>
  <si>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</si>
  <si>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</si>
  <si>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</si>
  <si>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</si>
  <si>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</si>
  <si>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</si>
  <si>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</si>
  <si>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</si>
  <si>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</si>
  <si>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</si>
  <si>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</si>
  <si>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</si>
  <si>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</si>
  <si>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</si>
  <si>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</si>
  <si>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</si>
  <si>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</si>
  <si>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</si>
  <si>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</si>
  <si>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</si>
  <si>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</si>
  <si>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</si>
  <si>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</si>
  <si>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</si>
  <si>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</si>
  <si>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</si>
  <si>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</si>
  <si>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</si>
  <si>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</si>
  <si>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</si>
  <si>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</si>
  <si>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</si>
  <si>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</si>
  <si>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</si>
  <si>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</si>
  <si>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</si>
  <si>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</si>
  <si>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</si>
  <si>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</si>
  <si>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</si>
  <si>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</si>
  <si>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</si>
  <si>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</si>
  <si>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</si>
  <si>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</si>
  <si>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</si>
  <si>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</si>
  <si>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</si>
  <si>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</si>
  <si>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</si>
  <si>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</si>
  <si>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</si>
  <si>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</si>
  <si>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</si>
  <si>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</si>
  <si>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</si>
  <si>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</si>
  <si>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</si>
  <si>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</si>
  <si>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</si>
  <si>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</si>
  <si>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</si>
  <si>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</si>
  <si>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</si>
  <si>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</si>
  <si>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</si>
  <si>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</si>
  <si>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</si>
  <si>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</si>
  <si>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</si>
  <si>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</si>
  <si>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</si>
  <si>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</si>
  <si>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</si>
  <si>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</si>
  <si>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</si>
  <si>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</si>
  <si>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</si>
  <si>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</si>
  <si>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</si>
  <si>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</si>
  <si>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</si>
  <si>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</si>
  <si>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</si>
  <si>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</si>
  <si>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</si>
  <si>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</si>
  <si>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</si>
  <si>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</si>
  <si>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</si>
  <si>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</si>
  <si>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</si>
  <si>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</si>
  <si>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</si>
  <si>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</si>
  <si>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</si>
  <si>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</si>
  <si>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</si>
  <si>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</si>
  <si>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</si>
  <si>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</si>
  <si>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</si>
  <si>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</si>
  <si>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</si>
  <si>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</si>
  <si>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</si>
  <si>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</si>
  <si>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</si>
  <si>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</si>
  <si>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</si>
  <si>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</si>
  <si>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</si>
  <si>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</si>
  <si>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</si>
  <si>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</si>
  <si>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</si>
  <si>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</si>
  <si>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</si>
  <si>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</si>
  <si>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</si>
  <si>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</si>
  <si>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</si>
  <si>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</si>
  <si>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</si>
  <si>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</si>
  <si>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</si>
  <si>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</si>
  <si>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</si>
  <si>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</si>
  <si>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</si>
  <si>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</si>
  <si>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</si>
  <si>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</si>
  <si>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</si>
  <si>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</si>
  <si>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</si>
  <si>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</si>
  <si>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</si>
  <si>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</si>
  <si>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</si>
  <si>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</si>
  <si>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</si>
  <si>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</si>
  <si>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</si>
  <si>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</si>
  <si>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</si>
  <si>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</si>
  <si>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</si>
  <si>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</si>
  <si>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</si>
  <si>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</si>
  <si>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</si>
  <si>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</si>
  <si>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</si>
  <si>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</si>
  <si>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</si>
  <si>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</si>
  <si>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</si>
  <si>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</si>
  <si>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</si>
  <si>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</si>
  <si>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</si>
  <si>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</si>
  <si>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</si>
  <si>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</si>
  <si>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</si>
  <si>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</si>
  <si>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</si>
  <si>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</si>
  <si>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</si>
  <si>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</si>
  <si>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</si>
  <si>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</si>
  <si>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</si>
  <si>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</si>
  <si>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</si>
  <si>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</si>
  <si>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</si>
  <si>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</si>
  <si>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</si>
  <si>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</si>
  <si>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Muazzam Cash &amp; Carry </t>
  </si>
  <si>
    <t xml:space="preserve">Address: Youna abad </t>
  </si>
  <si>
    <t>Shehriyar Store</t>
  </si>
  <si>
    <t>Address:Youhana Abad</t>
  </si>
  <si>
    <t>Tayyab Khan Store</t>
  </si>
  <si>
    <t xml:space="preserve">Address:Younaabd </t>
  </si>
  <si>
    <t>Zafar General Store</t>
  </si>
  <si>
    <t>Address:Youna abad</t>
  </si>
  <si>
    <t xml:space="preserve">Grace Land Mart </t>
  </si>
  <si>
    <t>Address:Younaabad</t>
  </si>
  <si>
    <t>Haroon Dypers Store</t>
  </si>
  <si>
    <t>Khadija Kariyana Store</t>
  </si>
  <si>
    <t>Address:younaabad</t>
  </si>
  <si>
    <t>B.I.B Store</t>
  </si>
  <si>
    <t>Address: Younaabad</t>
  </si>
  <si>
    <t>Malik Kareyana Store</t>
  </si>
  <si>
    <t xml:space="preserve">Kekiz Bakers </t>
  </si>
  <si>
    <t>Noor Madina Store</t>
  </si>
  <si>
    <t>Insaf General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</si>
</sst>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H1" sqref="H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503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46235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 xml:space="preserve">Muazzam Cash &amp; Carry 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Shehriyar Store</v>
      </c>
      <c r="T4" s="301">
        <f>+'2'!P35</f>
        <v>1669.1779134915255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Tayyab Khan Store</v>
      </c>
      <c r="T5" s="301">
        <f>+'3'!P35</f>
        <v>3338.355826983051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Zafar General Store</v>
      </c>
      <c r="T6" s="301">
        <f>+'4'!P35</f>
        <v>2610.0413890169493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118">
        <f>M7+N7+O7</f>
        <v>0</v>
      </c>
      <c r="Q7" s="142"/>
      <c r="R7" s="299">
        <v>5</v>
      </c>
      <c r="S7" s="300" t="str">
        <f>+'5'!A6:A6</f>
        <v xml:space="preserve">Grace Land Mart 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119">
        <f t="shared" ref="P8:P15" si="2">M8+N8+O8</f>
        <v>0</v>
      </c>
      <c r="R8" s="299">
        <v>6</v>
      </c>
      <c r="S8" s="300" t="str">
        <f>+'6'!A6:A6</f>
        <v>Haroon Dypers Store</v>
      </c>
      <c r="T8" s="301">
        <f>+'6'!P35</f>
        <v>834.58895674576274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Khadija Kariyana Store</v>
      </c>
      <c r="T9" s="301">
        <f>+'7'!P35</f>
        <v>500.75337404745761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119">
        <f t="shared" si="2"/>
        <v>4704.3173776271187</v>
      </c>
      <c r="R10" s="299">
        <v>8</v>
      </c>
      <c r="S10" s="300" t="str">
        <f>+'8'!A6:A6</f>
        <v>B.I.B Store</v>
      </c>
      <c r="T10" s="301">
        <f>+'8'!P35</f>
        <v>3136.2115850847463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119">
        <f t="shared" si="2"/>
        <v>1568.1057925423727</v>
      </c>
      <c r="R11" s="299">
        <v>9</v>
      </c>
      <c r="S11" s="300" t="str">
        <f>+'9'!A6:A6</f>
        <v>Malik Kareyana Store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</v>
      </c>
      <c r="I12" s="236">
        <f t="shared" si="0"/>
        <v>871.68000000000006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69.734400000000008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30.508800000000004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771.43680000000006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164.74576271186442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4.6809128135593223</v>
      </c>
      <c r="P12" s="119">
        <f t="shared" si="2"/>
        <v>940.86347552542372</v>
      </c>
      <c r="R12" s="299">
        <v>10</v>
      </c>
      <c r="S12" s="300" t="str">
        <f>+'10'!A6:A6</f>
        <v xml:space="preserve">Kekiz Bakers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272</v>
      </c>
      <c r="I13" s="236">
        <f t="shared" si="0"/>
        <v>10670.560000000001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533.52800000000013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373.46960000000013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544.19856000000004</v>
      </c>
      <c r="M13" s="230">
        <f t="shared" si="1"/>
        <v>9219.3638400000018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2074.5762711864395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56.469700555932206</v>
      </c>
      <c r="P13" s="119">
        <f t="shared" si="2"/>
        <v>11350.409811742373</v>
      </c>
      <c r="R13" s="299">
        <v>11</v>
      </c>
      <c r="S13" s="300" t="str">
        <f>+'11'!A6:A6</f>
        <v>Noor Madina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Insaf General Store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>H16/40</f>
        <v>9.1</v>
      </c>
      <c r="H16" s="113">
        <f t="shared" ref="H16:M16" si="3">SUM(H7:H15)</f>
        <v>364</v>
      </c>
      <c r="I16" s="114">
        <f t="shared" si="3"/>
        <v>17353.440000000002</v>
      </c>
      <c r="J16" s="274">
        <f>SUM(J7:J15)</f>
        <v>1068.1584000000003</v>
      </c>
      <c r="K16" s="275">
        <f t="shared" si="3"/>
        <v>607.37040000000013</v>
      </c>
      <c r="L16" s="276">
        <f t="shared" si="3"/>
        <v>544.19856000000004</v>
      </c>
      <c r="M16" s="232">
        <f t="shared" si="3"/>
        <v>15133.712640000002</v>
      </c>
      <c r="N16" s="233">
        <f>SUM(N7:N15)</f>
        <v>3337.6271186440667</v>
      </c>
      <c r="O16" s="101">
        <f>SUM(O7:O15)</f>
        <v>92.356698793220346</v>
      </c>
      <c r="P16" s="234">
        <f>SUM(P7:P15)</f>
        <v>18563.696457437287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17353.440000000002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1068.1584000000003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1151.5689600000001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15133.712640000002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3337.6271186440667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18471.33975864407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92.356698793220346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18563.696457437291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18563.696457437291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7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7.25" customHeight="1" x14ac:dyDescent="0.4">
      <c r="A6" s="389" t="s">
        <v>511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512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>
        <v>40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513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514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activeCell="H7" sqref="H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8.75" customHeight="1" x14ac:dyDescent="0.4">
      <c r="A6" s="389" t="s">
        <v>515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516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3138.4000000000005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156.92000000000004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269.90240000000006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2711.5776000000005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3321.7470915254239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63" t="s">
        <v>88</v>
      </c>
      <c r="O35" s="364"/>
      <c r="P35" s="297">
        <f>+P33+P34</f>
        <v>3338.355826983051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518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52</v>
      </c>
      <c r="I25" s="114">
        <f t="shared" si="7"/>
        <v>2440.88</v>
      </c>
      <c r="J25" s="274">
        <f>SUM(J16:J24)</f>
        <v>148.19440000000003</v>
      </c>
      <c r="K25" s="275">
        <f t="shared" si="7"/>
        <v>85.430800000000019</v>
      </c>
      <c r="L25" s="276">
        <f t="shared" si="7"/>
        <v>80.029200000000003</v>
      </c>
      <c r="M25" s="232">
        <f t="shared" si="7"/>
        <v>2127.2256000000002</v>
      </c>
      <c r="N25" s="233">
        <f>SUM(N16:N24)</f>
        <v>469.83050847457611</v>
      </c>
      <c r="O25" s="101">
        <f>SUM(O16:O24)</f>
        <v>12.985280542372882</v>
      </c>
      <c r="P25" s="234">
        <f>SUM(P16:P24)</f>
        <v>2610.0413890169493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2440.88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148.19440000000003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165.46000000000004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2127.2256000000002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469.83050847457611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2597.0561084745764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12.985280542372882</v>
      </c>
    </row>
    <row r="35" spans="2:16" ht="15.75" customHeight="1" thickBot="1" x14ac:dyDescent="0.4">
      <c r="N35" s="363" t="s">
        <v>88</v>
      </c>
      <c r="O35" s="364"/>
      <c r="P35" s="297">
        <f>+P33+P34</f>
        <v>2610.0413890169493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519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521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20</v>
      </c>
      <c r="I25" s="114">
        <f t="shared" si="7"/>
        <v>784.60000000000014</v>
      </c>
      <c r="J25" s="274">
        <f>SUM(J16:J24)</f>
        <v>39.230000000000011</v>
      </c>
      <c r="K25" s="275">
        <f t="shared" si="7"/>
        <v>27.461000000000006</v>
      </c>
      <c r="L25" s="276">
        <f t="shared" si="7"/>
        <v>40.014600000000002</v>
      </c>
      <c r="M25" s="232">
        <f t="shared" si="7"/>
        <v>677.89440000000013</v>
      </c>
      <c r="N25" s="233">
        <f>SUM(N16:N24)</f>
        <v>152.54237288135585</v>
      </c>
      <c r="O25" s="101">
        <f>SUM(O16:O24)</f>
        <v>4.1521838644067799</v>
      </c>
      <c r="P25" s="234">
        <f>SUM(P16:P24)</f>
        <v>834.58895674576274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784.60000000000014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39.230000000000011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67.475600000000014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677.89440000000013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152.54237288135585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830.43677288135598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4.1521838644067799</v>
      </c>
    </row>
    <row r="35" spans="2:16" ht="15.75" customHeight="1" thickBot="1" x14ac:dyDescent="0.4">
      <c r="N35" s="363" t="s">
        <v>88</v>
      </c>
      <c r="O35" s="364"/>
      <c r="P35" s="297">
        <f>+P33+P34</f>
        <v>834.58895674576274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470.76000000000005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23.538000000000004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40.485360000000007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406.73664000000002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498.26206372881353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63" t="s">
        <v>88</v>
      </c>
      <c r="O35" s="364"/>
      <c r="P35" s="297">
        <f>+P33+P34</f>
        <v>500.75337404745761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524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14</v>
      </c>
      <c r="I20" s="236">
        <f t="shared" si="0"/>
        <v>1016.96</v>
      </c>
      <c r="J20" s="272">
        <f t="shared" si="1"/>
        <v>81.356800000000007</v>
      </c>
      <c r="K20" s="128">
        <f t="shared" si="1"/>
        <v>35.593600000000002</v>
      </c>
      <c r="L20" s="119">
        <f t="shared" si="1"/>
        <v>0</v>
      </c>
      <c r="M20" s="230">
        <f t="shared" si="2"/>
        <v>900.00960000000009</v>
      </c>
      <c r="N20" s="277">
        <f t="shared" si="3"/>
        <v>192.20338983050848</v>
      </c>
      <c r="O20" s="239">
        <f t="shared" si="4"/>
        <v>5.4610649491525427</v>
      </c>
      <c r="P20" s="119">
        <f t="shared" si="5"/>
        <v>1097.6740547796612</v>
      </c>
      <c r="R20">
        <f>P20/21</f>
        <v>52.27019308474577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3136.2115850847463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2905.6000000000004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232.44800000000004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101.69600000000001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2571.4560000000006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3136.2115850847463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526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H19" sqref="H19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527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520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40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>
        <v>40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528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529</v>
      </c>
      <c r="B6" s="389"/>
      <c r="C6" s="389"/>
      <c r="F6" s="85"/>
      <c r="G6" s="86"/>
      <c r="K6" s="384" t="s">
        <v>69</v>
      </c>
      <c r="L6" s="384"/>
      <c r="M6" s="384"/>
      <c r="N6" s="386" t="s">
        <v>507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525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8.7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46235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46234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46235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46234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2026-07-31T11:33:06Z</dcterms:modified>
</cp:coreProperties>
</file>