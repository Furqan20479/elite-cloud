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16CF62-CD40-4CCE-A075-EC91F5D45C7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20" i="46"/>
  <c r="O20" i="46" s="1"/>
  <c r="P20" i="46" s="1"/>
  <c r="R20" i="46" s="1"/>
  <c r="M16" i="44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<sst xmlns="http://schemas.openxmlformats.org/spreadsheetml/2006/main" count="3913" uniqueCount="524">
  <si>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</si>
  <si>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</si>
  <si>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</si>
  <si>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</si>
  <si>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</si>
  <si>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</si>
  <si>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</si>
  <si>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</si>
  <si>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</si>
  <si>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</si>
  <si>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</si>
  <si>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</si>
  <si>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</si>
  <si>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</si>
  <si>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</si>
  <si>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</si>
  <si>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</si>
  <si>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</si>
  <si>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</si>
  <si>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</si>
  <si>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</si>
  <si>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</si>
  <si>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</si>
  <si>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</si>
  <si>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</si>
  <si>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</si>
  <si>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</si>
  <si>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</si>
  <si>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</si>
  <si>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</si>
  <si>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</si>
  <si>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</si>
  <si>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</si>
  <si>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</si>
  <si>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</si>
  <si>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</si>
  <si>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</si>
  <si>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</si>
  <si>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</si>
  <si>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</si>
  <si>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</si>
  <si>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</si>
  <si>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</si>
  <si>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</si>
  <si>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</si>
  <si>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</si>
  <si>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</si>
  <si>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</si>
  <si>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</si>
  <si>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</si>
  <si>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</si>
  <si>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</si>
  <si>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</si>
  <si>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</si>
  <si>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</si>
  <si>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</si>
  <si>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</si>
  <si>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</si>
  <si>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</si>
  <si>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</si>
  <si>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</si>
  <si>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</si>
  <si>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</si>
  <si>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</si>
  <si>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</si>
  <si>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</si>
  <si>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</si>
  <si>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</si>
  <si>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</si>
  <si>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</si>
  <si>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</si>
  <si>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</si>
  <si>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</si>
  <si>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</si>
  <si>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</si>
  <si>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</si>
  <si>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</si>
  <si>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</si>
  <si>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</si>
  <si>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</si>
  <si>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</si>
  <si>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</si>
  <si>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</si>
  <si>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</si>
  <si>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</si>
  <si>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</si>
  <si>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</si>
  <si>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</si>
  <si>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</si>
  <si>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</si>
  <si>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</si>
  <si>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</si>
  <si>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</si>
  <si>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</si>
  <si>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</si>
  <si>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</si>
  <si>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</si>
  <si>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</si>
  <si>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</si>
  <si>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</si>
  <si>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</si>
  <si>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</si>
  <si>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</si>
  <si>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</si>
  <si>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</si>
  <si>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</si>
  <si>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</si>
  <si>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</si>
  <si>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</si>
  <si>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</si>
  <si>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</si>
  <si>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</si>
  <si>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</si>
  <si>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</si>
  <si>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</si>
  <si>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</si>
  <si>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</si>
  <si>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</si>
  <si>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</si>
  <si>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</si>
  <si>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</si>
  <si>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</si>
  <si>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</si>
  <si>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</si>
  <si>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</si>
  <si>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</si>
  <si>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</si>
  <si>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</si>
  <si>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</si>
  <si>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</si>
  <si>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</si>
  <si>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</si>
  <si>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</si>
  <si>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</si>
  <si>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</si>
  <si>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</si>
  <si>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</si>
  <si>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</si>
  <si>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</si>
  <si>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</si>
  <si>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</si>
  <si>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</si>
  <si>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</si>
  <si>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</si>
  <si>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</si>
  <si>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</si>
  <si>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</si>
  <si>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</si>
  <si>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</si>
  <si>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</si>
  <si>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</si>
  <si>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</si>
  <si>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</si>
  <si>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</si>
  <si>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</si>
  <si>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</si>
  <si>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</si>
  <si>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</si>
  <si>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</si>
  <si>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</si>
  <si>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</si>
  <si>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</si>
  <si>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</si>
  <si>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</si>
  <si>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</si>
  <si>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</si>
  <si>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</si>
  <si>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</si>
  <si>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</si>
  <si>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</si>
  <si>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</si>
  <si>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</si>
  <si>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</si>
  <si>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</si>
  <si>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</si>
  <si>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</si>
  <si>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</si>
  <si>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</si>
  <si>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</si>
  <si>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</si>
  <si>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</si>
  <si>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</si>
  <si>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</si>
  <si>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</si>
  <si>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</si>
  <si>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</si>
  <si>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</si>
  <si>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</si>
  <si>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</si>
  <si>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</si>
  <si>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</si>
  <si>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</si>
  <si>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</si>
  <si>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</si>
  <si>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</si>
  <si>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</si>
  <si>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</si>
  <si>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</si>
  <si>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</si>
  <si>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</si>
  <si>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</si>
  <si>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</si>
  <si>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</si>
  <si>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</si>
  <si>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</si>
  <si>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</si>
  <si>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</si>
  <si>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</si>
  <si>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</si>
  <si>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</si>
  <si>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</si>
  <si>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</si>
  <si>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</si>
  <si>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</si>
  <si>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</si>
  <si>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</si>
  <si>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</si>
  <si>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</si>
  <si>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</si>
  <si>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</si>
  <si>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</si>
  <si>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</si>
  <si>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</si>
  <si>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</si>
  <si>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</si>
  <si>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</si>
  <si>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</si>
  <si>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</si>
  <si>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</si>
  <si>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</si>
  <si>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</si>
  <si>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</si>
  <si>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</si>
  <si>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</si>
  <si>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</si>
  <si>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</si>
  <si>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</si>
  <si>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</si>
  <si>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</si>
  <si>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</si>
  <si>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</si>
  <si>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</si>
  <si>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</si>
  <si>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</si>
  <si>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</si>
  <si>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</si>
  <si>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</si>
  <si>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</si>
  <si>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</si>
  <si>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</si>
  <si>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</si>
  <si>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</si>
  <si>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</si>
  <si>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</si>
  <si>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</si>
  <si>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</si>
  <si>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</si>
  <si>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</si>
  <si>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</si>
  <si>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</si>
  <si>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</si>
  <si>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</si>
  <si>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</si>
  <si>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</si>
  <si>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</si>
  <si>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</si>
  <si>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</si>
  <si>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</si>
  <si>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</si>
  <si>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</si>
  <si>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</si>
  <si>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</si>
  <si>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</si>
  <si>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</si>
  <si>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</si>
  <si>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</si>
  <si>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</si>
  <si>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</si>
  <si>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</si>
  <si>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</si>
  <si>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</si>
  <si>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</si>
  <si>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</si>
  <si>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</si>
  <si>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</si>
  <si>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</si>
  <si>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</si>
  <si>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</si>
  <si>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</si>
  <si>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</si>
  <si>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</si>
  <si>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</si>
  <si>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</si>
  <si>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</si>
  <si>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</si>
  <si>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</si>
  <si>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</si>
  <si>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</si>
  <si>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</si>
  <si>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</si>
  <si>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</si>
  <si>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</si>
  <si>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</si>
  <si>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</si>
  <si>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</si>
  <si>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</si>
  <si>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</si>
  <si>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</si>
  <si>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</si>
  <si>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</si>
  <si>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</si>
  <si>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</si>
  <si>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</si>
  <si>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</si>
  <si>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</si>
  <si>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</si>
  <si>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</si>
  <si>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</si>
  <si>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</si>
  <si>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</si>
  <si>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</si>
  <si>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</si>
  <si>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</si>
  <si>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</si>
  <si>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</si>
  <si>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</si>
  <si>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</si>
  <si>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</si>
  <si>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</si>
  <si>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</si>
  <si>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</si>
  <si>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</si>
  <si>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</si>
  <si>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</si>
  <si>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</si>
  <si>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</si>
  <si>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</si>
  <si>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</si>
  <si>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</si>
  <si>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</si>
  <si>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</si>
  <si>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</si>
  <si>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</si>
  <si>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</si>
  <si>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</si>
  <si>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</si>
  <si>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</si>
  <si>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</si>
  <si>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</si>
  <si>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</si>
  <si>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</si>
  <si>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</si>
  <si>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</si>
  <si>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</si>
  <si>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</si>
  <si>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</si>
  <si>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</si>
  <si>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</si>
  <si>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</si>
  <si>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</si>
  <si>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</si>
  <si>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</si>
  <si>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</si>
  <si>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</si>
  <si>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</si>
  <si>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</si>
  <si>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</si>
  <si>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</si>
  <si>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</si>
  <si>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</si>
  <si>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</si>
  <si>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</si>
  <si>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</si>
  <si>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</si>
  <si>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</si>
  <si>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</si>
  <si>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</si>
  <si>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</si>
  <si>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</si>
  <si>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</si>
  <si>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</si>
  <si>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</si>
  <si>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</si>
  <si>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</si>
  <si>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</si>
  <si>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</si>
  <si>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</si>
  <si>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</si>
  <si>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</si>
  <si>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</si>
  <si>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</si>
  <si>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</si>
  <si>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</si>
  <si>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</si>
  <si>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</si>
  <si>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</si>
  <si>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</si>
  <si>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</si>
  <si>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</si>
  <si>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</si>
  <si>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</si>
  <si>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</si>
  <si>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</si>
  <si>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</si>
  <si>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</si>
  <si>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</si>
  <si>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</si>
  <si>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</si>
  <si>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</si>
  <si>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</si>
  <si>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</si>
  <si>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</si>
  <si>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</si>
  <si>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</si>
  <si>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</si>
  <si>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</si>
  <si>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</si>
  <si>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</si>
  <si>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</si>
  <si>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</si>
  <si>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</si>
  <si>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</si>
  <si>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</si>
  <si>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</si>
  <si>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</si>
  <si>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</si>
  <si>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</si>
  <si>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</si>
  <si>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</si>
  <si>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</si>
  <si>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</si>
  <si>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</si>
  <si>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</si>
  <si>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</si>
  <si>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</si>
  <si>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</si>
  <si>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</si>
  <si>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</si>
  <si>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</si>
  <si>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</si>
  <si>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</si>
  <si>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</si>
  <si>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</si>
  <si>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</si>
  <si>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</si>
  <si>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</si>
  <si>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</si>
  <si>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</si>
  <si>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</si>
  <si>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</si>
  <si>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</si>
  <si>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</si>
  <si>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</si>
  <si>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</si>
  <si>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</si>
  <si>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</si>
  <si>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</si>
  <si>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</si>
  <si>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</si>
  <si>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</si>
  <si>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</si>
  <si>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</si>
  <si>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</si>
  <si>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</si>
  <si>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</si>
  <si>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</si>
  <si>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</si>
  <si>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</si>
  <si>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</si>
  <si>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</si>
  <si>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</si>
  <si>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</si>
  <si>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</si>
  <si>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</si>
  <si>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</si>
  <si>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</si>
  <si>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</si>
  <si>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</si>
  <si>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</si>
  <si>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</si>
  <si>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</si>
  <si>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</si>
  <si>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</si>
  <si>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</si>
  <si>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</si>
  <si>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</si>
  <si>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</si>
  <si>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</si>
  <si>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</si>
  <si>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</si>
  <si>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</si>
  <si>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</si>
  <si>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</si>
  <si>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</si>
  <si>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</si>
  <si>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</si>
  <si>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</si>
  <si>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</si>
  <si>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</si>
  <si>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</si>
  <si>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</si>
  <si>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</si>
  <si>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</si>
  <si>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</si>
  <si>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</si>
  <si>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</si>
  <si>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</si>
  <si>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</si>
  <si>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</si>
  <si>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</si>
  <si>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</si>
  <si>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</si>
  <si>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>Fakhar Store</t>
  </si>
  <si>
    <t>Address:Bedian Road</t>
  </si>
  <si>
    <t>Mian Store</t>
  </si>
  <si>
    <t>Address:Bedian Store</t>
  </si>
  <si>
    <t>Rehman Store</t>
  </si>
  <si>
    <t>MM Store</t>
  </si>
  <si>
    <t>Hikma Store</t>
  </si>
  <si>
    <t xml:space="preserve">Address:Bedian </t>
  </si>
  <si>
    <t>Malik Store</t>
  </si>
  <si>
    <t>Yaseen Store</t>
  </si>
  <si>
    <t>Hafiz Store</t>
  </si>
  <si>
    <t xml:space="preserve">Irfan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</si>
</sst>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1" workbookViewId="0">
      <selection activeCell="E29" sqref="E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Fakhar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Mian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Rehman Store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MM Store</v>
      </c>
      <c r="T6" s="301">
        <f>+'4'!P35</f>
        <v>7070.4410814152552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118">
        <f>M7+N7+O7</f>
        <v>3397.5773742584738</v>
      </c>
      <c r="Q7" s="142"/>
      <c r="R7" s="299">
        <v>5</v>
      </c>
      <c r="S7" s="300" t="str">
        <f>+'5'!A6:A6</f>
        <v>Hikma Store</v>
      </c>
      <c r="T7" s="301">
        <f>+'5'!P35</f>
        <v>11875.830579991527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119">
        <f t="shared" ref="P8:P15" si="2">M8+N8+O8</f>
        <v>3397.5773742584738</v>
      </c>
      <c r="R8" s="299">
        <v>6</v>
      </c>
      <c r="S8" s="300" t="str">
        <f>+'6'!A6:A6</f>
        <v>Malik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Yaseen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119">
        <f t="shared" si="2"/>
        <v>3920.2644813559323</v>
      </c>
      <c r="R10" s="299">
        <v>8</v>
      </c>
      <c r="S10" s="300" t="str">
        <f>+'8'!A6:A6</f>
        <v>Hafiz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119">
        <f t="shared" si="2"/>
        <v>4704.3173776271187</v>
      </c>
      <c r="R11" s="299">
        <v>9</v>
      </c>
      <c r="S11" s="300" t="str">
        <f>+'9'!A6:A6</f>
        <v xml:space="preserve">Irfan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90</v>
      </c>
      <c r="I12" s="236">
        <f t="shared" si="0"/>
        <v>6537.6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228.816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5785.7759999999998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1235.593220338983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35.106846101694913</v>
      </c>
      <c r="P12" s="119">
        <f t="shared" si="2"/>
        <v>7056.4760664406776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119">
        <f t="shared" si="2"/>
        <v>6676.7116539661019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480</v>
      </c>
      <c r="I16" s="114">
        <f t="shared" si="3"/>
        <v>27100.300000000003</v>
      </c>
      <c r="J16" s="274">
        <f>SUM(J7:J15)</f>
        <v>1979.7200000000003</v>
      </c>
      <c r="K16" s="275">
        <f t="shared" si="3"/>
        <v>948.51050000000009</v>
      </c>
      <c r="L16" s="276">
        <f t="shared" si="3"/>
        <v>320.11680000000001</v>
      </c>
      <c r="M16" s="232">
        <f t="shared" si="3"/>
        <v>23851.952700000002</v>
      </c>
      <c r="N16" s="233">
        <f>SUM(N7:N15)</f>
        <v>5155.9322033898297</v>
      </c>
      <c r="O16" s="101">
        <f>SUM(O7:O15)</f>
        <v>145.03942451694917</v>
      </c>
      <c r="P16" s="234">
        <f>SUM(P7:P15)</f>
        <v>29152.924327906781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27100.300000000003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1979.7200000000003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1268.6273000000001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23851.952700000002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5155.9322033898297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29007.88490338983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145.03942451694917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29152.924327906778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29152.924327906781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400.32799999999997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4428.6285000000007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5374.3912118644075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34" t="s">
        <v>88</v>
      </c>
      <c r="O35" s="335"/>
      <c r="P35" s="297">
        <f>+P33+P34</f>
        <v>5401.2631679237293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6573.3000000000011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478.78800000000007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310.09470000000005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5784.417300000001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7035.2647576271193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34" t="s">
        <v>88</v>
      </c>
      <c r="O35" s="335"/>
      <c r="P35" s="297">
        <f>+P33+P34</f>
        <v>7070.4410814152552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200</v>
      </c>
      <c r="I25" s="114">
        <f t="shared" si="7"/>
        <v>11048.100000000002</v>
      </c>
      <c r="J25" s="274">
        <f>SUM(J16:J24)</f>
        <v>789.69600000000003</v>
      </c>
      <c r="K25" s="275">
        <f t="shared" si="7"/>
        <v>386.68350000000009</v>
      </c>
      <c r="L25" s="276">
        <f t="shared" si="7"/>
        <v>160.05840000000001</v>
      </c>
      <c r="M25" s="232">
        <f t="shared" si="7"/>
        <v>9711.6621000000014</v>
      </c>
      <c r="N25" s="233">
        <f>SUM(N16:N24)</f>
        <v>2105.0847457627115</v>
      </c>
      <c r="O25" s="101">
        <f>SUM(O16:O24)</f>
        <v>59.083734228813555</v>
      </c>
      <c r="P25" s="234">
        <f>SUM(P16:P24)</f>
        <v>11875.830579991525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11048.100000000002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789.69600000000003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546.7419000000001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9711.6621000000014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2105.0847457627115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11816.746845762713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59.083734228813569</v>
      </c>
    </row>
    <row r="35" spans="2:16" ht="15.75" customHeight="1" thickBot="1" x14ac:dyDescent="0.4">
      <c r="N35" s="334" t="s">
        <v>88</v>
      </c>
      <c r="O35" s="335"/>
      <c r="P35" s="297">
        <f>+P33+P34</f>
        <v>11875.830579991527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2026-07-27T11:14:49Z</dcterms:modified>
</cp:coreProperties>
</file>