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48027426-F3E8-4F72-933F-F2B5B1D39F25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K17" i="17" l="1"/>
  <c r="K18" i="17"/>
  <c r="K19" i="17"/>
  <c r="K20" i="17"/>
  <c r="K21" i="17"/>
  <c r="K18" i="19"/>
  <c r="K17" i="18"/>
  <c r="K18" i="18"/>
  <c r="K19" i="18"/>
  <c r="K20" i="18"/>
  <c r="K21" i="18"/>
  <c r="K17" i="20"/>
  <c r="K18" i="20"/>
  <c r="K19" i="20"/>
  <c r="K20" i="20"/>
  <c r="K21" i="20"/>
  <c r="K17" i="21"/>
  <c r="K18" i="21"/>
  <c r="K19" i="21"/>
  <c r="K20" i="21"/>
  <c r="K21" i="21"/>
  <c r="K17" i="22"/>
  <c r="K18" i="22"/>
  <c r="K19" i="22"/>
  <c r="K20" i="22"/>
  <c r="K21" i="22"/>
  <c r="K17" i="23"/>
  <c r="K18" i="23"/>
  <c r="K19" i="23"/>
  <c r="K20" i="23"/>
  <c r="K21" i="23"/>
  <c r="K17" i="24"/>
  <c r="K18" i="24"/>
  <c r="K19" i="24"/>
  <c r="K20" i="24"/>
  <c r="K21" i="24"/>
  <c r="K17" i="25"/>
  <c r="K18" i="25"/>
  <c r="K19" i="25"/>
  <c r="K20" i="25"/>
  <c r="K21" i="25"/>
  <c r="K17" i="26"/>
  <c r="K18" i="26"/>
  <c r="K19" i="26"/>
  <c r="K20" i="26"/>
  <c r="K21" i="26"/>
  <c r="K17" i="27"/>
  <c r="K18" i="27"/>
  <c r="K19" i="27"/>
  <c r="K20" i="27"/>
  <c r="K21" i="27"/>
  <c r="K17" i="28"/>
  <c r="K18" i="28"/>
  <c r="K19" i="28"/>
  <c r="K20" i="28"/>
  <c r="K21" i="28"/>
  <c r="K17" i="29"/>
  <c r="K18" i="29"/>
  <c r="K19" i="29"/>
  <c r="K20" i="29"/>
  <c r="K21" i="29"/>
  <c r="K17" i="30"/>
  <c r="K18" i="30"/>
  <c r="K19" i="30"/>
  <c r="K20" i="30"/>
  <c r="K21" i="30"/>
  <c r="K17" i="31"/>
  <c r="K18" i="31"/>
  <c r="K19" i="31"/>
  <c r="K20" i="31"/>
  <c r="K21" i="31"/>
  <c r="K17" i="32"/>
  <c r="K18" i="32"/>
  <c r="K19" i="32"/>
  <c r="K20" i="32"/>
  <c r="K21" i="32"/>
  <c r="K17" i="33"/>
  <c r="K18" i="33"/>
  <c r="K19" i="33"/>
  <c r="K20" i="33"/>
  <c r="K21" i="33"/>
  <c r="K17" i="34"/>
  <c r="K18" i="34"/>
  <c r="K19" i="34"/>
  <c r="K20" i="34"/>
  <c r="K21" i="34"/>
  <c r="K17" i="35"/>
  <c r="K18" i="35"/>
  <c r="K19" i="35"/>
  <c r="K20" i="35"/>
  <c r="K21" i="35"/>
  <c r="K17" i="16"/>
  <c r="K18" i="16"/>
  <c r="K16" i="17"/>
  <c r="K16" i="18"/>
  <c r="K16" i="20"/>
  <c r="K16" i="21"/>
  <c r="K16" i="22"/>
  <c r="K16" i="23"/>
  <c r="K16" i="24"/>
  <c r="K16" i="25"/>
  <c r="K16" i="26"/>
  <c r="K16" i="27"/>
  <c r="K16" i="28"/>
  <c r="K16" i="29"/>
  <c r="K16" i="30"/>
  <c r="K16" i="31"/>
  <c r="K16" i="32"/>
  <c r="K16" i="33"/>
  <c r="K16" i="34"/>
  <c r="K16" i="35"/>
  <c r="Z23" i="16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22" i="35" l="1"/>
  <c r="L22" i="35"/>
  <c r="I16" i="28"/>
  <c r="I17" i="28"/>
  <c r="I18" i="28"/>
  <c r="I19" i="28"/>
  <c r="I20" i="28"/>
  <c r="I21" i="28"/>
  <c r="I22" i="28"/>
  <c r="I25" i="28" s="1"/>
  <c r="P28" i="28" s="1"/>
  <c r="I23" i="28"/>
  <c r="L23" i="28" s="1"/>
  <c r="I24" i="28"/>
  <c r="I22" i="32"/>
  <c r="I25" i="32" s="1"/>
  <c r="P28" i="32" s="1"/>
  <c r="I18" i="33"/>
  <c r="I20" i="33"/>
  <c r="I16" i="30"/>
  <c r="I17" i="30"/>
  <c r="I18" i="30"/>
  <c r="I19" i="30"/>
  <c r="I20" i="30"/>
  <c r="I21" i="30"/>
  <c r="I22" i="30"/>
  <c r="I23" i="30"/>
  <c r="K23" i="30" s="1"/>
  <c r="M23" i="30" s="1"/>
  <c r="I24" i="30"/>
  <c r="I16" i="32"/>
  <c r="I17" i="32"/>
  <c r="I18" i="32"/>
  <c r="I19" i="32"/>
  <c r="I20" i="32"/>
  <c r="I21" i="32"/>
  <c r="I16" i="33"/>
  <c r="L16" i="33" s="1"/>
  <c r="I16" i="31"/>
  <c r="I17" i="31"/>
  <c r="I18" i="31"/>
  <c r="L18" i="31" s="1"/>
  <c r="I19" i="31"/>
  <c r="I20" i="31"/>
  <c r="I21" i="31"/>
  <c r="I22" i="31"/>
  <c r="I23" i="31"/>
  <c r="K23" i="31" s="1"/>
  <c r="I24" i="31"/>
  <c r="I23" i="32"/>
  <c r="I22" i="33"/>
  <c r="I16" i="34"/>
  <c r="I17" i="34"/>
  <c r="I18" i="34"/>
  <c r="I19" i="34"/>
  <c r="I20" i="34"/>
  <c r="I21" i="34"/>
  <c r="I22" i="34"/>
  <c r="I23" i="34"/>
  <c r="I24" i="34"/>
  <c r="L24" i="34" s="1"/>
  <c r="I16" i="29"/>
  <c r="I17" i="29"/>
  <c r="I18" i="29"/>
  <c r="I19" i="29"/>
  <c r="I20" i="29"/>
  <c r="I21" i="29"/>
  <c r="I22" i="29"/>
  <c r="I23" i="29"/>
  <c r="L23" i="29" s="1"/>
  <c r="I24" i="29"/>
  <c r="I24" i="32"/>
  <c r="I19" i="33"/>
  <c r="L19" i="33" s="1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3" i="35"/>
  <c r="L23" i="35"/>
  <c r="K24" i="35"/>
  <c r="L24" i="35"/>
  <c r="L16" i="34"/>
  <c r="L17" i="34"/>
  <c r="L18" i="34"/>
  <c r="L21" i="34"/>
  <c r="K23" i="34"/>
  <c r="L21" i="33"/>
  <c r="L20" i="33"/>
  <c r="K24" i="33"/>
  <c r="L24" i="33"/>
  <c r="M17" i="33"/>
  <c r="K24" i="32"/>
  <c r="L24" i="32"/>
  <c r="L16" i="32"/>
  <c r="L17" i="32"/>
  <c r="L19" i="32"/>
  <c r="L20" i="32"/>
  <c r="L21" i="32"/>
  <c r="K23" i="32"/>
  <c r="L23" i="32"/>
  <c r="M23" i="32" s="1"/>
  <c r="L17" i="31"/>
  <c r="M17" i="31" s="1"/>
  <c r="L21" i="31"/>
  <c r="K24" i="31"/>
  <c r="L24" i="31"/>
  <c r="L16" i="31"/>
  <c r="L20" i="31"/>
  <c r="L23" i="31"/>
  <c r="L20" i="30"/>
  <c r="L21" i="30"/>
  <c r="M21" i="30" s="1"/>
  <c r="L23" i="30"/>
  <c r="L16" i="30"/>
  <c r="L17" i="30"/>
  <c r="K24" i="30"/>
  <c r="L24" i="30"/>
  <c r="L16" i="29"/>
  <c r="L21" i="29"/>
  <c r="K24" i="29"/>
  <c r="M24" i="29" s="1"/>
  <c r="L24" i="29"/>
  <c r="L17" i="29"/>
  <c r="L20" i="29"/>
  <c r="L16" i="28"/>
  <c r="L17" i="28"/>
  <c r="M17" i="28" s="1"/>
  <c r="L19" i="28"/>
  <c r="L20" i="28"/>
  <c r="L21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2" i="35" l="1"/>
  <c r="K22" i="34"/>
  <c r="L22" i="34"/>
  <c r="L25" i="34" s="1"/>
  <c r="P29" i="34" s="1"/>
  <c r="L22" i="32"/>
  <c r="K22" i="32"/>
  <c r="K25" i="32" s="1"/>
  <c r="P30" i="32" s="1"/>
  <c r="K22" i="27"/>
  <c r="L22" i="27"/>
  <c r="K22" i="29"/>
  <c r="K25" i="29" s="1"/>
  <c r="P30" i="29" s="1"/>
  <c r="L22" i="29"/>
  <c r="K22" i="33"/>
  <c r="L22" i="33"/>
  <c r="K22" i="31"/>
  <c r="L22" i="31"/>
  <c r="L25" i="31" s="1"/>
  <c r="P29" i="31" s="1"/>
  <c r="K22" i="30"/>
  <c r="L22" i="30"/>
  <c r="K22" i="28"/>
  <c r="L22" i="28"/>
  <c r="L25" i="28" s="1"/>
  <c r="P29" i="28" s="1"/>
  <c r="K23" i="28"/>
  <c r="M23" i="28" s="1"/>
  <c r="K23" i="29"/>
  <c r="L19" i="30"/>
  <c r="L19" i="31"/>
  <c r="K24" i="34"/>
  <c r="M24" i="34" s="1"/>
  <c r="L20" i="34"/>
  <c r="M21" i="35"/>
  <c r="I25" i="34"/>
  <c r="P28" i="34" s="1"/>
  <c r="M24" i="28"/>
  <c r="L18" i="28"/>
  <c r="L18" i="29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I17" i="26"/>
  <c r="I18" i="26"/>
  <c r="I19" i="26"/>
  <c r="I20" i="26"/>
  <c r="L20" i="26" s="1"/>
  <c r="I21" i="26"/>
  <c r="I22" i="26"/>
  <c r="I23" i="26"/>
  <c r="I24" i="26"/>
  <c r="L24" i="26" s="1"/>
  <c r="M24" i="26" s="1"/>
  <c r="I21" i="27"/>
  <c r="M18" i="28"/>
  <c r="N18" i="28" s="1"/>
  <c r="O18" i="28" s="1"/>
  <c r="P18" i="28" s="1"/>
  <c r="M20" i="29"/>
  <c r="M23" i="31"/>
  <c r="N23" i="31" s="1"/>
  <c r="O23" i="31" s="1"/>
  <c r="I25" i="31"/>
  <c r="P28" i="31" s="1"/>
  <c r="M19" i="32"/>
  <c r="N19" i="32" s="1"/>
  <c r="O19" i="32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1" i="33"/>
  <c r="N21" i="33" s="1"/>
  <c r="O21" i="33" s="1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19" i="34"/>
  <c r="O19" i="34" s="1"/>
  <c r="N23" i="33"/>
  <c r="O23" i="33" s="1"/>
  <c r="N24" i="33"/>
  <c r="O24" i="33" s="1"/>
  <c r="N18" i="33"/>
  <c r="O18" i="33" s="1"/>
  <c r="N17" i="33"/>
  <c r="O17" i="33" s="1"/>
  <c r="M16" i="33"/>
  <c r="N17" i="32"/>
  <c r="O17" i="32" s="1"/>
  <c r="N23" i="32"/>
  <c r="O23" i="32" s="1"/>
  <c r="L25" i="32"/>
  <c r="P29" i="32" s="1"/>
  <c r="N21" i="31"/>
  <c r="O21" i="31" s="1"/>
  <c r="N24" i="31"/>
  <c r="O24" i="31" s="1"/>
  <c r="P24" i="31"/>
  <c r="N17" i="31"/>
  <c r="O17" i="31" s="1"/>
  <c r="M16" i="31"/>
  <c r="N19" i="31"/>
  <c r="O19" i="31" s="1"/>
  <c r="K25" i="31"/>
  <c r="P30" i="31" s="1"/>
  <c r="N21" i="30"/>
  <c r="O21" i="30" s="1"/>
  <c r="N17" i="30"/>
  <c r="O17" i="30" s="1"/>
  <c r="N24" i="30"/>
  <c r="O24" i="30" s="1"/>
  <c r="P24" i="30" s="1"/>
  <c r="N23" i="30"/>
  <c r="O23" i="30" s="1"/>
  <c r="N16" i="29"/>
  <c r="N20" i="29"/>
  <c r="O20" i="29" s="1"/>
  <c r="N24" i="29"/>
  <c r="O24" i="29" s="1"/>
  <c r="P24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M16" i="28"/>
  <c r="N21" i="28"/>
  <c r="O21" i="28" s="1"/>
  <c r="N17" i="28"/>
  <c r="O17" i="28" s="1"/>
  <c r="J25" i="15"/>
  <c r="I25" i="27"/>
  <c r="P28" i="27" s="1"/>
  <c r="L16" i="27"/>
  <c r="L17" i="27"/>
  <c r="L20" i="27"/>
  <c r="L21" i="27"/>
  <c r="K23" i="27"/>
  <c r="L23" i="27"/>
  <c r="K24" i="27"/>
  <c r="L24" i="27"/>
  <c r="L19" i="27"/>
  <c r="L18" i="27"/>
  <c r="L17" i="26"/>
  <c r="L19" i="26"/>
  <c r="K23" i="26"/>
  <c r="L23" i="26"/>
  <c r="L18" i="26"/>
  <c r="L21" i="26"/>
  <c r="K24" i="26"/>
  <c r="L16" i="26"/>
  <c r="T23" i="15"/>
  <c r="T22" i="15"/>
  <c r="T21" i="15"/>
  <c r="T20" i="15"/>
  <c r="T19" i="15"/>
  <c r="T18" i="15"/>
  <c r="T15" i="15"/>
  <c r="T14" i="15"/>
  <c r="M22" i="29" l="1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P31" i="29" s="1"/>
  <c r="M22" i="30"/>
  <c r="N22" i="30" s="1"/>
  <c r="O22" i="30" s="1"/>
  <c r="P22" i="30" s="1"/>
  <c r="M22" i="33"/>
  <c r="N22" i="33" s="1"/>
  <c r="O22" i="33" s="1"/>
  <c r="K25" i="30"/>
  <c r="P30" i="30" s="1"/>
  <c r="P31" i="30" s="1"/>
  <c r="K22" i="26"/>
  <c r="L22" i="26"/>
  <c r="L25" i="26" s="1"/>
  <c r="P29" i="26" s="1"/>
  <c r="N24" i="34"/>
  <c r="O24" i="34" s="1"/>
  <c r="K25" i="34"/>
  <c r="P30" i="34" s="1"/>
  <c r="P31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18" i="31"/>
  <c r="P31" i="35"/>
  <c r="P21" i="30"/>
  <c r="P2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O16" i="30"/>
  <c r="P23" i="30"/>
  <c r="P17" i="30"/>
  <c r="P20" i="30"/>
  <c r="N25" i="29"/>
  <c r="P32" i="29" s="1"/>
  <c r="O16" i="29"/>
  <c r="P23" i="29"/>
  <c r="P22" i="29"/>
  <c r="P19" i="29"/>
  <c r="P20" i="29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N20" i="26"/>
  <c r="O20" i="26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M25" i="28" l="1"/>
  <c r="M22" i="26"/>
  <c r="N22" i="26" s="1"/>
  <c r="O22" i="26" s="1"/>
  <c r="P22" i="26" s="1"/>
  <c r="K25" i="26"/>
  <c r="P30" i="26" s="1"/>
  <c r="P31" i="26" s="1"/>
  <c r="O25" i="30"/>
  <c r="M25" i="30"/>
  <c r="N25" i="30"/>
  <c r="P32" i="30" s="1"/>
  <c r="P33" i="30" s="1"/>
  <c r="P34" i="30" s="1"/>
  <c r="P35" i="30" s="1"/>
  <c r="U28" i="15" s="1"/>
  <c r="K22" i="22"/>
  <c r="L22" i="22"/>
  <c r="P33" i="32"/>
  <c r="N25" i="34"/>
  <c r="P32" i="34" s="1"/>
  <c r="P33" i="34" s="1"/>
  <c r="P34" i="34" s="1"/>
  <c r="P35" i="34" s="1"/>
  <c r="U32" i="15" s="1"/>
  <c r="P24" i="34"/>
  <c r="I16" i="25"/>
  <c r="I17" i="25"/>
  <c r="I18" i="25"/>
  <c r="I19" i="25"/>
  <c r="I20" i="25"/>
  <c r="I22" i="25"/>
  <c r="I23" i="25"/>
  <c r="I24" i="25"/>
  <c r="L24" i="25" s="1"/>
  <c r="I21" i="18"/>
  <c r="I22" i="18"/>
  <c r="I24" i="18"/>
  <c r="L24" i="18" s="1"/>
  <c r="I19" i="19"/>
  <c r="I20" i="19"/>
  <c r="K20" i="19" s="1"/>
  <c r="I21" i="19"/>
  <c r="I22" i="19"/>
  <c r="I23" i="19"/>
  <c r="L23" i="19" s="1"/>
  <c r="I24" i="19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I16" i="24"/>
  <c r="L16" i="24" s="1"/>
  <c r="I17" i="24"/>
  <c r="L17" i="24" s="1"/>
  <c r="I18" i="24"/>
  <c r="I19" i="24"/>
  <c r="L19" i="24" s="1"/>
  <c r="I20" i="24"/>
  <c r="I21" i="24"/>
  <c r="L21" i="24" s="1"/>
  <c r="I22" i="24"/>
  <c r="I21" i="23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L23" i="24" s="1"/>
  <c r="I24" i="24"/>
  <c r="K24" i="24" s="1"/>
  <c r="I16" i="19"/>
  <c r="I17" i="19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I24" i="23"/>
  <c r="L24" i="23" s="1"/>
  <c r="I16" i="20"/>
  <c r="L16" i="20" s="1"/>
  <c r="I18" i="20"/>
  <c r="I20" i="20"/>
  <c r="L20" i="20" s="1"/>
  <c r="I22" i="20"/>
  <c r="I24" i="20"/>
  <c r="K24" i="20" s="1"/>
  <c r="I16" i="21"/>
  <c r="L16" i="21" s="1"/>
  <c r="I18" i="21"/>
  <c r="I20" i="21"/>
  <c r="I22" i="21"/>
  <c r="I24" i="21"/>
  <c r="K24" i="21" s="1"/>
  <c r="I16" i="17"/>
  <c r="I17" i="17"/>
  <c r="I18" i="17"/>
  <c r="I19" i="17"/>
  <c r="I20" i="17"/>
  <c r="I21" i="17"/>
  <c r="L21" i="17" s="1"/>
  <c r="I22" i="17"/>
  <c r="I23" i="17"/>
  <c r="K23" i="17" s="1"/>
  <c r="I24" i="17"/>
  <c r="K24" i="17" s="1"/>
  <c r="I19" i="18"/>
  <c r="I23" i="18"/>
  <c r="L23" i="18" s="1"/>
  <c r="L18" i="25"/>
  <c r="L20" i="25"/>
  <c r="L16" i="25"/>
  <c r="K24" i="25"/>
  <c r="L17" i="25"/>
  <c r="L23" i="25"/>
  <c r="K23" i="25"/>
  <c r="L23" i="23"/>
  <c r="K23" i="23"/>
  <c r="L16" i="22"/>
  <c r="L18" i="22"/>
  <c r="L20" i="22"/>
  <c r="L17" i="22"/>
  <c r="L19" i="22"/>
  <c r="L21" i="22"/>
  <c r="L24" i="20"/>
  <c r="K23" i="20"/>
  <c r="K24" i="19"/>
  <c r="L24" i="19"/>
  <c r="L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0" i="19" l="1"/>
  <c r="L21" i="19"/>
  <c r="K21" i="19"/>
  <c r="L19" i="19"/>
  <c r="K19" i="19"/>
  <c r="L17" i="19"/>
  <c r="K17" i="19"/>
  <c r="L16" i="19"/>
  <c r="K16" i="19"/>
  <c r="K22" i="23"/>
  <c r="L22" i="23"/>
  <c r="K22" i="17"/>
  <c r="L22" i="17"/>
  <c r="M22" i="17" s="1"/>
  <c r="N22" i="17" s="1"/>
  <c r="O22" i="17" s="1"/>
  <c r="K22" i="21"/>
  <c r="L22" i="21"/>
  <c r="K22" i="19"/>
  <c r="L22" i="19"/>
  <c r="L22" i="20"/>
  <c r="K22" i="20"/>
  <c r="L22" i="24"/>
  <c r="K22" i="24"/>
  <c r="M22" i="24" s="1"/>
  <c r="N22" i="24" s="1"/>
  <c r="O22" i="24" s="1"/>
  <c r="K22" i="18"/>
  <c r="L22" i="18"/>
  <c r="M22" i="18" s="1"/>
  <c r="N22" i="18" s="1"/>
  <c r="O22" i="18" s="1"/>
  <c r="K22" i="25"/>
  <c r="L22" i="25"/>
  <c r="M22" i="25" s="1"/>
  <c r="N22" i="25" s="1"/>
  <c r="O22" i="25" s="1"/>
  <c r="L24" i="17"/>
  <c r="M21" i="19"/>
  <c r="K23" i="24"/>
  <c r="I25" i="25"/>
  <c r="P28" i="25" s="1"/>
  <c r="L18" i="17"/>
  <c r="K23" i="19"/>
  <c r="M23" i="19" s="1"/>
  <c r="N23" i="19" s="1"/>
  <c r="O23" i="19" s="1"/>
  <c r="L23" i="22"/>
  <c r="L25" i="22" s="1"/>
  <c r="P29" i="22" s="1"/>
  <c r="L19" i="25"/>
  <c r="M16" i="24"/>
  <c r="N16" i="24" s="1"/>
  <c r="M18" i="18"/>
  <c r="N18" i="18" s="1"/>
  <c r="O18" i="18" s="1"/>
  <c r="M21" i="20"/>
  <c r="N21" i="20" s="1"/>
  <c r="O21" i="20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M19" i="24"/>
  <c r="N19" i="24" s="1"/>
  <c r="O19" i="24" s="1"/>
  <c r="P19" i="24" s="1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L18" i="21"/>
  <c r="M18" i="21" s="1"/>
  <c r="N18" i="21" s="1"/>
  <c r="O18" i="21" s="1"/>
  <c r="M16" i="20"/>
  <c r="N16" i="20" s="1"/>
  <c r="L19" i="21"/>
  <c r="M19" i="21" s="1"/>
  <c r="N19" i="21" s="1"/>
  <c r="O19" i="21" s="1"/>
  <c r="M17" i="21"/>
  <c r="N17" i="21" s="1"/>
  <c r="O17" i="21" s="1"/>
  <c r="P17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0" i="25"/>
  <c r="N20" i="25" s="1"/>
  <c r="O20" i="25" s="1"/>
  <c r="M24" i="24"/>
  <c r="M17" i="24"/>
  <c r="N17" i="24" s="1"/>
  <c r="O17" i="24" s="1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M16" i="21"/>
  <c r="N16" i="21" s="1"/>
  <c r="I25" i="20"/>
  <c r="P28" i="20" s="1"/>
  <c r="M20" i="19"/>
  <c r="N20" i="19" s="1"/>
  <c r="O20" i="19" s="1"/>
  <c r="M19" i="19"/>
  <c r="N19" i="19" s="1"/>
  <c r="O19" i="19" s="1"/>
  <c r="I16" i="15"/>
  <c r="I17" i="15"/>
  <c r="I18" i="15"/>
  <c r="I19" i="15"/>
  <c r="I20" i="15"/>
  <c r="I21" i="15"/>
  <c r="I22" i="15"/>
  <c r="I24" i="15"/>
  <c r="I16" i="16"/>
  <c r="K16" i="16" s="1"/>
  <c r="I17" i="16"/>
  <c r="I18" i="16"/>
  <c r="I19" i="16"/>
  <c r="K19" i="16" s="1"/>
  <c r="I20" i="16"/>
  <c r="K20" i="16" s="1"/>
  <c r="I21" i="16"/>
  <c r="K21" i="16" s="1"/>
  <c r="I22" i="16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4" i="24"/>
  <c r="O24" i="24" s="1"/>
  <c r="K25" i="24"/>
  <c r="P30" i="24" s="1"/>
  <c r="M16" i="22"/>
  <c r="M21" i="21"/>
  <c r="N21" i="21" s="1"/>
  <c r="M17" i="19"/>
  <c r="N17" i="19" s="1"/>
  <c r="O17" i="19" s="1"/>
  <c r="N24" i="19"/>
  <c r="O24" i="19" s="1"/>
  <c r="N24" i="18"/>
  <c r="O24" i="18" s="1"/>
  <c r="I23" i="15"/>
  <c r="L25" i="19" l="1"/>
  <c r="P29" i="19" s="1"/>
  <c r="M22" i="21"/>
  <c r="N22" i="21" s="1"/>
  <c r="O22" i="21" s="1"/>
  <c r="M22" i="19"/>
  <c r="N22" i="19" s="1"/>
  <c r="O22" i="19" s="1"/>
  <c r="P22" i="19" s="1"/>
  <c r="L25" i="18"/>
  <c r="P29" i="18" s="1"/>
  <c r="L22" i="16"/>
  <c r="L22" i="15" s="1"/>
  <c r="K22" i="16"/>
  <c r="L25" i="25"/>
  <c r="P29" i="25" s="1"/>
  <c r="L17" i="16"/>
  <c r="M23" i="22"/>
  <c r="N23" i="22" s="1"/>
  <c r="O23" i="22" s="1"/>
  <c r="L21" i="16"/>
  <c r="L21" i="15" s="1"/>
  <c r="K25" i="19"/>
  <c r="P30" i="19" s="1"/>
  <c r="L19" i="16"/>
  <c r="L19" i="15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M21" i="15" s="1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P23" i="22"/>
  <c r="I25" i="15"/>
  <c r="P36" i="15" s="1"/>
  <c r="M24" i="16"/>
  <c r="N24" i="16" s="1"/>
  <c r="K23" i="16"/>
  <c r="K19" i="15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31" i="18" l="1"/>
  <c r="P31" i="19"/>
  <c r="M16" i="16"/>
  <c r="N16" i="16" s="1"/>
  <c r="O16" i="16" s="1"/>
  <c r="P19" i="18"/>
  <c r="P22" i="20"/>
  <c r="M25" i="20"/>
  <c r="M25" i="19"/>
  <c r="M25" i="18"/>
  <c r="M16" i="15"/>
  <c r="M22" i="15"/>
  <c r="M18" i="15"/>
  <c r="N16" i="18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P33" i="18" s="1"/>
  <c r="O16" i="18"/>
  <c r="O16" i="17"/>
  <c r="O25" i="17" s="1"/>
  <c r="N25" i="17"/>
  <c r="P32" i="17" s="1"/>
  <c r="N16" i="15" l="1"/>
  <c r="N18" i="15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16" i="15" l="1"/>
  <c r="P33" i="16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<sst xmlns="http://schemas.openxmlformats.org/spreadsheetml/2006/main" count="1634" uniqueCount="130">
  <si>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</si>
  <si>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</si>
  <si>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</si>
  <si>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</si>
  <si>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</si>
  <si>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</si>
  <si>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</si>
  <si>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</si>
  <si>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</si>
  <si>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</si>
  <si>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</si>
  <si>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</si>
  <si>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</si>
  <si>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</si>
  <si>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</si>
  <si>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</si>
  <si>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</si>
  <si>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</si>
  <si>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</si>
  <si>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</si>
  <si>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</si>
  <si>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</si>
  <si>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</si>
  <si>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</si>
  <si>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</si>
  <si>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</si>
  <si>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</si>
  <si>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</si>
  <si>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</si>
  <si>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</si>
  <si>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</si>
  <si>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</si>
  <si>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</si>
  <si>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</si>
  <si>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</si>
  <si>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</si>
  <si>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</si>
  <si>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</si>
  <si>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</si>
  <si>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</si>
  <si>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</si>
  <si>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</si>
  <si>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</si>
  <si>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</si>
  <si>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</si>
  <si>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</si>
  <si>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</si>
  <si>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</si>
  <si>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</si>
  <si>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</si>
  <si>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</si>
  <si>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</si>
  <si>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</si>
  <si>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</si>
  <si>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</si>
  <si>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</si>
  <si>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</si>
  <si>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</si>
  <si>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</si>
  <si>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</si>
  <si>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</si>
  <si>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</si>
  <si>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</si>
  <si>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</si>
  <si>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</si>
  <si>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</si>
  <si>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</si>
  <si>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</si>
  <si>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</si>
  <si>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</si>
  <si>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</si>
  <si>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</si>
  <si>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</si>
  <si>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</si>
  <si>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</si>
  <si>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</si>
  <si>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</si>
  <si>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</si>
  <si>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</si>
  <si>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</si>
  <si>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</si>
  <si>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</si>
  <si>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</si>
  <si>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</si>
  <si>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</si>
  <si>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</si>
  <si>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</si>
  <si>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</si>
  <si>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</si>
  <si>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</si>
  <si>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</si>
  <si>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</si>
  <si>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</si>
  <si>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</si>
  <si>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</si>
  <si>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</si>
  <si>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</si>
  <si>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</si>
  <si>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</si>
  <si>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</si>
  <si>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</si>
  <si>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</si>
  <si>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</si>
  <si>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</si>
  <si>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</si>
  <si>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</si>
  <si>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</si>
  <si>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</si>
  <si>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</si>
  <si>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</si>
  <si>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</si>
  <si>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</si>
  <si>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</si>
  <si>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</si>
  <si>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</si>
  <si>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</si>
  <si>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</si>
  <si>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</si>
  <si>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</si>
  <si>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</si>
  <si>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Shop Bill Summary (Furqan)</t>
  </si>
  <si>
    <t xml:space="preserve">Customer Name : Saeed Bakery </t>
  </si>
  <si>
    <t>Address: Kanak Mandi Mozang</t>
  </si>
  <si>
    <t>Customer Name : Super Fina Bakery</t>
  </si>
  <si>
    <t xml:space="preserve">Address: Kanak Mandi </t>
  </si>
  <si>
    <t>1446856-7</t>
  </si>
  <si>
    <t>Customer Name : Zaheed Store</t>
  </si>
  <si>
    <t>3255339-7</t>
  </si>
  <si>
    <t xml:space="preserve">Customer Name : Mughal Bakery </t>
  </si>
  <si>
    <t xml:space="preserve">Address: Nanak Mandi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</si>
</sst>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K17" sqref="K17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K17" sqref="K17"/>
      <selection pane="topRight" activeCell="K17" sqref="K17"/>
      <selection pane="bottomLeft" activeCell="K17" sqref="K17"/>
      <selection pane="bottomRight" activeCell="K17" sqref="K17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3"/>
      <c r="B3" s="193"/>
      <c r="C3" s="193"/>
      <c r="D3" s="193"/>
      <c r="E3" s="193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</row>
    <row r="4" spans="1:29" x14ac:dyDescent="0.35">
      <c r="A4" s="195" t="s">
        <v>6</v>
      </c>
      <c r="B4" s="5" t="s">
        <v>7</v>
      </c>
      <c r="C4" s="5"/>
      <c r="D4" s="197" t="s">
        <v>8</v>
      </c>
      <c r="E4" s="199" t="s">
        <v>9</v>
      </c>
      <c r="F4" s="201" t="s">
        <v>3</v>
      </c>
      <c r="G4" s="201"/>
      <c r="H4" s="202" t="s">
        <v>10</v>
      </c>
      <c r="I4" s="202"/>
      <c r="J4" s="203" t="s">
        <v>11</v>
      </c>
      <c r="K4" s="204"/>
      <c r="L4" s="203" t="s">
        <v>12</v>
      </c>
      <c r="M4" s="204"/>
      <c r="N4" s="205" t="s">
        <v>13</v>
      </c>
      <c r="O4" s="205"/>
      <c r="P4" s="203" t="s">
        <v>4</v>
      </c>
      <c r="Q4" s="204"/>
      <c r="R4" s="203" t="s">
        <v>14</v>
      </c>
      <c r="S4" s="204"/>
      <c r="T4" s="206" t="s">
        <v>15</v>
      </c>
      <c r="U4" s="206"/>
      <c r="V4" s="207" t="s">
        <v>16</v>
      </c>
      <c r="W4" s="208"/>
      <c r="X4" s="207" t="s">
        <v>17</v>
      </c>
      <c r="Y4" s="208"/>
    </row>
    <row r="5" spans="1:29" ht="26.25" customHeight="1" thickBot="1" x14ac:dyDescent="0.4">
      <c r="A5" s="196"/>
      <c r="B5" s="7" t="s">
        <v>18</v>
      </c>
      <c r="C5" s="7" t="s">
        <v>8</v>
      </c>
      <c r="D5" s="198"/>
      <c r="E5" s="20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zoomScale="70" zoomScaleNormal="70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09" t="s">
        <v>45</v>
      </c>
      <c r="B2" s="209"/>
      <c r="C2" s="209"/>
    </row>
    <row r="3" spans="1:21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46213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14" t="s">
        <v>96</v>
      </c>
      <c r="B5" s="214"/>
      <c r="C5" s="214"/>
      <c r="F5" s="70"/>
      <c r="G5" s="71"/>
      <c r="K5" s="211" t="s">
        <v>51</v>
      </c>
      <c r="L5" s="211"/>
      <c r="M5" s="211"/>
      <c r="N5" s="212">
        <f ca="1">N4-1</f>
        <v>46212</v>
      </c>
      <c r="O5" s="210"/>
      <c r="P5" s="210"/>
      <c r="R5" s="70"/>
      <c r="S5" s="71"/>
    </row>
    <row r="6" spans="1:21 16383:16384" ht="15" customHeight="1" x14ac:dyDescent="0.35">
      <c r="A6" s="214"/>
      <c r="B6" s="214"/>
      <c r="C6" s="214"/>
      <c r="F6" s="70"/>
      <c r="G6" s="74"/>
      <c r="K6" s="211" t="s">
        <v>52</v>
      </c>
      <c r="L6" s="211"/>
      <c r="M6" s="211"/>
      <c r="N6" s="213" t="s">
        <v>42</v>
      </c>
      <c r="O6" s="213"/>
      <c r="P6" s="21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21 16383:16384" hidden="1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21 16383:16384" x14ac:dyDescent="0.35">
      <c r="A10" s="216"/>
      <c r="B10" s="75"/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21 16383:16384" ht="15" thickBot="1" x14ac:dyDescent="0.4">
      <c r="A11" s="216"/>
      <c r="B11" s="76"/>
      <c r="C11" s="77"/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21 16383:16384" ht="14.65" customHeight="1" x14ac:dyDescent="0.35">
      <c r="A12" s="216"/>
      <c r="B12" s="76"/>
      <c r="C12" s="77"/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T12" s="225" t="s">
        <v>120</v>
      </c>
      <c r="U12" s="226"/>
      <c r="XFD12" t="s">
        <v>62</v>
      </c>
    </row>
    <row r="13" spans="1:21 16383:16384" ht="15" thickBot="1" x14ac:dyDescent="0.4">
      <c r="A13" s="253"/>
      <c r="J13" s="78"/>
      <c r="K13" s="78"/>
      <c r="L13" s="79">
        <v>0.05</v>
      </c>
      <c r="T13" s="227"/>
      <c r="U13" s="228"/>
      <c r="XFD13" t="s">
        <v>63</v>
      </c>
    </row>
    <row r="14" spans="1:21 16383:16384" ht="29.25" customHeight="1" x14ac:dyDescent="0.6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19" t="s">
        <v>68</v>
      </c>
      <c r="H14" s="220"/>
      <c r="I14" s="220" t="s">
        <v>69</v>
      </c>
      <c r="J14" s="220" t="s">
        <v>70</v>
      </c>
      <c r="K14" s="220"/>
      <c r="L14" s="222"/>
      <c r="M14" s="22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Saeed Bakery </v>
      </c>
      <c r="U14" s="164">
        <f>+'1'!P35</f>
        <v>933.05280960000016</v>
      </c>
      <c r="XFD14" t="s">
        <v>75</v>
      </c>
    </row>
    <row r="15" spans="1:21 16383:16384" ht="29.25" customHeight="1" thickBot="1" x14ac:dyDescent="0.65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21"/>
      <c r="J15" s="171" t="s">
        <v>78</v>
      </c>
      <c r="K15" s="171" t="s">
        <v>79</v>
      </c>
      <c r="L15" s="174" t="s">
        <v>80</v>
      </c>
      <c r="M15" s="22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Super Fina Bakery</v>
      </c>
      <c r="U15" s="164">
        <f>+'2'!P35</f>
        <v>498.69979430400002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+'1'!H16+'2'!H16+'4'!H16+'3'!H16+'5'!H16+'6'!H16+'7'!H16+'8'!H16+'9'!H16+'10'!H16+'11'!H16+'12'!H16+'13'!H16+'14'!H16+'15'!H16+'16'!H16+'17'!H16+'18'!H16+'19'!H16+'20'!H16</f>
        <v>12</v>
      </c>
      <c r="I16" s="1">
        <f>(G16*D16)*F16+H16*F16</f>
        <v>629.54999999999995</v>
      </c>
      <c r="J16" s="172">
        <f>+'1'!J16+'2'!J16+'4'!J16+'3'!J16+'5'!J16+'6'!J16+'7'!J16+'8'!J16+'9'!J16+'10'!J16+'11'!J16+'12'!J16+'13'!J16+'14'!J16+'15'!J16+'16'!J16+'17'!J16+'18'!J16+'19'!J16+'20'!J16</f>
        <v>0</v>
      </c>
      <c r="K16" s="172">
        <f>+'1'!K16+'2'!K16+'4'!K16+'3'!K16+'5'!K16+'6'!K16+'7'!K16+'8'!K16+'9'!K16+'10'!K16</f>
        <v>22.03425</v>
      </c>
      <c r="L16" s="175">
        <f>+'1'!L16+'2'!L16+'4'!L16+'3'!L16+'5'!L16+'6'!L16+'7'!L16+'8'!L16+'9'!L16+'10'!L16</f>
        <v>50.363999999999997</v>
      </c>
      <c r="M16" s="106">
        <f>I16-K16-L16</f>
        <v>557.15174999999988</v>
      </c>
      <c r="N16" s="101">
        <f>+'1'!N16+'2'!N16+'4'!N16+'3'!N16+'5'!N16+'6'!N16+'7'!N16+'8'!N16+'9'!N16+'10'!N16</f>
        <v>122.57338499999997</v>
      </c>
      <c r="O16" s="101">
        <f>+'1'!O16+'2'!O16+'4'!O16+'3'!O16+'5'!O16+'6'!O16+'7'!O16+'8'!O16+'9'!O16+'10'!O16</f>
        <v>3.3986256749999995</v>
      </c>
      <c r="P16" s="105">
        <f t="shared" ref="P16:P24" si="0">M16+N16+O16</f>
        <v>683.12376067499986</v>
      </c>
      <c r="Q16" s="108"/>
      <c r="T16" s="163" t="str">
        <f>+'3'!A5</f>
        <v>Customer Name : Zaheed Store</v>
      </c>
      <c r="U16" s="164">
        <f>+'3'!P35</f>
        <v>4702.5232970939996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+'1'!H17+'2'!H17+'4'!H17+'3'!H17+'5'!H17+'6'!H17+'7'!H17+'8'!H17+'9'!H17+'10'!H17+'11'!H17+'12'!H17+'13'!H17+'14'!H17+'15'!H17+'16'!H17+'17'!H17+'18'!H17+'19'!H17+'20'!H17</f>
        <v>12</v>
      </c>
      <c r="I17" s="1">
        <f t="shared" ref="I17:I23" si="1">(G17*D17)*F17+H17*F17</f>
        <v>629.54999999999995</v>
      </c>
      <c r="J17" s="172">
        <f>+'1'!J17+'2'!J17+'4'!J17+'3'!J17+'5'!J17+'6'!J17+'7'!J17+'8'!J17+'9'!J17+'10'!J17+'11'!J17+'12'!J17+'13'!J17+'14'!J17+'15'!J17+'16'!J17+'17'!J17+'18'!J17+'19'!J17+'20'!J17</f>
        <v>0</v>
      </c>
      <c r="K17" s="172">
        <f>+'1'!K17+'2'!K17+'4'!K17+'3'!K17+'5'!K17+'6'!K17+'7'!K17+'8'!K17+'9'!K17+'10'!K17</f>
        <v>22.03425</v>
      </c>
      <c r="L17" s="175">
        <f>+'1'!L17+'2'!L17+'4'!L17+'3'!L17+'5'!L17+'6'!L17+'7'!L17+'8'!L17+'9'!L17+'10'!L17</f>
        <v>50.363999999999997</v>
      </c>
      <c r="M17" s="118">
        <f t="shared" ref="M17:M23" si="2">I17-K17-L17</f>
        <v>557.15174999999988</v>
      </c>
      <c r="N17" s="101">
        <f>+'1'!N17+'2'!N17+'4'!N17+'3'!N17+'5'!N17+'6'!N17+'7'!N17+'8'!N17+'9'!N17+'10'!N17</f>
        <v>122.57338499999997</v>
      </c>
      <c r="O17" s="101">
        <f>+'1'!O17+'2'!O17+'4'!O17+'3'!O17+'5'!O17+'6'!O17+'7'!O17+'8'!O17+'9'!O17+'10'!O17</f>
        <v>3.3986256749999995</v>
      </c>
      <c r="P17" s="120">
        <f t="shared" si="0"/>
        <v>683.12376067499986</v>
      </c>
      <c r="S17" s="64"/>
      <c r="T17" s="163" t="str">
        <f>+'4'!A5</f>
        <v xml:space="preserve">Customer Name : Mughal Bakery </v>
      </c>
      <c r="U17" s="164">
        <f>+'4'!P35</f>
        <v>1639.8265536000001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+'1'!J18+'2'!J18+'4'!J18+'3'!J18+'5'!J18+'6'!J18+'7'!J18+'8'!J18+'9'!J18+'10'!J18+'11'!J18+'12'!J18+'13'!J18+'14'!J18+'15'!J18+'16'!J18+'17'!J18+'18'!J18+'19'!J18+'20'!J18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+'1'!H19+'2'!H19+'4'!H19+'3'!H19+'5'!H19+'6'!H19+'7'!H19+'8'!H19+'9'!H19+'10'!H19+'11'!H19+'12'!H19+'13'!H19+'14'!H19+'15'!H19+'16'!H19+'17'!H19+'18'!H19+'19'!H19+'20'!H19</f>
        <v>16</v>
      </c>
      <c r="I19" s="1">
        <f t="shared" si="1"/>
        <v>1162.24</v>
      </c>
      <c r="J19" s="172">
        <f>+'1'!J19+'2'!J19+'4'!J19+'3'!J19+'5'!J19+'6'!J19+'7'!J19+'8'!J19+'9'!J19+'10'!J19+'11'!J19+'12'!J19+'13'!J19+'14'!J19+'15'!J19+'16'!J19+'17'!J19+'18'!J19+'19'!J19+'20'!J19</f>
        <v>0</v>
      </c>
      <c r="K19" s="172">
        <f>+'1'!K19+'2'!K19+'4'!K19+'3'!K19+'5'!K19+'6'!K19+'7'!K19+'8'!K19+'9'!K19+'10'!K19</f>
        <v>40.678400000000003</v>
      </c>
      <c r="L19" s="175">
        <f>+'1'!L19+'2'!L19+'4'!L19+'3'!L19+'5'!L19+'6'!L19+'7'!L19+'8'!L19+'9'!L19+'10'!L19</f>
        <v>92.979200000000006</v>
      </c>
      <c r="M19" s="118">
        <f t="shared" si="2"/>
        <v>1028.5824</v>
      </c>
      <c r="N19" s="101">
        <f>+'1'!N19+'2'!N19+'4'!N19+'3'!N19+'5'!N19+'6'!N19+'7'!N19+'8'!N19+'9'!N19+'10'!N19</f>
        <v>216.00230400000004</v>
      </c>
      <c r="O19" s="101">
        <f>+'1'!O19+'2'!O19+'4'!O19+'3'!O19+'5'!O19+'6'!O19+'7'!O19+'8'!O19+'9'!O19+'10'!O19</f>
        <v>12.291559679999999</v>
      </c>
      <c r="P19" s="120">
        <f t="shared" si="0"/>
        <v>1256.8762636800002</v>
      </c>
      <c r="T19" s="163" t="str">
        <f>+'6'!A5</f>
        <v xml:space="preserve">Customer Name :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+'1'!H20+'2'!H20+'4'!H20+'3'!H20+'5'!H20+'6'!H20+'7'!H20+'8'!H20+'9'!H20+'10'!H20+'11'!H20+'12'!H20+'13'!H20+'14'!H20+'15'!H20+'16'!H20+'17'!H20+'18'!H20+'19'!H20+'20'!H20</f>
        <v>16</v>
      </c>
      <c r="I20" s="1">
        <f t="shared" si="1"/>
        <v>1162.24</v>
      </c>
      <c r="J20" s="172">
        <f>+'1'!J20+'2'!J20+'4'!J20+'3'!J20+'5'!J20+'6'!J20+'7'!J20+'8'!J20+'9'!J20+'10'!J20+'11'!J20+'12'!J20+'13'!J20+'14'!J20+'15'!J20+'16'!J20+'17'!J20+'18'!J20+'19'!J20+'20'!J20</f>
        <v>0</v>
      </c>
      <c r="K20" s="172">
        <f>+'1'!K20+'2'!K20+'4'!K20+'3'!K20+'5'!K20+'6'!K20+'7'!K20+'8'!K20+'9'!K20+'10'!K20</f>
        <v>40.678400000000003</v>
      </c>
      <c r="L20" s="175">
        <f>+'1'!L20+'2'!L20+'4'!L20+'3'!L20+'5'!L20+'6'!L20+'7'!L20+'8'!L20+'9'!L20+'10'!L20</f>
        <v>92.979200000000006</v>
      </c>
      <c r="M20" s="118">
        <f t="shared" si="2"/>
        <v>1028.5824</v>
      </c>
      <c r="N20" s="101">
        <f>+'1'!N20+'2'!N20+'4'!N20+'3'!N20+'5'!N20+'6'!N20+'7'!N20+'8'!N20+'9'!N20+'10'!N20</f>
        <v>216.00230400000004</v>
      </c>
      <c r="O20" s="101">
        <f>+'1'!O20+'2'!O20+'4'!O20+'3'!O20+'5'!O20+'6'!O20+'7'!O20+'8'!O20+'9'!O20+'10'!O20</f>
        <v>12.291559679999999</v>
      </c>
      <c r="P20" s="120">
        <f t="shared" si="0"/>
        <v>1256.8762636800002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+'1'!H21+'2'!H21+'4'!H21+'3'!H21+'5'!H21+'6'!H21+'7'!H21+'8'!H21+'9'!H21+'10'!H21+'11'!H21+'12'!H21+'13'!H21+'14'!H21+'15'!H21+'16'!H21+'17'!H21+'18'!H21+'19'!H21+'20'!H21</f>
        <v>16</v>
      </c>
      <c r="I21" s="1">
        <f t="shared" si="1"/>
        <v>1162.24</v>
      </c>
      <c r="J21" s="172">
        <f>+'1'!J21+'2'!J21+'4'!J21+'3'!J21+'5'!J21+'6'!J21+'7'!J21+'8'!J21+'9'!J21+'10'!J21+'11'!J21+'12'!J21+'13'!J21+'14'!J21+'15'!J21+'16'!J21+'17'!J21+'18'!J21+'19'!J21+'20'!J21</f>
        <v>0</v>
      </c>
      <c r="K21" s="172">
        <f>+'1'!K21+'2'!K21+'4'!K21+'3'!K21+'5'!K21+'6'!K21+'7'!K21+'8'!K21+'9'!K21+'10'!K21</f>
        <v>40.678400000000003</v>
      </c>
      <c r="L21" s="175">
        <f>+'1'!L21+'2'!L21+'4'!L21+'3'!L21+'5'!L21+'6'!L21+'7'!L21+'8'!L21+'9'!L21+'10'!L21</f>
        <v>92.979200000000006</v>
      </c>
      <c r="M21" s="118">
        <f t="shared" si="2"/>
        <v>1028.5824</v>
      </c>
      <c r="N21" s="101">
        <f>+'1'!N21+'2'!N21+'4'!N21+'3'!N21+'5'!N21+'6'!N21+'7'!N21+'8'!N21+'9'!N21+'10'!N21</f>
        <v>216.00230400000004</v>
      </c>
      <c r="O21" s="101">
        <f>+'1'!O21+'2'!O21+'4'!O21+'3'!O21+'5'!O21+'6'!O21+'7'!O21+'8'!O21+'9'!O21+'10'!O21</f>
        <v>12.291559679999999</v>
      </c>
      <c r="P21" s="120">
        <f t="shared" si="0"/>
        <v>1256.8762636800002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+'1'!H22+'2'!H22+'4'!H22+'3'!H22+'5'!H22+'6'!H22+'7'!H22+'8'!H22+'9'!H22+'10'!H22+'11'!H22+'12'!H22+'13'!H22+'14'!H22+'15'!H22+'16'!H22+'17'!H22+'18'!H22+'19'!H22+'20'!H22</f>
        <v>64</v>
      </c>
      <c r="I22" s="1">
        <f t="shared" si="1"/>
        <v>2510.7200000000003</v>
      </c>
      <c r="J22" s="172">
        <f>+'1'!J22+'2'!J22+'4'!J22+'3'!J22+'5'!J22+'6'!J22+'7'!J22+'8'!J22+'9'!J22+'10'!J22+'11'!J22+'12'!J22+'13'!J22+'14'!J22+'15'!J22+'16'!J22+'17'!J22+'18'!J22+'19'!J22+'20'!J22</f>
        <v>0</v>
      </c>
      <c r="K22" s="172">
        <f>+'1'!K22+'2'!K22+'4'!K22+'3'!K22+'5'!K22+'6'!K22+'7'!K22+'8'!K22+'9'!K22+'10'!K22</f>
        <v>215.92192</v>
      </c>
      <c r="L22" s="175">
        <f>+'1'!L22+'2'!L22+'4'!L22+'3'!L22+'5'!L22+'6'!L22+'7'!L22+'8'!L22+'9'!L22+'10'!L22</f>
        <v>125.53600000000003</v>
      </c>
      <c r="M22" s="118">
        <f t="shared" si="2"/>
        <v>2169.2620800000004</v>
      </c>
      <c r="N22" s="101">
        <f>+'1'!N22+'2'!N22+'4'!N22+'3'!N22+'5'!N22+'6'!N22+'7'!N22+'8'!N22+'9'!N22+'10'!N22</f>
        <v>423.00610560000007</v>
      </c>
      <c r="O22" s="101">
        <f>+'1'!O22+'2'!O22+'4'!O22+'3'!O22+'5'!O22+'6'!O22+'7'!O22+'8'!O22+'9'!O22+'10'!O22</f>
        <v>44.957956608000011</v>
      </c>
      <c r="P22" s="120">
        <f t="shared" si="0"/>
        <v>2637.2261422080005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+'1'!J23+'2'!J23+'4'!J23+'3'!J23+'5'!J23+'6'!J23+'7'!J23+'8'!J23+'9'!J23+'10'!J23+'11'!J23+'12'!J23+'13'!J23+'14'!J23+'15'!J23+'16'!J23+'17'!J23+'18'!J23+'19'!J23+'20'!J23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+'1'!J24+'2'!J24+'4'!J24+'3'!J24+'5'!J24+'6'!J24+'7'!J24+'8'!J24+'9'!J24+'10'!J24+'11'!J24+'12'!J24+'13'!J24+'14'!J24+'15'!J24+'16'!J24+'17'!J24+'18'!J24+'19'!J24+'20'!J24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35" t="s">
        <v>84</v>
      </c>
      <c r="B25" s="236"/>
      <c r="C25" s="237">
        <f>H25/40</f>
        <v>3.4</v>
      </c>
      <c r="D25" s="231"/>
      <c r="E25" s="231"/>
      <c r="F25" s="231"/>
      <c r="G25" s="176">
        <f t="shared" ref="G25:M25" si="3">SUM(G16:G24)</f>
        <v>0</v>
      </c>
      <c r="H25" s="177">
        <f t="shared" si="3"/>
        <v>136</v>
      </c>
      <c r="I25" s="178">
        <f t="shared" si="3"/>
        <v>7256.54</v>
      </c>
      <c r="J25" s="177">
        <f t="shared" si="3"/>
        <v>0</v>
      </c>
      <c r="K25" s="178">
        <f t="shared" si="3"/>
        <v>382.02562</v>
      </c>
      <c r="L25" s="179">
        <f t="shared" si="3"/>
        <v>505.20159999999998</v>
      </c>
      <c r="M25" s="141">
        <f t="shared" si="3"/>
        <v>6369.3127800000002</v>
      </c>
      <c r="N25" s="142">
        <f>SUM(N16:N24)</f>
        <v>1316.1597876000001</v>
      </c>
      <c r="O25" s="143">
        <f>SUM(O16:O24)</f>
        <v>88.629886998000018</v>
      </c>
      <c r="P25" s="144">
        <f>SUM(P16:P24)</f>
        <v>7774.1024545980017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 xml:space="preserve">Customer Name : 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 xml:space="preserve">Customer Name : 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 xml:space="preserve">Customer Name : 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 t="str">
        <f>+'19'!A5</f>
        <v xml:space="preserve">Customer Name : </v>
      </c>
      <c r="U32" s="182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81" t="str">
        <f>+'20'!A5</f>
        <v xml:space="preserve">Customer Name : </v>
      </c>
      <c r="U33" s="182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7774.1024545979999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38" t="s">
        <v>85</v>
      </c>
      <c r="C36" s="239"/>
      <c r="D36" s="239"/>
      <c r="E36" s="239"/>
      <c r="F36" s="239"/>
      <c r="G36" s="239"/>
      <c r="H36" s="239"/>
      <c r="I36" s="239"/>
      <c r="J36" s="239"/>
      <c r="K36" s="239"/>
      <c r="L36" s="240"/>
      <c r="N36" s="247" t="s">
        <v>86</v>
      </c>
      <c r="O36" s="248"/>
      <c r="P36" s="152">
        <f>I25</f>
        <v>7256.54</v>
      </c>
    </row>
    <row r="37" spans="1:21" ht="15" customHeight="1" x14ac:dyDescent="0.35">
      <c r="B37" s="241"/>
      <c r="C37" s="242"/>
      <c r="D37" s="242"/>
      <c r="E37" s="242"/>
      <c r="F37" s="242"/>
      <c r="G37" s="242"/>
      <c r="H37" s="242"/>
      <c r="I37" s="242"/>
      <c r="J37" s="242"/>
      <c r="K37" s="242"/>
      <c r="L37" s="243"/>
      <c r="N37" s="249" t="s">
        <v>87</v>
      </c>
      <c r="O37" s="250"/>
      <c r="P37" s="153">
        <f>L25</f>
        <v>505.20159999999998</v>
      </c>
    </row>
    <row r="38" spans="1:21" ht="15" customHeight="1" x14ac:dyDescent="0.35">
      <c r="B38" s="241"/>
      <c r="C38" s="242"/>
      <c r="D38" s="242"/>
      <c r="E38" s="242"/>
      <c r="F38" s="242"/>
      <c r="G38" s="242"/>
      <c r="H38" s="242"/>
      <c r="I38" s="242"/>
      <c r="J38" s="242"/>
      <c r="K38" s="242"/>
      <c r="L38" s="243"/>
      <c r="N38" s="249" t="s">
        <v>4</v>
      </c>
      <c r="O38" s="250"/>
      <c r="P38" s="154">
        <f>K25</f>
        <v>382.02562</v>
      </c>
    </row>
    <row r="39" spans="1:21" ht="15" customHeight="1" x14ac:dyDescent="0.35">
      <c r="B39" s="241"/>
      <c r="C39" s="242"/>
      <c r="D39" s="242"/>
      <c r="E39" s="242"/>
      <c r="F39" s="242"/>
      <c r="G39" s="242"/>
      <c r="H39" s="242"/>
      <c r="I39" s="242"/>
      <c r="J39" s="242"/>
      <c r="K39" s="242"/>
      <c r="L39" s="243"/>
      <c r="M39" s="2"/>
      <c r="N39" s="249" t="s">
        <v>88</v>
      </c>
      <c r="O39" s="250"/>
      <c r="P39" s="153">
        <f>P36-P37-P38</f>
        <v>6369.3127799999993</v>
      </c>
    </row>
    <row r="40" spans="1:21" ht="15" customHeight="1" x14ac:dyDescent="0.35">
      <c r="B40" s="241"/>
      <c r="C40" s="242"/>
      <c r="D40" s="242"/>
      <c r="E40" s="242"/>
      <c r="F40" s="242"/>
      <c r="G40" s="242"/>
      <c r="H40" s="242"/>
      <c r="I40" s="242"/>
      <c r="J40" s="242"/>
      <c r="K40" s="242"/>
      <c r="L40" s="243"/>
      <c r="M40" s="2"/>
      <c r="N40" s="155" t="s">
        <v>89</v>
      </c>
      <c r="O40" s="156">
        <f>IF(B12="Registered",18%,22%)</f>
        <v>0.22</v>
      </c>
      <c r="P40" s="153">
        <f>N25</f>
        <v>1316.1597876000001</v>
      </c>
    </row>
    <row r="41" spans="1:21" ht="15" customHeight="1" x14ac:dyDescent="0.35">
      <c r="B41" s="241"/>
      <c r="C41" s="242"/>
      <c r="D41" s="242"/>
      <c r="E41" s="242"/>
      <c r="F41" s="242"/>
      <c r="G41" s="242"/>
      <c r="H41" s="242"/>
      <c r="I41" s="242"/>
      <c r="J41" s="242"/>
      <c r="K41" s="242"/>
      <c r="L41" s="243"/>
      <c r="M41" s="2"/>
      <c r="N41" s="251" t="s">
        <v>90</v>
      </c>
      <c r="O41" s="252"/>
      <c r="P41" s="153">
        <f>P39+P40</f>
        <v>7685.4725675999998</v>
      </c>
    </row>
    <row r="42" spans="1:21" ht="15" customHeight="1" thickBot="1" x14ac:dyDescent="0.4">
      <c r="B42" s="244"/>
      <c r="C42" s="245"/>
      <c r="D42" s="245"/>
      <c r="E42" s="245"/>
      <c r="F42" s="245"/>
      <c r="G42" s="245"/>
      <c r="H42" s="245"/>
      <c r="I42" s="245"/>
      <c r="J42" s="245"/>
      <c r="K42" s="245"/>
      <c r="L42" s="246"/>
      <c r="M42" s="157"/>
      <c r="N42" s="158" t="s">
        <v>91</v>
      </c>
      <c r="O42" s="159">
        <f>IF(B11="Filer",0.5%,2.5%)</f>
        <v>2.5000000000000001E-2</v>
      </c>
      <c r="P42" s="153">
        <f>O42*P41</f>
        <v>192.13681419</v>
      </c>
    </row>
    <row r="43" spans="1:21" ht="15.75" customHeight="1" thickBot="1" x14ac:dyDescent="0.4">
      <c r="N43" s="229" t="s">
        <v>92</v>
      </c>
      <c r="O43" s="230"/>
      <c r="P43" s="160">
        <f>P41+P42</f>
        <v>7877.60938179</v>
      </c>
    </row>
    <row r="44" spans="1:21" ht="15" thickBot="1" x14ac:dyDescent="0.4">
      <c r="B44" s="161" t="s">
        <v>93</v>
      </c>
      <c r="C44" s="231"/>
      <c r="D44" s="231"/>
      <c r="E44" s="231"/>
      <c r="F44" s="231"/>
      <c r="G44" s="231"/>
      <c r="H44" s="231"/>
      <c r="I44" s="232"/>
      <c r="J44" s="233"/>
      <c r="K44" s="234"/>
    </row>
    <row r="45" spans="1:21" ht="15.75" customHeight="1" x14ac:dyDescent="0.35"/>
  </sheetData>
  <mergeCells count="47"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09" t="s">
        <v>45</v>
      </c>
      <c r="B2" s="209"/>
      <c r="C2" s="209"/>
    </row>
    <row r="3" spans="1:26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46213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56" t="s">
        <v>121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46212</v>
      </c>
      <c r="O5" s="210"/>
      <c r="P5" s="210"/>
      <c r="R5" s="70"/>
      <c r="S5" s="71"/>
    </row>
    <row r="6" spans="1:26 16383:16384" ht="15" customHeight="1" x14ac:dyDescent="0.35">
      <c r="A6" s="211" t="s">
        <v>122</v>
      </c>
      <c r="B6" s="211"/>
      <c r="C6" s="211"/>
      <c r="F6" s="70"/>
      <c r="G6" s="74"/>
      <c r="K6" s="211" t="s">
        <v>52</v>
      </c>
      <c r="L6" s="211"/>
      <c r="M6" s="211"/>
      <c r="N6" s="213" t="s">
        <v>96</v>
      </c>
      <c r="O6" s="213"/>
      <c r="P6" s="213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26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26 16383:16384" x14ac:dyDescent="0.35">
      <c r="A10" s="216" t="s">
        <v>95</v>
      </c>
      <c r="B10" s="75"/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26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26 16383:16384" ht="14.65" customHeight="1" x14ac:dyDescent="0.35">
      <c r="A12" s="21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26 16383:16384" ht="15" thickBot="1" x14ac:dyDescent="0.4">
      <c r="A13" s="253"/>
      <c r="B13" s="168">
        <v>3640272298333</v>
      </c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S14" s="263" t="s">
        <v>117</v>
      </c>
      <c r="T14" s="263"/>
      <c r="U14" s="263"/>
      <c r="V14" s="263"/>
      <c r="W14" s="264" t="s">
        <v>119</v>
      </c>
      <c r="X14" s="264"/>
      <c r="Y14" s="264"/>
      <c r="Z14" s="264"/>
      <c r="XFD14" t="s">
        <v>75</v>
      </c>
    </row>
    <row r="15" spans="1:26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S15" s="185" t="s">
        <v>109</v>
      </c>
      <c r="T15" s="185" t="s">
        <v>110</v>
      </c>
      <c r="U15" s="185" t="s">
        <v>114</v>
      </c>
      <c r="V15" s="185" t="s">
        <v>115</v>
      </c>
      <c r="W15" s="186" t="s">
        <v>109</v>
      </c>
      <c r="X15" s="186" t="s">
        <v>110</v>
      </c>
      <c r="Y15" s="186" t="s">
        <v>114</v>
      </c>
      <c r="Z15" s="186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S16" s="183" t="s">
        <v>106</v>
      </c>
      <c r="T16" s="183">
        <v>1697</v>
      </c>
      <c r="U16" s="183" t="s">
        <v>111</v>
      </c>
      <c r="V16" s="183">
        <f>T16/40</f>
        <v>42.424999999999997</v>
      </c>
      <c r="W16" s="187" t="s">
        <v>106</v>
      </c>
      <c r="X16" s="187">
        <v>1664</v>
      </c>
      <c r="Y16" s="187" t="s">
        <v>111</v>
      </c>
      <c r="Z16" s="187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1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4" t="s">
        <v>108</v>
      </c>
      <c r="T17" s="183">
        <v>2322</v>
      </c>
      <c r="U17" s="183" t="s">
        <v>112</v>
      </c>
      <c r="V17" s="183">
        <f t="shared" ref="V17:V18" si="7">T17/40</f>
        <v>58.05</v>
      </c>
      <c r="W17" s="188" t="s">
        <v>108</v>
      </c>
      <c r="X17" s="187">
        <v>2277</v>
      </c>
      <c r="Y17" s="187" t="s">
        <v>112</v>
      </c>
      <c r="Z17" s="187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3" t="s">
        <v>107</v>
      </c>
      <c r="T18" s="183">
        <v>3216</v>
      </c>
      <c r="U18" s="183" t="s">
        <v>113</v>
      </c>
      <c r="V18" s="183">
        <f t="shared" si="7"/>
        <v>80.400000000000006</v>
      </c>
      <c r="W18" s="187" t="s">
        <v>107</v>
      </c>
      <c r="X18" s="187">
        <v>3153</v>
      </c>
      <c r="Y18" s="187" t="s">
        <v>113</v>
      </c>
      <c r="Z18" s="187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</v>
      </c>
      <c r="I19" s="116">
        <f t="shared" si="3"/>
        <v>290.56</v>
      </c>
      <c r="J19" s="117"/>
      <c r="K19" s="104">
        <f t="shared" si="4"/>
        <v>10.169600000000001</v>
      </c>
      <c r="L19" s="105">
        <f t="shared" si="5"/>
        <v>23.244800000000001</v>
      </c>
      <c r="M19" s="118">
        <f t="shared" si="6"/>
        <v>257.1456</v>
      </c>
      <c r="N19" s="118">
        <f t="shared" si="0"/>
        <v>46.286208000000002</v>
      </c>
      <c r="O19" s="119">
        <f t="shared" si="1"/>
        <v>7.5857951999999997</v>
      </c>
      <c r="P19" s="120">
        <f t="shared" si="2"/>
        <v>311.0176032</v>
      </c>
      <c r="S19" s="265" t="s">
        <v>118</v>
      </c>
      <c r="T19" s="265"/>
      <c r="U19" s="265"/>
      <c r="V19" s="265"/>
      <c r="W19" s="266" t="s">
        <v>116</v>
      </c>
      <c r="X19" s="266"/>
      <c r="Y19" s="266"/>
      <c r="Z19" s="266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</v>
      </c>
      <c r="I20" s="116">
        <f t="shared" si="3"/>
        <v>290.56</v>
      </c>
      <c r="J20" s="117"/>
      <c r="K20" s="104">
        <f t="shared" si="4"/>
        <v>10.169600000000001</v>
      </c>
      <c r="L20" s="105">
        <f t="shared" si="5"/>
        <v>23.244800000000001</v>
      </c>
      <c r="M20" s="118">
        <f t="shared" si="6"/>
        <v>257.1456</v>
      </c>
      <c r="N20" s="118">
        <f t="shared" si="0"/>
        <v>46.286208000000002</v>
      </c>
      <c r="O20" s="119">
        <f t="shared" si="1"/>
        <v>7.5857951999999997</v>
      </c>
      <c r="P20" s="120">
        <f t="shared" si="2"/>
        <v>311.0176032</v>
      </c>
      <c r="S20" s="185" t="s">
        <v>109</v>
      </c>
      <c r="T20" s="185" t="s">
        <v>110</v>
      </c>
      <c r="U20" s="185" t="s">
        <v>114</v>
      </c>
      <c r="V20" s="185" t="s">
        <v>115</v>
      </c>
      <c r="W20" s="185" t="s">
        <v>109</v>
      </c>
      <c r="X20" s="185" t="s">
        <v>110</v>
      </c>
      <c r="Y20" s="185" t="s">
        <v>114</v>
      </c>
      <c r="Z20" s="185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</v>
      </c>
      <c r="I21" s="116">
        <f t="shared" si="3"/>
        <v>290.56</v>
      </c>
      <c r="J21" s="117"/>
      <c r="K21" s="104">
        <f t="shared" si="4"/>
        <v>10.169600000000001</v>
      </c>
      <c r="L21" s="105">
        <f t="shared" si="5"/>
        <v>23.244800000000001</v>
      </c>
      <c r="M21" s="118">
        <f t="shared" si="6"/>
        <v>257.1456</v>
      </c>
      <c r="N21" s="118">
        <f t="shared" si="0"/>
        <v>46.286208000000002</v>
      </c>
      <c r="O21" s="119">
        <f t="shared" si="1"/>
        <v>7.5857951999999997</v>
      </c>
      <c r="P21" s="120">
        <f t="shared" si="2"/>
        <v>311.0176032</v>
      </c>
      <c r="S21" s="189" t="s">
        <v>106</v>
      </c>
      <c r="T21" s="189">
        <v>1610</v>
      </c>
      <c r="U21" s="189" t="s">
        <v>111</v>
      </c>
      <c r="V21" s="189">
        <f>T21/40</f>
        <v>40.25</v>
      </c>
      <c r="W21" s="191" t="s">
        <v>106</v>
      </c>
      <c r="X21" s="191">
        <v>1642</v>
      </c>
      <c r="Y21" s="191" t="s">
        <v>111</v>
      </c>
      <c r="Z21" s="191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04">
        <f>I22*8.6%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  <c r="S22" s="190" t="s">
        <v>108</v>
      </c>
      <c r="T22" s="189">
        <v>2202</v>
      </c>
      <c r="U22" s="189" t="s">
        <v>112</v>
      </c>
      <c r="V22" s="189">
        <f t="shared" ref="V22:V25" si="9">T22/40</f>
        <v>55.05</v>
      </c>
      <c r="W22" s="192" t="s">
        <v>108</v>
      </c>
      <c r="X22" s="191">
        <v>2246</v>
      </c>
      <c r="Y22" s="191" t="s">
        <v>112</v>
      </c>
      <c r="Z22" s="191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9" t="s">
        <v>107</v>
      </c>
      <c r="T23" s="189">
        <v>3216</v>
      </c>
      <c r="U23" s="189" t="s">
        <v>113</v>
      </c>
      <c r="V23" s="189">
        <f t="shared" si="9"/>
        <v>80.400000000000006</v>
      </c>
      <c r="W23" s="191" t="s">
        <v>107</v>
      </c>
      <c r="X23" s="191">
        <v>3216</v>
      </c>
      <c r="Y23" s="191" t="s">
        <v>112</v>
      </c>
      <c r="Z23" s="191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9" t="s">
        <v>107</v>
      </c>
      <c r="T24" s="189">
        <v>3216</v>
      </c>
      <c r="U24" s="189" t="s">
        <v>113</v>
      </c>
      <c r="V24" s="189">
        <f t="shared" si="9"/>
        <v>80.400000000000006</v>
      </c>
      <c r="W24" s="191"/>
      <c r="X24" s="191"/>
      <c r="Y24" s="191" t="s">
        <v>112</v>
      </c>
      <c r="Z24" s="191">
        <f t="shared" si="10"/>
        <v>0</v>
      </c>
    </row>
    <row r="25" spans="1:26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13">SUM(G16:G24)</f>
        <v>0</v>
      </c>
      <c r="H25" s="136">
        <f t="shared" si="13"/>
        <v>12</v>
      </c>
      <c r="I25" s="137">
        <f t="shared" si="13"/>
        <v>871.68000000000006</v>
      </c>
      <c r="J25" s="138"/>
      <c r="K25" s="139">
        <f t="shared" si="13"/>
        <v>30.508800000000001</v>
      </c>
      <c r="L25" s="140">
        <f t="shared" si="13"/>
        <v>69.734400000000008</v>
      </c>
      <c r="M25" s="141">
        <f t="shared" si="13"/>
        <v>771.43679999999995</v>
      </c>
      <c r="N25" s="142">
        <f>SUM(N16:N24)</f>
        <v>138.85862400000002</v>
      </c>
      <c r="O25" s="143">
        <f>SUM(O16:O24)</f>
        <v>22.757385599999999</v>
      </c>
      <c r="P25" s="144">
        <f>SUM(P16:P24)</f>
        <v>933.05280960000005</v>
      </c>
      <c r="S25" s="189" t="s">
        <v>107</v>
      </c>
      <c r="T25" s="189">
        <v>3216</v>
      </c>
      <c r="U25" s="189" t="s">
        <v>113</v>
      </c>
      <c r="V25" s="189">
        <f t="shared" si="9"/>
        <v>80.400000000000006</v>
      </c>
      <c r="W25" s="191" t="s">
        <v>107</v>
      </c>
      <c r="X25" s="191">
        <v>3110</v>
      </c>
      <c r="Y25" s="191" t="s">
        <v>113</v>
      </c>
      <c r="Z25" s="191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871.68000000000006</v>
      </c>
    </row>
    <row r="29" spans="1:26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69.734400000000008</v>
      </c>
    </row>
    <row r="30" spans="1:26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30.508800000000001</v>
      </c>
    </row>
    <row r="31" spans="1:26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771.43680000000006</v>
      </c>
    </row>
    <row r="32" spans="1:26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0.18</v>
      </c>
      <c r="P32" s="153">
        <f>N25</f>
        <v>138.85862400000002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910.29542400000014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22.757385600000006</v>
      </c>
    </row>
    <row r="35" spans="2:16" ht="15.75" customHeight="1" thickBot="1" x14ac:dyDescent="0.4">
      <c r="N35" s="229" t="s">
        <v>92</v>
      </c>
      <c r="O35" s="230"/>
      <c r="P35" s="160">
        <f>P33+P34</f>
        <v>933.05280960000016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51"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  <mergeCell ref="C36:I36"/>
    <mergeCell ref="J36:K36"/>
    <mergeCell ref="A25:B25"/>
    <mergeCell ref="C25:F25"/>
    <mergeCell ref="B28:L34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8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2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46213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123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46212</v>
      </c>
      <c r="O5" s="210"/>
      <c r="P5" s="210"/>
      <c r="R5" s="70"/>
      <c r="S5" s="71"/>
    </row>
    <row r="6" spans="1:19 16383:16384" ht="15" customHeight="1" x14ac:dyDescent="0.35">
      <c r="A6" s="211" t="s">
        <v>124</v>
      </c>
      <c r="B6" s="211"/>
      <c r="C6" s="211"/>
      <c r="F6" s="70"/>
      <c r="G6" s="74"/>
      <c r="K6" s="211" t="s">
        <v>52</v>
      </c>
      <c r="L6" s="211"/>
      <c r="M6" s="211"/>
      <c r="N6" s="213" t="s">
        <v>96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 t="s">
        <v>125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04">
        <f>I22*8.6%</f>
        <v>40.48536</v>
      </c>
      <c r="L22" s="120">
        <f>I22*5%</f>
        <v>23.538000000000004</v>
      </c>
      <c r="M22" s="118">
        <f t="shared" si="5"/>
        <v>406.73664000000002</v>
      </c>
      <c r="N22" s="118">
        <f t="shared" si="0"/>
        <v>89.482060799999999</v>
      </c>
      <c r="O22" s="119">
        <f t="shared" si="6"/>
        <v>2.4810935039999999</v>
      </c>
      <c r="P22" s="120">
        <f t="shared" si="1"/>
        <v>498.69979430400002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12</v>
      </c>
      <c r="I25" s="137">
        <f t="shared" si="9"/>
        <v>470.76000000000005</v>
      </c>
      <c r="J25" s="138"/>
      <c r="K25" s="139">
        <f t="shared" si="9"/>
        <v>40.48536</v>
      </c>
      <c r="L25" s="140">
        <f t="shared" si="9"/>
        <v>23.538000000000004</v>
      </c>
      <c r="M25" s="141">
        <f t="shared" si="9"/>
        <v>406.73664000000002</v>
      </c>
      <c r="N25" s="142">
        <f>SUM(N16:N24)</f>
        <v>89.482060799999999</v>
      </c>
      <c r="O25" s="143">
        <f>SUM(O16:O24)</f>
        <v>2.4810935039999999</v>
      </c>
      <c r="P25" s="144">
        <f>SUM(P16:P24)</f>
        <v>498.69979430400002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470.76000000000005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23.538000000000004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40.48536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406.73664000000002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89.482060799999999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496.21870080000002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2.4810935039999999</v>
      </c>
    </row>
    <row r="35" spans="2:16" ht="15.75" customHeight="1" thickBot="1" x14ac:dyDescent="0.4">
      <c r="N35" s="229" t="s">
        <v>92</v>
      </c>
      <c r="O35" s="230"/>
      <c r="P35" s="160">
        <f>P33+P34</f>
        <v>498.69979430400002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9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4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46213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126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46212</v>
      </c>
      <c r="O5" s="210"/>
      <c r="P5" s="210"/>
      <c r="R5" s="70"/>
      <c r="S5" s="71"/>
    </row>
    <row r="6" spans="1:19 16383:16384" ht="15" customHeight="1" x14ac:dyDescent="0.35">
      <c r="A6" s="211" t="s">
        <v>124</v>
      </c>
      <c r="B6" s="211"/>
      <c r="C6" s="211"/>
      <c r="F6" s="70"/>
      <c r="G6" s="74"/>
      <c r="K6" s="211" t="s">
        <v>52</v>
      </c>
      <c r="L6" s="211"/>
      <c r="M6" s="211"/>
      <c r="N6" s="213" t="s">
        <v>96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9" t="s">
        <v>127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12</v>
      </c>
      <c r="I16" s="102">
        <f>(G16*D16)*F16+H16*F16</f>
        <v>629.54999999999995</v>
      </c>
      <c r="J16" s="103"/>
      <c r="K16" s="104">
        <f>I16*3.5%</f>
        <v>22.03425</v>
      </c>
      <c r="L16" s="105">
        <f>I16*8%</f>
        <v>50.363999999999997</v>
      </c>
      <c r="M16" s="106">
        <f>I16-K16-L16</f>
        <v>557.15174999999988</v>
      </c>
      <c r="N16" s="106">
        <f t="shared" ref="N16:N24" si="0">(M16*$N$15)+(J16*F16)*$N$15</f>
        <v>122.57338499999997</v>
      </c>
      <c r="O16" s="107">
        <f>(N16+M16)*$O$15</f>
        <v>3.3986256749999995</v>
      </c>
      <c r="P16" s="105">
        <f t="shared" ref="P16:P24" si="1">M16+N16+O16</f>
        <v>683.12376067499986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12</v>
      </c>
      <c r="I17" s="116">
        <f t="shared" ref="I17:I23" si="2">(G17*D17)*F17+H17*F17</f>
        <v>629.54999999999995</v>
      </c>
      <c r="J17" s="117"/>
      <c r="K17" s="104">
        <f t="shared" ref="K17:K21" si="3">I17*3.5%</f>
        <v>22.03425</v>
      </c>
      <c r="L17" s="105">
        <f t="shared" ref="L17:L21" si="4">I17*8%</f>
        <v>50.363999999999997</v>
      </c>
      <c r="M17" s="118">
        <f t="shared" ref="M17:M23" si="5">I17-K17-L17</f>
        <v>557.15174999999988</v>
      </c>
      <c r="N17" s="118">
        <f t="shared" si="0"/>
        <v>122.57338499999997</v>
      </c>
      <c r="O17" s="119">
        <f t="shared" ref="O17:O24" si="6">(N17+M17)*$O$15</f>
        <v>3.3986256749999995</v>
      </c>
      <c r="P17" s="120">
        <f t="shared" si="1"/>
        <v>683.12376067499986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12</v>
      </c>
      <c r="I19" s="116">
        <f t="shared" si="2"/>
        <v>871.68000000000006</v>
      </c>
      <c r="J19" s="117"/>
      <c r="K19" s="104">
        <f t="shared" si="3"/>
        <v>30.508800000000004</v>
      </c>
      <c r="L19" s="105">
        <f t="shared" si="4"/>
        <v>69.734400000000008</v>
      </c>
      <c r="M19" s="118">
        <f t="shared" si="5"/>
        <v>771.43680000000006</v>
      </c>
      <c r="N19" s="118">
        <f t="shared" si="0"/>
        <v>169.71609600000002</v>
      </c>
      <c r="O19" s="119">
        <f t="shared" si="6"/>
        <v>4.70576448</v>
      </c>
      <c r="P19" s="120">
        <f t="shared" si="1"/>
        <v>945.85866048000003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12</v>
      </c>
      <c r="I20" s="116">
        <f t="shared" si="2"/>
        <v>871.68000000000006</v>
      </c>
      <c r="J20" s="117"/>
      <c r="K20" s="104">
        <f t="shared" si="3"/>
        <v>30.508800000000004</v>
      </c>
      <c r="L20" s="105">
        <f t="shared" si="4"/>
        <v>69.734400000000008</v>
      </c>
      <c r="M20" s="118">
        <f t="shared" si="5"/>
        <v>771.43680000000006</v>
      </c>
      <c r="N20" s="118">
        <f t="shared" si="0"/>
        <v>169.71609600000002</v>
      </c>
      <c r="O20" s="119">
        <f t="shared" si="6"/>
        <v>4.70576448</v>
      </c>
      <c r="P20" s="120">
        <f t="shared" si="1"/>
        <v>945.85866048000003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12</v>
      </c>
      <c r="I21" s="116">
        <f t="shared" si="2"/>
        <v>871.68000000000006</v>
      </c>
      <c r="J21" s="117"/>
      <c r="K21" s="104">
        <f t="shared" si="3"/>
        <v>30.508800000000004</v>
      </c>
      <c r="L21" s="105">
        <f t="shared" si="4"/>
        <v>69.734400000000008</v>
      </c>
      <c r="M21" s="118">
        <f t="shared" si="5"/>
        <v>771.43680000000006</v>
      </c>
      <c r="N21" s="118">
        <f t="shared" si="0"/>
        <v>169.71609600000002</v>
      </c>
      <c r="O21" s="119">
        <f t="shared" si="6"/>
        <v>4.70576448</v>
      </c>
      <c r="P21" s="120">
        <f t="shared" si="1"/>
        <v>945.85866048000003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04">
        <f>I22*8.6%</f>
        <v>40.48536</v>
      </c>
      <c r="L22" s="120">
        <f>I22*5%</f>
        <v>23.538000000000004</v>
      </c>
      <c r="M22" s="118">
        <f t="shared" si="5"/>
        <v>406.73664000000002</v>
      </c>
      <c r="N22" s="118">
        <f t="shared" si="0"/>
        <v>89.482060799999999</v>
      </c>
      <c r="O22" s="119">
        <f t="shared" si="6"/>
        <v>2.4810935039999999</v>
      </c>
      <c r="P22" s="120">
        <f t="shared" si="1"/>
        <v>498.69979430400002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72</v>
      </c>
      <c r="I25" s="137">
        <f t="shared" si="9"/>
        <v>4344.9000000000005</v>
      </c>
      <c r="J25" s="138"/>
      <c r="K25" s="139">
        <f t="shared" si="9"/>
        <v>176.08026000000001</v>
      </c>
      <c r="L25" s="140">
        <f t="shared" si="9"/>
        <v>333.4692</v>
      </c>
      <c r="M25" s="141">
        <f t="shared" si="9"/>
        <v>3835.3505399999999</v>
      </c>
      <c r="N25" s="142">
        <f>SUM(N16:N24)</f>
        <v>843.77711879999993</v>
      </c>
      <c r="O25" s="143">
        <f>SUM(O16:O24)</f>
        <v>23.395638293999998</v>
      </c>
      <c r="P25" s="144">
        <f>SUM(P16:P24)</f>
        <v>4702.5232970939996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4344.9000000000005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333.4692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176.08026000000001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3835.3505400000004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843.77711879999993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4679.1276588000001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23.395638294000001</v>
      </c>
    </row>
    <row r="35" spans="2:16" ht="15.75" customHeight="1" thickBot="1" x14ac:dyDescent="0.4">
      <c r="N35" s="229" t="s">
        <v>92</v>
      </c>
      <c r="O35" s="230"/>
      <c r="P35" s="160">
        <f>P33+P34</f>
        <v>4702.5232970939996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3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46213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128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46212</v>
      </c>
      <c r="O5" s="210"/>
      <c r="P5" s="210"/>
      <c r="R5" s="70"/>
      <c r="S5" s="71"/>
    </row>
    <row r="6" spans="1:19 16383:16384" ht="15" customHeight="1" x14ac:dyDescent="0.35">
      <c r="A6" s="211" t="s">
        <v>129</v>
      </c>
      <c r="B6" s="211"/>
      <c r="C6" s="211"/>
      <c r="F6" s="70"/>
      <c r="G6" s="74"/>
      <c r="K6" s="211" t="s">
        <v>52</v>
      </c>
      <c r="L6" s="211"/>
      <c r="M6" s="211"/>
      <c r="N6" s="213" t="s">
        <v>96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3277876196185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244.04198400000004</v>
      </c>
      <c r="O22" s="119">
        <f t="shared" si="6"/>
        <v>39.99576960000001</v>
      </c>
      <c r="P22" s="120">
        <f t="shared" si="1"/>
        <v>1639.8265536000001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134.9512</v>
      </c>
      <c r="L25" s="140">
        <f t="shared" si="9"/>
        <v>78.460000000000022</v>
      </c>
      <c r="M25" s="141">
        <f t="shared" si="9"/>
        <v>1355.7888000000003</v>
      </c>
      <c r="N25" s="142">
        <f>SUM(N16:N24)</f>
        <v>244.04198400000004</v>
      </c>
      <c r="O25" s="143">
        <f>SUM(O16:O24)</f>
        <v>39.99576960000001</v>
      </c>
      <c r="P25" s="144">
        <f>SUM(P16:P24)</f>
        <v>1639.8265536000001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1569.2000000000003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78.460000000000022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134.9512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1355.7888000000003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0.18</v>
      </c>
      <c r="P32" s="153">
        <f>N25</f>
        <v>244.04198400000004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1599.8307840000002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39.99576960000001</v>
      </c>
    </row>
    <row r="35" spans="2:16" ht="15.75" customHeight="1" thickBot="1" x14ac:dyDescent="0.4">
      <c r="N35" s="229" t="s">
        <v>92</v>
      </c>
      <c r="O35" s="230"/>
      <c r="P35" s="160">
        <f>P33+P34</f>
        <v>1639.8265536000001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K6" sqref="K6:M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5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46213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46212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96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9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6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46213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46212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7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46213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46212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9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8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46213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46212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9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46213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46212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7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46213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46212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46213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46212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46213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46212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46213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46212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46213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46212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46213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46212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80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46213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46212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46213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46212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46213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46212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topLeftCell="A7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46213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46212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46213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46212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2026-07-10T05:04:50Z</dcterms:modified>
</cp:coreProperties>
</file>