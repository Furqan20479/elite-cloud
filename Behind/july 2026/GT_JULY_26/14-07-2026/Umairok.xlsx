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47B4528-C2CD-4E77-B76B-331CB9F6F95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4" l="1"/>
  <c r="N17" i="24" s="1"/>
  <c r="O17" i="24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<sst xmlns="http://schemas.openxmlformats.org/spreadsheetml/2006/main" count="1633" uniqueCount="142">
  <si>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</si>
  <si>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</si>
  <si>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</si>
  <si>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</si>
  <si>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</si>
  <si>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</si>
  <si>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</si>
  <si>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</si>
  <si>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</si>
  <si>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</si>
  <si>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</si>
  <si>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</si>
  <si>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</si>
  <si>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</si>
  <si>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</si>
  <si>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</si>
  <si>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</si>
  <si>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</si>
  <si>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</si>
  <si>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</si>
  <si>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</si>
  <si>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</si>
  <si>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</si>
  <si>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</si>
  <si>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</si>
  <si>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</si>
  <si>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</si>
  <si>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</si>
  <si>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</si>
  <si>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</si>
  <si>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</si>
  <si>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</si>
  <si>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</si>
  <si>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</si>
  <si>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</si>
  <si>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</si>
  <si>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</si>
  <si>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</si>
  <si>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</si>
  <si>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</si>
  <si>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</si>
  <si>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</si>
  <si>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</si>
  <si>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</si>
  <si>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</si>
  <si>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</si>
  <si>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</si>
  <si>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</si>
  <si>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</si>
  <si>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</si>
  <si>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</si>
  <si>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</si>
  <si>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</si>
  <si>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</si>
  <si>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</si>
  <si>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</si>
  <si>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</si>
  <si>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</si>
  <si>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</si>
  <si>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</si>
  <si>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</si>
  <si>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</si>
  <si>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</si>
  <si>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</si>
  <si>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</si>
  <si>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</si>
  <si>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</si>
  <si>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</si>
  <si>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</si>
  <si>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</si>
  <si>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</si>
  <si>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</si>
  <si>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</si>
  <si>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</si>
  <si>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</si>
  <si>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</si>
  <si>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</si>
  <si>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</si>
  <si>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</si>
  <si>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</si>
  <si>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</si>
  <si>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</si>
  <si>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</si>
  <si>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</si>
  <si>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</si>
  <si>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</si>
  <si>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</si>
  <si>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</si>
  <si>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</si>
  <si>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</si>
  <si>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</si>
  <si>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</si>
  <si>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</si>
  <si>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</si>
  <si>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</si>
  <si>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</si>
  <si>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</si>
  <si>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</si>
  <si>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</si>
  <si>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</si>
  <si>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</si>
  <si>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</si>
  <si>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</si>
  <si>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</si>
  <si>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</si>
  <si>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</si>
  <si>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</si>
  <si>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</si>
  <si>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</si>
  <si>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</si>
  <si>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</si>
  <si>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</si>
  <si>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</si>
  <si>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</si>
  <si>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</si>
  <si>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</si>
  <si>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</si>
  <si>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</si>
  <si>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</si>
  <si>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</si>
  <si>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</si>
  <si>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</si>
  <si>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Palace Bakers  </t>
  </si>
  <si>
    <t>Address: Kacha Jail Road</t>
  </si>
  <si>
    <t>Customer Name : Iftkhar GS</t>
  </si>
  <si>
    <t>Address: Kanchi Bazar</t>
  </si>
  <si>
    <t>Customer Name : Tayyab GS</t>
  </si>
  <si>
    <t>Customer Name : 786 GS</t>
  </si>
  <si>
    <t>Customer Name : Somro Sweet Bakes</t>
  </si>
  <si>
    <t xml:space="preserve">Address: Kanchi </t>
  </si>
  <si>
    <t>Customer Name : Karachi Kareyana Store</t>
  </si>
  <si>
    <t xml:space="preserve">Customer Name : SK Mart </t>
  </si>
  <si>
    <t>Customer Name : Khan GS</t>
  </si>
  <si>
    <t>Customer Name : Haji Kareyana Store</t>
  </si>
  <si>
    <t>Customer Name : Hamza Store</t>
  </si>
  <si>
    <t>1723397-4</t>
  </si>
  <si>
    <t>Customer Name : Jamshad GS</t>
  </si>
  <si>
    <t>Address: Kanchi \</t>
  </si>
  <si>
    <t>Customer Name : Numan GS</t>
  </si>
  <si>
    <t>Customer Name : Muaz GS</t>
  </si>
  <si>
    <t xml:space="preserve">Address: Kachi </t>
  </si>
  <si>
    <t>Customer Name : Hazrat Krman Wala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</si>
</sst>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5" zoomScale="70" zoomScaleNormal="70" workbookViewId="0">
      <selection activeCell="T15" sqref="T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Palace Bakers  </v>
      </c>
      <c r="U14" s="164">
        <f>+'1'!P35</f>
        <v>1524.7448351999999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Iftkhar GS</v>
      </c>
      <c r="U15" s="164">
        <f>+'2'!P35</f>
        <v>1639.8265536000001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46</v>
      </c>
      <c r="I16" s="1">
        <f>(G16*D16)*F16+H16*F16</f>
        <v>2413.2750000000001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84.464625000000012</v>
      </c>
      <c r="L16" s="174">
        <f>+'1'!L16+'2'!L16+'4'!L16+'3'!L16+'5'!L16+'6'!L16+'7'!L16+'8'!L16+'9'!L16+'10'!L16</f>
        <v>193.06199999999998</v>
      </c>
      <c r="M16" s="106">
        <f>I16-K16-L16</f>
        <v>2135.7483750000001</v>
      </c>
      <c r="N16" s="101">
        <f>+'1'!N16+'2'!N16+'4'!N16+'3'!N16+'5'!N16+'6'!N16+'7'!N16+'8'!N16+'9'!N16+'10'!N16</f>
        <v>384.43470749999994</v>
      </c>
      <c r="O16" s="101">
        <f>+'1'!O16+'2'!O16+'4'!O16+'3'!O16+'5'!O16+'6'!O16+'7'!O16+'8'!O16+'9'!O16+'10'!O16</f>
        <v>19.175306062499999</v>
      </c>
      <c r="P16" s="105">
        <f t="shared" ref="P16:P24" si="0">M16+N16+O16</f>
        <v>2539.3583885625003</v>
      </c>
      <c r="Q16" s="108"/>
      <c r="T16" s="163" t="str">
        <f>+'3'!A5</f>
        <v>Customer Name : Tayyab GS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46</v>
      </c>
      <c r="I17" s="1">
        <f t="shared" ref="I17:I23" si="1">(G17*D17)*F17+H17*F17</f>
        <v>2413.2750000000001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84.464625000000012</v>
      </c>
      <c r="L17" s="174">
        <f>+'1'!L17+'2'!L17+'4'!L17+'3'!L17+'5'!L17+'6'!L17+'7'!L17+'8'!L17+'9'!L17+'10'!L17</f>
        <v>193.06199999999998</v>
      </c>
      <c r="M17" s="118">
        <f t="shared" ref="M17:M23" si="2">I17-K17-L17</f>
        <v>2135.7483750000001</v>
      </c>
      <c r="N17" s="101">
        <f>+'1'!N17+'2'!N17+'4'!N17+'3'!N17+'5'!N17+'6'!N17+'7'!N17+'8'!N17+'9'!N17+'10'!N17</f>
        <v>384.43470749999994</v>
      </c>
      <c r="O17" s="101">
        <f>+'1'!O17+'2'!O17+'4'!O17+'3'!O17+'5'!O17+'6'!O17+'7'!O17+'8'!O17+'9'!O17+'10'!O17</f>
        <v>19.175306062499999</v>
      </c>
      <c r="P17" s="120">
        <f t="shared" si="0"/>
        <v>2539.3583885625003</v>
      </c>
      <c r="S17" s="64"/>
      <c r="T17" s="163" t="str">
        <f>+'4'!A5</f>
        <v>Customer Name : 786 GS</v>
      </c>
      <c r="U17" s="164">
        <f>+'4'!P35</f>
        <v>204.97831920000002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Somro Sweet Bakes</v>
      </c>
      <c r="U18" s="164">
        <f>+'5'!P35</f>
        <v>491.94796608000001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37.928975999999999</v>
      </c>
      <c r="P19" s="120">
        <f t="shared" si="0"/>
        <v>1555.0880159999999</v>
      </c>
      <c r="T19" s="163" t="str">
        <f>+'6'!A5</f>
        <v>Customer Name : Karachi Kareyana Store</v>
      </c>
      <c r="U19" s="164">
        <f>+'6'!P35</f>
        <v>245.97398304000001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SK Mart </v>
      </c>
      <c r="U20" s="164">
        <f>+'7'!P35</f>
        <v>3110.1760319999999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45.514771199999998</v>
      </c>
      <c r="P21" s="120">
        <f t="shared" si="0"/>
        <v>3079.8328511999998</v>
      </c>
      <c r="T21" s="163" t="str">
        <f>+'8'!A5</f>
        <v>Customer Name : Khan GS</v>
      </c>
      <c r="U21" s="164">
        <f>+'8'!P35</f>
        <v>1639.8265536000001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307</v>
      </c>
      <c r="I22" s="1">
        <f t="shared" si="1"/>
        <v>12043.61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563.42125999999996</v>
      </c>
      <c r="L22" s="174">
        <f>+'1'!L22+'2'!L22+'4'!L22+'3'!L22+'5'!L22+'6'!L22+'7'!L22+'8'!L22+'9'!L22+'10'!L22</f>
        <v>327.5705000000001</v>
      </c>
      <c r="M22" s="118">
        <f t="shared" si="2"/>
        <v>11152.618240000002</v>
      </c>
      <c r="N22" s="101">
        <f>+'1'!N22+'2'!N22+'4'!N22+'3'!N22+'5'!N22+'6'!N22+'7'!N22+'8'!N22+'9'!N22+'10'!N22</f>
        <v>1018.8752832000002</v>
      </c>
      <c r="O22" s="101">
        <f>+'1'!O22+'2'!O22+'4'!O22+'3'!O22+'5'!O22+'6'!O22+'7'!O22+'8'!O22+'9'!O22+'10'!O22</f>
        <v>134.98572240000004</v>
      </c>
      <c r="P22" s="120">
        <f t="shared" si="0"/>
        <v>12306.479245600003</v>
      </c>
      <c r="T22" s="163" t="str">
        <f>+'9'!A5</f>
        <v>Customer Name : Haji Kareyana Store</v>
      </c>
      <c r="U22" s="164">
        <f>+'9'!P35</f>
        <v>1165.8230077049998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Hamza Store</v>
      </c>
      <c r="U23" s="164">
        <f>+'10'!P35</f>
        <v>6012.6716734200008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Jamshad GS</v>
      </c>
      <c r="U24" s="164">
        <f>+'11'!P35</f>
        <v>1639.8265536000001</v>
      </c>
    </row>
    <row r="25" spans="1:21 16384:16384" ht="26.5" thickBot="1" x14ac:dyDescent="0.65">
      <c r="A25" s="234" t="s">
        <v>84</v>
      </c>
      <c r="B25" s="235"/>
      <c r="C25" s="236">
        <f>H25/40</f>
        <v>11.475</v>
      </c>
      <c r="D25" s="230"/>
      <c r="E25" s="230"/>
      <c r="F25" s="230"/>
      <c r="G25" s="175">
        <f t="shared" ref="G25:M25" si="3">SUM(G16:G24)</f>
        <v>0</v>
      </c>
      <c r="H25" s="176">
        <f t="shared" si="3"/>
        <v>459</v>
      </c>
      <c r="I25" s="177">
        <f t="shared" si="3"/>
        <v>21228.560000000001</v>
      </c>
      <c r="J25" s="176">
        <f t="shared" si="3"/>
        <v>0</v>
      </c>
      <c r="K25" s="177">
        <f t="shared" si="3"/>
        <v>884.89451000000008</v>
      </c>
      <c r="L25" s="178">
        <f t="shared" si="3"/>
        <v>1062.3665000000001</v>
      </c>
      <c r="M25" s="141">
        <f t="shared" si="3"/>
        <v>19281.298990000003</v>
      </c>
      <c r="N25" s="142">
        <f>SUM(N16:N24)</f>
        <v>2482.0378182000004</v>
      </c>
      <c r="O25" s="143">
        <f>SUM(O16:O24)</f>
        <v>256.78008172500006</v>
      </c>
      <c r="P25" s="144">
        <f>SUM(P16:P24)</f>
        <v>22020.116889925004</v>
      </c>
      <c r="T25" s="163" t="str">
        <f>+'12'!A5</f>
        <v>Customer Name : Numan GS</v>
      </c>
      <c r="U25" s="164">
        <f>+'12'!P35</f>
        <v>1639.8265536000001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Muaz GS</v>
      </c>
      <c r="U26" s="164">
        <f>+'13'!P35</f>
        <v>1639.8265536000001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Hazrat Krman Wala Store</v>
      </c>
      <c r="U27" s="164">
        <f>+'14'!P35</f>
        <v>819.91327680000006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22267.309827525001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21228.560000000001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1062.3665000000001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884.89451000000008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19281.298990000003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2482.0378182000004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21763.336808200002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544.08342020500004</v>
      </c>
    </row>
    <row r="43" spans="1:21" ht="15.75" customHeight="1" thickBot="1" x14ac:dyDescent="0.4">
      <c r="N43" s="228" t="s">
        <v>92</v>
      </c>
      <c r="O43" s="229"/>
      <c r="P43" s="160">
        <f>P41+P42</f>
        <v>22307.420228405001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>
        <v>3520127602341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20</v>
      </c>
      <c r="I25" s="137">
        <f t="shared" si="13"/>
        <v>1452.8</v>
      </c>
      <c r="J25" s="138"/>
      <c r="K25" s="139">
        <f t="shared" si="13"/>
        <v>50.848000000000006</v>
      </c>
      <c r="L25" s="140">
        <f t="shared" si="13"/>
        <v>116.224</v>
      </c>
      <c r="M25" s="141">
        <f t="shared" si="13"/>
        <v>1285.7280000000001</v>
      </c>
      <c r="N25" s="142">
        <f>SUM(N16:N24)</f>
        <v>231.43104</v>
      </c>
      <c r="O25" s="143">
        <f>SUM(O16:O24)</f>
        <v>7.5857951999999997</v>
      </c>
      <c r="P25" s="144">
        <f>SUM(P16:P24)</f>
        <v>1524.7448351999999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1452.8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116.224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50.848000000000006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1285.7280000000001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1517.15904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7.5857951999999997</v>
      </c>
    </row>
    <row r="35" spans="2:16" ht="15.75" customHeight="1" thickBot="1" x14ac:dyDescent="0.4">
      <c r="N35" s="228" t="s">
        <v>92</v>
      </c>
      <c r="O35" s="229"/>
      <c r="P35" s="160">
        <f>P33+P34</f>
        <v>1524.7448351999999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8" t="s">
        <v>92</v>
      </c>
      <c r="O35" s="229"/>
      <c r="P35" s="160">
        <f>P33+P34</f>
        <v>1639.8265536000001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470.76000000000005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23.538000000000004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40.48536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406.73664000000002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479.94923520000003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28" t="s">
        <v>92</v>
      </c>
      <c r="O35" s="229"/>
      <c r="P35" s="160">
        <f>P33+P34</f>
        <v>491.94796608000001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5</v>
      </c>
      <c r="I22" s="116">
        <f t="shared" si="2"/>
        <v>196.15000000000003</v>
      </c>
      <c r="J22" s="117"/>
      <c r="K22" s="104">
        <f>I22*8.6%</f>
        <v>16.8689</v>
      </c>
      <c r="L22" s="120">
        <f>I22*5%</f>
        <v>9.8075000000000028</v>
      </c>
      <c r="M22" s="118">
        <f t="shared" si="5"/>
        <v>169.47360000000003</v>
      </c>
      <c r="N22" s="118">
        <f t="shared" si="0"/>
        <v>30.505248000000005</v>
      </c>
      <c r="O22" s="119">
        <f t="shared" si="6"/>
        <v>4.9994712000000012</v>
      </c>
      <c r="P22" s="120">
        <f t="shared" si="1"/>
        <v>204.97831920000002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5</v>
      </c>
      <c r="I25" s="137">
        <f t="shared" si="9"/>
        <v>196.15000000000003</v>
      </c>
      <c r="J25" s="138"/>
      <c r="K25" s="139">
        <f t="shared" si="9"/>
        <v>16.8689</v>
      </c>
      <c r="L25" s="140">
        <f t="shared" si="9"/>
        <v>9.8075000000000028</v>
      </c>
      <c r="M25" s="141">
        <f t="shared" si="9"/>
        <v>169.47360000000003</v>
      </c>
      <c r="N25" s="142">
        <f>SUM(N16:N24)</f>
        <v>30.505248000000005</v>
      </c>
      <c r="O25" s="143">
        <f>SUM(O16:O24)</f>
        <v>4.9994712000000012</v>
      </c>
      <c r="P25" s="144">
        <f>SUM(P16:P24)</f>
        <v>204.97831920000002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196.15000000000003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9.8075000000000028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16.8689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169.47360000000003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30.505248000000005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199.97884800000003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4.9994712000000012</v>
      </c>
    </row>
    <row r="35" spans="2:16" ht="15.75" customHeight="1" thickBot="1" x14ac:dyDescent="0.4">
      <c r="N35" s="228" t="s">
        <v>92</v>
      </c>
      <c r="O35" s="229"/>
      <c r="P35" s="160">
        <f>P33+P34</f>
        <v>204.97831920000002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470.76000000000005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23.538000000000004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40.48536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406.73664000000002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479.94923520000003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28" t="s">
        <v>92</v>
      </c>
      <c r="O35" s="229"/>
      <c r="P35" s="160">
        <f>P33+P34</f>
        <v>491.94796608000001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28" t="s">
        <v>92</v>
      </c>
      <c r="O35" s="229"/>
      <c r="P35" s="160">
        <f>P33+P34</f>
        <v>245.97398304000001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37.928975999999999</v>
      </c>
      <c r="P19" s="120">
        <f t="shared" si="1"/>
        <v>1555.0880159999999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28" t="s">
        <v>92</v>
      </c>
      <c r="O35" s="229"/>
      <c r="P35" s="160">
        <f>P33+P34</f>
        <v>3110.1760319999999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8" t="s">
        <v>92</v>
      </c>
      <c r="O35" s="229"/>
      <c r="P35" s="160">
        <f>P33+P34</f>
        <v>1639.8265536000001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8.2179883124999975</v>
      </c>
      <c r="P16" s="105">
        <f t="shared" ref="P16:P24" si="1">M16+N16+O16</f>
        <v>336.93752081249988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8.2179883124999975</v>
      </c>
      <c r="P17" s="120">
        <f t="shared" si="1"/>
        <v>336.93752081249988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62.51961</v>
      </c>
      <c r="L25" s="140">
        <f t="shared" si="9"/>
        <v>73.902000000000001</v>
      </c>
      <c r="M25" s="141">
        <f t="shared" si="9"/>
        <v>963.88838999999984</v>
      </c>
      <c r="N25" s="142">
        <f>SUM(N16:N24)</f>
        <v>173.49991019999999</v>
      </c>
      <c r="O25" s="143">
        <f>SUM(O16:O24)</f>
        <v>28.434707504999999</v>
      </c>
      <c r="P25" s="144">
        <f>SUM(P16:P24)</f>
        <v>1165.8230077049998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1100.31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73.902000000000001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62.51961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963.88838999999984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173.49991019999999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1137.3883001999998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28.434707504999995</v>
      </c>
    </row>
    <row r="35" spans="2:16" ht="15.75" customHeight="1" thickBot="1" x14ac:dyDescent="0.4">
      <c r="N35" s="228" t="s">
        <v>92</v>
      </c>
      <c r="O35" s="229"/>
      <c r="P35" s="160">
        <f>P33+P34</f>
        <v>1165.8230077049998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281.84620000000001</v>
      </c>
      <c r="L25" s="140">
        <f t="shared" si="9"/>
        <v>414.22</v>
      </c>
      <c r="M25" s="141">
        <f t="shared" si="9"/>
        <v>5070.1338000000005</v>
      </c>
      <c r="N25" s="142">
        <f>SUM(N16:N24)</f>
        <v>912.62408400000004</v>
      </c>
      <c r="O25" s="143">
        <f>SUM(O16:O24)</f>
        <v>29.913789420000001</v>
      </c>
      <c r="P25" s="144">
        <f>SUM(P16:P24)</f>
        <v>6012.6716734199999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5766.2000000000007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414.22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281.84620000000001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5070.1338000000005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912.62408400000004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5982.7578840000006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29.913789420000004</v>
      </c>
    </row>
    <row r="35" spans="2:16" ht="15.75" customHeight="1" thickBot="1" x14ac:dyDescent="0.4">
      <c r="N35" s="228" t="s">
        <v>92</v>
      </c>
      <c r="O35" s="229"/>
      <c r="P35" s="160">
        <f>P33+P34</f>
        <v>6012.6716734200008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137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8" t="s">
        <v>92</v>
      </c>
      <c r="O35" s="229"/>
      <c r="P35" s="160">
        <f>P33+P34</f>
        <v>1639.8265536000001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8" t="s">
        <v>92</v>
      </c>
      <c r="O35" s="229"/>
      <c r="P35" s="160">
        <f>P33+P34</f>
        <v>1639.8265536000001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140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1569.2000000000003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78.460000000000022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134.9512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1355.7888000000003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1599.8307840000002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28" t="s">
        <v>92</v>
      </c>
      <c r="O35" s="229"/>
      <c r="P35" s="160">
        <f>P33+P34</f>
        <v>1639.8265536000001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Sheet2!$B$6:$B$14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125</v>
      </c>
      <c r="B6" s="210"/>
      <c r="C6" s="210"/>
      <c r="F6" s="70"/>
      <c r="G6" s="74"/>
      <c r="K6" s="210" t="s">
        <v>52</v>
      </c>
      <c r="L6" s="210"/>
      <c r="M6" s="210"/>
      <c r="N6" s="212" t="s">
        <v>104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784.60000000000014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39.230000000000011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67.4756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677.89440000000013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799.91539200000011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28" t="s">
        <v>92</v>
      </c>
      <c r="O35" s="229"/>
      <c r="P35" s="160">
        <f>P33+P34</f>
        <v>819.91327680000006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Sheet2!$B$6:$B$14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46217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46216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2026-07-14T10:04:15Z</dcterms:modified>
</cp:coreProperties>
</file>