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DF2DD24D-677D-4A67-93EB-00B4093BB5B9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K21" i="35" s="1"/>
  <c r="B21" i="35"/>
  <c r="C21" i="35" s="1"/>
  <c r="F20" i="35"/>
  <c r="E20" i="35"/>
  <c r="D20" i="35"/>
  <c r="I20" i="35" s="1"/>
  <c r="K20" i="35" s="1"/>
  <c r="B20" i="35"/>
  <c r="C20" i="35" s="1"/>
  <c r="F19" i="35"/>
  <c r="E19" i="35"/>
  <c r="D19" i="35"/>
  <c r="I19" i="35" s="1"/>
  <c r="K19" i="35" s="1"/>
  <c r="B19" i="35"/>
  <c r="C19" i="35" s="1"/>
  <c r="F18" i="35"/>
  <c r="E18" i="35"/>
  <c r="D18" i="35"/>
  <c r="I18" i="35" s="1"/>
  <c r="K18" i="35" s="1"/>
  <c r="B18" i="35"/>
  <c r="C18" i="35" s="1"/>
  <c r="F17" i="35"/>
  <c r="E17" i="35"/>
  <c r="D17" i="35"/>
  <c r="I17" i="35" s="1"/>
  <c r="K17" i="35" s="1"/>
  <c r="B17" i="35"/>
  <c r="C17" i="35" s="1"/>
  <c r="F16" i="35"/>
  <c r="E16" i="35"/>
  <c r="D16" i="35"/>
  <c r="I16" i="35" s="1"/>
  <c r="K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K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I22" i="32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I23" i="30"/>
  <c r="K23" i="30" s="1"/>
  <c r="M23" i="30" s="1"/>
  <c r="I24" i="30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I23" i="32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I23" i="29"/>
  <c r="L23" i="29" s="1"/>
  <c r="I24" i="29"/>
  <c r="I24" i="32"/>
  <c r="I19" i="33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K23" i="34"/>
  <c r="L21" i="33"/>
  <c r="K24" i="33"/>
  <c r="L24" i="33"/>
  <c r="M17" i="33"/>
  <c r="K24" i="32"/>
  <c r="L24" i="32"/>
  <c r="L17" i="32"/>
  <c r="L21" i="32"/>
  <c r="K23" i="32"/>
  <c r="L23" i="32"/>
  <c r="M23" i="32" s="1"/>
  <c r="K24" i="31"/>
  <c r="L24" i="31"/>
  <c r="L16" i="31"/>
  <c r="L23" i="31"/>
  <c r="L23" i="30"/>
  <c r="L16" i="30"/>
  <c r="K24" i="30"/>
  <c r="L24" i="30"/>
  <c r="L16" i="29"/>
  <c r="K24" i="29"/>
  <c r="M24" i="29" s="1"/>
  <c r="L24" i="29"/>
  <c r="L19" i="28"/>
  <c r="L20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K20" i="27" s="1"/>
  <c r="B20" i="27"/>
  <c r="C20" i="27" s="1"/>
  <c r="F19" i="27"/>
  <c r="E19" i="27"/>
  <c r="D19" i="27"/>
  <c r="I19" i="27" s="1"/>
  <c r="K19" i="27" s="1"/>
  <c r="B19" i="27"/>
  <c r="C19" i="27" s="1"/>
  <c r="F18" i="27"/>
  <c r="E18" i="27"/>
  <c r="D18" i="27"/>
  <c r="I18" i="27" s="1"/>
  <c r="K18" i="27" s="1"/>
  <c r="B18" i="27"/>
  <c r="C18" i="27" s="1"/>
  <c r="F17" i="27"/>
  <c r="E17" i="27"/>
  <c r="D17" i="27"/>
  <c r="I17" i="27" s="1"/>
  <c r="K17" i="27" s="1"/>
  <c r="B17" i="27"/>
  <c r="C17" i="27" s="1"/>
  <c r="F16" i="27"/>
  <c r="E16" i="27"/>
  <c r="D16" i="27"/>
  <c r="I16" i="27" s="1"/>
  <c r="K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L21" i="28" l="1"/>
  <c r="L21" i="30"/>
  <c r="M21" i="30" s="1"/>
  <c r="L21" i="34"/>
  <c r="L20" i="33"/>
  <c r="M20" i="33" s="1"/>
  <c r="N20" i="33" s="1"/>
  <c r="O20" i="33" s="1"/>
  <c r="L19" i="33"/>
  <c r="K19" i="33"/>
  <c r="L18" i="34"/>
  <c r="L18" i="31"/>
  <c r="K18" i="31"/>
  <c r="L17" i="30"/>
  <c r="M17" i="30" s="1"/>
  <c r="N17" i="30" s="1"/>
  <c r="O17" i="30" s="1"/>
  <c r="L17" i="31"/>
  <c r="M17" i="31" s="1"/>
  <c r="N17" i="31" s="1"/>
  <c r="O17" i="31" s="1"/>
  <c r="L17" i="29"/>
  <c r="L16" i="33"/>
  <c r="K16" i="33"/>
  <c r="L16" i="32"/>
  <c r="I25" i="32"/>
  <c r="P28" i="32" s="1"/>
  <c r="L20" i="32"/>
  <c r="M20" i="32" s="1"/>
  <c r="N20" i="32" s="1"/>
  <c r="O20" i="32" s="1"/>
  <c r="L19" i="32"/>
  <c r="M19" i="32" s="1"/>
  <c r="N19" i="32" s="1"/>
  <c r="O19" i="32" s="1"/>
  <c r="L20" i="31"/>
  <c r="L21" i="31"/>
  <c r="M21" i="31" s="1"/>
  <c r="N21" i="31" s="1"/>
  <c r="O21" i="31" s="1"/>
  <c r="L20" i="30"/>
  <c r="L21" i="29"/>
  <c r="L20" i="29"/>
  <c r="L17" i="28"/>
  <c r="M17" i="28" s="1"/>
  <c r="L16" i="28"/>
  <c r="I25" i="28"/>
  <c r="P28" i="28" s="1"/>
  <c r="M22" i="35"/>
  <c r="K22" i="34"/>
  <c r="L22" i="34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K22" i="30"/>
  <c r="L22" i="30"/>
  <c r="K22" i="28"/>
  <c r="K25" i="28" s="1"/>
  <c r="P30" i="28" s="1"/>
  <c r="L22" i="28"/>
  <c r="K23" i="28"/>
  <c r="M23" i="28" s="1"/>
  <c r="K23" i="29"/>
  <c r="L19" i="30"/>
  <c r="M19" i="30" s="1"/>
  <c r="N19" i="30" s="1"/>
  <c r="O19" i="30" s="1"/>
  <c r="P19" i="30" s="1"/>
  <c r="L19" i="31"/>
  <c r="K24" i="34"/>
  <c r="M24" i="34" s="1"/>
  <c r="L20" i="34"/>
  <c r="M20" i="34" s="1"/>
  <c r="N20" i="34" s="1"/>
  <c r="O20" i="34" s="1"/>
  <c r="M21" i="35"/>
  <c r="I25" i="34"/>
  <c r="P28" i="34" s="1"/>
  <c r="M24" i="28"/>
  <c r="L18" i="28"/>
  <c r="L18" i="29"/>
  <c r="M18" i="29" s="1"/>
  <c r="N18" i="29" s="1"/>
  <c r="O18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I24" i="26"/>
  <c r="L24" i="26" s="1"/>
  <c r="M24" i="26" s="1"/>
  <c r="I21" i="27"/>
  <c r="K21" i="27" s="1"/>
  <c r="M18" i="28"/>
  <c r="N18" i="28" s="1"/>
  <c r="O18" i="28" s="1"/>
  <c r="P18" i="28" s="1"/>
  <c r="M20" i="29"/>
  <c r="N20" i="29" s="1"/>
  <c r="O20" i="29" s="1"/>
  <c r="M23" i="31"/>
  <c r="N23" i="31" s="1"/>
  <c r="O23" i="31" s="1"/>
  <c r="I25" i="31"/>
  <c r="P28" i="31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5"/>
  <c r="N20" i="35" s="1"/>
  <c r="O20" i="35" s="1"/>
  <c r="P20" i="35" s="1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N21" i="28" s="1"/>
  <c r="O21" i="28" s="1"/>
  <c r="M19" i="29"/>
  <c r="N19" i="29" s="1"/>
  <c r="O19" i="29" s="1"/>
  <c r="M18" i="30"/>
  <c r="N18" i="30" s="1"/>
  <c r="O18" i="30" s="1"/>
  <c r="P18" i="30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M20" i="28"/>
  <c r="N20" i="28" s="1"/>
  <c r="O20" i="28" s="1"/>
  <c r="P20" i="28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N24" i="31"/>
  <c r="O24" i="31" s="1"/>
  <c r="P24" i="31"/>
  <c r="M16" i="31"/>
  <c r="K25" i="31"/>
  <c r="P30" i="31" s="1"/>
  <c r="N21" i="30"/>
  <c r="O21" i="30" s="1"/>
  <c r="N24" i="30"/>
  <c r="O24" i="30" s="1"/>
  <c r="P24" i="30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N17" i="28"/>
  <c r="O17" i="28" s="1"/>
  <c r="J25" i="15"/>
  <c r="L16" i="27"/>
  <c r="L17" i="27"/>
  <c r="L20" i="27"/>
  <c r="K23" i="27"/>
  <c r="L23" i="27"/>
  <c r="K24" i="27"/>
  <c r="L24" i="27"/>
  <c r="L19" i="27"/>
  <c r="L18" i="27"/>
  <c r="L17" i="26"/>
  <c r="K23" i="26"/>
  <c r="L23" i="26"/>
  <c r="L18" i="26"/>
  <c r="K24" i="26"/>
  <c r="L16" i="26"/>
  <c r="T23" i="15"/>
  <c r="T22" i="15"/>
  <c r="T21" i="15"/>
  <c r="T20" i="15"/>
  <c r="T19" i="15"/>
  <c r="T18" i="15"/>
  <c r="T15" i="15"/>
  <c r="T14" i="15"/>
  <c r="L25" i="33" l="1"/>
  <c r="P29" i="33" s="1"/>
  <c r="I25" i="27"/>
  <c r="P28" i="27" s="1"/>
  <c r="L21" i="27"/>
  <c r="L21" i="26"/>
  <c r="M21" i="26" s="1"/>
  <c r="N21" i="26" s="1"/>
  <c r="O21" i="26" s="1"/>
  <c r="L25" i="34"/>
  <c r="P29" i="34" s="1"/>
  <c r="L25" i="32"/>
  <c r="P29" i="32" s="1"/>
  <c r="P31" i="32" s="1"/>
  <c r="L19" i="26"/>
  <c r="L25" i="30"/>
  <c r="P29" i="30" s="1"/>
  <c r="L25" i="28"/>
  <c r="P29" i="28" s="1"/>
  <c r="P31" i="28" s="1"/>
  <c r="L25" i="31"/>
  <c r="P29" i="31" s="1"/>
  <c r="P31" i="31" s="1"/>
  <c r="L20" i="26"/>
  <c r="K20" i="26"/>
  <c r="M20" i="26" s="1"/>
  <c r="N20" i="26" s="1"/>
  <c r="O20" i="26" s="1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N24" i="34"/>
  <c r="O24" i="34" s="1"/>
  <c r="K25" i="34"/>
  <c r="P30" i="34" s="1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18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4" i="27"/>
  <c r="O24" i="27" s="1"/>
  <c r="L25" i="27"/>
  <c r="P29" i="27" s="1"/>
  <c r="K25" i="27"/>
  <c r="P30" i="27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C12" i="24" s="1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K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25" i="26" l="1"/>
  <c r="P29" i="26" s="1"/>
  <c r="P31" i="34"/>
  <c r="M25" i="28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P34" i="32" s="1"/>
  <c r="P35" i="32" s="1"/>
  <c r="U30" i="15" s="1"/>
  <c r="N25" i="34"/>
  <c r="P32" i="34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L18" i="25"/>
  <c r="K24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K24" i="19"/>
  <c r="L24" i="19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1" i="18" l="1"/>
  <c r="M25" i="26"/>
  <c r="L21" i="17"/>
  <c r="K21" i="17"/>
  <c r="L21" i="19"/>
  <c r="K21" i="19"/>
  <c r="M21" i="19" s="1"/>
  <c r="L20" i="23"/>
  <c r="K20" i="23"/>
  <c r="M20" i="23" s="1"/>
  <c r="N20" i="23" s="1"/>
  <c r="O20" i="23" s="1"/>
  <c r="L20" i="19"/>
  <c r="L20" i="18"/>
  <c r="K20" i="18"/>
  <c r="P33" i="34"/>
  <c r="P34" i="34" s="1"/>
  <c r="P35" i="34" s="1"/>
  <c r="U32" i="15" s="1"/>
  <c r="L19" i="19"/>
  <c r="K19" i="19"/>
  <c r="M19" i="19" s="1"/>
  <c r="N19" i="19" s="1"/>
  <c r="O19" i="19" s="1"/>
  <c r="L18" i="23"/>
  <c r="K18" i="23"/>
  <c r="L18" i="19"/>
  <c r="K18" i="19"/>
  <c r="M18" i="19" s="1"/>
  <c r="N18" i="19" s="1"/>
  <c r="O18" i="19" s="1"/>
  <c r="L18" i="18"/>
  <c r="K18" i="18"/>
  <c r="M18" i="18" s="1"/>
  <c r="N18" i="18" s="1"/>
  <c r="O18" i="18" s="1"/>
  <c r="L17" i="18"/>
  <c r="K17" i="18"/>
  <c r="L17" i="25"/>
  <c r="L17" i="24"/>
  <c r="M17" i="24" s="1"/>
  <c r="N17" i="24" s="1"/>
  <c r="O17" i="24" s="1"/>
  <c r="K17" i="24"/>
  <c r="L16" i="20"/>
  <c r="K16" i="20"/>
  <c r="L16" i="25"/>
  <c r="L16" i="18"/>
  <c r="K16" i="18"/>
  <c r="L16" i="24"/>
  <c r="K16" i="24"/>
  <c r="L20" i="25"/>
  <c r="L21" i="25"/>
  <c r="M21" i="25" s="1"/>
  <c r="N21" i="25" s="1"/>
  <c r="O21" i="25" s="1"/>
  <c r="P21" i="25" s="1"/>
  <c r="K21" i="25"/>
  <c r="L21" i="24"/>
  <c r="M21" i="24" s="1"/>
  <c r="N21" i="24" s="1"/>
  <c r="O21" i="24" s="1"/>
  <c r="K21" i="24"/>
  <c r="L19" i="24"/>
  <c r="M19" i="24" s="1"/>
  <c r="N19" i="24" s="1"/>
  <c r="O19" i="24" s="1"/>
  <c r="P19" i="24" s="1"/>
  <c r="K19" i="24"/>
  <c r="L17" i="23"/>
  <c r="K17" i="23"/>
  <c r="L16" i="23"/>
  <c r="K16" i="23"/>
  <c r="L17" i="21"/>
  <c r="M17" i="21" s="1"/>
  <c r="N17" i="21" s="1"/>
  <c r="O17" i="21" s="1"/>
  <c r="P17" i="21" s="1"/>
  <c r="K17" i="21"/>
  <c r="L16" i="21"/>
  <c r="K16" i="21"/>
  <c r="M16" i="21" s="1"/>
  <c r="N16" i="21" s="1"/>
  <c r="L20" i="20"/>
  <c r="K20" i="20"/>
  <c r="L21" i="20"/>
  <c r="K21" i="20"/>
  <c r="M21" i="20" s="1"/>
  <c r="N21" i="20" s="1"/>
  <c r="O21" i="20" s="1"/>
  <c r="L17" i="19"/>
  <c r="M17" i="19" s="1"/>
  <c r="N17" i="19" s="1"/>
  <c r="O17" i="19" s="1"/>
  <c r="K17" i="19"/>
  <c r="L16" i="19"/>
  <c r="K16" i="19"/>
  <c r="K22" i="23"/>
  <c r="L22" i="23"/>
  <c r="K22" i="17"/>
  <c r="L22" i="17"/>
  <c r="M22" i="17" s="1"/>
  <c r="N22" i="17" s="1"/>
  <c r="O22" i="17" s="1"/>
  <c r="K22" i="21"/>
  <c r="L22" i="21"/>
  <c r="K22" i="19"/>
  <c r="L22" i="19"/>
  <c r="L22" i="20"/>
  <c r="K22" i="20"/>
  <c r="L22" i="24"/>
  <c r="K22" i="24"/>
  <c r="M22" i="24" s="1"/>
  <c r="N22" i="24" s="1"/>
  <c r="O22" i="24" s="1"/>
  <c r="K22" i="18"/>
  <c r="L22" i="18"/>
  <c r="K22" i="25"/>
  <c r="L22" i="25"/>
  <c r="M22" i="25" s="1"/>
  <c r="N22" i="25" s="1"/>
  <c r="O22" i="25" s="1"/>
  <c r="L24" i="17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M16" i="24"/>
  <c r="N16" i="24" s="1"/>
  <c r="L21" i="21"/>
  <c r="M21" i="21" s="1"/>
  <c r="N21" i="21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20" i="25"/>
  <c r="N20" i="25" s="1"/>
  <c r="O20" i="25" s="1"/>
  <c r="M24" i="24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M20" i="19"/>
  <c r="N20" i="19" s="1"/>
  <c r="O20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24" i="20"/>
  <c r="N24" i="20" s="1"/>
  <c r="O24" i="20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K25" i="25"/>
  <c r="P30" i="25" s="1"/>
  <c r="M16" i="25"/>
  <c r="N23" i="25"/>
  <c r="O23" i="25" s="1"/>
  <c r="P23" i="25" s="1"/>
  <c r="N24" i="24"/>
  <c r="O24" i="24" s="1"/>
  <c r="M16" i="22"/>
  <c r="N24" i="19"/>
  <c r="O24" i="19" s="1"/>
  <c r="N24" i="18"/>
  <c r="O24" i="18" s="1"/>
  <c r="I23" i="15"/>
  <c r="M22" i="18" l="1"/>
  <c r="N22" i="18" s="1"/>
  <c r="O22" i="18" s="1"/>
  <c r="M20" i="20"/>
  <c r="N20" i="20" s="1"/>
  <c r="O20" i="20" s="1"/>
  <c r="L25" i="19"/>
  <c r="P29" i="19" s="1"/>
  <c r="K25" i="24"/>
  <c r="P30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K22" i="15" s="1"/>
  <c r="L25" i="25"/>
  <c r="P29" i="25" s="1"/>
  <c r="L17" i="16"/>
  <c r="M23" i="22"/>
  <c r="N23" i="22" s="1"/>
  <c r="O23" i="22" s="1"/>
  <c r="L21" i="16"/>
  <c r="L21" i="15" s="1"/>
  <c r="K25" i="19"/>
  <c r="P30" i="19" s="1"/>
  <c r="L19" i="16"/>
  <c r="L19" i="15" s="1"/>
  <c r="M19" i="18"/>
  <c r="N19" i="18" s="1"/>
  <c r="O19" i="18" s="1"/>
  <c r="K18" i="15"/>
  <c r="L25" i="24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O16" i="21"/>
  <c r="P18" i="21"/>
  <c r="P20" i="21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0" i="20" l="1"/>
  <c r="P22" i="21"/>
  <c r="N25" i="21"/>
  <c r="P32" i="21" s="1"/>
  <c r="M25" i="21"/>
  <c r="M21" i="15"/>
  <c r="P31" i="24"/>
  <c r="P31" i="19"/>
  <c r="P23" i="22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O16" i="17"/>
  <c r="O25" i="17" s="1"/>
  <c r="N25" i="17"/>
  <c r="P32" i="17" s="1"/>
  <c r="P33" i="23" l="1"/>
  <c r="P34" i="23" s="1"/>
  <c r="P35" i="23" s="1"/>
  <c r="U21" i="15" s="1"/>
  <c r="P33" i="21"/>
  <c r="P34" i="21" s="1"/>
  <c r="P35" i="21" s="1"/>
  <c r="U19" i="15" s="1"/>
  <c r="P33" i="18"/>
  <c r="P33" i="20"/>
  <c r="P34" i="20" s="1"/>
  <c r="P35" i="20" s="1"/>
  <c r="U18" i="15" s="1"/>
  <c r="N16" i="15"/>
  <c r="N18" i="15"/>
  <c r="P18" i="15" s="1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<sst xmlns="http://schemas.openxmlformats.org/spreadsheetml/2006/main" count="1637" uniqueCount="141">
  <si>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</si>
  <si>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</si>
  <si>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</si>
  <si>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</si>
  <si>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</si>
  <si>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</si>
  <si>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</si>
  <si>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</si>
  <si>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</si>
  <si>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</si>
  <si>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</si>
  <si>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</si>
  <si>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</si>
  <si>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</si>
  <si>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</si>
  <si>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</si>
  <si>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</si>
  <si>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</si>
  <si>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</si>
  <si>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</si>
  <si>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</si>
  <si>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</si>
  <si>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</si>
  <si>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</si>
  <si>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</si>
  <si>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</si>
  <si>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</si>
  <si>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</si>
  <si>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</si>
  <si>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</si>
  <si>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</si>
  <si>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</si>
  <si>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</si>
  <si>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</si>
  <si>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</si>
  <si>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</si>
  <si>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</si>
  <si>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</si>
  <si>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</si>
  <si>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</si>
  <si>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</si>
  <si>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</si>
  <si>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</si>
  <si>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</si>
  <si>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</si>
  <si>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</si>
  <si>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</si>
  <si>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</si>
  <si>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</si>
  <si>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</si>
  <si>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</si>
  <si>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</si>
  <si>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</si>
  <si>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</si>
  <si>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</si>
  <si>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</si>
  <si>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</si>
  <si>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</si>
  <si>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</si>
  <si>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</si>
  <si>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</si>
  <si>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</si>
  <si>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</si>
  <si>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</si>
  <si>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</si>
  <si>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</si>
  <si>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</si>
  <si>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</si>
  <si>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</si>
  <si>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</si>
  <si>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</si>
  <si>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</si>
  <si>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</si>
  <si>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</si>
  <si>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</si>
  <si>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</si>
  <si>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</si>
  <si>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</si>
  <si>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</si>
  <si>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</si>
  <si>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</si>
  <si>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</si>
  <si>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</si>
  <si>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</si>
  <si>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</si>
  <si>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</si>
  <si>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</si>
  <si>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</si>
  <si>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</si>
  <si>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</si>
  <si>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</si>
  <si>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</si>
  <si>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</si>
  <si>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</si>
  <si>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</si>
  <si>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</si>
  <si>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</si>
  <si>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</si>
  <si>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</si>
  <si>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</si>
  <si>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</si>
  <si>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</si>
  <si>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</si>
  <si>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</si>
  <si>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</si>
  <si>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</si>
  <si>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</si>
  <si>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</si>
  <si>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</si>
  <si>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</si>
  <si>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</si>
  <si>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</si>
  <si>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</si>
  <si>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</si>
  <si>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</si>
  <si>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</si>
  <si>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</si>
  <si>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</si>
  <si>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</si>
  <si>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</si>
  <si>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Shop Bill Summary(Furqan)</t>
  </si>
  <si>
    <t>Customer Name : Adnan Store</t>
  </si>
  <si>
    <t>Address: Shadman Makket</t>
  </si>
  <si>
    <t>Customer Name : Bilal Store</t>
  </si>
  <si>
    <t>Address: Shadman Market \</t>
  </si>
  <si>
    <t>0162016-9</t>
  </si>
  <si>
    <t>Customer Name : Shehzad Store</t>
  </si>
  <si>
    <t>Address: Shadman Market</t>
  </si>
  <si>
    <t xml:space="preserve">Address: Kachi Abadi Hatamulchan </t>
  </si>
  <si>
    <t>Customer Name : Data Sweets</t>
  </si>
  <si>
    <t>Customer Name data Store</t>
  </si>
  <si>
    <t xml:space="preserve">Address:  Kachi Abadi Hatamulchan </t>
  </si>
  <si>
    <t>Customer Name : RA GS</t>
  </si>
  <si>
    <t xml:space="preserve">Address: Gulla Butt Wali Gali </t>
  </si>
  <si>
    <t>2506547-8</t>
  </si>
  <si>
    <t>Customer Name : Kamal Store</t>
  </si>
  <si>
    <t xml:space="preserve">Address: Canal Park </t>
  </si>
  <si>
    <t>Customer Name : Umer Store</t>
  </si>
  <si>
    <t>6925517-8</t>
  </si>
  <si>
    <t>Customer Name : Ajmail Bakery</t>
  </si>
  <si>
    <t>Address: Main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</si>
</sst>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6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D39" sqref="D3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D39" sqref="D39"/>
      <selection pane="topRight" activeCell="D39" sqref="D39"/>
      <selection pane="bottomLeft" activeCell="D39" sqref="D39"/>
      <selection pane="bottomRight" activeCell="D39" sqref="D3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2"/>
      <c r="B3" s="192"/>
      <c r="C3" s="192"/>
      <c r="D3" s="192"/>
      <c r="E3" s="192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</row>
    <row r="4" spans="1:29" x14ac:dyDescent="0.35">
      <c r="A4" s="194" t="s">
        <v>6</v>
      </c>
      <c r="B4" s="5" t="s">
        <v>7</v>
      </c>
      <c r="C4" s="5"/>
      <c r="D4" s="196" t="s">
        <v>8</v>
      </c>
      <c r="E4" s="198" t="s">
        <v>9</v>
      </c>
      <c r="F4" s="200" t="s">
        <v>3</v>
      </c>
      <c r="G4" s="200"/>
      <c r="H4" s="201" t="s">
        <v>10</v>
      </c>
      <c r="I4" s="201"/>
      <c r="J4" s="202" t="s">
        <v>11</v>
      </c>
      <c r="K4" s="203"/>
      <c r="L4" s="202" t="s">
        <v>12</v>
      </c>
      <c r="M4" s="203"/>
      <c r="N4" s="204" t="s">
        <v>13</v>
      </c>
      <c r="O4" s="204"/>
      <c r="P4" s="202" t="s">
        <v>4</v>
      </c>
      <c r="Q4" s="203"/>
      <c r="R4" s="202" t="s">
        <v>14</v>
      </c>
      <c r="S4" s="203"/>
      <c r="T4" s="205" t="s">
        <v>15</v>
      </c>
      <c r="U4" s="205"/>
      <c r="V4" s="206" t="s">
        <v>16</v>
      </c>
      <c r="W4" s="207"/>
      <c r="X4" s="206" t="s">
        <v>17</v>
      </c>
      <c r="Y4" s="207"/>
    </row>
    <row r="5" spans="1:29" ht="26.25" customHeight="1" thickBot="1" x14ac:dyDescent="0.4">
      <c r="A5" s="195"/>
      <c r="B5" s="7" t="s">
        <v>18</v>
      </c>
      <c r="C5" s="7" t="s">
        <v>8</v>
      </c>
      <c r="D5" s="197"/>
      <c r="E5" s="19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13" zoomScale="70" zoomScaleNormal="70"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8" t="s">
        <v>45</v>
      </c>
      <c r="B2" s="208"/>
      <c r="C2" s="208"/>
    </row>
    <row r="3" spans="1:21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3" t="s">
        <v>96</v>
      </c>
      <c r="B5" s="213"/>
      <c r="C5" s="213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21 16383:16384" ht="15" customHeight="1" x14ac:dyDescent="0.35">
      <c r="A6" s="213"/>
      <c r="B6" s="213"/>
      <c r="C6" s="213"/>
      <c r="F6" s="70"/>
      <c r="G6" s="74"/>
      <c r="K6" s="210" t="s">
        <v>52</v>
      </c>
      <c r="L6" s="210"/>
      <c r="M6" s="210"/>
      <c r="N6" s="212" t="s">
        <v>42</v>
      </c>
      <c r="O6" s="212"/>
      <c r="P6" s="21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21 16383:16384" hidden="1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21 16383:16384" x14ac:dyDescent="0.35">
      <c r="A10" s="215"/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21 16383:16384" ht="15" thickBot="1" x14ac:dyDescent="0.4">
      <c r="A11" s="215"/>
      <c r="B11" s="76"/>
      <c r="C11" s="77"/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21 16383:16384" ht="14.65" customHeight="1" x14ac:dyDescent="0.35">
      <c r="A12" s="215"/>
      <c r="B12" s="76"/>
      <c r="C12" s="77"/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T12" s="224" t="s">
        <v>120</v>
      </c>
      <c r="U12" s="225"/>
      <c r="XFD12" t="s">
        <v>62</v>
      </c>
    </row>
    <row r="13" spans="1:21 16383:16384" ht="15" thickBot="1" x14ac:dyDescent="0.4">
      <c r="A13" s="252"/>
      <c r="J13" s="78"/>
      <c r="K13" s="78"/>
      <c r="L13" s="79">
        <v>0.05</v>
      </c>
      <c r="T13" s="226"/>
      <c r="U13" s="227"/>
      <c r="XFD13" t="s">
        <v>63</v>
      </c>
    </row>
    <row r="14" spans="1:21 16383:16384" ht="29.25" customHeight="1" x14ac:dyDescent="0.6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18" t="s">
        <v>68</v>
      </c>
      <c r="H14" s="219"/>
      <c r="I14" s="219" t="s">
        <v>69</v>
      </c>
      <c r="J14" s="219" t="s">
        <v>70</v>
      </c>
      <c r="K14" s="219"/>
      <c r="L14" s="221"/>
      <c r="M14" s="22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Adnan Store</v>
      </c>
      <c r="U14" s="164">
        <f>+'1'!P35</f>
        <v>1165.8230077049998</v>
      </c>
      <c r="XFD14" t="s">
        <v>75</v>
      </c>
    </row>
    <row r="15" spans="1:21 16383:16384" ht="29.25" customHeight="1" thickBot="1" x14ac:dyDescent="0.65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20"/>
      <c r="J15" s="170" t="s">
        <v>78</v>
      </c>
      <c r="K15" s="170" t="s">
        <v>79</v>
      </c>
      <c r="L15" s="173" t="s">
        <v>80</v>
      </c>
      <c r="M15" s="22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Bilal Store</v>
      </c>
      <c r="U15" s="164">
        <f>+'2'!P35</f>
        <v>2070.8682929280003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9">
        <f>VLOOKUP(A16,'[1]Cust. Price List'!D6:M14,10,0)</f>
        <v>52.462499999999999</v>
      </c>
      <c r="G16" s="114"/>
      <c r="H16" s="171">
        <f>+'1'!H16+'2'!H16+'4'!H16+'3'!H16+'5'!H16+'6'!H16+'7'!H16+'8'!H16+'9'!H16+'10'!H16+'11'!H16+'12'!H16+'13'!H16+'14'!H16+'15'!H16+'16'!H16+'17'!H16+'18'!H16+'19'!H16+'20'!H16</f>
        <v>12</v>
      </c>
      <c r="I16" s="1">
        <f>(G16*D16)*F16+H16*F16</f>
        <v>629.54999999999995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22.03425</v>
      </c>
      <c r="L16" s="174">
        <f>+'1'!L16+'2'!L16+'4'!L16+'3'!L16+'5'!L16+'6'!L16+'7'!L16+'8'!L16+'9'!L16+'10'!L16</f>
        <v>50.363999999999997</v>
      </c>
      <c r="M16" s="106">
        <f>I16-K16-L16</f>
        <v>557.15174999999988</v>
      </c>
      <c r="N16" s="101">
        <f>+'1'!N16+'2'!N16+'4'!N16+'3'!N16+'5'!N16+'6'!N16+'7'!N16+'8'!N16+'9'!N16+'10'!N16</f>
        <v>100.28731499999998</v>
      </c>
      <c r="O16" s="101">
        <f>+'1'!O16+'2'!O16+'4'!O16+'3'!O16+'5'!O16+'6'!O16+'7'!O16+'8'!O16+'9'!O16+'10'!O16</f>
        <v>16.435976624999995</v>
      </c>
      <c r="P16" s="105">
        <f t="shared" ref="P16:P24" si="0">M16+N16+O16</f>
        <v>673.87504162499977</v>
      </c>
      <c r="Q16" s="108"/>
      <c r="T16" s="163" t="str">
        <f>+'3'!A5</f>
        <v>Customer Name : Shehzad Store</v>
      </c>
      <c r="U16" s="164">
        <f>+'3'!P35</f>
        <v>983.89593216000003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1">
        <f>+'1'!H17+'2'!H17+'4'!H17+'3'!H17+'5'!H17+'6'!H17+'7'!H17+'8'!H17+'9'!H17+'10'!H17+'11'!H17+'12'!H17+'13'!H17+'14'!H17+'15'!H17+'16'!H17+'17'!H17+'18'!H17+'19'!H17+'20'!H17</f>
        <v>0</v>
      </c>
      <c r="I17" s="1">
        <f t="shared" ref="I17:I23" si="1">(G17*D17)*F17+H17*F17</f>
        <v>0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+'4'!A5</f>
        <v>Customer Name : Data Sweets</v>
      </c>
      <c r="U17" s="164">
        <f>+'4'!P35</f>
        <v>2794.3917649920004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data Store</v>
      </c>
      <c r="U18" s="164">
        <f>+'5'!P35</f>
        <v>964.69796275200008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1">
        <f>+'1'!H19+'2'!H19+'4'!H19+'3'!H19+'5'!H19+'6'!H19+'7'!H19+'8'!H19+'9'!H19+'10'!H19+'11'!H19+'12'!H19+'13'!H19+'14'!H19+'15'!H19+'16'!H19+'17'!H19+'18'!H19+'19'!H19+'20'!H19</f>
        <v>30</v>
      </c>
      <c r="I19" s="1">
        <f t="shared" si="1"/>
        <v>2179.1999999999998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76.272000000000006</v>
      </c>
      <c r="L19" s="174">
        <f>+'1'!L19+'2'!L19+'4'!L19+'3'!L19+'5'!L19+'6'!L19+'7'!L19+'8'!L19+'9'!L19+'10'!L19</f>
        <v>174.33600000000001</v>
      </c>
      <c r="M19" s="118">
        <f t="shared" si="2"/>
        <v>1928.5919999999999</v>
      </c>
      <c r="N19" s="101">
        <f>+'1'!N19+'2'!N19+'4'!N19+'3'!N19+'5'!N19+'6'!N19+'7'!N19+'8'!N19+'9'!N19+'10'!N19</f>
        <v>347.14656000000002</v>
      </c>
      <c r="O19" s="101">
        <f>+'1'!O19+'2'!O19+'4'!O19+'3'!O19+'5'!O19+'6'!O19+'7'!O19+'8'!O19+'9'!O19+'10'!O19</f>
        <v>11.3786928</v>
      </c>
      <c r="P19" s="120">
        <f t="shared" si="0"/>
        <v>2287.1172527999997</v>
      </c>
      <c r="T19" s="163" t="str">
        <f>+'6'!A5</f>
        <v>Customer Name : RA GS</v>
      </c>
      <c r="U19" s="164">
        <f>+'6'!P35</f>
        <v>2293.9651137600003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1">
        <f>+'1'!H20+'2'!H20+'4'!H20+'3'!H20+'5'!H20+'6'!H20+'7'!H20+'8'!H20+'9'!H20+'10'!H20+'11'!H20+'12'!H20+'13'!H20+'14'!H20+'15'!H20+'16'!H20+'17'!H20+'18'!H20+'19'!H20+'20'!H20</f>
        <v>25</v>
      </c>
      <c r="I20" s="1">
        <f t="shared" si="1"/>
        <v>1816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63.56</v>
      </c>
      <c r="L20" s="174">
        <f>+'1'!L20+'2'!L20+'4'!L20+'3'!L20+'5'!L20+'6'!L20+'7'!L20+'8'!L20+'9'!L20+'10'!L20</f>
        <v>145.28</v>
      </c>
      <c r="M20" s="118">
        <f t="shared" si="2"/>
        <v>1607.16</v>
      </c>
      <c r="N20" s="101">
        <f>+'1'!N20+'2'!N20+'4'!N20+'3'!N20+'5'!N20+'6'!N20+'7'!N20+'8'!N20+'9'!N20+'10'!N20</f>
        <v>289.28880000000004</v>
      </c>
      <c r="O20" s="101">
        <f>+'1'!O20+'2'!O20+'4'!O20+'3'!O20+'5'!O20+'6'!O20+'7'!O20+'8'!O20+'9'!O20+'10'!O20</f>
        <v>9.4822439999999997</v>
      </c>
      <c r="P20" s="120">
        <f t="shared" si="0"/>
        <v>1905.9310440000002</v>
      </c>
      <c r="T20" s="163" t="str">
        <f>+'7'!A5</f>
        <v>Customer Name : Kamal Store</v>
      </c>
      <c r="U20" s="164">
        <f>+'7'!P35</f>
        <v>1372.27035168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1">
        <f>+'1'!H21+'2'!H21+'4'!H21+'3'!H21+'5'!H21+'6'!H21+'7'!H21+'8'!H21+'9'!H21+'10'!H21+'11'!H21+'12'!H21+'13'!H21+'14'!H21+'15'!H21+'16'!H21+'17'!H21+'18'!H21+'19'!H21+'20'!H21</f>
        <v>60</v>
      </c>
      <c r="I21" s="1">
        <f t="shared" si="1"/>
        <v>4358.3999999999996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152.54400000000001</v>
      </c>
      <c r="L21" s="174">
        <f>+'1'!L21+'2'!L21+'4'!L21+'3'!L21+'5'!L21+'6'!L21+'7'!L21+'8'!L21+'9'!L21+'10'!L21</f>
        <v>348.67200000000008</v>
      </c>
      <c r="M21" s="118">
        <f t="shared" si="2"/>
        <v>3857.1839999999997</v>
      </c>
      <c r="N21" s="101">
        <f>+'1'!N21+'2'!N21+'4'!N21+'3'!N21+'5'!N21+'6'!N21+'7'!N21+'8'!N21+'9'!N21+'10'!N21</f>
        <v>694.29311999999993</v>
      </c>
      <c r="O21" s="101">
        <f>+'1'!O21+'2'!O21+'4'!O21+'3'!O21+'5'!O21+'6'!O21+'7'!O21+'8'!O21+'9'!O21+'10'!O21</f>
        <v>22.757385599999999</v>
      </c>
      <c r="P21" s="120">
        <f t="shared" si="0"/>
        <v>4574.2345055999995</v>
      </c>
      <c r="T21" s="163" t="str">
        <f>+'8'!A5</f>
        <v>Customer Name : Umer Store</v>
      </c>
      <c r="U21" s="164">
        <f>+'8'!P35</f>
        <v>3049.4896703999998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1">
        <f>+'1'!H22+'2'!H22+'4'!H22+'3'!H22+'5'!H22+'6'!H22+'7'!H22+'8'!H22+'9'!H22+'10'!H22+'11'!H22+'12'!H22+'13'!H22+'14'!H22+'15'!H22+'16'!H22+'17'!H22+'18'!H22+'19'!H22+'20'!H22</f>
        <v>142</v>
      </c>
      <c r="I22" s="1">
        <f t="shared" si="1"/>
        <v>5570.6600000000008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479.07676000000004</v>
      </c>
      <c r="L22" s="174">
        <f>+'1'!L22+'2'!L22+'4'!L22+'3'!L22+'5'!L22+'6'!L22+'7'!L22+'8'!L22+'9'!L22+'10'!L22</f>
        <v>278.53300000000007</v>
      </c>
      <c r="M22" s="118">
        <f t="shared" si="2"/>
        <v>4813.0502400000005</v>
      </c>
      <c r="N22" s="101">
        <f>+'1'!N22+'2'!N22+'4'!N22+'3'!N22+'5'!N22+'6'!N22+'7'!N22+'8'!N22+'9'!N22+'10'!N22</f>
        <v>866.3490432000001</v>
      </c>
      <c r="O22" s="101">
        <f>+'1'!O22+'2'!O22+'4'!O22+'3'!O22+'5'!O22+'6'!O22+'7'!O22+'8'!O22+'9'!O22+'10'!O22</f>
        <v>66.792935232000005</v>
      </c>
      <c r="P22" s="120">
        <f t="shared" si="0"/>
        <v>5746.1922184320001</v>
      </c>
      <c r="T22" s="163" t="str">
        <f>+'9'!A5</f>
        <v>Customer Name : Ajmail Bakery</v>
      </c>
      <c r="U22" s="164">
        <f>+'9'!P35</f>
        <v>491.94796608000001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34" t="s">
        <v>84</v>
      </c>
      <c r="B25" s="235"/>
      <c r="C25" s="236">
        <f>H25/40</f>
        <v>6.7249999999999996</v>
      </c>
      <c r="D25" s="230"/>
      <c r="E25" s="230"/>
      <c r="F25" s="230"/>
      <c r="G25" s="175">
        <f t="shared" ref="G25:M25" si="3">SUM(G16:G24)</f>
        <v>0</v>
      </c>
      <c r="H25" s="176">
        <f t="shared" si="3"/>
        <v>269</v>
      </c>
      <c r="I25" s="177">
        <f t="shared" si="3"/>
        <v>14553.810000000001</v>
      </c>
      <c r="J25" s="176">
        <f t="shared" si="3"/>
        <v>0</v>
      </c>
      <c r="K25" s="177">
        <f t="shared" si="3"/>
        <v>793.48701000000005</v>
      </c>
      <c r="L25" s="178">
        <f t="shared" si="3"/>
        <v>997.18500000000017</v>
      </c>
      <c r="M25" s="141">
        <f t="shared" si="3"/>
        <v>12763.137989999999</v>
      </c>
      <c r="N25" s="142">
        <f>SUM(N16:N24)</f>
        <v>2297.3648382000001</v>
      </c>
      <c r="O25" s="143">
        <f>SUM(O16:O24)</f>
        <v>126.847234257</v>
      </c>
      <c r="P25" s="144">
        <f>SUM(P16:P24)</f>
        <v>15187.350062456997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0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9" t="str">
        <f>+'16'!A5</f>
        <v xml:space="preserve">Customer Name : </v>
      </c>
      <c r="U29" s="180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9" t="str">
        <f>+'17'!A5</f>
        <v xml:space="preserve">Customer Name : </v>
      </c>
      <c r="U30" s="180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9" t="str">
        <f>+'18'!A5</f>
        <v xml:space="preserve">Customer Name : </v>
      </c>
      <c r="U31" s="180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9" t="str">
        <f>+'19'!A5</f>
        <v xml:space="preserve">Customer Name : </v>
      </c>
      <c r="U32" s="180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9" t="str">
        <f>+'20'!A5</f>
        <v xml:space="preserve">Customer Name : </v>
      </c>
      <c r="U33" s="180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15187.350062457001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37" t="s">
        <v>85</v>
      </c>
      <c r="C36" s="238"/>
      <c r="D36" s="238"/>
      <c r="E36" s="238"/>
      <c r="F36" s="238"/>
      <c r="G36" s="238"/>
      <c r="H36" s="238"/>
      <c r="I36" s="238"/>
      <c r="J36" s="238"/>
      <c r="K36" s="238"/>
      <c r="L36" s="239"/>
      <c r="N36" s="246" t="s">
        <v>86</v>
      </c>
      <c r="O36" s="247"/>
      <c r="P36" s="152">
        <f>I25</f>
        <v>14553.810000000001</v>
      </c>
    </row>
    <row r="37" spans="1:21" ht="15" customHeight="1" x14ac:dyDescent="0.35">
      <c r="B37" s="240"/>
      <c r="C37" s="241"/>
      <c r="D37" s="241"/>
      <c r="E37" s="241"/>
      <c r="F37" s="241"/>
      <c r="G37" s="241"/>
      <c r="H37" s="241"/>
      <c r="I37" s="241"/>
      <c r="J37" s="241"/>
      <c r="K37" s="241"/>
      <c r="L37" s="242"/>
      <c r="N37" s="248" t="s">
        <v>87</v>
      </c>
      <c r="O37" s="249"/>
      <c r="P37" s="153">
        <f>L25</f>
        <v>997.18500000000017</v>
      </c>
    </row>
    <row r="38" spans="1:21" ht="15" customHeight="1" x14ac:dyDescent="0.35">
      <c r="B38" s="240"/>
      <c r="C38" s="241"/>
      <c r="D38" s="241"/>
      <c r="E38" s="241"/>
      <c r="F38" s="241"/>
      <c r="G38" s="241"/>
      <c r="H38" s="241"/>
      <c r="I38" s="241"/>
      <c r="J38" s="241"/>
      <c r="K38" s="241"/>
      <c r="L38" s="242"/>
      <c r="N38" s="248" t="s">
        <v>4</v>
      </c>
      <c r="O38" s="249"/>
      <c r="P38" s="154">
        <f>K25</f>
        <v>793.48701000000005</v>
      </c>
    </row>
    <row r="39" spans="1:21" ht="15" customHeight="1" x14ac:dyDescent="0.35">
      <c r="B39" s="240"/>
      <c r="C39" s="241"/>
      <c r="D39" s="241"/>
      <c r="E39" s="241"/>
      <c r="F39" s="241"/>
      <c r="G39" s="241"/>
      <c r="H39" s="241"/>
      <c r="I39" s="241"/>
      <c r="J39" s="241"/>
      <c r="K39" s="241"/>
      <c r="L39" s="242"/>
      <c r="M39" s="2"/>
      <c r="N39" s="248" t="s">
        <v>88</v>
      </c>
      <c r="O39" s="249"/>
      <c r="P39" s="153">
        <f>P36-P37-P38</f>
        <v>12763.137990000001</v>
      </c>
    </row>
    <row r="40" spans="1:21" ht="15" customHeight="1" x14ac:dyDescent="0.35">
      <c r="B40" s="240"/>
      <c r="C40" s="241"/>
      <c r="D40" s="241"/>
      <c r="E40" s="241"/>
      <c r="F40" s="241"/>
      <c r="G40" s="241"/>
      <c r="H40" s="241"/>
      <c r="I40" s="241"/>
      <c r="J40" s="241"/>
      <c r="K40" s="241"/>
      <c r="L40" s="242"/>
      <c r="M40" s="2"/>
      <c r="N40" s="155" t="s">
        <v>89</v>
      </c>
      <c r="O40" s="156">
        <f>IF(B12="Registered",18%,22%)</f>
        <v>0.22</v>
      </c>
      <c r="P40" s="153">
        <f>N25</f>
        <v>2297.3648382000001</v>
      </c>
    </row>
    <row r="41" spans="1:21" ht="15" customHeight="1" x14ac:dyDescent="0.35">
      <c r="B41" s="240"/>
      <c r="C41" s="241"/>
      <c r="D41" s="241"/>
      <c r="E41" s="241"/>
      <c r="F41" s="241"/>
      <c r="G41" s="241"/>
      <c r="H41" s="241"/>
      <c r="I41" s="241"/>
      <c r="J41" s="241"/>
      <c r="K41" s="241"/>
      <c r="L41" s="242"/>
      <c r="M41" s="2"/>
      <c r="N41" s="250" t="s">
        <v>90</v>
      </c>
      <c r="O41" s="251"/>
      <c r="P41" s="153">
        <f>P39+P40</f>
        <v>15060.502828200002</v>
      </c>
    </row>
    <row r="42" spans="1:21" ht="15" customHeight="1" thickBot="1" x14ac:dyDescent="0.4">
      <c r="B42" s="243"/>
      <c r="C42" s="244"/>
      <c r="D42" s="244"/>
      <c r="E42" s="244"/>
      <c r="F42" s="244"/>
      <c r="G42" s="244"/>
      <c r="H42" s="244"/>
      <c r="I42" s="244"/>
      <c r="J42" s="244"/>
      <c r="K42" s="244"/>
      <c r="L42" s="245"/>
      <c r="M42" s="157"/>
      <c r="N42" s="158" t="s">
        <v>91</v>
      </c>
      <c r="O42" s="159">
        <f>IF(B11="Filer",0.5%,2.5%)</f>
        <v>2.5000000000000001E-2</v>
      </c>
      <c r="P42" s="153">
        <f>O42*P41</f>
        <v>376.51257070500009</v>
      </c>
    </row>
    <row r="43" spans="1:21" ht="15.75" customHeight="1" thickBot="1" x14ac:dyDescent="0.4">
      <c r="N43" s="228" t="s">
        <v>92</v>
      </c>
      <c r="O43" s="229"/>
      <c r="P43" s="160">
        <f>P41+P42</f>
        <v>15437.015398905001</v>
      </c>
    </row>
    <row r="44" spans="1:21" ht="15" thickBot="1" x14ac:dyDescent="0.4">
      <c r="B44" s="161" t="s">
        <v>93</v>
      </c>
      <c r="C44" s="230"/>
      <c r="D44" s="230"/>
      <c r="E44" s="230"/>
      <c r="F44" s="230"/>
      <c r="G44" s="230"/>
      <c r="H44" s="230"/>
      <c r="I44" s="231"/>
      <c r="J44" s="232"/>
      <c r="K44" s="233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8" t="s">
        <v>45</v>
      </c>
      <c r="B2" s="208"/>
      <c r="C2" s="208"/>
    </row>
    <row r="3" spans="1:26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5" t="s">
        <v>121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26 16383:16384" ht="15" customHeight="1" x14ac:dyDescent="0.35">
      <c r="A6" s="210" t="s">
        <v>122</v>
      </c>
      <c r="B6" s="210"/>
      <c r="C6" s="210"/>
      <c r="F6" s="70"/>
      <c r="G6" s="74"/>
      <c r="K6" s="210" t="s">
        <v>52</v>
      </c>
      <c r="L6" s="210"/>
      <c r="M6" s="210"/>
      <c r="N6" s="212" t="s">
        <v>96</v>
      </c>
      <c r="O6" s="212"/>
      <c r="P6" s="212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26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26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26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26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26 16383:16384" ht="15" thickBot="1" x14ac:dyDescent="0.4">
      <c r="A13" s="252"/>
      <c r="B13" s="167"/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S14" s="262" t="s">
        <v>117</v>
      </c>
      <c r="T14" s="262"/>
      <c r="U14" s="262"/>
      <c r="V14" s="262"/>
      <c r="W14" s="263" t="s">
        <v>119</v>
      </c>
      <c r="X14" s="263"/>
      <c r="Y14" s="263"/>
      <c r="Z14" s="263"/>
      <c r="XFD14" t="s">
        <v>75</v>
      </c>
    </row>
    <row r="15" spans="1:26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S15" s="183" t="s">
        <v>109</v>
      </c>
      <c r="T15" s="183" t="s">
        <v>110</v>
      </c>
      <c r="U15" s="183" t="s">
        <v>114</v>
      </c>
      <c r="V15" s="183" t="s">
        <v>115</v>
      </c>
      <c r="W15" s="184" t="s">
        <v>109</v>
      </c>
      <c r="X15" s="184" t="s">
        <v>110</v>
      </c>
      <c r="Y15" s="184" t="s">
        <v>114</v>
      </c>
      <c r="Z15" s="184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</v>
      </c>
      <c r="I16" s="102">
        <f>(G16*D16)*F16+H16*F16</f>
        <v>629.54999999999995</v>
      </c>
      <c r="J16" s="103"/>
      <c r="K16" s="104">
        <f>I16*3.5%</f>
        <v>22.03425</v>
      </c>
      <c r="L16" s="105">
        <f>I16*8%</f>
        <v>50.363999999999997</v>
      </c>
      <c r="M16" s="106">
        <f>I16-K16-L16</f>
        <v>557.15174999999988</v>
      </c>
      <c r="N16" s="106">
        <f t="shared" ref="N16:N24" si="0">(M16*$N$15)+(J16*F16)*$N$15</f>
        <v>100.28731499999998</v>
      </c>
      <c r="O16" s="107">
        <f t="shared" ref="O16:O24" si="1">(N16+M16)*$O$15</f>
        <v>16.435976624999995</v>
      </c>
      <c r="P16" s="105">
        <f t="shared" ref="P16:P24" si="2">M16+N16+O16</f>
        <v>673.87504162499977</v>
      </c>
      <c r="Q16" s="108"/>
      <c r="S16" s="181" t="s">
        <v>106</v>
      </c>
      <c r="T16" s="181">
        <v>1697</v>
      </c>
      <c r="U16" s="181" t="s">
        <v>111</v>
      </c>
      <c r="V16" s="181">
        <f>T16/40</f>
        <v>42.424999999999997</v>
      </c>
      <c r="W16" s="185" t="s">
        <v>106</v>
      </c>
      <c r="X16" s="185">
        <v>1664</v>
      </c>
      <c r="Y16" s="185" t="s">
        <v>111</v>
      </c>
      <c r="Z16" s="185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2" t="s">
        <v>108</v>
      </c>
      <c r="T17" s="181">
        <v>2322</v>
      </c>
      <c r="U17" s="181" t="s">
        <v>112</v>
      </c>
      <c r="V17" s="181">
        <f t="shared" ref="V17:V18" si="7">T17/40</f>
        <v>58.05</v>
      </c>
      <c r="W17" s="186" t="s">
        <v>108</v>
      </c>
      <c r="X17" s="185">
        <v>2277</v>
      </c>
      <c r="Y17" s="185" t="s">
        <v>112</v>
      </c>
      <c r="Z17" s="185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1" t="s">
        <v>107</v>
      </c>
      <c r="T18" s="181">
        <v>3216</v>
      </c>
      <c r="U18" s="181" t="s">
        <v>113</v>
      </c>
      <c r="V18" s="181">
        <f t="shared" si="7"/>
        <v>80.400000000000006</v>
      </c>
      <c r="W18" s="185" t="s">
        <v>107</v>
      </c>
      <c r="X18" s="185">
        <v>3153</v>
      </c>
      <c r="Y18" s="185" t="s">
        <v>113</v>
      </c>
      <c r="Z18" s="185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64" t="s">
        <v>118</v>
      </c>
      <c r="T19" s="264"/>
      <c r="U19" s="264"/>
      <c r="V19" s="264"/>
      <c r="W19" s="265" t="s">
        <v>116</v>
      </c>
      <c r="X19" s="265"/>
      <c r="Y19" s="265"/>
      <c r="Z19" s="265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3" t="s">
        <v>109</v>
      </c>
      <c r="T20" s="183" t="s">
        <v>110</v>
      </c>
      <c r="U20" s="183" t="s">
        <v>114</v>
      </c>
      <c r="V20" s="183" t="s">
        <v>115</v>
      </c>
      <c r="W20" s="183" t="s">
        <v>109</v>
      </c>
      <c r="X20" s="183" t="s">
        <v>110</v>
      </c>
      <c r="Y20" s="183" t="s">
        <v>114</v>
      </c>
      <c r="Z20" s="183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7" t="s">
        <v>106</v>
      </c>
      <c r="T21" s="187">
        <v>1610</v>
      </c>
      <c r="U21" s="187" t="s">
        <v>111</v>
      </c>
      <c r="V21" s="187">
        <f>T21/40</f>
        <v>40.25</v>
      </c>
      <c r="W21" s="189" t="s">
        <v>106</v>
      </c>
      <c r="X21" s="189">
        <v>1642</v>
      </c>
      <c r="Y21" s="189" t="s">
        <v>111</v>
      </c>
      <c r="Z21" s="189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3"/>
        <v>470.76000000000005</v>
      </c>
      <c r="J22" s="117"/>
      <c r="K22" s="104">
        <f>I22*8.6%</f>
        <v>40.48536</v>
      </c>
      <c r="L22" s="120">
        <f>I22*5%</f>
        <v>23.538000000000004</v>
      </c>
      <c r="M22" s="118">
        <f t="shared" si="6"/>
        <v>406.73664000000002</v>
      </c>
      <c r="N22" s="118">
        <f t="shared" si="0"/>
        <v>73.212595199999996</v>
      </c>
      <c r="O22" s="119">
        <f t="shared" si="1"/>
        <v>11.998730880000002</v>
      </c>
      <c r="P22" s="120">
        <f t="shared" si="2"/>
        <v>491.94796608000001</v>
      </c>
      <c r="S22" s="188" t="s">
        <v>108</v>
      </c>
      <c r="T22" s="187">
        <v>2202</v>
      </c>
      <c r="U22" s="187" t="s">
        <v>112</v>
      </c>
      <c r="V22" s="187">
        <f t="shared" ref="V22:V25" si="9">T22/40</f>
        <v>55.05</v>
      </c>
      <c r="W22" s="190" t="s">
        <v>108</v>
      </c>
      <c r="X22" s="189">
        <v>2246</v>
      </c>
      <c r="Y22" s="189" t="s">
        <v>112</v>
      </c>
      <c r="Z22" s="189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7" t="s">
        <v>107</v>
      </c>
      <c r="T23" s="187">
        <v>3216</v>
      </c>
      <c r="U23" s="187" t="s">
        <v>113</v>
      </c>
      <c r="V23" s="187">
        <f t="shared" si="9"/>
        <v>80.400000000000006</v>
      </c>
      <c r="W23" s="189" t="s">
        <v>107</v>
      </c>
      <c r="X23" s="189">
        <v>3216</v>
      </c>
      <c r="Y23" s="189" t="s">
        <v>112</v>
      </c>
      <c r="Z23" s="189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7" t="s">
        <v>107</v>
      </c>
      <c r="T24" s="187">
        <v>3216</v>
      </c>
      <c r="U24" s="187" t="s">
        <v>113</v>
      </c>
      <c r="V24" s="187">
        <f t="shared" si="9"/>
        <v>80.400000000000006</v>
      </c>
      <c r="W24" s="189"/>
      <c r="X24" s="189"/>
      <c r="Y24" s="189" t="s">
        <v>112</v>
      </c>
      <c r="Z24" s="189">
        <f t="shared" si="10"/>
        <v>0</v>
      </c>
    </row>
    <row r="25" spans="1:26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13">SUM(G16:G24)</f>
        <v>0</v>
      </c>
      <c r="H25" s="136">
        <f t="shared" si="13"/>
        <v>24</v>
      </c>
      <c r="I25" s="137">
        <f t="shared" si="13"/>
        <v>1100.31</v>
      </c>
      <c r="J25" s="138"/>
      <c r="K25" s="139">
        <f t="shared" si="13"/>
        <v>62.51961</v>
      </c>
      <c r="L25" s="140">
        <f t="shared" si="13"/>
        <v>73.902000000000001</v>
      </c>
      <c r="M25" s="141">
        <f t="shared" si="13"/>
        <v>963.88838999999984</v>
      </c>
      <c r="N25" s="142">
        <f>SUM(N16:N24)</f>
        <v>173.49991019999999</v>
      </c>
      <c r="O25" s="143">
        <f>SUM(O16:O24)</f>
        <v>28.434707504999999</v>
      </c>
      <c r="P25" s="144">
        <f>SUM(P16:P24)</f>
        <v>1165.8230077049998</v>
      </c>
      <c r="S25" s="187" t="s">
        <v>107</v>
      </c>
      <c r="T25" s="187">
        <v>3216</v>
      </c>
      <c r="U25" s="187" t="s">
        <v>113</v>
      </c>
      <c r="V25" s="187">
        <f t="shared" si="9"/>
        <v>80.400000000000006</v>
      </c>
      <c r="W25" s="189" t="s">
        <v>107</v>
      </c>
      <c r="X25" s="189">
        <v>3110</v>
      </c>
      <c r="Y25" s="189" t="s">
        <v>113</v>
      </c>
      <c r="Z25" s="189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1100.31</v>
      </c>
    </row>
    <row r="29" spans="1:26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73.902000000000001</v>
      </c>
    </row>
    <row r="30" spans="1:26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62.51961</v>
      </c>
    </row>
    <row r="31" spans="1:26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963.88838999999984</v>
      </c>
    </row>
    <row r="32" spans="1:26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173.49991019999999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1137.3883001999998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28.434707504999995</v>
      </c>
    </row>
    <row r="35" spans="2:16" ht="15.75" customHeight="1" thickBot="1" x14ac:dyDescent="0.4">
      <c r="N35" s="228" t="s">
        <v>92</v>
      </c>
      <c r="O35" s="229"/>
      <c r="P35" s="160">
        <f>P33+P34</f>
        <v>1165.8230077049998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2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123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124</v>
      </c>
      <c r="B6" s="210"/>
      <c r="C6" s="210"/>
      <c r="F6" s="70"/>
      <c r="G6" s="74"/>
      <c r="K6" s="210" t="s">
        <v>52</v>
      </c>
      <c r="L6" s="210"/>
      <c r="M6" s="210"/>
      <c r="N6" s="212" t="s">
        <v>96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 t="s">
        <v>125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04">
        <f t="shared" si="3"/>
        <v>15.254400000000002</v>
      </c>
      <c r="L19" s="105">
        <f t="shared" si="4"/>
        <v>34.867200000000004</v>
      </c>
      <c r="M19" s="118">
        <f t="shared" si="5"/>
        <v>385.71840000000003</v>
      </c>
      <c r="N19" s="118">
        <f t="shared" si="0"/>
        <v>69.429311999999996</v>
      </c>
      <c r="O19" s="119">
        <f t="shared" si="6"/>
        <v>2.2757385600000002</v>
      </c>
      <c r="P19" s="120">
        <f t="shared" si="1"/>
        <v>457.42345055999999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6</v>
      </c>
      <c r="I20" s="116">
        <f t="shared" si="2"/>
        <v>435.84000000000003</v>
      </c>
      <c r="J20" s="117"/>
      <c r="K20" s="104">
        <f t="shared" si="3"/>
        <v>15.254400000000002</v>
      </c>
      <c r="L20" s="105">
        <f t="shared" si="4"/>
        <v>34.867200000000004</v>
      </c>
      <c r="M20" s="118">
        <f t="shared" si="5"/>
        <v>385.71840000000003</v>
      </c>
      <c r="N20" s="118">
        <f t="shared" si="0"/>
        <v>69.429311999999996</v>
      </c>
      <c r="O20" s="119">
        <f t="shared" si="6"/>
        <v>2.2757385600000002</v>
      </c>
      <c r="P20" s="120">
        <f t="shared" si="1"/>
        <v>457.42345055999999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12</v>
      </c>
      <c r="I21" s="116">
        <f t="shared" si="2"/>
        <v>871.68000000000006</v>
      </c>
      <c r="J21" s="117"/>
      <c r="K21" s="104">
        <f t="shared" si="3"/>
        <v>30.508800000000004</v>
      </c>
      <c r="L21" s="105">
        <f t="shared" si="4"/>
        <v>69.734400000000008</v>
      </c>
      <c r="M21" s="118">
        <f t="shared" si="5"/>
        <v>771.43680000000006</v>
      </c>
      <c r="N21" s="118">
        <f t="shared" si="0"/>
        <v>138.85862399999999</v>
      </c>
      <c r="O21" s="119">
        <f t="shared" si="6"/>
        <v>4.5514771200000004</v>
      </c>
      <c r="P21" s="120">
        <f t="shared" si="1"/>
        <v>914.84690111999998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6</v>
      </c>
      <c r="I22" s="116">
        <f t="shared" si="2"/>
        <v>235.38000000000002</v>
      </c>
      <c r="J22" s="117"/>
      <c r="K22" s="104">
        <f>I22*8.6%</f>
        <v>20.24268</v>
      </c>
      <c r="L22" s="120">
        <f>I22*5%</f>
        <v>11.769000000000002</v>
      </c>
      <c r="M22" s="118">
        <f t="shared" si="5"/>
        <v>203.36832000000001</v>
      </c>
      <c r="N22" s="118">
        <f t="shared" si="0"/>
        <v>36.606297599999998</v>
      </c>
      <c r="O22" s="119">
        <f t="shared" si="6"/>
        <v>1.1998730880000001</v>
      </c>
      <c r="P22" s="120">
        <f t="shared" si="1"/>
        <v>241.17449068800002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30</v>
      </c>
      <c r="I25" s="137">
        <f t="shared" si="9"/>
        <v>1978.7400000000002</v>
      </c>
      <c r="J25" s="138"/>
      <c r="K25" s="139">
        <f t="shared" si="9"/>
        <v>81.260280000000009</v>
      </c>
      <c r="L25" s="140">
        <f t="shared" si="9"/>
        <v>151.23780000000002</v>
      </c>
      <c r="M25" s="141">
        <f t="shared" si="9"/>
        <v>1746.2419200000002</v>
      </c>
      <c r="N25" s="142">
        <f>SUM(N16:N24)</f>
        <v>314.32354559999999</v>
      </c>
      <c r="O25" s="143">
        <f>SUM(O16:O24)</f>
        <v>10.302827328000001</v>
      </c>
      <c r="P25" s="144">
        <f>SUM(P16:P24)</f>
        <v>2070.8682929279998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1978.7400000000002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151.23780000000002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81.260280000000009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1746.2419200000002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314.32354559999999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2060.5654656000002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10.302827328000001</v>
      </c>
    </row>
    <row r="35" spans="2:16" ht="15.75" customHeight="1" thickBot="1" x14ac:dyDescent="0.4">
      <c r="N35" s="228" t="s">
        <v>92</v>
      </c>
      <c r="O35" s="229"/>
      <c r="P35" s="160">
        <f>P33+P34</f>
        <v>2070.8682929280003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4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126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127</v>
      </c>
      <c r="B6" s="210"/>
      <c r="C6" s="210"/>
      <c r="F6" s="70"/>
      <c r="G6" s="74"/>
      <c r="K6" s="210" t="s">
        <v>52</v>
      </c>
      <c r="L6" s="210"/>
      <c r="M6" s="210"/>
      <c r="N6" s="212" t="s">
        <v>96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168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24</v>
      </c>
      <c r="I22" s="116">
        <f t="shared" si="2"/>
        <v>941.5200000000001</v>
      </c>
      <c r="J22" s="117"/>
      <c r="K22" s="104">
        <f>I22*8.6%</f>
        <v>80.97072</v>
      </c>
      <c r="L22" s="120">
        <f>I22*5%</f>
        <v>47.076000000000008</v>
      </c>
      <c r="M22" s="118">
        <f t="shared" si="5"/>
        <v>813.47328000000005</v>
      </c>
      <c r="N22" s="118">
        <f t="shared" si="0"/>
        <v>146.42519039999999</v>
      </c>
      <c r="O22" s="119">
        <f t="shared" si="6"/>
        <v>23.997461760000004</v>
      </c>
      <c r="P22" s="120">
        <f t="shared" si="1"/>
        <v>983.89593216000003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24</v>
      </c>
      <c r="I25" s="137">
        <f t="shared" si="9"/>
        <v>941.5200000000001</v>
      </c>
      <c r="J25" s="138"/>
      <c r="K25" s="139">
        <f t="shared" si="9"/>
        <v>80.97072</v>
      </c>
      <c r="L25" s="140">
        <f t="shared" si="9"/>
        <v>47.076000000000008</v>
      </c>
      <c r="M25" s="141">
        <f t="shared" si="9"/>
        <v>813.47328000000005</v>
      </c>
      <c r="N25" s="142">
        <f>SUM(N16:N24)</f>
        <v>146.42519039999999</v>
      </c>
      <c r="O25" s="143">
        <f>SUM(O16:O24)</f>
        <v>23.997461760000004</v>
      </c>
      <c r="P25" s="144">
        <f>SUM(P16:P24)</f>
        <v>983.89593216000003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941.5200000000001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47.076000000000008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80.97072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813.47328000000005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146.42519039999999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959.89847040000006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23.997461760000004</v>
      </c>
    </row>
    <row r="35" spans="2:16" ht="15.75" customHeight="1" thickBot="1" x14ac:dyDescent="0.4">
      <c r="N35" s="228" t="s">
        <v>92</v>
      </c>
      <c r="O35" s="229"/>
      <c r="P35" s="160">
        <f>P33+P34</f>
        <v>983.89593216000003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3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129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128</v>
      </c>
      <c r="B6" s="210"/>
      <c r="C6" s="210"/>
      <c r="F6" s="70"/>
      <c r="G6" s="74"/>
      <c r="K6" s="210" t="s">
        <v>52</v>
      </c>
      <c r="L6" s="210"/>
      <c r="M6" s="210"/>
      <c r="N6" s="212" t="s">
        <v>96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 t="s">
        <v>125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24</v>
      </c>
      <c r="I21" s="116">
        <f t="shared" si="2"/>
        <v>1743.3600000000001</v>
      </c>
      <c r="J21" s="117"/>
      <c r="K21" s="104">
        <f t="shared" si="3"/>
        <v>61.017600000000009</v>
      </c>
      <c r="L21" s="105">
        <f t="shared" si="4"/>
        <v>139.46880000000002</v>
      </c>
      <c r="M21" s="118">
        <f t="shared" si="5"/>
        <v>1542.8736000000001</v>
      </c>
      <c r="N21" s="118">
        <f t="shared" si="0"/>
        <v>277.71724799999998</v>
      </c>
      <c r="O21" s="119">
        <f t="shared" si="6"/>
        <v>9.1029542400000008</v>
      </c>
      <c r="P21" s="120">
        <f t="shared" si="1"/>
        <v>1829.69380224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24</v>
      </c>
      <c r="I22" s="116">
        <f t="shared" si="2"/>
        <v>941.5200000000001</v>
      </c>
      <c r="J22" s="117"/>
      <c r="K22" s="104">
        <f>I22*8.6%</f>
        <v>80.97072</v>
      </c>
      <c r="L22" s="120">
        <f>I22*5%</f>
        <v>47.076000000000008</v>
      </c>
      <c r="M22" s="118">
        <f t="shared" si="5"/>
        <v>813.47328000000005</v>
      </c>
      <c r="N22" s="118">
        <f t="shared" si="0"/>
        <v>146.42519039999999</v>
      </c>
      <c r="O22" s="119">
        <f t="shared" si="6"/>
        <v>4.7994923520000006</v>
      </c>
      <c r="P22" s="120">
        <f t="shared" si="1"/>
        <v>964.69796275200008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48</v>
      </c>
      <c r="I25" s="137">
        <f t="shared" si="9"/>
        <v>2684.88</v>
      </c>
      <c r="J25" s="138"/>
      <c r="K25" s="139">
        <f t="shared" si="9"/>
        <v>141.98832000000002</v>
      </c>
      <c r="L25" s="140">
        <f t="shared" si="9"/>
        <v>186.54480000000001</v>
      </c>
      <c r="M25" s="141">
        <f t="shared" si="9"/>
        <v>2356.3468800000001</v>
      </c>
      <c r="N25" s="142">
        <f>SUM(N16:N24)</f>
        <v>424.14243839999995</v>
      </c>
      <c r="O25" s="143">
        <f>SUM(O16:O24)</f>
        <v>13.902446592</v>
      </c>
      <c r="P25" s="144">
        <f>SUM(P16:P24)</f>
        <v>2794.3917649919999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2684.88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186.54480000000001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141.98832000000002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2356.3468800000001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424.14243839999995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2780.4893184000002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13.902446592000002</v>
      </c>
    </row>
    <row r="35" spans="2:16" ht="15.75" customHeight="1" thickBot="1" x14ac:dyDescent="0.4">
      <c r="N35" s="228" t="s">
        <v>92</v>
      </c>
      <c r="O35" s="229"/>
      <c r="P35" s="160">
        <f>P33+P34</f>
        <v>2794.3917649920004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5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130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131</v>
      </c>
      <c r="B6" s="210"/>
      <c r="C6" s="210"/>
      <c r="F6" s="70"/>
      <c r="G6" s="74"/>
      <c r="K6" s="210" t="s">
        <v>52</v>
      </c>
      <c r="L6" s="210"/>
      <c r="M6" s="210"/>
      <c r="N6" s="212" t="s">
        <v>96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 t="s">
        <v>125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24</v>
      </c>
      <c r="I22" s="116">
        <f t="shared" si="2"/>
        <v>941.5200000000001</v>
      </c>
      <c r="J22" s="117"/>
      <c r="K22" s="104">
        <f>I22*8.6%</f>
        <v>80.97072</v>
      </c>
      <c r="L22" s="120">
        <f>I22*5%</f>
        <v>47.076000000000008</v>
      </c>
      <c r="M22" s="118">
        <f t="shared" si="5"/>
        <v>813.47328000000005</v>
      </c>
      <c r="N22" s="118">
        <f t="shared" si="0"/>
        <v>146.42519039999999</v>
      </c>
      <c r="O22" s="119">
        <f t="shared" si="6"/>
        <v>4.7994923520000006</v>
      </c>
      <c r="P22" s="120">
        <f t="shared" si="1"/>
        <v>964.69796275200008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24</v>
      </c>
      <c r="I25" s="137">
        <f t="shared" si="9"/>
        <v>941.5200000000001</v>
      </c>
      <c r="J25" s="138"/>
      <c r="K25" s="139">
        <f t="shared" si="9"/>
        <v>80.97072</v>
      </c>
      <c r="L25" s="140">
        <f t="shared" si="9"/>
        <v>47.076000000000008</v>
      </c>
      <c r="M25" s="141">
        <f t="shared" si="9"/>
        <v>813.47328000000005</v>
      </c>
      <c r="N25" s="142">
        <f>SUM(N16:N24)</f>
        <v>146.42519039999999</v>
      </c>
      <c r="O25" s="143">
        <f>SUM(O16:O24)</f>
        <v>4.7994923520000006</v>
      </c>
      <c r="P25" s="144">
        <f>SUM(P16:P24)</f>
        <v>964.69796275200008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941.5200000000001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47.076000000000008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80.97072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813.47328000000005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146.42519039999999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959.89847040000006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4.7994923520000006</v>
      </c>
    </row>
    <row r="35" spans="2:16" ht="15.75" customHeight="1" thickBot="1" x14ac:dyDescent="0.4">
      <c r="N35" s="228" t="s">
        <v>92</v>
      </c>
      <c r="O35" s="229"/>
      <c r="P35" s="160">
        <f>P33+P34</f>
        <v>964.69796275200008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6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133</v>
      </c>
      <c r="B6" s="210"/>
      <c r="C6" s="210"/>
      <c r="F6" s="70"/>
      <c r="G6" s="74"/>
      <c r="K6" s="210" t="s">
        <v>52</v>
      </c>
      <c r="L6" s="210"/>
      <c r="M6" s="210"/>
      <c r="N6" s="212" t="s">
        <v>96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 t="s">
        <v>134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3</v>
      </c>
      <c r="I19" s="116">
        <f t="shared" si="2"/>
        <v>217.92000000000002</v>
      </c>
      <c r="J19" s="117"/>
      <c r="K19" s="104">
        <f t="shared" si="3"/>
        <v>7.6272000000000011</v>
      </c>
      <c r="L19" s="105">
        <f t="shared" si="4"/>
        <v>17.433600000000002</v>
      </c>
      <c r="M19" s="118">
        <f t="shared" si="5"/>
        <v>192.85920000000002</v>
      </c>
      <c r="N19" s="118">
        <f t="shared" si="0"/>
        <v>34.714655999999998</v>
      </c>
      <c r="O19" s="119">
        <f t="shared" si="6"/>
        <v>1.1378692800000001</v>
      </c>
      <c r="P19" s="120">
        <f t="shared" si="1"/>
        <v>228.71172528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3</v>
      </c>
      <c r="I20" s="116">
        <f t="shared" si="2"/>
        <v>217.92000000000002</v>
      </c>
      <c r="J20" s="117"/>
      <c r="K20" s="104">
        <f t="shared" si="3"/>
        <v>7.6272000000000011</v>
      </c>
      <c r="L20" s="105">
        <f t="shared" si="4"/>
        <v>17.433600000000002</v>
      </c>
      <c r="M20" s="118">
        <f t="shared" si="5"/>
        <v>192.85920000000002</v>
      </c>
      <c r="N20" s="118">
        <f t="shared" si="0"/>
        <v>34.714655999999998</v>
      </c>
      <c r="O20" s="119">
        <f t="shared" si="6"/>
        <v>1.1378692800000001</v>
      </c>
      <c r="P20" s="120">
        <f t="shared" si="1"/>
        <v>228.71172528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3</v>
      </c>
      <c r="I21" s="116">
        <f t="shared" si="2"/>
        <v>217.92000000000002</v>
      </c>
      <c r="J21" s="117"/>
      <c r="K21" s="104">
        <f t="shared" si="3"/>
        <v>7.6272000000000011</v>
      </c>
      <c r="L21" s="105">
        <f t="shared" si="4"/>
        <v>17.433600000000002</v>
      </c>
      <c r="M21" s="118">
        <f t="shared" si="5"/>
        <v>192.85920000000002</v>
      </c>
      <c r="N21" s="118">
        <f t="shared" si="0"/>
        <v>34.714655999999998</v>
      </c>
      <c r="O21" s="119">
        <f t="shared" si="6"/>
        <v>1.1378692800000001</v>
      </c>
      <c r="P21" s="120">
        <f t="shared" si="1"/>
        <v>228.71172528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7.9991539200000012</v>
      </c>
      <c r="P22" s="120">
        <f t="shared" si="1"/>
        <v>1607.8299379200002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49</v>
      </c>
      <c r="I25" s="137">
        <f t="shared" si="9"/>
        <v>2222.96</v>
      </c>
      <c r="J25" s="138"/>
      <c r="K25" s="139">
        <f t="shared" si="9"/>
        <v>157.83279999999999</v>
      </c>
      <c r="L25" s="140">
        <f t="shared" si="9"/>
        <v>130.76080000000002</v>
      </c>
      <c r="M25" s="141">
        <f t="shared" si="9"/>
        <v>1934.3664000000003</v>
      </c>
      <c r="N25" s="142">
        <f>SUM(N16:N24)</f>
        <v>348.18595200000004</v>
      </c>
      <c r="O25" s="143">
        <f>SUM(O16:O24)</f>
        <v>11.412761760000002</v>
      </c>
      <c r="P25" s="144">
        <f>SUM(P16:P24)</f>
        <v>2293.9651137600003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2222.96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130.76080000000002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157.83279999999999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1934.3664000000001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348.18595200000004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2282.5523520000002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11.41276176</v>
      </c>
    </row>
    <row r="35" spans="2:16" ht="15.75" customHeight="1" thickBot="1" x14ac:dyDescent="0.4">
      <c r="N35" s="228" t="s">
        <v>92</v>
      </c>
      <c r="O35" s="229"/>
      <c r="P35" s="160">
        <f>P33+P34</f>
        <v>2293.9651137600003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7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135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136</v>
      </c>
      <c r="B6" s="210"/>
      <c r="C6" s="210"/>
      <c r="F6" s="70"/>
      <c r="G6" s="74"/>
      <c r="K6" s="210" t="s">
        <v>52</v>
      </c>
      <c r="L6" s="210"/>
      <c r="M6" s="210"/>
      <c r="N6" s="212" t="s">
        <v>96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3540498913215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8" thickBot="1" x14ac:dyDescent="0.4">
      <c r="A13" s="252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04">
        <f t="shared" si="3"/>
        <v>15.254400000000002</v>
      </c>
      <c r="L19" s="105">
        <f t="shared" si="4"/>
        <v>34.867200000000004</v>
      </c>
      <c r="M19" s="118">
        <f t="shared" si="5"/>
        <v>385.71840000000003</v>
      </c>
      <c r="N19" s="118">
        <f t="shared" si="0"/>
        <v>69.429311999999996</v>
      </c>
      <c r="O19" s="119">
        <f t="shared" si="6"/>
        <v>2.2757385600000002</v>
      </c>
      <c r="P19" s="120">
        <f t="shared" si="1"/>
        <v>457.42345055999999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6</v>
      </c>
      <c r="I20" s="116">
        <f t="shared" si="2"/>
        <v>435.84000000000003</v>
      </c>
      <c r="J20" s="117"/>
      <c r="K20" s="104">
        <f t="shared" si="3"/>
        <v>15.254400000000002</v>
      </c>
      <c r="L20" s="105">
        <f t="shared" si="4"/>
        <v>34.867200000000004</v>
      </c>
      <c r="M20" s="118">
        <f t="shared" si="5"/>
        <v>385.71840000000003</v>
      </c>
      <c r="N20" s="118">
        <f t="shared" si="0"/>
        <v>69.429311999999996</v>
      </c>
      <c r="O20" s="119">
        <f t="shared" si="6"/>
        <v>2.2757385600000002</v>
      </c>
      <c r="P20" s="120">
        <f t="shared" si="1"/>
        <v>457.42345055999999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</v>
      </c>
      <c r="I21" s="116">
        <f t="shared" si="2"/>
        <v>435.84000000000003</v>
      </c>
      <c r="J21" s="117"/>
      <c r="K21" s="104">
        <f t="shared" si="3"/>
        <v>15.254400000000002</v>
      </c>
      <c r="L21" s="105">
        <f t="shared" si="4"/>
        <v>34.867200000000004</v>
      </c>
      <c r="M21" s="118">
        <f t="shared" si="5"/>
        <v>385.71840000000003</v>
      </c>
      <c r="N21" s="118">
        <f t="shared" si="0"/>
        <v>69.429311999999996</v>
      </c>
      <c r="O21" s="119">
        <f t="shared" si="6"/>
        <v>2.2757385600000002</v>
      </c>
      <c r="P21" s="120">
        <f t="shared" si="1"/>
        <v>457.42345055999999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18</v>
      </c>
      <c r="I25" s="137">
        <f t="shared" si="9"/>
        <v>1307.52</v>
      </c>
      <c r="J25" s="138"/>
      <c r="K25" s="139">
        <f t="shared" si="9"/>
        <v>45.763200000000005</v>
      </c>
      <c r="L25" s="140">
        <f t="shared" si="9"/>
        <v>104.60160000000002</v>
      </c>
      <c r="M25" s="141">
        <f t="shared" si="9"/>
        <v>1157.1552000000001</v>
      </c>
      <c r="N25" s="142">
        <f>SUM(N16:N24)</f>
        <v>208.287936</v>
      </c>
      <c r="O25" s="143">
        <f>SUM(O16:O24)</f>
        <v>6.8272156800000001</v>
      </c>
      <c r="P25" s="144">
        <f>SUM(P16:P24)</f>
        <v>1372.27035168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1307.52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104.60160000000002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45.763200000000005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1157.1551999999999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208.287936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1365.4431359999999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6.8272156799999992</v>
      </c>
    </row>
    <row r="35" spans="2:16" ht="15.75" customHeight="1" thickBot="1" x14ac:dyDescent="0.4">
      <c r="N35" s="228" t="s">
        <v>92</v>
      </c>
      <c r="O35" s="229"/>
      <c r="P35" s="160">
        <f>P33+P34</f>
        <v>1372.27035168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8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137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136</v>
      </c>
      <c r="B6" s="210"/>
      <c r="C6" s="210"/>
      <c r="F6" s="70"/>
      <c r="G6" s="74"/>
      <c r="K6" s="210" t="s">
        <v>52</v>
      </c>
      <c r="L6" s="210"/>
      <c r="M6" s="210"/>
      <c r="N6" s="212" t="s">
        <v>96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 t="s">
        <v>138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04">
        <f t="shared" si="3"/>
        <v>38.136000000000003</v>
      </c>
      <c r="L19" s="105">
        <f t="shared" si="4"/>
        <v>87.167999999999992</v>
      </c>
      <c r="M19" s="118">
        <f t="shared" si="5"/>
        <v>964.29599999999994</v>
      </c>
      <c r="N19" s="118">
        <f t="shared" si="0"/>
        <v>173.57327999999998</v>
      </c>
      <c r="O19" s="119">
        <f t="shared" si="6"/>
        <v>5.6893463999999998</v>
      </c>
      <c r="P19" s="120">
        <f t="shared" si="1"/>
        <v>1143.5586263999999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115.71552</v>
      </c>
      <c r="O20" s="119">
        <f t="shared" si="6"/>
        <v>3.7928975999999999</v>
      </c>
      <c r="P20" s="120">
        <f t="shared" si="1"/>
        <v>762.37241759999995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04">
        <f t="shared" si="3"/>
        <v>38.136000000000003</v>
      </c>
      <c r="L21" s="105">
        <f t="shared" si="4"/>
        <v>87.167999999999992</v>
      </c>
      <c r="M21" s="118">
        <f t="shared" si="5"/>
        <v>964.29599999999994</v>
      </c>
      <c r="N21" s="118">
        <f t="shared" si="0"/>
        <v>173.57327999999998</v>
      </c>
      <c r="O21" s="119">
        <f t="shared" si="6"/>
        <v>5.6893463999999998</v>
      </c>
      <c r="P21" s="120">
        <f t="shared" si="1"/>
        <v>1143.5586263999999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</v>
      </c>
      <c r="L25" s="140">
        <f t="shared" si="9"/>
        <v>232.44799999999998</v>
      </c>
      <c r="M25" s="141">
        <f t="shared" si="9"/>
        <v>2571.4559999999997</v>
      </c>
      <c r="N25" s="142">
        <f>SUM(N16:N24)</f>
        <v>462.86207999999999</v>
      </c>
      <c r="O25" s="143">
        <f>SUM(O16:O24)</f>
        <v>15.171590399999999</v>
      </c>
      <c r="P25" s="144">
        <f>SUM(P16:P24)</f>
        <v>3049.4896703999998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2905.6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232.44799999999998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101.696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2571.4560000000001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462.86207999999999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3034.31808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15.171590399999999</v>
      </c>
    </row>
    <row r="35" spans="2:16" ht="15.75" customHeight="1" thickBot="1" x14ac:dyDescent="0.4">
      <c r="N35" s="228" t="s">
        <v>92</v>
      </c>
      <c r="O35" s="229"/>
      <c r="P35" s="160">
        <f>P33+P34</f>
        <v>3049.4896703999998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9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139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140</v>
      </c>
      <c r="B6" s="210"/>
      <c r="C6" s="210"/>
      <c r="F6" s="70"/>
      <c r="G6" s="74"/>
      <c r="K6" s="210" t="s">
        <v>52</v>
      </c>
      <c r="L6" s="210"/>
      <c r="M6" s="210"/>
      <c r="N6" s="212" t="s">
        <v>96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04">
        <f>I22*8.6%</f>
        <v>40.48536</v>
      </c>
      <c r="L22" s="120">
        <f>I22*5%</f>
        <v>23.538000000000004</v>
      </c>
      <c r="M22" s="118">
        <f t="shared" si="5"/>
        <v>406.73664000000002</v>
      </c>
      <c r="N22" s="118">
        <f t="shared" si="0"/>
        <v>73.212595199999996</v>
      </c>
      <c r="O22" s="119">
        <f t="shared" si="6"/>
        <v>11.998730880000002</v>
      </c>
      <c r="P22" s="120">
        <f t="shared" si="1"/>
        <v>491.94796608000001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12</v>
      </c>
      <c r="I25" s="137">
        <f t="shared" si="9"/>
        <v>470.76000000000005</v>
      </c>
      <c r="J25" s="138"/>
      <c r="K25" s="139">
        <f t="shared" si="9"/>
        <v>40.48536</v>
      </c>
      <c r="L25" s="140">
        <f t="shared" si="9"/>
        <v>23.538000000000004</v>
      </c>
      <c r="M25" s="141">
        <f t="shared" si="9"/>
        <v>406.73664000000002</v>
      </c>
      <c r="N25" s="142">
        <f>SUM(N16:N24)</f>
        <v>73.212595199999996</v>
      </c>
      <c r="O25" s="143">
        <f>SUM(O16:O24)</f>
        <v>11.998730880000002</v>
      </c>
      <c r="P25" s="144">
        <f>SUM(P16:P24)</f>
        <v>491.94796608000001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470.76000000000005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23.538000000000004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40.48536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406.73664000000002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73.212595199999996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479.94923520000003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11.998730880000002</v>
      </c>
    </row>
    <row r="35" spans="2:16" ht="15.75" customHeight="1" thickBot="1" x14ac:dyDescent="0.4">
      <c r="N35" s="228" t="s">
        <v>92</v>
      </c>
      <c r="O35" s="229"/>
      <c r="P35" s="160">
        <f>P33+P34</f>
        <v>491.94796608000001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8" thickBot="1" x14ac:dyDescent="0.4">
      <c r="A13" s="252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97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20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97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2026-07-14T11:12:49Z</dcterms:modified>
</cp:coreProperties>
</file>