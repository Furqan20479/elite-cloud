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ABEF7FA-CCCC-4097-BC2F-08FA99529BAC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8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9" i="16"/>
  <c r="K20" i="16"/>
  <c r="K21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9" l="1"/>
  <c r="K21" i="19"/>
  <c r="M21" i="19" s="1"/>
  <c r="L20" i="19"/>
  <c r="L19" i="19"/>
  <c r="K19" i="19"/>
  <c r="L17" i="19"/>
  <c r="K17" i="19"/>
  <c r="L16" i="19"/>
  <c r="K16" i="19"/>
  <c r="L21" i="17"/>
  <c r="K21" i="17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P18" i="15" s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<sst xmlns="http://schemas.openxmlformats.org/spreadsheetml/2006/main" count="1632" uniqueCount="126">
  <si>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</si>
  <si>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</si>
  <si>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</si>
  <si>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</si>
  <si>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</si>
  <si>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</si>
  <si>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</si>
  <si>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</si>
  <si>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</si>
  <si>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</si>
  <si>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</si>
  <si>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</si>
  <si>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</si>
  <si>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</si>
  <si>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</si>
  <si>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</si>
  <si>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</si>
  <si>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</si>
  <si>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</si>
  <si>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</si>
  <si>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</si>
  <si>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</si>
  <si>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</si>
  <si>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</si>
  <si>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</si>
  <si>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</si>
  <si>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</si>
  <si>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</si>
  <si>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</si>
  <si>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</si>
  <si>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</si>
  <si>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</si>
  <si>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</si>
  <si>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</si>
  <si>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</si>
  <si>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</si>
  <si>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</si>
  <si>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</si>
  <si>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</si>
  <si>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</si>
  <si>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</si>
  <si>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</si>
  <si>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</si>
  <si>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</si>
  <si>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</si>
  <si>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</si>
  <si>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</si>
  <si>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</si>
  <si>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</si>
  <si>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</si>
  <si>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</si>
  <si>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</si>
  <si>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</si>
  <si>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</si>
  <si>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</si>
  <si>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</si>
  <si>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</si>
  <si>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</si>
  <si>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</si>
  <si>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</si>
  <si>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</si>
  <si>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</si>
  <si>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</si>
  <si>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</si>
  <si>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</si>
  <si>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</si>
  <si>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</si>
  <si>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</si>
  <si>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</si>
  <si>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</si>
  <si>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</si>
  <si>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</si>
  <si>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</si>
  <si>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</si>
  <si>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</si>
  <si>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</si>
  <si>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</si>
  <si>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</si>
  <si>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</si>
  <si>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</si>
  <si>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</si>
  <si>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</si>
  <si>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</si>
  <si>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</si>
  <si>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</si>
  <si>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</si>
  <si>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</si>
  <si>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</si>
  <si>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</si>
  <si>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</si>
  <si>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</si>
  <si>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</si>
  <si>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</si>
  <si>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</si>
  <si>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</si>
  <si>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</si>
  <si>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</si>
  <si>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</si>
  <si>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</si>
  <si>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</si>
  <si>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</si>
  <si>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</si>
  <si>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</si>
  <si>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</si>
  <si>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</si>
  <si>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</si>
  <si>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</si>
  <si>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</si>
  <si>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</si>
  <si>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</si>
  <si>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</si>
  <si>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</si>
  <si>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</si>
  <si>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</si>
  <si>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</si>
  <si>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</si>
  <si>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</si>
  <si>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</si>
  <si>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</si>
  <si>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</si>
  <si>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Salman </t>
  </si>
  <si>
    <t>Shop Bill Summary (Salman)</t>
  </si>
  <si>
    <t xml:space="preserve">Customer Name : Umer Khan </t>
  </si>
  <si>
    <t xml:space="preserve">Address: Mandi </t>
  </si>
  <si>
    <t>Customer Name : Khan Store</t>
  </si>
  <si>
    <t>Customer Name : Farman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</si>
</sst>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6" zoomScale="70" zoomScaleNormal="70" workbookViewId="0">
      <selection activeCell="W30" sqref="W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Umer Khan </v>
      </c>
      <c r="U14" s="164">
        <f>+'1'!P35</f>
        <v>6014.5325877000005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Khan Store</v>
      </c>
      <c r="U15" s="164">
        <f>+'2'!P35</f>
        <v>10758.159863400002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146.89500000000001</v>
      </c>
      <c r="L16" s="175">
        <f>+'1'!L16+'2'!L16+'4'!L16+'3'!L16+'5'!L16+'6'!L16+'7'!L16+'8'!L16+'9'!L16+'10'!L16</f>
        <v>335.76</v>
      </c>
      <c r="M16" s="106">
        <f>I16-K16-L16</f>
        <v>3714.3450000000003</v>
      </c>
      <c r="N16" s="101">
        <f>+'1'!N16+'2'!N16+'4'!N16+'3'!N16+'5'!N16+'6'!N16+'7'!N16+'8'!N16+'9'!N16+'10'!N16</f>
        <v>668.58209999999997</v>
      </c>
      <c r="O16" s="101">
        <f>+'1'!O16+'2'!O16+'4'!O16+'3'!O16+'5'!O16+'6'!O16+'7'!O16+'8'!O16+'9'!O16+'10'!O16</f>
        <v>21.914635499999999</v>
      </c>
      <c r="P16" s="105">
        <f t="shared" ref="P16:P24" si="0">M16+N16+O16</f>
        <v>4404.8417355000001</v>
      </c>
      <c r="Q16" s="108"/>
      <c r="T16" s="163" t="str">
        <f>+'3'!A5</f>
        <v>Customer Name : Farman Store</v>
      </c>
      <c r="U16" s="164">
        <f>+'3'!P35</f>
        <v>10503.821076299997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146.89500000000001</v>
      </c>
      <c r="L17" s="175">
        <f>+'1'!L17+'2'!L17+'4'!L17+'3'!L17+'5'!L17+'6'!L17+'7'!L17+'8'!L17+'9'!L17+'10'!L17</f>
        <v>335.76</v>
      </c>
      <c r="M17" s="118">
        <f t="shared" ref="M17:M23" si="2">I17-K17-L17</f>
        <v>3714.3450000000003</v>
      </c>
      <c r="N17" s="101">
        <f>+'1'!N17+'2'!N17+'4'!N17+'3'!N17+'5'!N17+'6'!N17+'7'!N17+'8'!N17+'9'!N17+'10'!N17</f>
        <v>668.58209999999997</v>
      </c>
      <c r="O17" s="101">
        <f>+'1'!O17+'2'!O17+'4'!O17+'3'!O17+'5'!O17+'6'!O17+'7'!O17+'8'!O17+'9'!O17+'10'!O17</f>
        <v>21.914635499999999</v>
      </c>
      <c r="P17" s="120">
        <f t="shared" si="0"/>
        <v>4404.8417355000001</v>
      </c>
      <c r="S17" s="64"/>
      <c r="T17" s="163" t="str">
        <f>+'4'!A5</f>
        <v>Customer Name : Farman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464.89600000000002</v>
      </c>
      <c r="M19" s="118">
        <f t="shared" si="2"/>
        <v>5142.9120000000003</v>
      </c>
      <c r="N19" s="101">
        <f>+'1'!N19+'2'!N19+'4'!N19+'3'!N19+'5'!N19+'6'!N19+'7'!N19+'8'!N19+'9'!N19+'10'!N19</f>
        <v>925.72415999999998</v>
      </c>
      <c r="O19" s="101">
        <f>+'1'!O19+'2'!O19+'4'!O19+'3'!O19+'5'!O19+'6'!O19+'7'!O19+'8'!O19+'9'!O19+'10'!O19</f>
        <v>30.343180799999999</v>
      </c>
      <c r="P19" s="120">
        <f t="shared" si="0"/>
        <v>6098.9793407999996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152.54400000000001</v>
      </c>
      <c r="L20" s="175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694.29312000000004</v>
      </c>
      <c r="O20" s="101">
        <f>+'1'!O20+'2'!O20+'4'!O20+'3'!O20+'5'!O20+'6'!O20+'7'!O20+'8'!O20+'9'!O20+'10'!O20</f>
        <v>22.757385599999999</v>
      </c>
      <c r="P20" s="120">
        <f t="shared" si="0"/>
        <v>4574.2345055999995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694.29312000000004</v>
      </c>
      <c r="O21" s="101">
        <f>+'1'!O21+'2'!O21+'4'!O21+'3'!O21+'5'!O21+'6'!O21+'7'!O21+'8'!O21+'9'!O21+'10'!O21</f>
        <v>22.757385599999999</v>
      </c>
      <c r="P21" s="120">
        <f t="shared" si="0"/>
        <v>4574.2345055999995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80</v>
      </c>
      <c r="I22" s="1">
        <f t="shared" si="1"/>
        <v>3138.4000000000005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109.84400000000002</v>
      </c>
      <c r="L22" s="175">
        <f>+'1'!L22+'2'!L22+'4'!L22+'3'!L22+'5'!L22+'6'!L22+'7'!L22+'8'!L22+'9'!L22+'10'!L22</f>
        <v>313.84000000000009</v>
      </c>
      <c r="M22" s="118">
        <f t="shared" si="2"/>
        <v>2714.7160000000003</v>
      </c>
      <c r="N22" s="101">
        <f>+'1'!N22+'2'!N22+'4'!N22+'3'!N22+'5'!N22+'6'!N22+'7'!N22+'8'!N22+'9'!N22+'10'!N22</f>
        <v>488.64888000000002</v>
      </c>
      <c r="O22" s="101">
        <f>+'1'!O22+'2'!O22+'4'!O22+'3'!O22+'5'!O22+'6'!O22+'7'!O22+'8'!O22+'9'!O22+'10'!O22</f>
        <v>16.016824400000004</v>
      </c>
      <c r="P22" s="120">
        <f t="shared" si="0"/>
        <v>3219.3817044000007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11</v>
      </c>
      <c r="D25" s="231"/>
      <c r="E25" s="231"/>
      <c r="F25" s="231"/>
      <c r="G25" s="176">
        <f t="shared" ref="G25:M25" si="3">SUM(G16:G24)</f>
        <v>0</v>
      </c>
      <c r="H25" s="177">
        <f t="shared" si="3"/>
        <v>440</v>
      </c>
      <c r="I25" s="178">
        <f t="shared" si="3"/>
        <v>26060.400000000001</v>
      </c>
      <c r="J25" s="177">
        <f t="shared" si="3"/>
        <v>0</v>
      </c>
      <c r="K25" s="178">
        <f t="shared" si="3"/>
        <v>912.11400000000003</v>
      </c>
      <c r="L25" s="179">
        <f t="shared" si="3"/>
        <v>2147.6</v>
      </c>
      <c r="M25" s="141">
        <f t="shared" si="3"/>
        <v>23000.686000000002</v>
      </c>
      <c r="N25" s="142">
        <f>SUM(N16:N24)</f>
        <v>4140.1234800000002</v>
      </c>
      <c r="O25" s="143">
        <f>SUM(O16:O24)</f>
        <v>135.70404739999998</v>
      </c>
      <c r="P25" s="144">
        <f>SUM(P16:P24)</f>
        <v>27276.513527399999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27276.513527399999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26060.400000000001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2147.6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912.11400000000003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23000.686000000002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4140.1234800000002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27140.809480000004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678.52023700000018</v>
      </c>
    </row>
    <row r="43" spans="1:21" ht="15.75" customHeight="1" thickBot="1" x14ac:dyDescent="0.4">
      <c r="N43" s="229" t="s">
        <v>92</v>
      </c>
      <c r="O43" s="230"/>
      <c r="P43" s="160">
        <f>P41+P42</f>
        <v>27819.329717000004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168">
        <v>3520296413577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3520296413577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120</v>
      </c>
      <c r="I25" s="137">
        <f t="shared" si="13"/>
        <v>5766.2000000000007</v>
      </c>
      <c r="J25" s="138"/>
      <c r="K25" s="139">
        <f t="shared" si="13"/>
        <v>201.81700000000001</v>
      </c>
      <c r="L25" s="140">
        <f t="shared" si="13"/>
        <v>492.68000000000006</v>
      </c>
      <c r="M25" s="141">
        <f t="shared" si="13"/>
        <v>5071.7030000000004</v>
      </c>
      <c r="N25" s="142">
        <f>SUM(N16:N24)</f>
        <v>912.90653999999995</v>
      </c>
      <c r="O25" s="143">
        <f>SUM(O16:O24)</f>
        <v>29.923047700000001</v>
      </c>
      <c r="P25" s="144">
        <f>SUM(P16:P24)</f>
        <v>6014.5325877000005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5766.2000000000007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492.68000000000006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201.81700000000001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5071.7030000000004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912.90653999999995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5984.6095400000004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29.923047700000001</v>
      </c>
    </row>
    <row r="35" spans="2:16" ht="15.75" customHeight="1" thickBot="1" x14ac:dyDescent="0.4">
      <c r="N35" s="229" t="s">
        <v>92</v>
      </c>
      <c r="O35" s="230"/>
      <c r="P35" s="160">
        <f>P33+P34</f>
        <v>6014.5325877000005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3520296393577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6"/>
        <v>8.0084122000000022</v>
      </c>
      <c r="P22" s="120">
        <f t="shared" si="1"/>
        <v>1609.6908522000003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360.01000000000005</v>
      </c>
      <c r="L25" s="140">
        <f t="shared" si="9"/>
        <v>854.26400000000012</v>
      </c>
      <c r="M25" s="141">
        <f t="shared" si="9"/>
        <v>9071.7260000000006</v>
      </c>
      <c r="N25" s="142">
        <f>SUM(N16:N24)</f>
        <v>1632.9106800000002</v>
      </c>
      <c r="O25" s="143">
        <f>SUM(O16:O24)</f>
        <v>53.523183400000001</v>
      </c>
      <c r="P25" s="144">
        <f>SUM(P16:P24)</f>
        <v>10758.1598634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10286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854.26400000000012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360.01000000000005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9071.7260000000006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1632.9106800000002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10704.636680000001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53.523183400000008</v>
      </c>
    </row>
    <row r="35" spans="2:16" ht="15.75" customHeight="1" thickBot="1" x14ac:dyDescent="0.4">
      <c r="N35" s="229" t="s">
        <v>92</v>
      </c>
      <c r="O35" s="230"/>
      <c r="P35" s="160">
        <f>P33+P34</f>
        <v>10758.159863400002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355010584820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355010584820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160</v>
      </c>
      <c r="I25" s="137">
        <f t="shared" si="9"/>
        <v>10008.199999999999</v>
      </c>
      <c r="J25" s="138"/>
      <c r="K25" s="139">
        <f t="shared" si="9"/>
        <v>350.28700000000003</v>
      </c>
      <c r="L25" s="140">
        <f t="shared" si="9"/>
        <v>800.65600000000006</v>
      </c>
      <c r="M25" s="141">
        <f t="shared" si="9"/>
        <v>8857.2570000000014</v>
      </c>
      <c r="N25" s="142">
        <f>SUM(N16:N24)</f>
        <v>1594.3062599999998</v>
      </c>
      <c r="O25" s="143">
        <f>SUM(O16:O24)</f>
        <v>52.257816300000002</v>
      </c>
      <c r="P25" s="144">
        <f>SUM(P16:P24)</f>
        <v>10503.821076299999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10008.199999999999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800.65600000000006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350.28700000000003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8857.2569999999978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1594.3062599999998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10451.563259999997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52.257816299999988</v>
      </c>
    </row>
    <row r="35" spans="2:16" ht="15.75" customHeight="1" thickBot="1" x14ac:dyDescent="0.4">
      <c r="N35" s="229" t="s">
        <v>92</v>
      </c>
      <c r="O35" s="230"/>
      <c r="P35" s="160">
        <f>P33+P34</f>
        <v>10503.821076299997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8" workbookViewId="0">
      <selection activeCell="A28" sqref="A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64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2026-07-07T10:34:32Z</dcterms:modified>
</cp:coreProperties>
</file>