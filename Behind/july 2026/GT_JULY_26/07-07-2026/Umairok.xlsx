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0BDB313C-19D3-4C5B-83C2-73E19B5FB1A0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26" l="1"/>
  <c r="L22" i="27"/>
  <c r="L22" i="28"/>
  <c r="L22" i="29"/>
  <c r="L22" i="30"/>
  <c r="L22" i="31"/>
  <c r="L22" i="32"/>
  <c r="L22" i="33"/>
  <c r="L22" i="34"/>
  <c r="L22" i="35"/>
  <c r="K18" i="17"/>
  <c r="K19" i="17"/>
  <c r="K20" i="17"/>
  <c r="K21" i="17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8" i="16"/>
  <c r="K19" i="16"/>
  <c r="K20" i="16"/>
  <c r="K21" i="16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L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L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K21" i="23" s="1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K16" i="17" s="1"/>
  <c r="I17" i="17"/>
  <c r="K17" i="17" s="1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L20" i="19"/>
  <c r="K24" i="19"/>
  <c r="L24" i="19"/>
  <c r="K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5" l="1"/>
  <c r="L22" i="25"/>
  <c r="K22" i="24"/>
  <c r="L22" i="24"/>
  <c r="L20" i="23"/>
  <c r="K20" i="23"/>
  <c r="M20" i="23" s="1"/>
  <c r="N20" i="23" s="1"/>
  <c r="O20" i="23" s="1"/>
  <c r="K22" i="23"/>
  <c r="L22" i="23"/>
  <c r="K22" i="21"/>
  <c r="L22" i="21"/>
  <c r="K22" i="20"/>
  <c r="L22" i="20"/>
  <c r="L17" i="19"/>
  <c r="L25" i="19" s="1"/>
  <c r="P29" i="19" s="1"/>
  <c r="K17" i="19"/>
  <c r="L16" i="19"/>
  <c r="K16" i="19"/>
  <c r="L24" i="17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I19" i="16"/>
  <c r="I20" i="16"/>
  <c r="I21" i="16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P25" i="20" l="1"/>
  <c r="N18" i="15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<sst xmlns="http://schemas.openxmlformats.org/spreadsheetml/2006/main" count="1633" uniqueCount="138">
  <si>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</si>
  <si>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</si>
  <si>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</si>
  <si>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</si>
  <si>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</si>
  <si>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</si>
  <si>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</si>
  <si>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</si>
  <si>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</si>
  <si>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</si>
  <si>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</si>
  <si>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</si>
  <si>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</si>
  <si>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</si>
  <si>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</si>
  <si>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</si>
  <si>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</si>
  <si>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</si>
  <si>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</si>
  <si>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</si>
  <si>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</si>
  <si>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</si>
  <si>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</si>
  <si>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</si>
  <si>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</si>
  <si>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</si>
  <si>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</si>
  <si>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</si>
  <si>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</si>
  <si>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</si>
  <si>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</si>
  <si>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</si>
  <si>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</si>
  <si>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</si>
  <si>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</si>
  <si>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</si>
  <si>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</si>
  <si>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</si>
  <si>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</si>
  <si>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</si>
  <si>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</si>
  <si>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</si>
  <si>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</si>
  <si>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</si>
  <si>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</si>
  <si>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</si>
  <si>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</si>
  <si>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</si>
  <si>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</si>
  <si>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</si>
  <si>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</si>
  <si>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</si>
  <si>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</si>
  <si>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</si>
  <si>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</si>
  <si>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</si>
  <si>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</si>
  <si>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</si>
  <si>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</si>
  <si>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</si>
  <si>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</si>
  <si>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</si>
  <si>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</si>
  <si>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</si>
  <si>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</si>
  <si>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</si>
  <si>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</si>
  <si>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</si>
  <si>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</si>
  <si>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</si>
  <si>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</si>
  <si>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</si>
  <si>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</si>
  <si>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</si>
  <si>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</si>
  <si>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</si>
  <si>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</si>
  <si>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</si>
  <si>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</si>
  <si>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</si>
  <si>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</si>
  <si>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</si>
  <si>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</si>
  <si>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</si>
  <si>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</si>
  <si>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</si>
  <si>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</si>
  <si>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</si>
  <si>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</si>
  <si>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</si>
  <si>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</si>
  <si>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</si>
  <si>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</si>
  <si>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</si>
  <si>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</si>
  <si>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</si>
  <si>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</si>
  <si>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</si>
  <si>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</si>
  <si>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</si>
  <si>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</si>
  <si>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</si>
  <si>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</si>
  <si>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</si>
  <si>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</si>
  <si>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</si>
  <si>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</si>
  <si>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</si>
  <si>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</si>
  <si>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</si>
  <si>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</si>
  <si>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</si>
  <si>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</si>
  <si>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</si>
  <si>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</si>
  <si>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</si>
  <si>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</si>
  <si>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</si>
  <si>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</si>
  <si>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</si>
  <si>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</si>
  <si>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 (Umair)</t>
  </si>
  <si>
    <t xml:space="preserve">Customer Name : Haji Chirag Din </t>
  </si>
  <si>
    <t>Address: Kanchi Bazar</t>
  </si>
  <si>
    <t>Customer Name : Noman GS</t>
  </si>
  <si>
    <t>Customer Name : Tahir GS</t>
  </si>
  <si>
    <t xml:space="preserve">Address: Kanchi </t>
  </si>
  <si>
    <t>3520150441-3</t>
  </si>
  <si>
    <t>Customer Name : Iftakhar Urf Kharu GS</t>
  </si>
  <si>
    <t>Customer Name : Tayyab GS</t>
  </si>
  <si>
    <t xml:space="preserve">Customer Name : Mian Bakery </t>
  </si>
  <si>
    <t>Customer Name : Ameen Kareyana Store</t>
  </si>
  <si>
    <t xml:space="preserve">Customer Name : Mian Brothrers </t>
  </si>
  <si>
    <t xml:space="preserve">Address: Ayub Road </t>
  </si>
  <si>
    <t>Customer Name : Hafiz Store</t>
  </si>
  <si>
    <t>Address: Ayub Road</t>
  </si>
  <si>
    <t xml:space="preserve">Customer Name : Palace Bakery </t>
  </si>
  <si>
    <t xml:space="preserve">Address: Chungi Amer Sidu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</si>
</sst>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0" sqref="H2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19" zoomScale="70" zoomScaleNormal="70" workbookViewId="0">
      <selection activeCell="V22" sqref="V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Haji Chirag Din </v>
      </c>
      <c r="U14" s="164">
        <f>+'1'!P35</f>
        <v>1182.4007538149997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Noman GS</v>
      </c>
      <c r="U15" s="164">
        <f>+'2'!P35</f>
        <v>951.32469022499981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52</v>
      </c>
      <c r="I16" s="1">
        <f>(G16*D16)*F16+H16*F16</f>
        <v>2728.0499999999997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95.481750000000005</v>
      </c>
      <c r="L16" s="175">
        <f>+'1'!L16+'2'!L16+'4'!L16+'3'!L16+'5'!L16+'6'!L16+'7'!L16+'8'!L16+'9'!L16+'10'!L16</f>
        <v>218.244</v>
      </c>
      <c r="M16" s="106">
        <f>I16-K16-L16</f>
        <v>2414.3242499999997</v>
      </c>
      <c r="N16" s="101">
        <f>+'1'!N16+'2'!N16+'4'!N16+'3'!N16+'5'!N16+'6'!N16+'7'!N16+'8'!N16+'9'!N16+'10'!N16</f>
        <v>531.15133500000002</v>
      </c>
      <c r="O16" s="101">
        <f>+'1'!O16+'2'!O16+'4'!O16+'3'!O16+'5'!O16+'6'!O16+'7'!O16+'8'!O16+'9'!O16+'10'!O16</f>
        <v>21.524629274999999</v>
      </c>
      <c r="P16" s="105">
        <f t="shared" ref="P16:P24" si="0">M16+N16+O16</f>
        <v>2967.0002142749995</v>
      </c>
      <c r="Q16" s="108"/>
      <c r="T16" s="163" t="str">
        <f>+'3'!A5</f>
        <v>Customer Name : Tahir GS</v>
      </c>
      <c r="U16" s="164">
        <f>+'3'!P35</f>
        <v>6218.4150483000003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52</v>
      </c>
      <c r="I17" s="1">
        <f t="shared" ref="I17:I23" si="1">(G17*D17)*F17+H17*F17</f>
        <v>2728.0499999999997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95.481750000000005</v>
      </c>
      <c r="L17" s="175">
        <f>+'1'!L17+'2'!L17+'4'!L17+'3'!L17+'5'!L17+'6'!L17+'7'!L17+'8'!L17+'9'!L17+'10'!L17</f>
        <v>218.244</v>
      </c>
      <c r="M17" s="118">
        <f t="shared" ref="M17:M23" si="2">I17-K17-L17</f>
        <v>2414.3242499999997</v>
      </c>
      <c r="N17" s="101">
        <f>+'1'!N17+'2'!N17+'4'!N17+'3'!N17+'5'!N17+'6'!N17+'7'!N17+'8'!N17+'9'!N17+'10'!N17</f>
        <v>531.15133500000002</v>
      </c>
      <c r="O17" s="101">
        <f>+'1'!O17+'2'!O17+'4'!O17+'3'!O17+'5'!O17+'6'!O17+'7'!O17+'8'!O17+'9'!O17+'10'!O17</f>
        <v>21.524629274999999</v>
      </c>
      <c r="P17" s="120">
        <f t="shared" si="0"/>
        <v>2967.0002142749995</v>
      </c>
      <c r="S17" s="64"/>
      <c r="T17" s="163" t="str">
        <f>+'4'!A5</f>
        <v>Customer Name : Iftakhar Urf Kharu GS</v>
      </c>
      <c r="U17" s="164">
        <f>+'4'!P35</f>
        <v>1697.3761790000003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Tayyab GS</v>
      </c>
      <c r="U18" s="164">
        <f>+'5'!P35</f>
        <v>509.21285369999998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15</v>
      </c>
      <c r="I19" s="1">
        <f t="shared" si="1"/>
        <v>1089.5999999999999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38.136000000000003</v>
      </c>
      <c r="L19" s="175">
        <f>+'1'!L19+'2'!L19+'4'!L19+'3'!L19+'5'!L19+'6'!L19+'7'!L19+'8'!L19+'9'!L19+'10'!L19</f>
        <v>87.167999999999992</v>
      </c>
      <c r="M19" s="118">
        <f t="shared" si="2"/>
        <v>964.29599999999994</v>
      </c>
      <c r="N19" s="101">
        <f>+'1'!N19+'2'!N19+'4'!N19+'3'!N19+'5'!N19+'6'!N19+'7'!N19+'8'!N19+'9'!N19+'10'!N19</f>
        <v>212.14511999999999</v>
      </c>
      <c r="O19" s="101">
        <f>+'1'!O19+'2'!O19+'4'!O19+'3'!O19+'5'!O19+'6'!O19+'7'!O19+'8'!O19+'9'!O19+'10'!O19</f>
        <v>29.411028000000002</v>
      </c>
      <c r="P19" s="120">
        <f t="shared" si="0"/>
        <v>1205.8521479999999</v>
      </c>
      <c r="T19" s="163" t="str">
        <f>+'6'!A5</f>
        <v xml:space="preserve">Customer Name : Mian Bakery </v>
      </c>
      <c r="U19" s="164">
        <f>+'6'!P35</f>
        <v>1697.3761790000003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10</v>
      </c>
      <c r="I20" s="1">
        <f t="shared" si="1"/>
        <v>726.4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25.424000000000003</v>
      </c>
      <c r="L20" s="175">
        <f>+'1'!L20+'2'!L20+'4'!L20+'3'!L20+'5'!L20+'6'!L20+'7'!L20+'8'!L20+'9'!L20+'10'!L20</f>
        <v>58.112000000000002</v>
      </c>
      <c r="M20" s="118">
        <f t="shared" si="2"/>
        <v>642.86400000000003</v>
      </c>
      <c r="N20" s="101">
        <f>+'1'!N20+'2'!N20+'4'!N20+'3'!N20+'5'!N20+'6'!N20+'7'!N20+'8'!N20+'9'!N20+'10'!N20</f>
        <v>141.43008</v>
      </c>
      <c r="O20" s="101">
        <f>+'1'!O20+'2'!O20+'4'!O20+'3'!O20+'5'!O20+'6'!O20+'7'!O20+'8'!O20+'9'!O20+'10'!O20</f>
        <v>19.607352000000002</v>
      </c>
      <c r="P20" s="120">
        <f t="shared" si="0"/>
        <v>803.901432</v>
      </c>
      <c r="T20" s="163" t="str">
        <f>+'7'!A5</f>
        <v>Customer Name : Ameen Kareyana Store</v>
      </c>
      <c r="U20" s="164">
        <f>+'7'!P35</f>
        <v>509.21285369999998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15</v>
      </c>
      <c r="I21" s="1">
        <f t="shared" si="1"/>
        <v>1089.5999999999999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38.136000000000003</v>
      </c>
      <c r="L21" s="175">
        <f>+'1'!L21+'2'!L21+'4'!L21+'3'!L21+'5'!L21+'6'!L21+'7'!L21+'8'!L21+'9'!L21+'10'!L21</f>
        <v>87.167999999999992</v>
      </c>
      <c r="M21" s="118">
        <f t="shared" si="2"/>
        <v>964.29599999999994</v>
      </c>
      <c r="N21" s="101">
        <f>+'1'!N21+'2'!N21+'4'!N21+'3'!N21+'5'!N21+'6'!N21+'7'!N21+'8'!N21+'9'!N21+'10'!N21</f>
        <v>212.14511999999999</v>
      </c>
      <c r="O21" s="101">
        <f>+'1'!O21+'2'!O21+'4'!O21+'3'!O21+'5'!O21+'6'!O21+'7'!O21+'8'!O21+'9'!O21+'10'!O21</f>
        <v>29.411028000000002</v>
      </c>
      <c r="P21" s="120">
        <f t="shared" si="0"/>
        <v>1205.8521479999999</v>
      </c>
      <c r="T21" s="163" t="str">
        <f>+'8'!A5</f>
        <v xml:space="preserve">Customer Name : Mian Brothrers </v>
      </c>
      <c r="U21" s="164">
        <f>+'8'!P35</f>
        <v>4064.2938174999999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242</v>
      </c>
      <c r="I22" s="1">
        <f t="shared" si="1"/>
        <v>9493.6600000000017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332.27810000000017</v>
      </c>
      <c r="L22" s="175">
        <f>+'1'!L22+'2'!L22+'4'!L22+'3'!L22+'5'!L22+'6'!L22+'7'!L22+'8'!L22+'9'!L22+'10'!L22</f>
        <v>949.36600000000033</v>
      </c>
      <c r="M22" s="118">
        <f t="shared" si="2"/>
        <v>8212.0159000000021</v>
      </c>
      <c r="N22" s="101">
        <f>+'1'!N22+'2'!N22+'4'!N22+'3'!N22+'5'!N22+'6'!N22+'7'!N22+'8'!N22+'9'!N22+'10'!N22</f>
        <v>1806.6434980000006</v>
      </c>
      <c r="O22" s="101">
        <f>+'1'!O22+'2'!O22+'4'!O22+'3'!O22+'5'!O22+'6'!O22+'7'!O22+'8'!O22+'9'!O22+'10'!O22</f>
        <v>174.29155399000004</v>
      </c>
      <c r="P22" s="120">
        <f t="shared" si="0"/>
        <v>10192.950951990004</v>
      </c>
      <c r="T22" s="163" t="str">
        <f>+'9'!A5</f>
        <v>Customer Name : Hafiz Store</v>
      </c>
      <c r="U22" s="164">
        <f>+'9'!P35</f>
        <v>848.68808950000016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Palace Bakery </v>
      </c>
      <c r="U23" s="164">
        <f>+'10'!P35</f>
        <v>1664.2566438000003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9.65</v>
      </c>
      <c r="D25" s="231"/>
      <c r="E25" s="231"/>
      <c r="F25" s="231"/>
      <c r="G25" s="176">
        <f t="shared" ref="G25:M25" si="3">SUM(G16:G24)</f>
        <v>0</v>
      </c>
      <c r="H25" s="177">
        <f t="shared" si="3"/>
        <v>386</v>
      </c>
      <c r="I25" s="178">
        <f t="shared" si="3"/>
        <v>17855.36</v>
      </c>
      <c r="J25" s="177">
        <f t="shared" si="3"/>
        <v>0</v>
      </c>
      <c r="K25" s="178">
        <f t="shared" si="3"/>
        <v>624.9376000000002</v>
      </c>
      <c r="L25" s="179">
        <f t="shared" si="3"/>
        <v>1618.3020000000001</v>
      </c>
      <c r="M25" s="141">
        <f t="shared" si="3"/>
        <v>15612.120400000002</v>
      </c>
      <c r="N25" s="142">
        <f>SUM(N16:N24)</f>
        <v>3434.6664880000008</v>
      </c>
      <c r="O25" s="143">
        <f>SUM(O16:O24)</f>
        <v>295.77022054000008</v>
      </c>
      <c r="P25" s="144">
        <f>SUM(P16:P24)</f>
        <v>19342.557108540001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19342.557108540001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17855.36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1618.3020000000001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624.9376000000002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15612.1204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3434.6664880000008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19046.786888000002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476.16967220000009</v>
      </c>
    </row>
    <row r="43" spans="1:21" ht="15.75" customHeight="1" thickBot="1" x14ac:dyDescent="0.4">
      <c r="N43" s="229" t="s">
        <v>92</v>
      </c>
      <c r="O43" s="230"/>
      <c r="P43" s="160">
        <f>P41+P42</f>
        <v>19522.956560200004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8"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>
        <v>352019932276512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61.286692499999987</v>
      </c>
      <c r="O16" s="107">
        <f t="shared" ref="O16:O24" si="1">(N16+M16)*$O$15</f>
        <v>1.6993128374999997</v>
      </c>
      <c r="P16" s="105">
        <f t="shared" ref="P16:P24" si="2">M16+N16+O16</f>
        <v>341.56188033749993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3">(G17*D17)*F17+H17*F17</f>
        <v>314.77499999999998</v>
      </c>
      <c r="J17" s="117"/>
      <c r="K17" s="104">
        <f t="shared" ref="K17:K21" si="4">I17*3.5%</f>
        <v>11.017125</v>
      </c>
      <c r="L17" s="105">
        <f t="shared" ref="L17:L21" si="5">I17*8%</f>
        <v>25.181999999999999</v>
      </c>
      <c r="M17" s="118">
        <f t="shared" ref="M17:M23" si="6">I17-K17-L17</f>
        <v>278.57587499999994</v>
      </c>
      <c r="N17" s="118">
        <f t="shared" si="0"/>
        <v>61.286692499999987</v>
      </c>
      <c r="O17" s="119">
        <f t="shared" si="1"/>
        <v>1.6993128374999997</v>
      </c>
      <c r="P17" s="120">
        <f t="shared" si="2"/>
        <v>341.56188033749993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">
        <f>I22*3.5%</f>
        <v>16.476600000000005</v>
      </c>
      <c r="L22" s="120">
        <f>I22*10%</f>
        <v>47.076000000000008</v>
      </c>
      <c r="M22" s="118">
        <f t="shared" si="6"/>
        <v>407.20740000000001</v>
      </c>
      <c r="N22" s="118">
        <f t="shared" si="0"/>
        <v>89.585628</v>
      </c>
      <c r="O22" s="119">
        <f t="shared" si="1"/>
        <v>2.48396514</v>
      </c>
      <c r="P22" s="120">
        <f t="shared" si="2"/>
        <v>499.27699314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24</v>
      </c>
      <c r="I25" s="137">
        <f t="shared" si="13"/>
        <v>1100.31</v>
      </c>
      <c r="J25" s="138"/>
      <c r="K25" s="139">
        <f t="shared" si="13"/>
        <v>38.510850000000005</v>
      </c>
      <c r="L25" s="140">
        <f t="shared" si="13"/>
        <v>97.44</v>
      </c>
      <c r="M25" s="141">
        <f t="shared" si="13"/>
        <v>964.35914999999989</v>
      </c>
      <c r="N25" s="142">
        <f>SUM(N16:N24)</f>
        <v>212.15901299999996</v>
      </c>
      <c r="O25" s="143">
        <f>SUM(O16:O24)</f>
        <v>5.8825908149999995</v>
      </c>
      <c r="P25" s="144">
        <f>SUM(P16:P24)</f>
        <v>1182.4007538149999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1100.31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97.44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38.510850000000005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964.35914999999989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212.15901299999996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1176.5181629999997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5.8825908149999986</v>
      </c>
    </row>
    <row r="35" spans="2:16" ht="15.75" customHeight="1" thickBot="1" x14ac:dyDescent="0.4">
      <c r="N35" s="229" t="s">
        <v>92</v>
      </c>
      <c r="O35" s="230"/>
      <c r="P35" s="160">
        <f>P33+P34</f>
        <v>1182.4007538149997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61.286692499999987</v>
      </c>
      <c r="O16" s="107">
        <f>(N16+M16)*$O$15</f>
        <v>8.4965641874999989</v>
      </c>
      <c r="P16" s="105">
        <f t="shared" ref="P16:P24" si="1">M16+N16+O16</f>
        <v>348.35913168749994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1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61.286692499999987</v>
      </c>
      <c r="O17" s="119">
        <f t="shared" ref="O17:O24" si="6">(N17+M17)*$O$15</f>
        <v>8.4965641874999989</v>
      </c>
      <c r="P17" s="120">
        <f t="shared" si="1"/>
        <v>348.35913168749994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I22*10%</f>
        <v>23.538000000000004</v>
      </c>
      <c r="M22" s="118">
        <f t="shared" si="5"/>
        <v>203.6037</v>
      </c>
      <c r="N22" s="118">
        <f t="shared" si="0"/>
        <v>44.792814</v>
      </c>
      <c r="O22" s="119">
        <f t="shared" si="6"/>
        <v>6.2099128500000003</v>
      </c>
      <c r="P22" s="120">
        <f t="shared" si="1"/>
        <v>254.60642684999999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18</v>
      </c>
      <c r="I25" s="137">
        <f t="shared" si="9"/>
        <v>864.93</v>
      </c>
      <c r="J25" s="138"/>
      <c r="K25" s="139">
        <f t="shared" si="9"/>
        <v>30.272550000000003</v>
      </c>
      <c r="L25" s="140">
        <f t="shared" si="9"/>
        <v>73.902000000000001</v>
      </c>
      <c r="M25" s="141">
        <f t="shared" si="9"/>
        <v>760.75544999999988</v>
      </c>
      <c r="N25" s="142">
        <f>SUM(N16:N24)</f>
        <v>167.36619899999997</v>
      </c>
      <c r="O25" s="143">
        <f>SUM(O16:O24)</f>
        <v>23.203041225</v>
      </c>
      <c r="P25" s="144">
        <f>SUM(P16:P24)</f>
        <v>951.32469022499981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864.93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73.902000000000001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30.272550000000003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760.75544999999988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167.36619899999997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928.12164899999982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23.203041224999996</v>
      </c>
    </row>
    <row r="35" spans="2:16" ht="15.75" customHeight="1" thickBot="1" x14ac:dyDescent="0.4">
      <c r="N35" s="229" t="s">
        <v>92</v>
      </c>
      <c r="O35" s="230"/>
      <c r="P35" s="160">
        <f>P33+P34</f>
        <v>951.32469022499981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126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127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408.57795000000004</v>
      </c>
      <c r="O16" s="107">
        <f>(N16+M16)*$O$15</f>
        <v>11.328752250000001</v>
      </c>
      <c r="P16" s="105">
        <f t="shared" ref="P16:P24" si="1">M16+N16+O16</f>
        <v>2277.07920225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408.57795000000004</v>
      </c>
      <c r="O17" s="119">
        <f t="shared" ref="O17:O24" si="6">(N17+M17)*$O$15</f>
        <v>11.328752250000001</v>
      </c>
      <c r="P17" s="120">
        <f t="shared" si="1"/>
        <v>2277.07920225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120</v>
      </c>
      <c r="I25" s="137">
        <f t="shared" si="9"/>
        <v>5766.2000000000007</v>
      </c>
      <c r="J25" s="138"/>
      <c r="K25" s="139">
        <f t="shared" si="9"/>
        <v>201.81700000000001</v>
      </c>
      <c r="L25" s="140">
        <f t="shared" si="9"/>
        <v>492.68000000000006</v>
      </c>
      <c r="M25" s="141">
        <f t="shared" si="9"/>
        <v>5071.7030000000004</v>
      </c>
      <c r="N25" s="142">
        <f>SUM(N16:N24)</f>
        <v>1115.77466</v>
      </c>
      <c r="O25" s="143">
        <f>SUM(O16:O24)</f>
        <v>30.937388300000002</v>
      </c>
      <c r="P25" s="144">
        <f>SUM(P16:P24)</f>
        <v>6218.4150483000003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5766.2000000000007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492.68000000000006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201.81700000000001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5071.7030000000004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1115.77466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6187.4776600000005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30.937388300000002</v>
      </c>
    </row>
    <row r="35" spans="2:16" ht="15.75" customHeight="1" thickBot="1" x14ac:dyDescent="0.4">
      <c r="N35" s="229" t="s">
        <v>92</v>
      </c>
      <c r="O35" s="230"/>
      <c r="P35" s="160">
        <f>P33+P34</f>
        <v>6218.4150483000003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126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41.399419000000009</v>
      </c>
      <c r="P22" s="120">
        <f t="shared" si="1"/>
        <v>1697.3761790000003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41.399419000000009</v>
      </c>
      <c r="P25" s="144">
        <f>SUM(P16:P24)</f>
        <v>1697.3761790000003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156.92000000000004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1357.3580000000002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1655.9767600000002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41.399419000000009</v>
      </c>
    </row>
    <row r="35" spans="2:16" ht="15.75" customHeight="1" thickBot="1" x14ac:dyDescent="0.4">
      <c r="N35" s="229" t="s">
        <v>92</v>
      </c>
      <c r="O35" s="230"/>
      <c r="P35" s="160">
        <f>P33+P34</f>
        <v>1697.3761790000003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126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I22*10%</f>
        <v>47.076000000000008</v>
      </c>
      <c r="M22" s="118">
        <f t="shared" si="5"/>
        <v>407.20740000000001</v>
      </c>
      <c r="N22" s="118">
        <f t="shared" si="0"/>
        <v>89.585628</v>
      </c>
      <c r="O22" s="119">
        <f t="shared" si="6"/>
        <v>12.419825700000001</v>
      </c>
      <c r="P22" s="120">
        <f t="shared" si="1"/>
        <v>509.21285369999998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47.076000000000008</v>
      </c>
      <c r="M25" s="141">
        <f t="shared" si="9"/>
        <v>407.20740000000001</v>
      </c>
      <c r="N25" s="142">
        <f>SUM(N16:N24)</f>
        <v>89.585628</v>
      </c>
      <c r="O25" s="143">
        <f>SUM(O16:O24)</f>
        <v>12.419825700000001</v>
      </c>
      <c r="P25" s="144">
        <f>SUM(P16:P24)</f>
        <v>509.21285369999998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470.76000000000005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47.076000000000008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16.476600000000005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407.20740000000001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89.585628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496.79302799999999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12.419825700000001</v>
      </c>
    </row>
    <row r="35" spans="2:16" ht="15.75" customHeight="1" thickBot="1" x14ac:dyDescent="0.4">
      <c r="N35" s="229" t="s">
        <v>92</v>
      </c>
      <c r="O35" s="230"/>
      <c r="P35" s="160">
        <f>P33+P34</f>
        <v>509.21285369999998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126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41.399419000000009</v>
      </c>
      <c r="P22" s="120">
        <f t="shared" si="1"/>
        <v>1697.3761790000003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41.399419000000009</v>
      </c>
      <c r="P25" s="144">
        <f>SUM(P16:P24)</f>
        <v>1697.3761790000003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156.92000000000004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1357.3580000000002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1655.9767600000002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41.399419000000009</v>
      </c>
    </row>
    <row r="35" spans="2:16" ht="15.75" customHeight="1" thickBot="1" x14ac:dyDescent="0.4">
      <c r="N35" s="229" t="s">
        <v>92</v>
      </c>
      <c r="O35" s="230"/>
      <c r="P35" s="160">
        <f>P33+P34</f>
        <v>1697.3761790000003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I22*10%</f>
        <v>47.076000000000008</v>
      </c>
      <c r="M22" s="118">
        <f t="shared" si="5"/>
        <v>407.20740000000001</v>
      </c>
      <c r="N22" s="118">
        <f t="shared" si="0"/>
        <v>89.585628</v>
      </c>
      <c r="O22" s="119">
        <f t="shared" si="6"/>
        <v>12.419825700000001</v>
      </c>
      <c r="P22" s="120">
        <f t="shared" si="1"/>
        <v>509.21285369999998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47.076000000000008</v>
      </c>
      <c r="M25" s="141">
        <f t="shared" si="9"/>
        <v>407.20740000000001</v>
      </c>
      <c r="N25" s="142">
        <f>SUM(N16:N24)</f>
        <v>89.585628</v>
      </c>
      <c r="O25" s="143">
        <f>SUM(O16:O24)</f>
        <v>12.419825700000001</v>
      </c>
      <c r="P25" s="144">
        <f>SUM(P16:P24)</f>
        <v>509.21285369999998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470.76000000000005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47.076000000000008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16.476600000000005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407.20740000000001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89.585628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496.79302799999999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12.419825700000001</v>
      </c>
    </row>
    <row r="35" spans="2:16" ht="15.75" customHeight="1" thickBot="1" x14ac:dyDescent="0.4">
      <c r="N35" s="229" t="s">
        <v>92</v>
      </c>
      <c r="O35" s="230"/>
      <c r="P35" s="160">
        <f>P33+P34</f>
        <v>509.21285369999998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133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29.411028000000002</v>
      </c>
      <c r="P19" s="120">
        <f t="shared" si="1"/>
        <v>1205.8521479999999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19.607352000000002</v>
      </c>
      <c r="P20" s="120">
        <f t="shared" si="1"/>
        <v>803.901432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212.14511999999999</v>
      </c>
      <c r="O21" s="119">
        <f t="shared" si="6"/>
        <v>29.411028000000002</v>
      </c>
      <c r="P21" s="120">
        <f t="shared" si="1"/>
        <v>1205.8521479999999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I22*10%</f>
        <v>78.460000000000022</v>
      </c>
      <c r="M22" s="118">
        <f t="shared" si="5"/>
        <v>678.67900000000009</v>
      </c>
      <c r="N22" s="118">
        <f t="shared" si="0"/>
        <v>149.30938000000003</v>
      </c>
      <c r="O22" s="119">
        <f t="shared" si="6"/>
        <v>20.699709500000004</v>
      </c>
      <c r="P22" s="120">
        <f t="shared" si="1"/>
        <v>848.68808950000016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60</v>
      </c>
      <c r="I25" s="137">
        <f t="shared" si="9"/>
        <v>3690.2</v>
      </c>
      <c r="J25" s="138"/>
      <c r="K25" s="139">
        <f t="shared" si="9"/>
        <v>129.15700000000001</v>
      </c>
      <c r="L25" s="140">
        <f t="shared" si="9"/>
        <v>310.90800000000002</v>
      </c>
      <c r="M25" s="141">
        <f t="shared" si="9"/>
        <v>3250.1349999999998</v>
      </c>
      <c r="N25" s="142">
        <f>SUM(N16:N24)</f>
        <v>715.02970000000005</v>
      </c>
      <c r="O25" s="143">
        <f>SUM(O16:O24)</f>
        <v>99.129117500000007</v>
      </c>
      <c r="P25" s="144">
        <f>SUM(P16:P24)</f>
        <v>4064.2938174999999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3690.2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310.90800000000002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129.15700000000001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3250.1349999999998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715.02970000000005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3965.1646999999998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99.129117500000007</v>
      </c>
    </row>
    <row r="35" spans="2:16" ht="15.75" customHeight="1" thickBot="1" x14ac:dyDescent="0.4">
      <c r="N35" s="229" t="s">
        <v>92</v>
      </c>
      <c r="O35" s="230"/>
      <c r="P35" s="160">
        <f>P33+P34</f>
        <v>4064.2938174999999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135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I22*10%</f>
        <v>78.460000000000022</v>
      </c>
      <c r="M22" s="118">
        <f t="shared" si="5"/>
        <v>678.67900000000009</v>
      </c>
      <c r="N22" s="118">
        <f t="shared" si="0"/>
        <v>149.30938000000003</v>
      </c>
      <c r="O22" s="119">
        <f t="shared" si="6"/>
        <v>20.699709500000004</v>
      </c>
      <c r="P22" s="120">
        <f t="shared" si="1"/>
        <v>848.68808950000016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27.461000000000006</v>
      </c>
      <c r="L25" s="140">
        <f t="shared" si="9"/>
        <v>78.460000000000022</v>
      </c>
      <c r="M25" s="141">
        <f t="shared" si="9"/>
        <v>678.67900000000009</v>
      </c>
      <c r="N25" s="142">
        <f>SUM(N16:N24)</f>
        <v>149.30938000000003</v>
      </c>
      <c r="O25" s="143">
        <f>SUM(O16:O24)</f>
        <v>20.699709500000004</v>
      </c>
      <c r="P25" s="144">
        <f>SUM(P16:P24)</f>
        <v>848.68808950000016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784.60000000000014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78.460000000000022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27.461000000000006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678.67900000000009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149.30938000000003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827.98838000000012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20.699709500000004</v>
      </c>
    </row>
    <row r="35" spans="2:16" ht="15.75" customHeight="1" thickBot="1" x14ac:dyDescent="0.4">
      <c r="N35" s="229" t="s">
        <v>92</v>
      </c>
      <c r="O35" s="230"/>
      <c r="P35" s="160">
        <f>P33+P34</f>
        <v>848.68808950000016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137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1.5613453165131501E+17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8.2798838000000021</v>
      </c>
      <c r="P25" s="144">
        <f>SUM(P16:P24)</f>
        <v>1664.2566438000003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156.92000000000004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1357.3580000000002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1655.9767600000002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8.2798838000000021</v>
      </c>
    </row>
    <row r="35" spans="2:16" ht="15.75" customHeight="1" thickBot="1" x14ac:dyDescent="0.4">
      <c r="N35" s="229" t="s">
        <v>92</v>
      </c>
      <c r="O35" s="230"/>
      <c r="P35" s="160">
        <f>P33+P34</f>
        <v>1664.2566438000003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46210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46209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2026-07-07T08:18:40Z</dcterms:modified>
</cp:coreProperties>
</file>