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C397C9B-11BE-466D-87BF-2F407D7FA0E6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K21" i="33" s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L22" i="35" s="1"/>
  <c r="I23" i="35"/>
  <c r="I24" i="35"/>
  <c r="I24" i="33"/>
  <c r="I17" i="33"/>
  <c r="K17" i="33" s="1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L22" i="32" s="1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L22" i="30" s="1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L22" i="29" s="1"/>
  <c r="I23" i="29"/>
  <c r="L23" i="29" s="1"/>
  <c r="I24" i="29"/>
  <c r="I24" i="32"/>
  <c r="I19" i="33"/>
  <c r="I23" i="33"/>
  <c r="L23" i="33" s="1"/>
  <c r="L16" i="35"/>
  <c r="L17" i="35"/>
  <c r="M17" i="35" s="1"/>
  <c r="L19" i="35"/>
  <c r="L20" i="35"/>
  <c r="L21" i="35"/>
  <c r="K23" i="35"/>
  <c r="L23" i="35"/>
  <c r="K24" i="35"/>
  <c r="L24" i="35"/>
  <c r="L17" i="34"/>
  <c r="L18" i="34"/>
  <c r="L21" i="34"/>
  <c r="K22" i="34"/>
  <c r="K23" i="34"/>
  <c r="L21" i="33"/>
  <c r="K24" i="33"/>
  <c r="L24" i="33"/>
  <c r="K24" i="32"/>
  <c r="L24" i="32"/>
  <c r="I25" i="32"/>
  <c r="P28" i="32" s="1"/>
  <c r="L16" i="32"/>
  <c r="L17" i="32"/>
  <c r="L19" i="32"/>
  <c r="L20" i="32"/>
  <c r="L21" i="32"/>
  <c r="K23" i="32"/>
  <c r="L23" i="32"/>
  <c r="K22" i="32"/>
  <c r="L17" i="31"/>
  <c r="M17" i="31" s="1"/>
  <c r="L21" i="31"/>
  <c r="K24" i="31"/>
  <c r="L24" i="31"/>
  <c r="L16" i="31"/>
  <c r="L20" i="31"/>
  <c r="L20" i="30"/>
  <c r="L21" i="30"/>
  <c r="M21" i="30" s="1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L16" i="28"/>
  <c r="L17" i="28"/>
  <c r="M17" i="28" s="1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I16" i="27" l="1"/>
  <c r="K16" i="27" s="1"/>
  <c r="I17" i="27"/>
  <c r="K17" i="27" s="1"/>
  <c r="I18" i="27"/>
  <c r="K18" i="27" s="1"/>
  <c r="I19" i="27"/>
  <c r="K19" i="27" s="1"/>
  <c r="I20" i="27"/>
  <c r="K20" i="27" s="1"/>
  <c r="I22" i="27"/>
  <c r="L22" i="27" s="1"/>
  <c r="I25" i="28"/>
  <c r="P28" i="28" s="1"/>
  <c r="L23" i="31"/>
  <c r="M23" i="31" s="1"/>
  <c r="N23" i="31" s="1"/>
  <c r="O23" i="31" s="1"/>
  <c r="L16" i="34"/>
  <c r="L19" i="28"/>
  <c r="L23" i="30"/>
  <c r="M23" i="30" s="1"/>
  <c r="N23" i="30" s="1"/>
  <c r="O23" i="30" s="1"/>
  <c r="L20" i="33"/>
  <c r="I25" i="35"/>
  <c r="P28" i="35" s="1"/>
  <c r="M17" i="33"/>
  <c r="K22" i="35"/>
  <c r="M22" i="35" s="1"/>
  <c r="N22" i="35" s="1"/>
  <c r="O22" i="35" s="1"/>
  <c r="L18" i="35"/>
  <c r="M18" i="35" s="1"/>
  <c r="L17" i="33"/>
  <c r="L16" i="33"/>
  <c r="K16" i="33"/>
  <c r="K25" i="33" s="1"/>
  <c r="P30" i="33" s="1"/>
  <c r="I23" i="27"/>
  <c r="I24" i="27"/>
  <c r="M23" i="32"/>
  <c r="N23" i="32" s="1"/>
  <c r="O23" i="32" s="1"/>
  <c r="L19" i="33"/>
  <c r="K19" i="33"/>
  <c r="K22" i="33"/>
  <c r="L22" i="33"/>
  <c r="K22" i="31"/>
  <c r="L22" i="31"/>
  <c r="L18" i="31"/>
  <c r="K18" i="31"/>
  <c r="M18" i="31" s="1"/>
  <c r="N18" i="31" s="1"/>
  <c r="O18" i="31" s="1"/>
  <c r="K22" i="28"/>
  <c r="L22" i="28"/>
  <c r="K23" i="28"/>
  <c r="M23" i="28" s="1"/>
  <c r="K23" i="29"/>
  <c r="M23" i="29" s="1"/>
  <c r="N23" i="29" s="1"/>
  <c r="O23" i="29" s="1"/>
  <c r="M22" i="29"/>
  <c r="N22" i="29" s="1"/>
  <c r="O22" i="29" s="1"/>
  <c r="L19" i="30"/>
  <c r="M22" i="31"/>
  <c r="L19" i="31"/>
  <c r="M19" i="31" s="1"/>
  <c r="N19" i="31" s="1"/>
  <c r="O19" i="31" s="1"/>
  <c r="K24" i="34"/>
  <c r="M24" i="34" s="1"/>
  <c r="L20" i="34"/>
  <c r="M21" i="35"/>
  <c r="I25" i="34"/>
  <c r="P28" i="34" s="1"/>
  <c r="M24" i="28"/>
  <c r="L18" i="28"/>
  <c r="L18" i="29"/>
  <c r="M24" i="30"/>
  <c r="N24" i="30" s="1"/>
  <c r="O24" i="30" s="1"/>
  <c r="P24" i="30" s="1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N18" i="33" s="1"/>
  <c r="O18" i="33" s="1"/>
  <c r="I25" i="30"/>
  <c r="P28" i="30" s="1"/>
  <c r="M24" i="31"/>
  <c r="M24" i="33"/>
  <c r="N24" i="33" s="1"/>
  <c r="O24" i="33" s="1"/>
  <c r="M23" i="35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0" i="29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M19" i="29" s="1"/>
  <c r="N19" i="29" s="1"/>
  <c r="O19" i="29" s="1"/>
  <c r="I25" i="29"/>
  <c r="P28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17" i="33"/>
  <c r="O17" i="33" s="1"/>
  <c r="M16" i="33"/>
  <c r="N17" i="32"/>
  <c r="O17" i="32" s="1"/>
  <c r="L25" i="32"/>
  <c r="P29" i="32" s="1"/>
  <c r="K25" i="32"/>
  <c r="P30" i="32" s="1"/>
  <c r="N21" i="31"/>
  <c r="O21" i="31" s="1"/>
  <c r="N24" i="31"/>
  <c r="O24" i="31" s="1"/>
  <c r="N17" i="31"/>
  <c r="O17" i="31" s="1"/>
  <c r="M16" i="31"/>
  <c r="N22" i="31"/>
  <c r="O22" i="31" s="1"/>
  <c r="P22" i="31" s="1"/>
  <c r="N21" i="30"/>
  <c r="O21" i="30" s="1"/>
  <c r="K25" i="30"/>
  <c r="P30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21" i="26"/>
  <c r="K24" i="26"/>
  <c r="L16" i="26"/>
  <c r="T23" i="15"/>
  <c r="T22" i="15"/>
  <c r="T21" i="15"/>
  <c r="T20" i="15"/>
  <c r="T19" i="15"/>
  <c r="T18" i="15"/>
  <c r="T15" i="15"/>
  <c r="T14" i="15"/>
  <c r="L18" i="26" l="1"/>
  <c r="I25" i="27"/>
  <c r="P28" i="27" s="1"/>
  <c r="K25" i="31"/>
  <c r="P30" i="31" s="1"/>
  <c r="K25" i="35"/>
  <c r="P30" i="35" s="1"/>
  <c r="P31" i="35" s="1"/>
  <c r="L25" i="31"/>
  <c r="P29" i="31" s="1"/>
  <c r="P24" i="31"/>
  <c r="K22" i="26"/>
  <c r="L22" i="26"/>
  <c r="M22" i="26" s="1"/>
  <c r="N22" i="26" s="1"/>
  <c r="O22" i="26" s="1"/>
  <c r="P22" i="26" s="1"/>
  <c r="M24" i="26"/>
  <c r="L20" i="26"/>
  <c r="K20" i="26"/>
  <c r="L25" i="29"/>
  <c r="P29" i="29" s="1"/>
  <c r="P31" i="29" s="1"/>
  <c r="M22" i="33"/>
  <c r="N22" i="33" s="1"/>
  <c r="O22" i="33" s="1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L22" i="22" s="1"/>
  <c r="P33" i="32"/>
  <c r="N25" i="34"/>
  <c r="P32" i="34" s="1"/>
  <c r="P33" i="34" s="1"/>
  <c r="P34" i="34" s="1"/>
  <c r="P35" i="34" s="1"/>
  <c r="U32" i="15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L22" i="18" s="1"/>
  <c r="I24" i="18"/>
  <c r="L24" i="18" s="1"/>
  <c r="I19" i="19"/>
  <c r="I20" i="19"/>
  <c r="K20" i="19" s="1"/>
  <c r="I21" i="19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1" l="1"/>
  <c r="K16" i="21"/>
  <c r="L20" i="23"/>
  <c r="K20" i="23"/>
  <c r="L17" i="18"/>
  <c r="K17" i="18"/>
  <c r="L21" i="25"/>
  <c r="K21" i="25"/>
  <c r="L16" i="24"/>
  <c r="K16" i="24"/>
  <c r="L18" i="18"/>
  <c r="K18" i="18"/>
  <c r="L19" i="19"/>
  <c r="K19" i="19"/>
  <c r="L16" i="20"/>
  <c r="K16" i="20"/>
  <c r="L18" i="23"/>
  <c r="K18" i="23"/>
  <c r="L16" i="18"/>
  <c r="K16" i="18"/>
  <c r="L19" i="24"/>
  <c r="K19" i="24"/>
  <c r="L21" i="20"/>
  <c r="K21" i="20"/>
  <c r="L21" i="17"/>
  <c r="K21" i="17"/>
  <c r="L16" i="23"/>
  <c r="K16" i="23"/>
  <c r="K22" i="24"/>
  <c r="L22" i="24"/>
  <c r="L21" i="19"/>
  <c r="K21" i="19"/>
  <c r="M21" i="19" s="1"/>
  <c r="K22" i="25"/>
  <c r="L22" i="25"/>
  <c r="L20" i="20"/>
  <c r="K20" i="20"/>
  <c r="K22" i="23"/>
  <c r="L22" i="23"/>
  <c r="L17" i="23"/>
  <c r="K17" i="23"/>
  <c r="L18" i="19"/>
  <c r="K18" i="19"/>
  <c r="L17" i="21"/>
  <c r="K17" i="21"/>
  <c r="L21" i="24"/>
  <c r="K21" i="24"/>
  <c r="L17" i="24"/>
  <c r="K17" i="24"/>
  <c r="K22" i="21"/>
  <c r="L22" i="21"/>
  <c r="K22" i="20"/>
  <c r="L22" i="20"/>
  <c r="L20" i="18"/>
  <c r="K20" i="18"/>
  <c r="L20" i="19"/>
  <c r="L17" i="19"/>
  <c r="L25" i="19" s="1"/>
  <c r="P29" i="19" s="1"/>
  <c r="K17" i="19"/>
  <c r="L16" i="19"/>
  <c r="K16" i="19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8"/>
  <c r="O24" i="18" s="1"/>
  <c r="I23" i="15"/>
  <c r="L25" i="18" l="1"/>
  <c r="P29" i="18" s="1"/>
  <c r="M20" i="18"/>
  <c r="N20" i="18" s="1"/>
  <c r="O20" i="18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N18" i="15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<sst xmlns="http://schemas.openxmlformats.org/spreadsheetml/2006/main" count="1633" uniqueCount="133">
  <si>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</si>
  <si>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</si>
  <si>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</si>
  <si>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</si>
  <si>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</si>
  <si>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</si>
  <si>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</si>
  <si>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</si>
  <si>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</si>
  <si>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</si>
  <si>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</si>
  <si>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</si>
  <si>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</si>
  <si>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</si>
  <si>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</si>
  <si>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</si>
  <si>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</si>
  <si>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</si>
  <si>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</si>
  <si>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</si>
  <si>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</si>
  <si>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</si>
  <si>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</si>
  <si>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</si>
  <si>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</si>
  <si>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</si>
  <si>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</si>
  <si>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</si>
  <si>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</si>
  <si>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</si>
  <si>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</si>
  <si>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</si>
  <si>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</si>
  <si>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</si>
  <si>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</si>
  <si>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</si>
  <si>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</si>
  <si>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</si>
  <si>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</si>
  <si>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</si>
  <si>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</si>
  <si>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</si>
  <si>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</si>
  <si>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</si>
  <si>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</si>
  <si>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</si>
  <si>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</si>
  <si>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</si>
  <si>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</si>
  <si>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</si>
  <si>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</si>
  <si>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</si>
  <si>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</si>
  <si>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</si>
  <si>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</si>
  <si>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</si>
  <si>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</si>
  <si>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</si>
  <si>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</si>
  <si>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</si>
  <si>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</si>
  <si>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</si>
  <si>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</si>
  <si>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</si>
  <si>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</si>
  <si>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</si>
  <si>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</si>
  <si>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</si>
  <si>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</si>
  <si>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</si>
  <si>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</si>
  <si>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</si>
  <si>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</si>
  <si>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</si>
  <si>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</si>
  <si>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</si>
  <si>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</si>
  <si>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</si>
  <si>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</si>
  <si>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</si>
  <si>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</si>
  <si>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</si>
  <si>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</si>
  <si>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</si>
  <si>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</si>
  <si>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</si>
  <si>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</si>
  <si>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</si>
  <si>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</si>
  <si>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</si>
  <si>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</si>
  <si>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</si>
  <si>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</si>
  <si>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</si>
  <si>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</si>
  <si>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</si>
  <si>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</si>
  <si>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</si>
  <si>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</si>
  <si>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</si>
  <si>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</si>
  <si>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</si>
  <si>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</si>
  <si>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</si>
  <si>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</si>
  <si>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</si>
  <si>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</si>
  <si>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</si>
  <si>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</si>
  <si>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</si>
  <si>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</si>
  <si>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</si>
  <si>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</si>
  <si>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</si>
  <si>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</si>
  <si>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</si>
  <si>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</si>
  <si>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</si>
  <si>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</si>
  <si>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</si>
  <si>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</si>
  <si>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Bilal Store</t>
  </si>
  <si>
    <t xml:space="preserve">Address: Shadman Market </t>
  </si>
  <si>
    <t>Customer Name : Mahmood Store</t>
  </si>
  <si>
    <t>Address: Shah Jamal  Market</t>
  </si>
  <si>
    <t>2506537-8</t>
  </si>
  <si>
    <t xml:space="preserve">Customer Name : Kashmir Bakery </t>
  </si>
  <si>
    <t xml:space="preserve">Address: Shah Jmal </t>
  </si>
  <si>
    <t>Customer Name : QF Super Store</t>
  </si>
  <si>
    <t xml:space="preserve">Address: Shah Jmaal </t>
  </si>
  <si>
    <t>Customer Name : Quality Store</t>
  </si>
  <si>
    <t>Customer Name : Data Store</t>
  </si>
  <si>
    <t>Address: Ichra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</si>
</sst>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9" zoomScale="70" zoomScaleNormal="70" workbookViewId="0">
      <selection activeCell="V24" sqref="V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96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Bilal Store</v>
      </c>
      <c r="U14" s="164">
        <f>+'1'!P35</f>
        <v>602.96555853749987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Mahmood Store</v>
      </c>
      <c r="U15" s="164">
        <f>+'2'!P35</f>
        <v>840.83887347749999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6</v>
      </c>
      <c r="I16" s="1">
        <f>(G16*D16)*F16+H16*F16</f>
        <v>314.77499999999998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11.017125</v>
      </c>
      <c r="L16" s="175">
        <f>+'1'!L16+'2'!L16+'4'!L16+'3'!L16+'5'!L16+'6'!L16+'7'!L16+'8'!L16+'9'!L16+'10'!L16</f>
        <v>25.181999999999999</v>
      </c>
      <c r="M16" s="106">
        <f>I16-K16-L16</f>
        <v>278.57587499999994</v>
      </c>
      <c r="N16" s="101">
        <f>+'1'!N16+'2'!N16+'4'!N16+'3'!N16+'5'!N16+'6'!N16+'7'!N16+'8'!N16+'9'!N16+'10'!N16</f>
        <v>61.286692499999987</v>
      </c>
      <c r="O16" s="101">
        <f>+'1'!O16+'2'!O16+'4'!O16+'3'!O16+'5'!O16+'6'!O16+'7'!O16+'8'!O16+'9'!O16+'10'!O16</f>
        <v>8.4965641874999989</v>
      </c>
      <c r="P16" s="105">
        <f t="shared" ref="P16:P24" si="0">M16+N16+O16</f>
        <v>348.35913168749994</v>
      </c>
      <c r="Q16" s="108"/>
      <c r="T16" s="163" t="str">
        <f>+'3'!A5</f>
        <v xml:space="preserve">Customer Name : Kashmir Bakery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6</v>
      </c>
      <c r="I17" s="1">
        <f t="shared" ref="I17:I23" si="1">(G17*D17)*F17+H17*F17</f>
        <v>314.77499999999998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11.017125</v>
      </c>
      <c r="L17" s="175">
        <f>+'1'!L17+'2'!L17+'4'!L17+'3'!L17+'5'!L17+'6'!L17+'7'!L17+'8'!L17+'9'!L17+'10'!L17</f>
        <v>25.181999999999999</v>
      </c>
      <c r="M17" s="118">
        <f t="shared" ref="M17:M23" si="2">I17-K17-L17</f>
        <v>278.57587499999994</v>
      </c>
      <c r="N17" s="101">
        <f>+'1'!N17+'2'!N17+'4'!N17+'3'!N17+'5'!N17+'6'!N17+'7'!N17+'8'!N17+'9'!N17+'10'!N17</f>
        <v>61.286692499999987</v>
      </c>
      <c r="O17" s="101">
        <f>+'1'!O17+'2'!O17+'4'!O17+'3'!O17+'5'!O17+'6'!O17+'7'!O17+'8'!O17+'9'!O17+'10'!O17</f>
        <v>1.6993128374999997</v>
      </c>
      <c r="P17" s="120">
        <f t="shared" si="0"/>
        <v>341.56188033749993</v>
      </c>
      <c r="S17" s="64"/>
      <c r="T17" s="163" t="str">
        <f>+'4'!A5</f>
        <v>Customer Name : QF Super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Quality Store</v>
      </c>
      <c r="U18" s="164">
        <f>+'5'!P35</f>
        <v>998.55398628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>Customer Name : Data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42</v>
      </c>
      <c r="I22" s="1">
        <f t="shared" si="1"/>
        <v>1647.66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57.668100000000017</v>
      </c>
      <c r="L22" s="175">
        <f>+'1'!L22+'2'!L22+'4'!L22+'3'!L22+'5'!L22+'6'!L22+'7'!L22+'8'!L22+'9'!L22+'10'!L22</f>
        <v>164.76600000000002</v>
      </c>
      <c r="M22" s="118">
        <f t="shared" si="2"/>
        <v>1425.2258999999999</v>
      </c>
      <c r="N22" s="101">
        <f>+'1'!N22+'2'!N22+'4'!N22+'3'!N22+'5'!N22+'6'!N22+'7'!N22+'8'!N22+'9'!N22+'10'!N22</f>
        <v>313.54969800000003</v>
      </c>
      <c r="O22" s="101">
        <f>+'1'!O22+'2'!O22+'4'!O22+'3'!O22+'5'!O22+'6'!O22+'7'!O22+'8'!O22+'9'!O22+'10'!O22</f>
        <v>13.661808270000002</v>
      </c>
      <c r="P22" s="120">
        <f t="shared" si="0"/>
        <v>1752.4374062699999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1.35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54</v>
      </c>
      <c r="I25" s="178">
        <f t="shared" si="3"/>
        <v>2277.21</v>
      </c>
      <c r="J25" s="177">
        <f t="shared" si="3"/>
        <v>0</v>
      </c>
      <c r="K25" s="178">
        <f t="shared" si="3"/>
        <v>79.702350000000024</v>
      </c>
      <c r="L25" s="179">
        <f t="shared" si="3"/>
        <v>215.13000000000002</v>
      </c>
      <c r="M25" s="141">
        <f t="shared" si="3"/>
        <v>1982.3776499999999</v>
      </c>
      <c r="N25" s="142">
        <f>SUM(N16:N24)</f>
        <v>436.12308300000001</v>
      </c>
      <c r="O25" s="143">
        <f>SUM(O16:O24)</f>
        <v>23.857685295</v>
      </c>
      <c r="P25" s="144">
        <f>SUM(P16:P24)</f>
        <v>2442.3584182949999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2442.3584182949999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2277.21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215.13000000000002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79.702350000000024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1982.3776499999999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436.12308300000001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2418.5007329999999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60.462518324999998</v>
      </c>
    </row>
    <row r="43" spans="1:21" ht="15.75" customHeight="1" thickBot="1" x14ac:dyDescent="0.4">
      <c r="N43" s="213" t="s">
        <v>92</v>
      </c>
      <c r="O43" s="214"/>
      <c r="P43" s="160">
        <f>P41+P42</f>
        <v>2478.9632513249999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 t="shared" ref="O16:O24" si="1">(N16+M16)*$O$15</f>
        <v>8.4965641874999989</v>
      </c>
      <c r="P16" s="105">
        <f t="shared" ref="P16:P24" si="2">M16+N16+O16</f>
        <v>348.35913168749994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6"/>
        <v>203.6037</v>
      </c>
      <c r="N22" s="118">
        <f t="shared" si="0"/>
        <v>44.792814</v>
      </c>
      <c r="O22" s="119">
        <f t="shared" si="1"/>
        <v>6.2099128500000003</v>
      </c>
      <c r="P22" s="120">
        <f t="shared" si="2"/>
        <v>254.60642684999999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</v>
      </c>
      <c r="I25" s="137">
        <f t="shared" si="13"/>
        <v>550.15499999999997</v>
      </c>
      <c r="J25" s="138"/>
      <c r="K25" s="139">
        <f t="shared" si="13"/>
        <v>19.255425000000002</v>
      </c>
      <c r="L25" s="140">
        <f t="shared" si="13"/>
        <v>48.72</v>
      </c>
      <c r="M25" s="141">
        <f t="shared" si="13"/>
        <v>482.17957499999994</v>
      </c>
      <c r="N25" s="142">
        <f>SUM(N16:N24)</f>
        <v>106.07950649999998</v>
      </c>
      <c r="O25" s="143">
        <f>SUM(O16:O24)</f>
        <v>14.706477037499999</v>
      </c>
      <c r="P25" s="144">
        <f>SUM(P16:P24)</f>
        <v>602.96555853749987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550.15499999999997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48.72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19.255425000000002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482.17957499999994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106.07950649999998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588.25908149999987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14.706477037499997</v>
      </c>
    </row>
    <row r="35" spans="2:16" ht="15.75" customHeight="1" thickBot="1" x14ac:dyDescent="0.4">
      <c r="N35" s="213" t="s">
        <v>92</v>
      </c>
      <c r="O35" s="214"/>
      <c r="P35" s="160">
        <f>P33+P34</f>
        <v>602.96555853749987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785.53500000000008</v>
      </c>
      <c r="J25" s="138"/>
      <c r="K25" s="139">
        <f t="shared" si="9"/>
        <v>27.493725000000005</v>
      </c>
      <c r="L25" s="140">
        <f t="shared" si="9"/>
        <v>72.25800000000001</v>
      </c>
      <c r="M25" s="141">
        <f t="shared" si="9"/>
        <v>685.783275</v>
      </c>
      <c r="N25" s="142">
        <f>SUM(N16:N24)</f>
        <v>150.8723205</v>
      </c>
      <c r="O25" s="143">
        <f>SUM(O16:O24)</f>
        <v>4.1832779774999995</v>
      </c>
      <c r="P25" s="144">
        <f>SUM(P16:P24)</f>
        <v>840.83887347749987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785.53500000000008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72.25800000000001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27.493725000000005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685.783275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150.8723205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836.6555955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4.1832779775000004</v>
      </c>
    </row>
    <row r="35" spans="2:16" ht="15.75" customHeight="1" thickBot="1" x14ac:dyDescent="0.4">
      <c r="N35" s="213" t="s">
        <v>92</v>
      </c>
      <c r="O35" s="214"/>
      <c r="P35" s="160">
        <f>P33+P34</f>
        <v>840.83887347749999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F5" sqref="F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8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129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64">
        <v>3640272298333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3640272298333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32777876136186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179.171256</v>
      </c>
      <c r="O22" s="119">
        <f t="shared" si="6"/>
        <v>4.96793028</v>
      </c>
      <c r="P22" s="120">
        <f t="shared" si="1"/>
        <v>998.55398628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94.152000000000015</v>
      </c>
      <c r="M25" s="141">
        <f t="shared" si="9"/>
        <v>814.41480000000001</v>
      </c>
      <c r="N25" s="142">
        <f>SUM(N16:N24)</f>
        <v>179.171256</v>
      </c>
      <c r="O25" s="143">
        <f>SUM(O16:O24)</f>
        <v>4.96793028</v>
      </c>
      <c r="P25" s="144">
        <f>SUM(P16:P24)</f>
        <v>998.55398628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941.5200000000001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94.152000000000015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32.95320000000001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814.41480000000001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179.171256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993.58605599999999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4.96793028</v>
      </c>
    </row>
    <row r="35" spans="2:16" ht="15.75" customHeight="1" thickBot="1" x14ac:dyDescent="0.4">
      <c r="N35" s="213" t="s">
        <v>92</v>
      </c>
      <c r="O35" s="214"/>
      <c r="P35" s="160">
        <f>P33+P34</f>
        <v>998.55398628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46210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46209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2026-07-07T10:33:53Z</dcterms:modified>
</cp:coreProperties>
</file>