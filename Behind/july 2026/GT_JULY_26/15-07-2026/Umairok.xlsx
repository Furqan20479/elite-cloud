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EDC6F84-8121-473F-A68C-048A6F970D8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<sst xmlns="http://schemas.openxmlformats.org/spreadsheetml/2006/main" count="1634" uniqueCount="136">
  <si>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</si>
  <si>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</si>
  <si>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</si>
  <si>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</si>
  <si>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</si>
  <si>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</si>
  <si>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</si>
  <si>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</si>
  <si>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</si>
  <si>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</si>
  <si>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</si>
  <si>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</si>
  <si>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</si>
  <si>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</si>
  <si>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</si>
  <si>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</si>
  <si>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</si>
  <si>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</si>
  <si>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</si>
  <si>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</si>
  <si>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</si>
  <si>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</si>
  <si>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</si>
  <si>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</si>
  <si>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</si>
  <si>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</si>
  <si>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</si>
  <si>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</si>
  <si>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</si>
  <si>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</si>
  <si>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</si>
  <si>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</si>
  <si>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</si>
  <si>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</si>
  <si>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</si>
  <si>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</si>
  <si>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</si>
  <si>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</si>
  <si>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</si>
  <si>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</si>
  <si>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</si>
  <si>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</si>
  <si>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</si>
  <si>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</si>
  <si>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</si>
  <si>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</si>
  <si>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</si>
  <si>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</si>
  <si>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</si>
  <si>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</si>
  <si>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</si>
  <si>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</si>
  <si>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</si>
  <si>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</si>
  <si>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</si>
  <si>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</si>
  <si>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</si>
  <si>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</si>
  <si>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</si>
  <si>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</si>
  <si>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</si>
  <si>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</si>
  <si>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</si>
  <si>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</si>
  <si>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</si>
  <si>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</si>
  <si>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</si>
  <si>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</si>
  <si>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</si>
  <si>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</si>
  <si>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</si>
  <si>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</si>
  <si>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</si>
  <si>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</si>
  <si>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</si>
  <si>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</si>
  <si>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</si>
  <si>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</si>
  <si>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</si>
  <si>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</si>
  <si>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</si>
  <si>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</si>
  <si>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</si>
  <si>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</si>
  <si>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</si>
  <si>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</si>
  <si>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</si>
  <si>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</si>
  <si>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</si>
  <si>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</si>
  <si>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</si>
  <si>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</si>
  <si>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</si>
  <si>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</si>
  <si>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</si>
  <si>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</si>
  <si>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</si>
  <si>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</si>
  <si>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</si>
  <si>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</si>
  <si>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</si>
  <si>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</si>
  <si>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</si>
  <si>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</si>
  <si>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</si>
  <si>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</si>
  <si>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</si>
  <si>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</si>
  <si>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</si>
  <si>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</si>
  <si>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</si>
  <si>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</si>
  <si>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</si>
  <si>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</si>
  <si>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</si>
  <si>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</si>
  <si>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</si>
  <si>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</si>
  <si>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</si>
  <si>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</si>
  <si>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Umair </t>
  </si>
  <si>
    <t>Shop Bill Summary(Umair)</t>
  </si>
  <si>
    <t>Customer Name : Gulshan bakers</t>
  </si>
  <si>
    <t xml:space="preserve">Address: Awan Market </t>
  </si>
  <si>
    <t xml:space="preserve"> C375076_1</t>
  </si>
  <si>
    <t>Customer Name : Al makkah Kareyana Store</t>
  </si>
  <si>
    <t>Address: Awan Market</t>
  </si>
  <si>
    <t>Customer Name : New ideal bakery</t>
  </si>
  <si>
    <t xml:space="preserve">Customer Name : A1 Bakery </t>
  </si>
  <si>
    <t>Address: Nishter Bazar</t>
  </si>
  <si>
    <t>Customer Name : Farediya Kreyana Store</t>
  </si>
  <si>
    <t>Customer Name : Hanif Karyana Store</t>
  </si>
  <si>
    <t xml:space="preserve">Address: Nishter </t>
  </si>
  <si>
    <t xml:space="preserve">Customer Name : Madina Super Mart </t>
  </si>
  <si>
    <t>35201_67882055</t>
  </si>
  <si>
    <t>Customer Name : SS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</si>
</sst>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5" zoomScale="70" zoomScaleNormal="70" workbookViewId="0">
      <selection activeCell="V21" sqref="V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Gulshan bakers</v>
      </c>
      <c r="U14" s="164">
        <f>+'1'!P35</f>
        <v>2202.4208677500001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 makkah Kareyana Store</v>
      </c>
      <c r="U15" s="164">
        <f>+'2'!P35</f>
        <v>1607.8299379200002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36.723750000000003</v>
      </c>
      <c r="L16" s="174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167.14552499999999</v>
      </c>
      <c r="O16" s="101">
        <f>+'1'!O16+'2'!O16+'4'!O16+'3'!O16+'5'!O16+'6'!O16+'7'!O16+'8'!O16+'9'!O16+'10'!O16</f>
        <v>5.4786588749999998</v>
      </c>
      <c r="P16" s="105">
        <f t="shared" ref="P16:P24" si="0">M16+N16+O16</f>
        <v>1101.210433875</v>
      </c>
      <c r="Q16" s="108"/>
      <c r="T16" s="163" t="str">
        <f>+'3'!A5</f>
        <v>Customer Name : New ideal bakery</v>
      </c>
      <c r="U16" s="164">
        <f>+'3'!P35</f>
        <v>491.94796608000001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36.723750000000003</v>
      </c>
      <c r="L17" s="174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167.14552499999999</v>
      </c>
      <c r="O17" s="101">
        <f>+'1'!O17+'2'!O17+'4'!O17+'3'!O17+'5'!O17+'6'!O17+'7'!O17+'8'!O17+'9'!O17+'10'!O17</f>
        <v>5.4786588749999998</v>
      </c>
      <c r="P17" s="120">
        <f t="shared" si="0"/>
        <v>1101.210433875</v>
      </c>
      <c r="S17" s="64"/>
      <c r="T17" s="163" t="str">
        <f>+'4'!A5</f>
        <v xml:space="preserve">Customer Name : A1 Bakery </v>
      </c>
      <c r="U17" s="164">
        <f>+'4'!P35</f>
        <v>3152.8622015999999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Farediya Kreyana Store</v>
      </c>
      <c r="U18" s="164">
        <f>+'5'!P35</f>
        <v>1555.0880159999999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44</v>
      </c>
      <c r="I19" s="1">
        <f t="shared" si="1"/>
        <v>3196.16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111.86560000000001</v>
      </c>
      <c r="L19" s="174">
        <f>+'1'!L19+'2'!L19+'4'!L19+'3'!L19+'5'!L19+'6'!L19+'7'!L19+'8'!L19+'9'!L19+'10'!L19</f>
        <v>255.69280000000001</v>
      </c>
      <c r="M19" s="118">
        <f t="shared" si="2"/>
        <v>2828.6016</v>
      </c>
      <c r="N19" s="101">
        <f>+'1'!N19+'2'!N19+'4'!N19+'3'!N19+'5'!N19+'6'!N19+'7'!N19+'8'!N19+'9'!N19+'10'!N19</f>
        <v>560.57740799999999</v>
      </c>
      <c r="O19" s="101">
        <f>+'1'!O19+'2'!O19+'4'!O19+'3'!O19+'5'!O19+'6'!O19+'7'!O19+'8'!O19+'9'!O19+'10'!O19</f>
        <v>44.254757760000004</v>
      </c>
      <c r="P19" s="120">
        <f t="shared" si="0"/>
        <v>3433.4337657599999</v>
      </c>
      <c r="T19" s="163" t="str">
        <f>+'6'!A5</f>
        <v>Customer Name : Hanif Karyana Store</v>
      </c>
      <c r="U19" s="164">
        <f>+'6'!P35</f>
        <v>819.91327680000006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34</v>
      </c>
      <c r="I20" s="1">
        <f t="shared" si="1"/>
        <v>2469.7600000000002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86.441600000000008</v>
      </c>
      <c r="L20" s="174">
        <f>+'1'!L20+'2'!L20+'4'!L20+'3'!L20+'5'!L20+'6'!L20+'7'!L20+'8'!L20+'9'!L20+'10'!L20</f>
        <v>197.58080000000001</v>
      </c>
      <c r="M20" s="118">
        <f t="shared" si="2"/>
        <v>2185.7375999999999</v>
      </c>
      <c r="N20" s="101">
        <f>+'1'!N20+'2'!N20+'4'!N20+'3'!N20+'5'!N20+'6'!N20+'7'!N20+'8'!N20+'9'!N20+'10'!N20</f>
        <v>444.86188800000002</v>
      </c>
      <c r="O20" s="101">
        <f>+'1'!O20+'2'!O20+'4'!O20+'3'!O20+'5'!O20+'6'!O20+'7'!O20+'8'!O20+'9'!O20+'10'!O20</f>
        <v>25.290269760000001</v>
      </c>
      <c r="P20" s="120">
        <f t="shared" si="0"/>
        <v>2655.8897577600001</v>
      </c>
      <c r="T20" s="163" t="str">
        <f>+'7'!A5</f>
        <v xml:space="preserve">Customer Name : Madina Super Mart </v>
      </c>
      <c r="U20" s="164">
        <f>+'7'!P35</f>
        <v>1372.27035168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24</v>
      </c>
      <c r="I21" s="1">
        <f t="shared" si="1"/>
        <v>1743.3600000000001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61.017600000000002</v>
      </c>
      <c r="L21" s="174">
        <f>+'1'!L21+'2'!L21+'4'!L21+'3'!L21+'5'!L21+'6'!L21+'7'!L21+'8'!L21+'9'!L21+'10'!L21</f>
        <v>139.46880000000002</v>
      </c>
      <c r="M21" s="118">
        <f t="shared" si="2"/>
        <v>1542.8736000000001</v>
      </c>
      <c r="N21" s="101">
        <f>+'1'!N21+'2'!N21+'4'!N21+'3'!N21+'5'!N21+'6'!N21+'7'!N21+'8'!N21+'9'!N21+'10'!N21</f>
        <v>277.71724800000004</v>
      </c>
      <c r="O21" s="101">
        <f>+'1'!O21+'2'!O21+'4'!O21+'3'!O21+'5'!O21+'6'!O21+'7'!O21+'8'!O21+'9'!O21+'10'!O21</f>
        <v>36.411816959999996</v>
      </c>
      <c r="P21" s="120">
        <f t="shared" si="0"/>
        <v>1857.0026649600002</v>
      </c>
      <c r="T21" s="163" t="str">
        <f>+'8'!A5</f>
        <v>Customer Name : SS Sweets</v>
      </c>
      <c r="U21" s="164">
        <f>+'8'!P35</f>
        <v>1866.1056192000003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72</v>
      </c>
      <c r="I22" s="1">
        <f t="shared" si="1"/>
        <v>2824.5600000000004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242.91215999999997</v>
      </c>
      <c r="L22" s="174">
        <f>+'1'!L22+'2'!L22+'4'!L22+'3'!L22+'5'!L22+'6'!L22+'7'!L22+'8'!L22+'9'!L22+'10'!L22</f>
        <v>141.22800000000004</v>
      </c>
      <c r="M22" s="118">
        <f t="shared" si="2"/>
        <v>2440.4198400000005</v>
      </c>
      <c r="N22" s="101">
        <f>+'1'!N22+'2'!N22+'4'!N22+'3'!N22+'5'!N22+'6'!N22+'7'!N22+'8'!N22+'9'!N22+'10'!N22</f>
        <v>439.27557120000006</v>
      </c>
      <c r="O22" s="101">
        <f>+'1'!O22+'2'!O22+'4'!O22+'3'!O22+'5'!O22+'6'!O22+'7'!O22+'8'!O22+'9'!O22+'10'!O22</f>
        <v>39.995769600000003</v>
      </c>
      <c r="P22" s="120">
        <f t="shared" si="0"/>
        <v>2919.6911808000004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5.35</v>
      </c>
      <c r="D25" s="230"/>
      <c r="E25" s="230"/>
      <c r="F25" s="230"/>
      <c r="G25" s="175">
        <f t="shared" ref="G25:M25" si="3">SUM(G16:G24)</f>
        <v>0</v>
      </c>
      <c r="H25" s="176">
        <f t="shared" si="3"/>
        <v>214</v>
      </c>
      <c r="I25" s="177">
        <f t="shared" si="3"/>
        <v>12332.34</v>
      </c>
      <c r="J25" s="176">
        <f t="shared" si="3"/>
        <v>0</v>
      </c>
      <c r="K25" s="177">
        <f t="shared" si="3"/>
        <v>575.68445999999994</v>
      </c>
      <c r="L25" s="178">
        <f t="shared" si="3"/>
        <v>901.85040000000015</v>
      </c>
      <c r="M25" s="141">
        <f t="shared" si="3"/>
        <v>10854.805140000002</v>
      </c>
      <c r="N25" s="142">
        <f>SUM(N16:N24)</f>
        <v>2056.7231652</v>
      </c>
      <c r="O25" s="143">
        <f>SUM(O16:O24)</f>
        <v>156.90993183</v>
      </c>
      <c r="P25" s="144">
        <f>SUM(P16:P24)</f>
        <v>13068.438237030001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13068.438237029999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12332.34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901.85040000000015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575.68445999999994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10854.80514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2056.7231652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12911.528305200001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322.78820763000004</v>
      </c>
    </row>
    <row r="43" spans="1:21" ht="15.75" customHeight="1" thickBot="1" x14ac:dyDescent="0.4">
      <c r="N43" s="228" t="s">
        <v>92</v>
      </c>
      <c r="O43" s="229"/>
      <c r="P43" s="160">
        <f>P41+P42</f>
        <v>13234.316512830001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 t="s">
        <v>124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 t="shared" ref="O16:O24" si="1">(N16+M16)*$O$15</f>
        <v>5.4786588749999998</v>
      </c>
      <c r="P16" s="105">
        <f t="shared" ref="P16:P24" si="2">M16+N16+O16</f>
        <v>1101.210433875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167.14552499999999</v>
      </c>
      <c r="O17" s="119">
        <f t="shared" si="1"/>
        <v>5.4786588749999998</v>
      </c>
      <c r="P17" s="120">
        <f t="shared" si="2"/>
        <v>1101.210433875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40</v>
      </c>
      <c r="I25" s="137">
        <f t="shared" si="13"/>
        <v>2098.5</v>
      </c>
      <c r="J25" s="138"/>
      <c r="K25" s="139">
        <f t="shared" si="13"/>
        <v>73.447500000000005</v>
      </c>
      <c r="L25" s="140">
        <f t="shared" si="13"/>
        <v>167.88</v>
      </c>
      <c r="M25" s="141">
        <f t="shared" si="13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2098.5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167.88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73.447500000000005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1857.1724999999999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2191.4635499999999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28" t="s">
        <v>92</v>
      </c>
      <c r="O35" s="229"/>
      <c r="P35" s="160">
        <f>P33+P34</f>
        <v>2202.4208677500001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126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3520282851145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1569.2000000000003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78.460000000000022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134.9512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1355.7888000000003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1599.8307840000002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28" t="s">
        <v>92</v>
      </c>
      <c r="O35" s="229"/>
      <c r="P35" s="160">
        <f>P33+P34</f>
        <v>1607.8299379200002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126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470.76000000000005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23.538000000000004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40.48536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406.73664000000002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479.94923520000003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28" t="s">
        <v>92</v>
      </c>
      <c r="O35" s="229"/>
      <c r="P35" s="160">
        <f>P33+P34</f>
        <v>491.94796608000001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3137.17632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8" t="s">
        <v>92</v>
      </c>
      <c r="O35" s="229"/>
      <c r="P35" s="160">
        <f>P33+P34</f>
        <v>3152.8622015999999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N23" sqref="N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18.964487999999999</v>
      </c>
      <c r="P21" s="120">
        <f t="shared" si="1"/>
        <v>777.54400799999996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231.43104</v>
      </c>
      <c r="O25" s="143">
        <f>SUM(O16:O24)</f>
        <v>37.928975999999999</v>
      </c>
      <c r="P25" s="144">
        <f>SUM(P16:P24)</f>
        <v>1555.0880159999999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1452.8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116.224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50.848000000000006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1285.7280000000001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1517.15904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37.928975999999999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1555.0880159999999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N23" sqref="N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132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784.60000000000014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39.230000000000011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67.4756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677.89440000000013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799.91539200000011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28" t="s">
        <v>92</v>
      </c>
      <c r="O35" s="229"/>
      <c r="P35" s="160">
        <f>P33+P34</f>
        <v>819.91327680000006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45.763200000000005</v>
      </c>
      <c r="L25" s="140">
        <f t="shared" si="9"/>
        <v>104.60160000000002</v>
      </c>
      <c r="M25" s="141">
        <f t="shared" si="9"/>
        <v>1157.1552000000001</v>
      </c>
      <c r="N25" s="142">
        <f>SUM(N16:N24)</f>
        <v>208.287936</v>
      </c>
      <c r="O25" s="143">
        <f>SUM(O16:O24)</f>
        <v>6.8272156800000001</v>
      </c>
      <c r="P25" s="144">
        <f>SUM(P16:P24)</f>
        <v>1372.27035168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1307.52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104.60160000000002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45.763200000000005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1157.1551999999999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208.287936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1365.4431359999999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6.8272156799999992</v>
      </c>
    </row>
    <row r="35" spans="2:16" ht="15.75" customHeight="1" thickBot="1" x14ac:dyDescent="0.4">
      <c r="N35" s="228" t="s">
        <v>92</v>
      </c>
      <c r="O35" s="229"/>
      <c r="P35" s="160">
        <f>P33+P34</f>
        <v>1372.27035168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04">
        <f t="shared" si="3"/>
        <v>20.339200000000002</v>
      </c>
      <c r="L19" s="105">
        <f t="shared" si="4"/>
        <v>46.489600000000003</v>
      </c>
      <c r="M19" s="118">
        <f t="shared" si="5"/>
        <v>514.2912</v>
      </c>
      <c r="N19" s="118">
        <f t="shared" si="0"/>
        <v>92.572416000000004</v>
      </c>
      <c r="O19" s="119">
        <f t="shared" si="6"/>
        <v>15.171590399999999</v>
      </c>
      <c r="P19" s="120">
        <f t="shared" si="1"/>
        <v>622.03520639999999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</v>
      </c>
      <c r="I20" s="116">
        <f t="shared" si="2"/>
        <v>581.12</v>
      </c>
      <c r="J20" s="117"/>
      <c r="K20" s="104">
        <f t="shared" si="3"/>
        <v>20.339200000000002</v>
      </c>
      <c r="L20" s="105">
        <f t="shared" si="4"/>
        <v>46.489600000000003</v>
      </c>
      <c r="M20" s="118">
        <f t="shared" si="5"/>
        <v>514.2912</v>
      </c>
      <c r="N20" s="118">
        <f t="shared" si="0"/>
        <v>92.572416000000004</v>
      </c>
      <c r="O20" s="119">
        <f t="shared" si="6"/>
        <v>15.171590399999999</v>
      </c>
      <c r="P20" s="120">
        <f t="shared" si="1"/>
        <v>622.03520639999999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04">
        <f t="shared" si="3"/>
        <v>20.339200000000002</v>
      </c>
      <c r="L21" s="105">
        <f t="shared" si="4"/>
        <v>46.489600000000003</v>
      </c>
      <c r="M21" s="118">
        <f t="shared" si="5"/>
        <v>514.2912</v>
      </c>
      <c r="N21" s="118">
        <f t="shared" si="0"/>
        <v>92.572416000000004</v>
      </c>
      <c r="O21" s="119">
        <f t="shared" si="6"/>
        <v>15.171590399999999</v>
      </c>
      <c r="P21" s="120">
        <f t="shared" si="1"/>
        <v>622.03520639999999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24</v>
      </c>
      <c r="I25" s="137">
        <f t="shared" si="9"/>
        <v>1743.3600000000001</v>
      </c>
      <c r="J25" s="138"/>
      <c r="K25" s="139">
        <f t="shared" si="9"/>
        <v>61.017600000000002</v>
      </c>
      <c r="L25" s="140">
        <f t="shared" si="9"/>
        <v>139.46880000000002</v>
      </c>
      <c r="M25" s="141">
        <f t="shared" si="9"/>
        <v>1542.8735999999999</v>
      </c>
      <c r="N25" s="142">
        <f>SUM(N16:N24)</f>
        <v>277.71724800000004</v>
      </c>
      <c r="O25" s="143">
        <f>SUM(O16:O24)</f>
        <v>45.514771199999998</v>
      </c>
      <c r="P25" s="144">
        <f>SUM(P16:P24)</f>
        <v>1866.1056192000001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1743.3600000000001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139.46880000000002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61.017600000000002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1542.8736000000001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277.71724800000004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1820.5908480000003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45.514771200000013</v>
      </c>
    </row>
    <row r="35" spans="2:16" ht="15.75" customHeight="1" thickBot="1" x14ac:dyDescent="0.4">
      <c r="N35" s="228" t="s">
        <v>92</v>
      </c>
      <c r="O35" s="229"/>
      <c r="P35" s="160">
        <f>P33+P34</f>
        <v>1866.1056192000003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2026-07-17T06:47:23Z</dcterms:modified>
</cp:coreProperties>
</file>