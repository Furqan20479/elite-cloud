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24ABE65-A28D-4834-A167-DB967AD84B8B}" xr6:coauthVersionLast="47" xr6:coauthVersionMax="47" xr10:uidLastSave="{00000000-0000-0000-0000-000000000000}"/>
  <bookViews>
    <workbookView xWindow="-110" yWindow="-110" windowWidth="19420" windowHeight="10420" tabRatio="594" firstSheet="4" activeTab="2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53"/>
  <c r="O20" i="53" s="1"/>
  <c r="P20" i="53" s="1"/>
  <c r="R20" i="53" s="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<sst xmlns="http://schemas.openxmlformats.org/spreadsheetml/2006/main" count="3913" uniqueCount="527">
  <si>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</si>
  <si>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</si>
  <si>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</si>
  <si>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</si>
  <si>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</si>
  <si>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</si>
  <si>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</si>
  <si>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</si>
  <si>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</si>
  <si>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</si>
  <si>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</si>
  <si>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</si>
  <si>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</si>
  <si>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</si>
  <si>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</si>
  <si>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</si>
  <si>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</si>
  <si>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</si>
  <si>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</si>
  <si>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</si>
  <si>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</si>
  <si>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</si>
  <si>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</si>
  <si>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</si>
  <si>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</si>
  <si>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</si>
  <si>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</si>
  <si>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</si>
  <si>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</si>
  <si>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</si>
  <si>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</si>
  <si>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</si>
  <si>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</si>
  <si>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</si>
  <si>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</si>
  <si>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</si>
  <si>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</si>
  <si>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</si>
  <si>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</si>
  <si>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</si>
  <si>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</si>
  <si>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</si>
  <si>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</si>
  <si>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</si>
  <si>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</si>
  <si>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</si>
  <si>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</si>
  <si>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</si>
  <si>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</si>
  <si>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</si>
  <si>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</si>
  <si>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</si>
  <si>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</si>
  <si>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</si>
  <si>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</si>
  <si>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</si>
  <si>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</si>
  <si>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</si>
  <si>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</si>
  <si>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</si>
  <si>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</si>
  <si>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</si>
  <si>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</si>
  <si>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</si>
  <si>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</si>
  <si>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</si>
  <si>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</si>
  <si>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</si>
  <si>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</si>
  <si>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</si>
  <si>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</si>
  <si>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</si>
  <si>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</si>
  <si>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</si>
  <si>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</si>
  <si>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</si>
  <si>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</si>
  <si>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</si>
  <si>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</si>
  <si>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</si>
  <si>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</si>
  <si>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</si>
  <si>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</si>
  <si>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</si>
  <si>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</si>
  <si>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</si>
  <si>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</si>
  <si>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</si>
  <si>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</si>
  <si>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</si>
  <si>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</si>
  <si>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</si>
  <si>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</si>
  <si>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</si>
  <si>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</si>
  <si>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</si>
  <si>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</si>
  <si>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</si>
  <si>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</si>
  <si>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</si>
  <si>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</si>
  <si>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</si>
  <si>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</si>
  <si>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</si>
  <si>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</si>
  <si>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</si>
  <si>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</si>
  <si>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</si>
  <si>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</si>
  <si>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</si>
  <si>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</si>
  <si>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</si>
  <si>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</si>
  <si>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</si>
  <si>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</si>
  <si>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</si>
  <si>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</si>
  <si>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</si>
  <si>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</si>
  <si>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</si>
  <si>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</si>
  <si>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</si>
  <si>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</si>
  <si>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</si>
  <si>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</si>
  <si>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</si>
  <si>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</si>
  <si>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</si>
  <si>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</si>
  <si>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</si>
  <si>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</si>
  <si>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</si>
  <si>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</si>
  <si>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</si>
  <si>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</si>
  <si>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</si>
  <si>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</si>
  <si>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</si>
  <si>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</si>
  <si>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</si>
  <si>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</si>
  <si>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</si>
  <si>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</si>
  <si>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</si>
  <si>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</si>
  <si>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</si>
  <si>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</si>
  <si>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</si>
  <si>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</si>
  <si>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</si>
  <si>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</si>
  <si>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</si>
  <si>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</si>
  <si>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</si>
  <si>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</si>
  <si>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</si>
  <si>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</si>
  <si>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</si>
  <si>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</si>
  <si>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</si>
  <si>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</si>
  <si>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</si>
  <si>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</si>
  <si>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</si>
  <si>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</si>
  <si>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</si>
  <si>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</si>
  <si>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</si>
  <si>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</si>
  <si>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</si>
  <si>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</si>
  <si>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</si>
  <si>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</si>
  <si>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</si>
  <si>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</si>
  <si>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</si>
  <si>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</si>
  <si>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</si>
  <si>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</si>
  <si>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</si>
  <si>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</si>
  <si>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</si>
  <si>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</si>
  <si>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</si>
  <si>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</si>
  <si>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</si>
  <si>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</si>
  <si>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</si>
  <si>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</si>
  <si>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</si>
  <si>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</si>
  <si>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</si>
  <si>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</si>
  <si>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</si>
  <si>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</si>
  <si>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</si>
  <si>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</si>
  <si>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</si>
  <si>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</si>
  <si>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</si>
  <si>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</si>
  <si>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</si>
  <si>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</si>
  <si>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</si>
  <si>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</si>
  <si>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</si>
  <si>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</si>
  <si>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</si>
  <si>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</si>
  <si>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</si>
  <si>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</si>
  <si>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</si>
  <si>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</si>
  <si>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</si>
  <si>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</si>
  <si>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</si>
  <si>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</si>
  <si>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</si>
  <si>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</si>
  <si>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</si>
  <si>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</si>
  <si>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</si>
  <si>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</si>
  <si>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</si>
  <si>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</si>
  <si>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</si>
  <si>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</si>
  <si>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</si>
  <si>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</si>
  <si>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</si>
  <si>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</si>
  <si>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</si>
  <si>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</si>
  <si>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</si>
  <si>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</si>
  <si>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</si>
  <si>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</si>
  <si>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</si>
  <si>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</si>
  <si>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</si>
  <si>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</si>
  <si>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</si>
  <si>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</si>
  <si>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</si>
  <si>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</si>
  <si>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</si>
  <si>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</si>
  <si>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</si>
  <si>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</si>
  <si>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</si>
  <si>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</si>
  <si>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</si>
  <si>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</si>
  <si>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</si>
  <si>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</si>
  <si>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</si>
  <si>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</si>
  <si>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</si>
  <si>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</si>
  <si>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</si>
  <si>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</si>
  <si>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</si>
  <si>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</si>
  <si>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</si>
  <si>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</si>
  <si>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</si>
  <si>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</si>
  <si>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</si>
  <si>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</si>
  <si>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</si>
  <si>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</si>
  <si>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</si>
  <si>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</si>
  <si>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</si>
  <si>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</si>
  <si>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</si>
  <si>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</si>
  <si>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</si>
  <si>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</si>
  <si>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</si>
  <si>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</si>
  <si>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</si>
  <si>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</si>
  <si>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</si>
  <si>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</si>
  <si>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</si>
  <si>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</si>
  <si>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</si>
  <si>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</si>
  <si>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</si>
  <si>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</si>
  <si>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</si>
  <si>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</si>
  <si>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</si>
  <si>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</si>
  <si>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</si>
  <si>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</si>
  <si>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</si>
  <si>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</si>
  <si>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</si>
  <si>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</si>
  <si>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</si>
  <si>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</si>
  <si>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</si>
  <si>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</si>
  <si>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</si>
  <si>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</si>
  <si>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</si>
  <si>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</si>
  <si>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</si>
  <si>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</si>
  <si>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</si>
  <si>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</si>
  <si>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</si>
  <si>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</si>
  <si>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</si>
  <si>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</si>
  <si>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</si>
  <si>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</si>
  <si>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</si>
  <si>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</si>
  <si>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</si>
  <si>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</si>
  <si>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</si>
  <si>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</si>
  <si>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</si>
  <si>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</si>
  <si>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</si>
  <si>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</si>
  <si>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</si>
  <si>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</si>
  <si>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</si>
  <si>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</si>
  <si>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</si>
  <si>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</si>
  <si>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</si>
  <si>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</si>
  <si>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</si>
  <si>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</si>
  <si>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</si>
  <si>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</si>
  <si>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</si>
  <si>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</si>
  <si>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</si>
  <si>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</si>
  <si>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</si>
  <si>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</si>
  <si>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</si>
  <si>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</si>
  <si>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</si>
  <si>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</si>
  <si>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</si>
  <si>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</si>
  <si>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</si>
  <si>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</si>
  <si>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</si>
  <si>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</si>
  <si>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</si>
  <si>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</si>
  <si>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</si>
  <si>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</si>
  <si>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</si>
  <si>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</si>
  <si>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</si>
  <si>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</si>
  <si>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</si>
  <si>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</si>
  <si>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</si>
  <si>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</si>
  <si>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</si>
  <si>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</si>
  <si>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</si>
  <si>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</si>
  <si>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</si>
  <si>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</si>
  <si>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</si>
  <si>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</si>
  <si>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</si>
  <si>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</si>
  <si>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</si>
  <si>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</si>
  <si>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</si>
  <si>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</si>
  <si>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</si>
  <si>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</si>
  <si>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</si>
  <si>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</si>
  <si>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</si>
  <si>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</si>
  <si>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</si>
  <si>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</si>
  <si>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</si>
  <si>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</si>
  <si>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</si>
  <si>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</si>
  <si>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</si>
  <si>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</si>
  <si>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</si>
  <si>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</si>
  <si>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</si>
  <si>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</si>
  <si>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</si>
  <si>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</si>
  <si>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</si>
  <si>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</si>
  <si>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</si>
  <si>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</si>
  <si>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</si>
  <si>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</si>
  <si>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</si>
  <si>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</si>
  <si>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</si>
  <si>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</si>
  <si>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</si>
  <si>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</si>
  <si>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</si>
  <si>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</si>
  <si>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</si>
  <si>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</si>
  <si>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</si>
  <si>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</si>
  <si>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</si>
  <si>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</si>
  <si>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</si>
  <si>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</si>
  <si>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</si>
  <si>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</si>
  <si>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</si>
  <si>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</si>
  <si>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</si>
  <si>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</si>
  <si>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</si>
  <si>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</si>
  <si>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</si>
  <si>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</si>
  <si>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</si>
  <si>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</si>
  <si>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</si>
  <si>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</si>
  <si>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</si>
  <si>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</si>
  <si>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</si>
  <si>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</si>
  <si>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</si>
  <si>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</si>
  <si>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</si>
  <si>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</si>
  <si>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</si>
  <si>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</si>
  <si>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</si>
  <si>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</si>
  <si>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</si>
  <si>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</si>
  <si>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</si>
  <si>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</si>
  <si>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</si>
  <si>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</si>
  <si>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</si>
  <si>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</si>
  <si>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</si>
  <si>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</si>
  <si>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</si>
  <si>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</si>
  <si>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</si>
  <si>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</si>
  <si>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</si>
  <si>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</si>
  <si>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</si>
  <si>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</si>
  <si>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</si>
  <si>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</si>
  <si>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</si>
  <si>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</si>
  <si>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</si>
  <si>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</si>
  <si>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</si>
  <si>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</si>
  <si>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</si>
  <si>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</si>
  <si>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</si>
  <si>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</si>
  <si>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</si>
  <si>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</si>
  <si>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</si>
  <si>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</si>
  <si>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</si>
  <si>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</si>
  <si>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</si>
  <si>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</si>
  <si>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</si>
  <si>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</si>
  <si>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</si>
  <si>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</si>
  <si>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</si>
  <si>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</si>
  <si>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</si>
  <si>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</si>
  <si>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</si>
  <si>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</si>
  <si>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</si>
  <si>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</si>
  <si>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</si>
  <si>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</si>
  <si>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</si>
  <si>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</si>
  <si>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</si>
  <si>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</si>
  <si>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</si>
  <si>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</si>
  <si>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</si>
  <si>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</si>
  <si>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 xml:space="preserve">Adeel Pharmacy </t>
  </si>
  <si>
    <t>Address:DHA</t>
  </si>
  <si>
    <t>Mian Store</t>
  </si>
  <si>
    <t>Sheikh Store</t>
  </si>
  <si>
    <t>Khan Store</t>
  </si>
  <si>
    <t>Nishter Store</t>
  </si>
  <si>
    <t>LAL Store</t>
  </si>
  <si>
    <t>786 Store</t>
  </si>
  <si>
    <t xml:space="preserve">Sharif Mart </t>
  </si>
  <si>
    <t>MS Store</t>
  </si>
  <si>
    <t>Bilal Store</t>
  </si>
  <si>
    <t>Chaudry Store</t>
  </si>
  <si>
    <t xml:space="preserve">Bin Hadi </t>
  </si>
  <si>
    <t>Deen Store</t>
  </si>
  <si>
    <t xml:space="preserve">Value Mart </t>
  </si>
  <si>
    <t>Rana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</si>
</sst>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opLeftCell="A9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510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46238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Adeel Pharmacy </v>
      </c>
      <c r="T3" s="301">
        <f>+'1'!P35</f>
        <v>3099.640539584746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Mian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Sheikh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Khan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Nishter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LAL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786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39</v>
      </c>
      <c r="I10" s="236">
        <f t="shared" si="0"/>
        <v>2832.96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226.63679999999999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99.153600000000012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2507.1696000000002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535.42372881355936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15.212966644067796</v>
      </c>
      <c r="P10" s="119">
        <f t="shared" si="2"/>
        <v>3057.8062954576271</v>
      </c>
      <c r="R10" s="299">
        <v>8</v>
      </c>
      <c r="S10" s="300" t="str">
        <f>+'8'!A6:A6</f>
        <v xml:space="preserve">Sharif Mart </v>
      </c>
      <c r="T10" s="301">
        <f>+'8'!P35</f>
        <v>3934.229496330508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119">
        <f t="shared" si="2"/>
        <v>3920.2644813559323</v>
      </c>
      <c r="R11" s="299">
        <v>9</v>
      </c>
      <c r="S11" s="300" t="str">
        <f>+'9'!A6:A6</f>
        <v>MS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51</v>
      </c>
      <c r="I12" s="236">
        <f t="shared" si="0"/>
        <v>3704.64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296.37119999999999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129.66240000000002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3278.6063999999997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700.16949152542384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19.893879457627119</v>
      </c>
      <c r="P12" s="119">
        <f t="shared" si="2"/>
        <v>3998.6697709830505</v>
      </c>
      <c r="R12" s="299">
        <v>10</v>
      </c>
      <c r="S12" s="300" t="str">
        <f>+'10'!A6:A6</f>
        <v>Bilal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60</v>
      </c>
      <c r="I13" s="236">
        <f t="shared" si="0"/>
        <v>2353.8000000000002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117.69000000000003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82.38300000000001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120.0438</v>
      </c>
      <c r="M13" s="230">
        <f t="shared" si="1"/>
        <v>2033.6832000000002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457.62711864406754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12.45655159322034</v>
      </c>
      <c r="P13" s="119">
        <f t="shared" si="2"/>
        <v>2503.766870237288</v>
      </c>
      <c r="R13" s="299">
        <v>11</v>
      </c>
      <c r="S13" s="300" t="str">
        <f>+'11'!A6:A6</f>
        <v>Chaudry Store</v>
      </c>
      <c r="T13" s="301">
        <f>+'11'!P35</f>
        <v>940.86347552542372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 xml:space="preserve">Bin Hadi </v>
      </c>
      <c r="T14" s="301">
        <f>+'12'!P35</f>
        <v>1881.7269510508474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Deen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7</v>
      </c>
      <c r="H16" s="113">
        <f t="shared" ref="H16:M16" si="3">SUM(H7:H15)</f>
        <v>280</v>
      </c>
      <c r="I16" s="114">
        <f t="shared" si="3"/>
        <v>16720.399999999998</v>
      </c>
      <c r="J16" s="274">
        <f>SUM(J7:J15)</f>
        <v>1267.018</v>
      </c>
      <c r="K16" s="275">
        <f t="shared" si="3"/>
        <v>585.21400000000006</v>
      </c>
      <c r="L16" s="276">
        <f t="shared" si="3"/>
        <v>120.0438</v>
      </c>
      <c r="M16" s="232">
        <f t="shared" si="3"/>
        <v>14748.124199999998</v>
      </c>
      <c r="N16" s="233">
        <f>SUM(N7:N15)</f>
        <v>3172.881355932203</v>
      </c>
      <c r="O16" s="101">
        <f>SUM(O7:O15)</f>
        <v>89.605027779661015</v>
      </c>
      <c r="P16" s="234">
        <f>SUM(P7:P15)</f>
        <v>18010.610583711863</v>
      </c>
      <c r="R16" s="299">
        <v>14</v>
      </c>
      <c r="S16" s="300" t="str">
        <f>+'14'!A6:A6</f>
        <v xml:space="preserve">Value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Rana Store</v>
      </c>
      <c r="T17" s="301">
        <f>+'15'!P35</f>
        <v>3136.2115850847463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16720.399999999998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1267.018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705.25780000000009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14748.124199999998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3172.881355932203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17921.005555932203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89.605027779661015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18010.610583711863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18010.610583711867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A23" sqref="A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7.25" customHeight="1" x14ac:dyDescent="0.4">
      <c r="A6" s="388" t="s">
        <v>511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2883.1000000000004</v>
      </c>
      <c r="J25" s="274">
        <f>SUM(J16:J24)</f>
        <v>207.11</v>
      </c>
      <c r="K25" s="275">
        <f t="shared" si="10"/>
        <v>100.9085</v>
      </c>
      <c r="L25" s="276">
        <f t="shared" si="10"/>
        <v>40.014600000000002</v>
      </c>
      <c r="M25" s="232">
        <f t="shared" si="10"/>
        <v>2535.0669000000003</v>
      </c>
      <c r="N25" s="233">
        <f>SUM(N16:N24)</f>
        <v>549.15254237288104</v>
      </c>
      <c r="O25" s="101">
        <f>SUM(O16:O24)</f>
        <v>15.421097211864407</v>
      </c>
      <c r="P25" s="234">
        <f>SUM(P16:P24)</f>
        <v>3099.640539584746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2883.1000000000004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207.11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140.92310000000001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2535.0669000000003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3084.2194423728815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34" t="s">
        <v>88</v>
      </c>
      <c r="O35" s="335"/>
      <c r="P35" s="297">
        <f>+P33+P34</f>
        <v>3099.640539584746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8.7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Q23" sqref="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519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234">
        <f>SUM(P16:P24)</f>
        <v>3934.2294963305085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3667.7000000000003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246.34000000000003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208.39870000000002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3212.9612999999999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3914.6562152542369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34" t="s">
        <v>88</v>
      </c>
      <c r="O35" s="335"/>
      <c r="P35" s="297">
        <f>+P33+P34</f>
        <v>3934.229496330508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22" sqref="A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435.84000000000003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34.867200000000004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15.254400000000002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385.71840000000003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468.09128135593221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34" t="s">
        <v>88</v>
      </c>
      <c r="O35" s="335"/>
      <c r="P35" s="297">
        <f>+P33+P34</f>
        <v>470.43173776271186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871.68000000000006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69.734400000000008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30.508800000000004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771.43680000000006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936.18256271186442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34" t="s">
        <v>88</v>
      </c>
      <c r="O35" s="335"/>
      <c r="P35" s="297">
        <f>+P33+P34</f>
        <v>940.86347552542372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1743.3600000000001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139.46880000000002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61.017600000000009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1542.8736000000001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1872.3651254237288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34" t="s">
        <v>88</v>
      </c>
      <c r="O35" s="335"/>
      <c r="P35" s="297">
        <f>+P33+P34</f>
        <v>1881.7269510508474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0" workbookViewId="0">
      <selection activeCell="Q23" sqref="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525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526</v>
      </c>
      <c r="B6" s="388"/>
      <c r="C6" s="388"/>
      <c r="F6" s="85"/>
      <c r="G6" s="86"/>
      <c r="K6" s="360" t="s">
        <v>69</v>
      </c>
      <c r="L6" s="360"/>
      <c r="M6" s="360"/>
      <c r="N6" s="389" t="s">
        <v>505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</v>
      </c>
      <c r="I20" s="236">
        <f t="shared" si="0"/>
        <v>1162.24</v>
      </c>
      <c r="J20" s="272">
        <f t="shared" si="1"/>
        <v>92.979200000000006</v>
      </c>
      <c r="K20" s="128">
        <f t="shared" si="1"/>
        <v>40.678400000000003</v>
      </c>
      <c r="L20" s="119">
        <f t="shared" si="1"/>
        <v>0</v>
      </c>
      <c r="M20" s="230">
        <f t="shared" si="2"/>
        <v>1028.5824</v>
      </c>
      <c r="N20" s="277">
        <f t="shared" si="3"/>
        <v>219.66101694915255</v>
      </c>
      <c r="O20" s="239">
        <f t="shared" si="4"/>
        <v>6.2412170847457631</v>
      </c>
      <c r="P20" s="119">
        <f t="shared" si="5"/>
        <v>1254.4846340338984</v>
      </c>
      <c r="R20">
        <f>P20/21</f>
        <v>59.737363525423731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232.44800000000004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3136.2115850847463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tabSelected="1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8.7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503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46237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509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509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46238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46237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2026-08-03T05:00:04Z</dcterms:modified>
</cp:coreProperties>
</file>