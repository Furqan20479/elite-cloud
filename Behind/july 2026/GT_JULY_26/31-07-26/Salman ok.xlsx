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33B34A6-FF5D-480B-B0FC-4ECC4A0726AE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K12" i="62"/>
  <c r="M21" i="44"/>
  <c r="O21" i="44" s="1"/>
  <c r="P21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<sst xmlns="http://schemas.openxmlformats.org/spreadsheetml/2006/main" count="3975" uniqueCount="522">
  <si>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</si>
  <si>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</si>
  <si>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</si>
  <si>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</si>
  <si>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</si>
  <si>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</si>
  <si>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</si>
  <si>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</si>
  <si>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</si>
  <si>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</si>
  <si>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</si>
  <si>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</si>
  <si>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</si>
  <si>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</si>
  <si>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</si>
  <si>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</si>
  <si>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</si>
  <si>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</si>
  <si>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</si>
  <si>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</si>
  <si>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</si>
  <si>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</si>
  <si>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</si>
  <si>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</si>
  <si>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</si>
  <si>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</si>
  <si>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</si>
  <si>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</si>
  <si>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</si>
  <si>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</si>
  <si>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</si>
  <si>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</si>
  <si>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</si>
  <si>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</si>
  <si>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</si>
  <si>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</si>
  <si>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</si>
  <si>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</si>
  <si>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</si>
  <si>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</si>
  <si>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</si>
  <si>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</si>
  <si>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</si>
  <si>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</si>
  <si>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</si>
  <si>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</si>
  <si>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</si>
  <si>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</si>
  <si>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</si>
  <si>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</si>
  <si>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</si>
  <si>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</si>
  <si>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</si>
  <si>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</si>
  <si>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</si>
  <si>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</si>
  <si>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</si>
  <si>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</si>
  <si>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</si>
  <si>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</si>
  <si>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</si>
  <si>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</si>
  <si>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</si>
  <si>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</si>
  <si>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</si>
  <si>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</si>
  <si>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</si>
  <si>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</si>
  <si>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</si>
  <si>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</si>
  <si>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</si>
  <si>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</si>
  <si>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</si>
  <si>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</si>
  <si>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</si>
  <si>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</si>
  <si>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</si>
  <si>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</si>
  <si>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</si>
  <si>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</si>
  <si>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</si>
  <si>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</si>
  <si>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</si>
  <si>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</si>
  <si>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</si>
  <si>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</si>
  <si>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</si>
  <si>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</si>
  <si>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</si>
  <si>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</si>
  <si>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</si>
  <si>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</si>
  <si>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</si>
  <si>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</si>
  <si>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</si>
  <si>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</si>
  <si>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</si>
  <si>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</si>
  <si>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</si>
  <si>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</si>
  <si>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</si>
  <si>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</si>
  <si>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</si>
  <si>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</si>
  <si>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</si>
  <si>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</si>
  <si>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</si>
  <si>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</si>
  <si>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</si>
  <si>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</si>
  <si>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</si>
  <si>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</si>
  <si>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</si>
  <si>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</si>
  <si>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</si>
  <si>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</si>
  <si>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</si>
  <si>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</si>
  <si>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</si>
  <si>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</si>
  <si>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</si>
  <si>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</si>
  <si>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</si>
  <si>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</si>
  <si>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</si>
  <si>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</si>
  <si>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</si>
  <si>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</si>
  <si>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</si>
  <si>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</si>
  <si>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</si>
  <si>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</si>
  <si>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</si>
  <si>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</si>
  <si>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</si>
  <si>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</si>
  <si>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</si>
  <si>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</si>
  <si>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</si>
  <si>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</si>
  <si>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</si>
  <si>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</si>
  <si>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</si>
  <si>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</si>
  <si>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</si>
  <si>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</si>
  <si>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</si>
  <si>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</si>
  <si>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</si>
  <si>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</si>
  <si>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</si>
  <si>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</si>
  <si>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</si>
  <si>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</si>
  <si>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</si>
  <si>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</si>
  <si>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</si>
  <si>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</si>
  <si>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</si>
  <si>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</si>
  <si>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</si>
  <si>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</si>
  <si>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</si>
  <si>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</si>
  <si>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</si>
  <si>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</si>
  <si>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</si>
  <si>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</si>
  <si>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</si>
  <si>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</si>
  <si>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</si>
  <si>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</si>
  <si>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</si>
  <si>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</si>
  <si>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</si>
  <si>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</si>
  <si>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</si>
  <si>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</si>
  <si>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</si>
  <si>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</si>
  <si>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</si>
  <si>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</si>
  <si>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</si>
  <si>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</si>
  <si>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</si>
  <si>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</si>
  <si>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</si>
  <si>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</si>
  <si>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</si>
  <si>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</si>
  <si>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</si>
  <si>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</si>
  <si>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</si>
  <si>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</si>
  <si>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</si>
  <si>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</si>
  <si>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</si>
  <si>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</si>
  <si>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</si>
  <si>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</si>
  <si>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</si>
  <si>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</si>
  <si>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</si>
  <si>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</si>
  <si>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</si>
  <si>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</si>
  <si>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</si>
  <si>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</si>
  <si>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</si>
  <si>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</si>
  <si>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</si>
  <si>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</si>
  <si>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</si>
  <si>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</si>
  <si>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</si>
  <si>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</si>
  <si>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</si>
  <si>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</si>
  <si>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</si>
  <si>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</si>
  <si>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</si>
  <si>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</si>
  <si>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</si>
  <si>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</si>
  <si>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</si>
  <si>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</si>
  <si>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</si>
  <si>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</si>
  <si>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</si>
  <si>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</si>
  <si>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</si>
  <si>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</si>
  <si>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</si>
  <si>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</si>
  <si>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</si>
  <si>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</si>
  <si>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</si>
  <si>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</si>
  <si>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</si>
  <si>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</si>
  <si>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</si>
  <si>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</si>
  <si>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</si>
  <si>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</si>
  <si>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</si>
  <si>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</si>
  <si>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</si>
  <si>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</si>
  <si>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</si>
  <si>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</si>
  <si>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</si>
  <si>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</si>
  <si>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</si>
  <si>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</si>
  <si>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</si>
  <si>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</si>
  <si>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</si>
  <si>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</si>
  <si>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</si>
  <si>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</si>
  <si>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</si>
  <si>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</si>
  <si>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</si>
  <si>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</si>
  <si>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</si>
  <si>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</si>
  <si>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</si>
  <si>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</si>
  <si>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</si>
  <si>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</si>
  <si>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</si>
  <si>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</si>
  <si>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</si>
  <si>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</si>
  <si>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</si>
  <si>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</si>
  <si>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</si>
  <si>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</si>
  <si>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</si>
  <si>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</si>
  <si>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</si>
  <si>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</si>
  <si>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</si>
  <si>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</si>
  <si>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</si>
  <si>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</si>
  <si>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</si>
  <si>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</si>
  <si>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</si>
  <si>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</si>
  <si>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</si>
  <si>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</si>
  <si>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</si>
  <si>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</si>
  <si>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</si>
  <si>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</si>
  <si>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</si>
  <si>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</si>
  <si>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</si>
  <si>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</si>
  <si>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</si>
  <si>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</si>
  <si>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</si>
  <si>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</si>
  <si>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</si>
  <si>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</si>
  <si>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</si>
  <si>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</si>
  <si>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</si>
  <si>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</si>
  <si>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</si>
  <si>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</si>
  <si>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</si>
  <si>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</si>
  <si>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</si>
  <si>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</si>
  <si>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</si>
  <si>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</si>
  <si>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</si>
  <si>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</si>
  <si>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</si>
  <si>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</si>
  <si>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</si>
  <si>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</si>
  <si>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</si>
  <si>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</si>
  <si>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</si>
  <si>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</si>
  <si>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</si>
  <si>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</si>
  <si>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</si>
  <si>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</si>
  <si>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</si>
  <si>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</si>
  <si>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</si>
  <si>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</si>
  <si>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</si>
  <si>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</si>
  <si>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</si>
  <si>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</si>
  <si>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</si>
  <si>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</si>
  <si>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</si>
  <si>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</si>
  <si>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</si>
  <si>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</si>
  <si>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</si>
  <si>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</si>
  <si>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</si>
  <si>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</si>
  <si>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</si>
  <si>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</si>
  <si>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</si>
  <si>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</si>
  <si>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</si>
  <si>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</si>
  <si>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</si>
  <si>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</si>
  <si>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</si>
  <si>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</si>
  <si>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</si>
  <si>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</si>
  <si>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</si>
  <si>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</si>
  <si>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</si>
  <si>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</si>
  <si>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</si>
  <si>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</si>
  <si>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</si>
  <si>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</si>
  <si>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</si>
  <si>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</si>
  <si>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</si>
  <si>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</si>
  <si>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</si>
  <si>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</si>
  <si>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</si>
  <si>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</si>
  <si>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</si>
  <si>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</si>
  <si>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</si>
  <si>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</si>
  <si>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</si>
  <si>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</si>
  <si>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</si>
  <si>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</si>
  <si>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</si>
  <si>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</si>
  <si>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</si>
  <si>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</si>
  <si>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</si>
  <si>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</si>
  <si>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</si>
  <si>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</si>
  <si>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</si>
  <si>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</si>
  <si>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</si>
  <si>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</si>
  <si>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</si>
  <si>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</si>
  <si>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</si>
  <si>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</si>
  <si>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</si>
  <si>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</si>
  <si>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</si>
  <si>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</si>
  <si>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</si>
  <si>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</si>
  <si>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</si>
  <si>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</si>
  <si>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</si>
  <si>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</si>
  <si>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</si>
  <si>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</si>
  <si>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</si>
  <si>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</si>
  <si>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</si>
  <si>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</si>
  <si>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</si>
  <si>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</si>
  <si>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</si>
  <si>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</si>
  <si>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</si>
  <si>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</si>
  <si>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</si>
  <si>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</si>
  <si>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</si>
  <si>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</si>
  <si>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</si>
  <si>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</si>
  <si>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</si>
  <si>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</si>
  <si>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</si>
  <si>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</si>
  <si>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</si>
  <si>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</si>
  <si>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</si>
  <si>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</si>
  <si>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</si>
  <si>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</si>
  <si>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</si>
  <si>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</si>
  <si>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</si>
  <si>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</si>
  <si>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</si>
  <si>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</si>
  <si>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</si>
  <si>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</si>
  <si>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</si>
  <si>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</si>
  <si>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</si>
  <si>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</si>
  <si>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</si>
  <si>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</si>
  <si>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</si>
  <si>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</si>
  <si>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</si>
  <si>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</si>
  <si>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</si>
  <si>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</si>
  <si>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</si>
  <si>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</si>
  <si>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</si>
  <si>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</si>
  <si>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</si>
  <si>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</si>
  <si>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</si>
  <si>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</si>
  <si>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</si>
  <si>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</si>
  <si>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</si>
  <si>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</si>
  <si>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</si>
  <si>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</si>
  <si>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</si>
  <si>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</si>
  <si>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</si>
  <si>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</si>
  <si>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</si>
  <si>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</si>
  <si>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</si>
  <si>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</si>
  <si>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</si>
  <si>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</si>
  <si>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</si>
  <si>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</si>
  <si>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</si>
  <si>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</si>
  <si>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</si>
  <si>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</si>
  <si>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</si>
  <si>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</si>
  <si>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</si>
  <si>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</si>
  <si>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</si>
  <si>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</si>
  <si>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</si>
  <si>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</si>
  <si>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</si>
  <si>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</si>
  <si>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</si>
  <si>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</si>
  <si>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</si>
  <si>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</si>
  <si>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</si>
  <si>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</si>
  <si>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</si>
  <si>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</si>
  <si>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</si>
  <si>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</si>
  <si>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</si>
  <si>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</si>
  <si>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</si>
  <si>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Salman </t>
  </si>
  <si>
    <t>Mughal Store</t>
  </si>
  <si>
    <t xml:space="preserve">Address:Tajbagh </t>
  </si>
  <si>
    <t xml:space="preserve">Ideal Cash &amp; Carry </t>
  </si>
  <si>
    <t xml:space="preserve">Tops Bakers </t>
  </si>
  <si>
    <t>Khan Store</t>
  </si>
  <si>
    <t xml:space="preserve">Address: Tajbagh </t>
  </si>
  <si>
    <t xml:space="preserve">Marwa Mart </t>
  </si>
  <si>
    <t xml:space="preserve">Al Raya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</si>
</sst>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513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Mughal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Ideal Cash &amp; Carry </v>
      </c>
      <c r="T4" s="301">
        <f>+'2'!P35</f>
        <v>3898.3218540559319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Tops Bakers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Khan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Marwa Mart </v>
      </c>
      <c r="T7" s="301">
        <f>+'5'!P35</f>
        <v>12544.846340338983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Al Raya Mart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63</v>
      </c>
      <c r="I10" s="236">
        <f t="shared" si="0"/>
        <v>4576.32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366.10559999999998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160.1712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4050.0431999999996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864.9152542372882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24.574792271186443</v>
      </c>
      <c r="P10" s="311">
        <f t="shared" si="2"/>
        <v>4939.5332465084739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16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48</v>
      </c>
      <c r="I11" s="236">
        <f t="shared" si="0"/>
        <v>3486.7200000000003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278.93760000000003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122.03520000000002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3085.7472000000002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658.98305084745766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18.723651254237289</v>
      </c>
      <c r="P11" s="311">
        <f t="shared" si="2"/>
        <v>3763.4539021016949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155</v>
      </c>
      <c r="I12" s="236">
        <f t="shared" si="0"/>
        <v>11259.2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900.7360000000001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394.072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9964.3919999999998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2127.9661016949153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60.461790508474579</v>
      </c>
      <c r="P12" s="311">
        <f t="shared" si="2"/>
        <v>12152.81989220339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16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52</v>
      </c>
      <c r="I13" s="236">
        <f t="shared" si="0"/>
        <v>2039.9600000000003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101.99800000000002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71.398600000000016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104.03796</v>
      </c>
      <c r="M13" s="230">
        <f t="shared" si="1"/>
        <v>1762.5254400000003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396.6101694915252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10.795678047457628</v>
      </c>
      <c r="P13" s="311">
        <f t="shared" si="2"/>
        <v>2169.9312875389833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8.5500000000000007</v>
      </c>
      <c r="H16" s="113">
        <f t="shared" ref="H16:M16" si="3">SUM(H7:H15)</f>
        <v>342</v>
      </c>
      <c r="I16" s="114">
        <f t="shared" si="3"/>
        <v>22621.3</v>
      </c>
      <c r="J16" s="274">
        <f>SUM(J7:J15)</f>
        <v>1748.5052000000001</v>
      </c>
      <c r="K16" s="275">
        <f t="shared" si="3"/>
        <v>791.74549999999999</v>
      </c>
      <c r="L16" s="276">
        <f t="shared" si="3"/>
        <v>104.03796</v>
      </c>
      <c r="M16" s="232">
        <f t="shared" si="3"/>
        <v>19977.011340000001</v>
      </c>
      <c r="N16" s="233">
        <f>SUM(N7:N15)</f>
        <v>4286.4406779661012</v>
      </c>
      <c r="O16" s="101">
        <f>SUM(O7:O15)</f>
        <v>121.31726008983051</v>
      </c>
      <c r="P16" s="113">
        <f>SUM(P7:P15)</f>
        <v>24384.769278055934</v>
      </c>
      <c r="Q16" s="128">
        <f>SUM(Q7:Q15)</f>
        <v>42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22621.3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1748.5052000000001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895.78345999999999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19977.011340000001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4286.4406779661012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24263.452017966101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121.31726008983051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24384.76927805593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24384.769278055934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11</v>
      </c>
      <c r="I19" s="236">
        <f t="shared" si="0"/>
        <v>799.04</v>
      </c>
      <c r="J19" s="272">
        <f t="shared" si="1"/>
        <v>63.923200000000001</v>
      </c>
      <c r="K19" s="128">
        <f t="shared" si="1"/>
        <v>27.9664</v>
      </c>
      <c r="L19" s="119">
        <f t="shared" si="1"/>
        <v>0</v>
      </c>
      <c r="M19" s="230">
        <f t="shared" si="2"/>
        <v>707.15039999999999</v>
      </c>
      <c r="N19" s="277">
        <f t="shared" si="3"/>
        <v>151.0169491525424</v>
      </c>
      <c r="O19" s="239">
        <f t="shared" si="4"/>
        <v>4.2908367457627117</v>
      </c>
      <c r="P19" s="311">
        <f t="shared" si="5"/>
        <v>862.45818589830503</v>
      </c>
      <c r="Q19" s="15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311">
        <f t="shared" si="5"/>
        <v>627.24231701694919</v>
      </c>
      <c r="Q20" s="156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62</v>
      </c>
      <c r="I25" s="114">
        <f t="shared" si="7"/>
        <v>3618.5</v>
      </c>
      <c r="J25" s="274">
        <f>SUM(J16:J24)</f>
        <v>275.35719999999998</v>
      </c>
      <c r="K25" s="275">
        <f t="shared" si="7"/>
        <v>126.64750000000001</v>
      </c>
      <c r="L25" s="276">
        <f t="shared" si="7"/>
        <v>24.008760000000002</v>
      </c>
      <c r="M25" s="232">
        <f t="shared" si="7"/>
        <v>3192.4865400000003</v>
      </c>
      <c r="N25" s="233">
        <f>SUM(N16:N24)</f>
        <v>686.44067796610159</v>
      </c>
      <c r="O25" s="101">
        <f>SUM(O16:O24)</f>
        <v>19.394636089830509</v>
      </c>
      <c r="P25" s="113">
        <f>SUM(P16:P24)</f>
        <v>3898.3218540559324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3618.5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275.35719999999998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150.65626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3192.4865399999999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686.44067796610159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3878.9272179661016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19.394636089830509</v>
      </c>
    </row>
    <row r="35" spans="2:16" ht="15.75" customHeight="1" thickBot="1" x14ac:dyDescent="0.4">
      <c r="N35" s="342" t="s">
        <v>88</v>
      </c>
      <c r="O35" s="343"/>
      <c r="P35" s="297">
        <f>+P33+P34</f>
        <v>3898.3218540559319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8.7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</v>
      </c>
      <c r="I21" s="236">
        <f t="shared" si="0"/>
        <v>2033.92</v>
      </c>
      <c r="J21" s="272">
        <f t="shared" si="1"/>
        <v>162.71360000000001</v>
      </c>
      <c r="K21" s="128">
        <f t="shared" si="1"/>
        <v>71.187200000000004</v>
      </c>
      <c r="L21" s="119">
        <f t="shared" si="1"/>
        <v>0</v>
      </c>
      <c r="M21" s="230">
        <f t="shared" si="2"/>
        <v>1800.0192000000002</v>
      </c>
      <c r="N21" s="277">
        <f t="shared" si="3"/>
        <v>384.40677966101697</v>
      </c>
      <c r="O21" s="239">
        <f t="shared" si="4"/>
        <v>10.922129898305085</v>
      </c>
      <c r="P21" s="311">
        <f t="shared" si="5"/>
        <v>2195.3481095593224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3136.2115850847463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113">
        <f>SUM(P16:P24)</f>
        <v>12544.846340338983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11622.4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929.79200000000003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406.78400000000005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10285.824000000001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12482.434169491526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2" t="s">
        <v>88</v>
      </c>
      <c r="O35" s="343"/>
      <c r="P35" s="297">
        <f>+P33+P34</f>
        <v>12544.846340338983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2026-08-01T05:15:11Z</dcterms:modified>
</cp:coreProperties>
</file>