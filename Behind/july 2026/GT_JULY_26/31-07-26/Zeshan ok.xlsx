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0CFAD0-7128-42AE-98AA-F66AB8CC51F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J7" i="62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<sst xmlns="http://schemas.openxmlformats.org/spreadsheetml/2006/main" count="3975" uniqueCount="526">
  <si>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</si>
  <si>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</si>
  <si>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</si>
  <si>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</si>
  <si>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</si>
  <si>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</si>
  <si>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</si>
  <si>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</si>
  <si>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</si>
  <si>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</si>
  <si>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</si>
  <si>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</si>
  <si>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</si>
  <si>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</si>
  <si>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</si>
  <si>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</si>
  <si>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</si>
  <si>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</si>
  <si>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</si>
  <si>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</si>
  <si>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</si>
  <si>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</si>
  <si>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</si>
  <si>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</si>
  <si>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</si>
  <si>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</si>
  <si>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</si>
  <si>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</si>
  <si>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</si>
  <si>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</si>
  <si>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</si>
  <si>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</si>
  <si>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</si>
  <si>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</si>
  <si>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</si>
  <si>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</si>
  <si>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</si>
  <si>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</si>
  <si>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</si>
  <si>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</si>
  <si>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</si>
  <si>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</si>
  <si>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</si>
  <si>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</si>
  <si>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</si>
  <si>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</si>
  <si>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</si>
  <si>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</si>
  <si>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</si>
  <si>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</si>
  <si>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</si>
  <si>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</si>
  <si>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</si>
  <si>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</si>
  <si>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</si>
  <si>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</si>
  <si>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</si>
  <si>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</si>
  <si>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</si>
  <si>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</si>
  <si>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</si>
  <si>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</si>
  <si>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</si>
  <si>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</si>
  <si>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</si>
  <si>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</si>
  <si>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</si>
  <si>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</si>
  <si>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</si>
  <si>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</si>
  <si>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</si>
  <si>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</si>
  <si>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</si>
  <si>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</si>
  <si>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</si>
  <si>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</si>
  <si>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</si>
  <si>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</si>
  <si>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</si>
  <si>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</si>
  <si>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</si>
  <si>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</si>
  <si>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</si>
  <si>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</si>
  <si>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</si>
  <si>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</si>
  <si>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</si>
  <si>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</si>
  <si>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</si>
  <si>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</si>
  <si>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</si>
  <si>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</si>
  <si>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</si>
  <si>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</si>
  <si>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</si>
  <si>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</si>
  <si>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</si>
  <si>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</si>
  <si>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</si>
  <si>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</si>
  <si>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</si>
  <si>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</si>
  <si>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</si>
  <si>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</si>
  <si>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</si>
  <si>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</si>
  <si>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</si>
  <si>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</si>
  <si>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</si>
  <si>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</si>
  <si>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</si>
  <si>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</si>
  <si>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</si>
  <si>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</si>
  <si>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</si>
  <si>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</si>
  <si>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</si>
  <si>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</si>
  <si>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</si>
  <si>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</si>
  <si>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</si>
  <si>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</si>
  <si>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</si>
  <si>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</si>
  <si>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</si>
  <si>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</si>
  <si>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</si>
  <si>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</si>
  <si>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</si>
  <si>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</si>
  <si>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</si>
  <si>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</si>
  <si>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</si>
  <si>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</si>
  <si>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</si>
  <si>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</si>
  <si>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</si>
  <si>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</si>
  <si>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</si>
  <si>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</si>
  <si>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</si>
  <si>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</si>
  <si>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</si>
  <si>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</si>
  <si>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</si>
  <si>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</si>
  <si>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</si>
  <si>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</si>
  <si>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</si>
  <si>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</si>
  <si>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</si>
  <si>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</si>
  <si>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</si>
  <si>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</si>
  <si>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</si>
  <si>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</si>
  <si>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</si>
  <si>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</si>
  <si>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</si>
  <si>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</si>
  <si>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</si>
  <si>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</si>
  <si>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</si>
  <si>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</si>
  <si>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</si>
  <si>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</si>
  <si>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</si>
  <si>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</si>
  <si>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</si>
  <si>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</si>
  <si>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</si>
  <si>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</si>
  <si>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</si>
  <si>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</si>
  <si>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</si>
  <si>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</si>
  <si>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</si>
  <si>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</si>
  <si>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</si>
  <si>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</si>
  <si>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</si>
  <si>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</si>
  <si>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</si>
  <si>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</si>
  <si>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</si>
  <si>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</si>
  <si>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</si>
  <si>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</si>
  <si>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</si>
  <si>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</si>
  <si>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</si>
  <si>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</si>
  <si>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</si>
  <si>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</si>
  <si>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</si>
  <si>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</si>
  <si>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</si>
  <si>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</si>
  <si>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</si>
  <si>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</si>
  <si>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</si>
  <si>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</si>
  <si>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</si>
  <si>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</si>
  <si>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</si>
  <si>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</si>
  <si>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</si>
  <si>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</si>
  <si>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</si>
  <si>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</si>
  <si>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</si>
  <si>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</si>
  <si>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</si>
  <si>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</si>
  <si>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</si>
  <si>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</si>
  <si>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</si>
  <si>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</si>
  <si>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</si>
  <si>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</si>
  <si>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</si>
  <si>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</si>
  <si>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</si>
  <si>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</si>
  <si>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</si>
  <si>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</si>
  <si>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</si>
  <si>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</si>
  <si>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</si>
  <si>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</si>
  <si>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</si>
  <si>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</si>
  <si>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</si>
  <si>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</si>
  <si>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</si>
  <si>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</si>
  <si>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</si>
  <si>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</si>
  <si>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</si>
  <si>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</si>
  <si>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</si>
  <si>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</si>
  <si>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</si>
  <si>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</si>
  <si>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</si>
  <si>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</si>
  <si>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</si>
  <si>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</si>
  <si>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</si>
  <si>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</si>
  <si>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</si>
  <si>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</si>
  <si>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</si>
  <si>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</si>
  <si>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</si>
  <si>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</si>
  <si>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</si>
  <si>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</si>
  <si>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</si>
  <si>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</si>
  <si>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</si>
  <si>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</si>
  <si>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</si>
  <si>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</si>
  <si>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</si>
  <si>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</si>
  <si>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</si>
  <si>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</si>
  <si>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</si>
  <si>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</si>
  <si>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</si>
  <si>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</si>
  <si>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</si>
  <si>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</si>
  <si>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</si>
  <si>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</si>
  <si>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</si>
  <si>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</si>
  <si>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</si>
  <si>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</si>
  <si>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</si>
  <si>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</si>
  <si>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</si>
  <si>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</si>
  <si>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</si>
  <si>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</si>
  <si>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</si>
  <si>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</si>
  <si>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</si>
  <si>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</si>
  <si>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</si>
  <si>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</si>
  <si>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</si>
  <si>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</si>
  <si>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</si>
  <si>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</si>
  <si>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</si>
  <si>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</si>
  <si>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</si>
  <si>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</si>
  <si>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</si>
  <si>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</si>
  <si>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</si>
  <si>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</si>
  <si>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</si>
  <si>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</si>
  <si>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</si>
  <si>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</si>
  <si>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</si>
  <si>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</si>
  <si>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</si>
  <si>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</si>
  <si>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</si>
  <si>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</si>
  <si>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</si>
  <si>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</si>
  <si>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</si>
  <si>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</si>
  <si>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</si>
  <si>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</si>
  <si>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</si>
  <si>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</si>
  <si>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</si>
  <si>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</si>
  <si>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</si>
  <si>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</si>
  <si>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</si>
  <si>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</si>
  <si>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</si>
  <si>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</si>
  <si>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</si>
  <si>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</si>
  <si>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</si>
  <si>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</si>
  <si>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</si>
  <si>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</si>
  <si>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</si>
  <si>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</si>
  <si>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</si>
  <si>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</si>
  <si>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</si>
  <si>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</si>
  <si>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</si>
  <si>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</si>
  <si>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</si>
  <si>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</si>
  <si>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</si>
  <si>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</si>
  <si>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</si>
  <si>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</si>
  <si>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</si>
  <si>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</si>
  <si>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</si>
  <si>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</si>
  <si>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</si>
  <si>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</si>
  <si>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</si>
  <si>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</si>
  <si>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</si>
  <si>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</si>
  <si>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</si>
  <si>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</si>
  <si>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</si>
  <si>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</si>
  <si>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</si>
  <si>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</si>
  <si>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</si>
  <si>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</si>
  <si>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</si>
  <si>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</si>
  <si>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</si>
  <si>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</si>
  <si>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</si>
  <si>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</si>
  <si>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</si>
  <si>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</si>
  <si>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</si>
  <si>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</si>
  <si>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</si>
  <si>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</si>
  <si>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</si>
  <si>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</si>
  <si>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</si>
  <si>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</si>
  <si>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</si>
  <si>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</si>
  <si>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</si>
  <si>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</si>
  <si>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</si>
  <si>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</si>
  <si>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</si>
  <si>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</si>
  <si>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</si>
  <si>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</si>
  <si>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</si>
  <si>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</si>
  <si>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</si>
  <si>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</si>
  <si>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</si>
  <si>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</si>
  <si>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</si>
  <si>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</si>
  <si>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</si>
  <si>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</si>
  <si>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</si>
  <si>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</si>
  <si>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</si>
  <si>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</si>
  <si>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</si>
  <si>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</si>
  <si>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</si>
  <si>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</si>
  <si>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</si>
  <si>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</si>
  <si>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</si>
  <si>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</si>
  <si>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</si>
  <si>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</si>
  <si>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</si>
  <si>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</si>
  <si>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</si>
  <si>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</si>
  <si>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</si>
  <si>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</si>
  <si>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</si>
  <si>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</si>
  <si>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</si>
  <si>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</si>
  <si>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</si>
  <si>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</si>
  <si>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</si>
  <si>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</si>
  <si>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</si>
  <si>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</si>
  <si>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</si>
  <si>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</si>
  <si>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</si>
  <si>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</si>
  <si>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</si>
  <si>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</si>
  <si>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</si>
  <si>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</si>
  <si>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</si>
  <si>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</si>
  <si>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</si>
  <si>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</si>
  <si>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</si>
  <si>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</si>
  <si>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</si>
  <si>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</si>
  <si>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</si>
  <si>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</si>
  <si>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</si>
  <si>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</si>
  <si>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</si>
  <si>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</si>
  <si>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</si>
  <si>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</si>
  <si>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</si>
  <si>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</si>
  <si>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</si>
  <si>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</si>
  <si>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</si>
  <si>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</si>
  <si>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</si>
  <si>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</si>
  <si>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</si>
  <si>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</si>
  <si>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</si>
  <si>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</si>
  <si>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</si>
  <si>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</si>
  <si>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</si>
  <si>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</si>
  <si>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</si>
  <si>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</si>
  <si>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</si>
  <si>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</si>
  <si>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</si>
  <si>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</si>
  <si>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</si>
  <si>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</si>
  <si>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</si>
  <si>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</si>
  <si>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</si>
  <si>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</si>
  <si>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</si>
  <si>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</si>
  <si>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</si>
  <si>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</si>
  <si>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</si>
  <si>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</si>
  <si>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</si>
  <si>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</si>
  <si>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</si>
  <si>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</si>
  <si>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</si>
  <si>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</si>
  <si>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</si>
  <si>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</si>
  <si>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</si>
  <si>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</si>
  <si>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</si>
  <si>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</si>
  <si>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</si>
  <si>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</si>
  <si>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</si>
  <si>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</si>
  <si>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</si>
  <si>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</si>
  <si>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</si>
  <si>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</si>
  <si>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</si>
  <si>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Zeshan</t>
  </si>
  <si>
    <t>Ahmad Store</t>
  </si>
  <si>
    <t>Address:Peer Colony</t>
  </si>
  <si>
    <t xml:space="preserve">Rana Mart </t>
  </si>
  <si>
    <t>Address: Peer Colony</t>
  </si>
  <si>
    <t>Madina Store</t>
  </si>
  <si>
    <t>Al Barkat Store</t>
  </si>
  <si>
    <t>Raza Store</t>
  </si>
  <si>
    <t>Rehman Store</t>
  </si>
  <si>
    <t>Sohail Store</t>
  </si>
  <si>
    <t>Rehmat Store</t>
  </si>
  <si>
    <t>Bravo Store</t>
  </si>
  <si>
    <t xml:space="preserve">Progressive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</si>
</sst>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Q1" sqref="Q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Ahmad Store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Rana Mart </v>
      </c>
      <c r="T4" s="301">
        <f>+'2'!P35</f>
        <v>1598.4274288271188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Madina Store</v>
      </c>
      <c r="T5" s="301">
        <f>+'3'!P35</f>
        <v>4805.3894985762709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Al Barkat Store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>Raza Store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4">
        <v>6</v>
      </c>
      <c r="S8" s="300" t="str">
        <f>+'6'!A6:A6</f>
        <v>Rehman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Sohail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85</v>
      </c>
      <c r="I10" s="236">
        <f t="shared" si="0"/>
        <v>6174.4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493.952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216.10400000000001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5464.3439999999991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1166.949152542373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33.156465762711861</v>
      </c>
      <c r="P10" s="311">
        <f t="shared" si="2"/>
        <v>6664.4496183050842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70</v>
      </c>
      <c r="R10" s="314">
        <v>8</v>
      </c>
      <c r="S10" s="300" t="str">
        <f>+'8'!A6:A6</f>
        <v>Rehmat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</v>
      </c>
      <c r="I11" s="236">
        <f t="shared" si="0"/>
        <v>3196.16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255.69280000000001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111.86560000000001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2828.6016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604.06779661016947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17.163346983050847</v>
      </c>
      <c r="P11" s="311">
        <f t="shared" si="2"/>
        <v>3449.8327435932201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48</v>
      </c>
      <c r="R11" s="314">
        <v>9</v>
      </c>
      <c r="S11" s="300" t="str">
        <f>+'9'!A6:A6</f>
        <v>Bravo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165</v>
      </c>
      <c r="I12" s="236">
        <f t="shared" si="0"/>
        <v>11985.6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958.84799999999996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419.49600000000009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10607.256000000001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2265.2542372881358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64.362551186440683</v>
      </c>
      <c r="P12" s="311">
        <f t="shared" si="2"/>
        <v>12936.872788474579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4">
        <v>10</v>
      </c>
      <c r="S12" s="300" t="str">
        <f>+'10'!A6:A6</f>
        <v xml:space="preserve">Progressive Mart 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11.65</v>
      </c>
      <c r="H16" s="113">
        <f t="shared" ref="H16:M16" si="3">SUM(H7:H15)</f>
        <v>466</v>
      </c>
      <c r="I16" s="114">
        <f t="shared" si="3"/>
        <v>28633.02</v>
      </c>
      <c r="J16" s="274">
        <f>SUM(J7:J15)</f>
        <v>2135.2908000000002</v>
      </c>
      <c r="K16" s="275">
        <f t="shared" si="3"/>
        <v>1002.1557000000003</v>
      </c>
      <c r="L16" s="276">
        <f t="shared" si="3"/>
        <v>264.09636</v>
      </c>
      <c r="M16" s="232">
        <f t="shared" si="3"/>
        <v>25231.477140000003</v>
      </c>
      <c r="N16" s="233">
        <f>SUM(N7:N15)</f>
        <v>5439.6610169491523</v>
      </c>
      <c r="O16" s="101">
        <f>SUM(O7:O15)</f>
        <v>153.35569078474578</v>
      </c>
      <c r="P16" s="113">
        <f>SUM(P7:P15)</f>
        <v>30824.493847733902</v>
      </c>
      <c r="Q16" s="128">
        <f>SUM(Q7:Q15)</f>
        <v>206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28633.02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2135.2908000000002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1266.2520600000003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25231.477140000003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5439.6610169491523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30671.138156949157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153.35569078474578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30824.493847733902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30824.493847733895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>
        <v>8</v>
      </c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26</v>
      </c>
      <c r="I25" s="114">
        <f t="shared" si="7"/>
        <v>1487.72</v>
      </c>
      <c r="J25" s="274">
        <f>SUM(J16:J24)</f>
        <v>104.8948</v>
      </c>
      <c r="K25" s="275">
        <f t="shared" si="7"/>
        <v>52.070200000000007</v>
      </c>
      <c r="L25" s="276">
        <f t="shared" si="7"/>
        <v>24.008760000000002</v>
      </c>
      <c r="M25" s="232">
        <f t="shared" si="7"/>
        <v>1306.7462400000002</v>
      </c>
      <c r="N25" s="233">
        <f>SUM(N16:N24)</f>
        <v>283.72881355932202</v>
      </c>
      <c r="O25" s="101">
        <f>SUM(O16:O24)</f>
        <v>7.9523752677966097</v>
      </c>
      <c r="P25" s="113">
        <f>SUM(P16:P24)</f>
        <v>1598.4274288271185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1487.72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104.8948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76.078960000000009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1306.7462399999999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1590.4750535593221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7.9523752677966106</v>
      </c>
    </row>
    <row r="35" spans="2:16" ht="15.75" customHeight="1" thickBot="1" x14ac:dyDescent="0.4">
      <c r="N35" s="371" t="s">
        <v>88</v>
      </c>
      <c r="O35" s="372"/>
      <c r="P35" s="297">
        <f>+P33+P34</f>
        <v>1598.4274288271188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400.32800000000003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4428.6284999999998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5374.3912118644066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2026-07-31T11:30:28Z</dcterms:modified>
</cp:coreProperties>
</file>