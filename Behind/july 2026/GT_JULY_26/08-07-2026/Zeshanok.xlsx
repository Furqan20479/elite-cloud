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2F29C804-6A54-4A2B-AD6B-434C233F8B43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22" i="17" l="1"/>
  <c r="K22" i="19"/>
  <c r="K22" i="18"/>
  <c r="K22" i="20"/>
  <c r="K22" i="21"/>
  <c r="K22" i="23"/>
  <c r="K22" i="24"/>
  <c r="K22" i="25"/>
  <c r="K22" i="26"/>
  <c r="K22" i="27"/>
  <c r="K22" i="28"/>
  <c r="K22" i="29"/>
  <c r="K22" i="30"/>
  <c r="K22" i="31"/>
  <c r="K22" i="32"/>
  <c r="K22" i="33"/>
  <c r="K22" i="34"/>
  <c r="K22" i="35"/>
  <c r="K22" i="16"/>
  <c r="L22" i="17"/>
  <c r="L22" i="19"/>
  <c r="L22" i="18"/>
  <c r="L22" i="20"/>
  <c r="L22" i="21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18" i="17"/>
  <c r="K20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7" i="23"/>
  <c r="K18" i="23"/>
  <c r="K19" i="23"/>
  <c r="K20" i="23"/>
  <c r="K21" i="23"/>
  <c r="K18" i="24"/>
  <c r="K19" i="24"/>
  <c r="K20" i="24"/>
  <c r="K21" i="24"/>
  <c r="K18" i="25"/>
  <c r="K20" i="25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9"/>
  <c r="K16" i="18"/>
  <c r="K16" i="20"/>
  <c r="K16" i="21"/>
  <c r="K16" i="22"/>
  <c r="K16" i="24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M22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L17" i="26" l="1"/>
  <c r="N24" i="34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2" i="22" l="1"/>
  <c r="L22" i="22"/>
  <c r="P33" i="32"/>
  <c r="N25" i="34"/>
  <c r="P32" i="34" s="1"/>
  <c r="P33" i="34" s="1"/>
  <c r="P34" i="34" s="1"/>
  <c r="P35" i="34" s="1"/>
  <c r="U32" i="15" s="1"/>
  <c r="P24" i="34"/>
  <c r="I16" i="25"/>
  <c r="K16" i="25" s="1"/>
  <c r="I17" i="25"/>
  <c r="K17" i="25" s="1"/>
  <c r="I18" i="25"/>
  <c r="I19" i="25"/>
  <c r="K19" i="25" s="1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K16" i="17" s="1"/>
  <c r="I17" i="17"/>
  <c r="K17" i="17" s="1"/>
  <c r="I18" i="17"/>
  <c r="I19" i="17"/>
  <c r="K19" i="17" s="1"/>
  <c r="I20" i="17"/>
  <c r="I21" i="17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5" l="1"/>
  <c r="K21" i="25"/>
  <c r="L17" i="24"/>
  <c r="K17" i="24"/>
  <c r="K25" i="24" s="1"/>
  <c r="P30" i="24" s="1"/>
  <c r="L16" i="23"/>
  <c r="K16" i="23"/>
  <c r="L21" i="17"/>
  <c r="K21" i="17"/>
  <c r="L24" i="17"/>
  <c r="M21" i="19"/>
  <c r="K23" i="24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M17" i="24" l="1"/>
  <c r="N17" i="24" s="1"/>
  <c r="O17" i="24" s="1"/>
  <c r="L17" i="16"/>
  <c r="M23" i="22"/>
  <c r="N23" i="22" s="1"/>
  <c r="O23" i="22" s="1"/>
  <c r="P23" i="22" s="1"/>
  <c r="L21" i="16"/>
  <c r="L21" i="15" s="1"/>
  <c r="K25" i="19"/>
  <c r="P30" i="19" s="1"/>
  <c r="P31" i="19" s="1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19" i="18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<sst xmlns="http://schemas.openxmlformats.org/spreadsheetml/2006/main" count="1640" uniqueCount="144">
  <si>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</si>
  <si>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</si>
  <si>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</si>
  <si>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</si>
  <si>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</si>
  <si>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</si>
  <si>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</si>
  <si>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</si>
  <si>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</si>
  <si>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</si>
  <si>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</si>
  <si>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</si>
  <si>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</si>
  <si>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</si>
  <si>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</si>
  <si>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</si>
  <si>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</si>
  <si>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</si>
  <si>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</si>
  <si>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</si>
  <si>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</si>
  <si>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</si>
  <si>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</si>
  <si>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</si>
  <si>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</si>
  <si>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</si>
  <si>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</si>
  <si>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</si>
  <si>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</si>
  <si>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</si>
  <si>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</si>
  <si>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</si>
  <si>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</si>
  <si>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</si>
  <si>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</si>
  <si>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</si>
  <si>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</si>
  <si>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</si>
  <si>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</si>
  <si>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</si>
  <si>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</si>
  <si>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</si>
  <si>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</si>
  <si>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</si>
  <si>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</si>
  <si>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</si>
  <si>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</si>
  <si>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</si>
  <si>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</si>
  <si>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</si>
  <si>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</si>
  <si>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</si>
  <si>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</si>
  <si>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</si>
  <si>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</si>
  <si>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</si>
  <si>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</si>
  <si>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</si>
  <si>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</si>
  <si>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</si>
  <si>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</si>
  <si>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</si>
  <si>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</si>
  <si>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</si>
  <si>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</si>
  <si>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</si>
  <si>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</si>
  <si>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</si>
  <si>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</si>
  <si>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</si>
  <si>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</si>
  <si>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</si>
  <si>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</si>
  <si>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</si>
  <si>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</si>
  <si>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</si>
  <si>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</si>
  <si>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</si>
  <si>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</si>
  <si>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</si>
  <si>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</si>
  <si>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</si>
  <si>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</si>
  <si>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</si>
  <si>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</si>
  <si>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</si>
  <si>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</si>
  <si>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</si>
  <si>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</si>
  <si>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</si>
  <si>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</si>
  <si>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</si>
  <si>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</si>
  <si>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</si>
  <si>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</si>
  <si>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</si>
  <si>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</si>
  <si>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</si>
  <si>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</si>
  <si>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</si>
  <si>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</si>
  <si>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</si>
  <si>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</si>
  <si>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</si>
  <si>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</si>
  <si>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</si>
  <si>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</si>
  <si>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</si>
  <si>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</si>
  <si>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</si>
  <si>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</si>
  <si>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</si>
  <si>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</si>
  <si>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</si>
  <si>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</si>
  <si>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</si>
  <si>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</si>
  <si>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</si>
  <si>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</si>
  <si>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</si>
  <si>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Zeshan </t>
  </si>
  <si>
    <t>Shop Bill Summary (Zeshan)</t>
  </si>
  <si>
    <t xml:space="preserve">Customer Name : Raza Mart </t>
  </si>
  <si>
    <t xml:space="preserve">Address: Ali Park </t>
  </si>
  <si>
    <t>1302558-9</t>
  </si>
  <si>
    <t>Customer Name : Euro Store</t>
  </si>
  <si>
    <t>Address: Nadra Abad</t>
  </si>
  <si>
    <t>6616156-4</t>
  </si>
  <si>
    <t>Customer Name : Nishat Store</t>
  </si>
  <si>
    <t>Address: Nishat Colony</t>
  </si>
  <si>
    <t>565553-4</t>
  </si>
  <si>
    <t>Customer Name : Khan Store</t>
  </si>
  <si>
    <t>Address: Nishat</t>
  </si>
  <si>
    <t>Customer Name : LaL Store</t>
  </si>
  <si>
    <t xml:space="preserve">Address: Nishat </t>
  </si>
  <si>
    <t>F259821-1</t>
  </si>
  <si>
    <t>Customer Name : Mian Store</t>
  </si>
  <si>
    <t>Customer Name : Shareef Mart</t>
  </si>
  <si>
    <t>9616030-7</t>
  </si>
  <si>
    <t>Customer Name : Chaudry Store</t>
  </si>
  <si>
    <t>Customer Name : MS Store</t>
  </si>
  <si>
    <t>Customer Name : 786 Store</t>
  </si>
  <si>
    <t>8058676-4</t>
  </si>
  <si>
    <t>Customer Name : Bilal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</si>
</sst>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sqref="A1:P3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sqref="A1:P36"/>
      <selection pane="topRight" sqref="A1:P36"/>
      <selection pane="bottomLeft" sqref="A1:P36"/>
      <selection pane="bottomRight" sqref="A1:Y3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zoomScale="70" zoomScaleNormal="70" workbookViewId="0">
      <selection activeCell="T6" sqref="T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Raza Mart </v>
      </c>
      <c r="U14" s="164">
        <f>+'1'!P35</f>
        <v>3049.4896703999998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Euro Store</v>
      </c>
      <c r="U15" s="164">
        <f>+'2'!P35</f>
        <v>15755.73161445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90</v>
      </c>
      <c r="I16" s="1">
        <f>(G16*D16)*F16+H16*F16</f>
        <v>4721.625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128.53312500000001</v>
      </c>
      <c r="L16" s="175">
        <f>+'1'!L16+'2'!L16+'4'!L16+'3'!L16+'5'!L16+'6'!L16+'7'!L16+'8'!L16+'9'!L16+'10'!L16</f>
        <v>293.78999999999996</v>
      </c>
      <c r="M16" s="106">
        <f>I16-K16-L16</f>
        <v>4299.3018750000001</v>
      </c>
      <c r="N16" s="101">
        <f>+'1'!N16+'2'!N16+'4'!N16+'3'!N16+'5'!N16+'6'!N16+'7'!N16+'8'!N16+'9'!N16+'10'!N16</f>
        <v>603.58106250000003</v>
      </c>
      <c r="O16" s="101">
        <f>+'1'!O16+'2'!O16+'4'!O16+'3'!O16+'5'!O16+'6'!O16+'7'!O16+'8'!O16+'9'!O16+'10'!O16</f>
        <v>19.268164687500001</v>
      </c>
      <c r="P16" s="105">
        <f t="shared" ref="P16:P24" si="0">M16+N16+O16</f>
        <v>4922.1511021875003</v>
      </c>
      <c r="Q16" s="108"/>
      <c r="T16" s="163" t="str">
        <f>+'3'!A5</f>
        <v>Customer Name : Nishat Store</v>
      </c>
      <c r="U16" s="164">
        <f>+'3'!P35</f>
        <v>415.58316192000012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130</v>
      </c>
      <c r="I17" s="1">
        <f t="shared" ref="I17:I23" si="1">(G17*D17)*F17+H17*F17</f>
        <v>6820.125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201.980625</v>
      </c>
      <c r="L17" s="175">
        <f>+'1'!L17+'2'!L17+'4'!L17+'3'!L17+'5'!L17+'6'!L17+'7'!L17+'8'!L17+'9'!L17+'10'!L17</f>
        <v>461.67</v>
      </c>
      <c r="M17" s="118">
        <f t="shared" ref="M17:M23" si="2">I17-K17-L17</f>
        <v>6156.4743749999998</v>
      </c>
      <c r="N17" s="101">
        <f>+'1'!N17+'2'!N17+'4'!N17+'3'!N17+'5'!N17+'6'!N17+'7'!N17+'8'!N17+'9'!N17+'10'!N17</f>
        <v>937.87211249999996</v>
      </c>
      <c r="O17" s="101">
        <f>+'1'!O17+'2'!O17+'4'!O17+'3'!O17+'5'!O17+'6'!O17+'7'!O17+'8'!O17+'9'!O17+'10'!O17</f>
        <v>30.225482437499998</v>
      </c>
      <c r="P17" s="120">
        <f t="shared" si="0"/>
        <v>7124.5719699375004</v>
      </c>
      <c r="S17" s="64"/>
      <c r="T17" s="163" t="str">
        <f>+'4'!A5</f>
        <v>Customer Name : Khan Store</v>
      </c>
      <c r="U17" s="164">
        <f>+'4'!P35</f>
        <v>415.58316192000012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LaL Store</v>
      </c>
      <c r="U18" s="164">
        <f>+'5'!P35</f>
        <v>415.58316192000012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115</v>
      </c>
      <c r="I19" s="1">
        <f t="shared" si="1"/>
        <v>8353.6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292.37600000000003</v>
      </c>
      <c r="L19" s="175">
        <f>+'1'!L19+'2'!L19+'4'!L19+'3'!L19+'5'!L19+'6'!L19+'7'!L19+'8'!L19+'9'!L19+'10'!L19</f>
        <v>668.28800000000001</v>
      </c>
      <c r="M19" s="118">
        <f t="shared" si="2"/>
        <v>7392.9359999999997</v>
      </c>
      <c r="N19" s="101">
        <f>+'1'!N19+'2'!N19+'4'!N19+'3'!N19+'5'!N19+'6'!N19+'7'!N19+'8'!N19+'9'!N19+'10'!N19</f>
        <v>1330.72848</v>
      </c>
      <c r="O19" s="101">
        <f>+'1'!O19+'2'!O19+'4'!O19+'3'!O19+'5'!O19+'6'!O19+'7'!O19+'8'!O19+'9'!O19+'10'!O19</f>
        <v>43.618322399999997</v>
      </c>
      <c r="P19" s="120">
        <f t="shared" si="0"/>
        <v>8767.2828023999991</v>
      </c>
      <c r="T19" s="163" t="str">
        <f>+'6'!A5</f>
        <v>Customer Name : Mian Store</v>
      </c>
      <c r="U19" s="164">
        <f>+'6'!P35</f>
        <v>423.85347360000009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10</v>
      </c>
      <c r="I20" s="1">
        <f t="shared" si="1"/>
        <v>726.4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25.424000000000003</v>
      </c>
      <c r="L20" s="175">
        <f>+'1'!L20+'2'!L20+'4'!L20+'3'!L20+'5'!L20+'6'!L20+'7'!L20+'8'!L20+'9'!L20+'10'!L20</f>
        <v>58.112000000000002</v>
      </c>
      <c r="M20" s="118">
        <f t="shared" si="2"/>
        <v>642.86400000000003</v>
      </c>
      <c r="N20" s="101">
        <f>+'1'!N20+'2'!N20+'4'!N20+'3'!N20+'5'!N20+'6'!N20+'7'!N20+'8'!N20+'9'!N20+'10'!N20</f>
        <v>115.71552</v>
      </c>
      <c r="O20" s="101">
        <f>+'1'!O20+'2'!O20+'4'!O20+'3'!O20+'5'!O20+'6'!O20+'7'!O20+'8'!O20+'9'!O20+'10'!O20</f>
        <v>3.7928975999999999</v>
      </c>
      <c r="P20" s="120">
        <f t="shared" si="0"/>
        <v>762.37241759999995</v>
      </c>
      <c r="T20" s="163" t="str">
        <f>+'7'!A5</f>
        <v>Customer Name : Shareef Mart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75</v>
      </c>
      <c r="I21" s="1">
        <f t="shared" si="1"/>
        <v>5448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190.68000000000004</v>
      </c>
      <c r="L21" s="175">
        <f>+'1'!L21+'2'!L21+'4'!L21+'3'!L21+'5'!L21+'6'!L21+'7'!L21+'8'!L21+'9'!L21+'10'!L21</f>
        <v>435.84</v>
      </c>
      <c r="M21" s="118">
        <f t="shared" si="2"/>
        <v>4821.4799999999996</v>
      </c>
      <c r="N21" s="101">
        <f>+'1'!N21+'2'!N21+'4'!N21+'3'!N21+'5'!N21+'6'!N21+'7'!N21+'8'!N21+'9'!N21+'10'!N21</f>
        <v>867.86639999999989</v>
      </c>
      <c r="O21" s="101">
        <f>+'1'!O21+'2'!O21+'4'!O21+'3'!O21+'5'!O21+'6'!O21+'7'!O21+'8'!O21+'9'!O21+'10'!O21</f>
        <v>28.446731999999997</v>
      </c>
      <c r="P21" s="120">
        <f t="shared" si="0"/>
        <v>5717.7931319999998</v>
      </c>
      <c r="T21" s="163" t="str">
        <f>+'8'!A5</f>
        <v>Customer Name : Chaudry Store</v>
      </c>
      <c r="U21" s="164">
        <f>+'8'!P35</f>
        <v>569.2698005625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134.9512</v>
      </c>
      <c r="L22" s="175">
        <f>+'1'!L22+'2'!L22+'4'!L22+'3'!L22+'5'!L22+'6'!L22+'7'!L22+'8'!L22+'9'!L22+'10'!L22</f>
        <v>78.460000000000022</v>
      </c>
      <c r="M22" s="118">
        <f t="shared" si="2"/>
        <v>1355.7888000000003</v>
      </c>
      <c r="N22" s="101">
        <f>+'1'!N22+'2'!N22+'4'!N22+'3'!N22+'5'!N22+'6'!N22+'7'!N22+'8'!N22+'9'!N22+'10'!N22</f>
        <v>298.27353600000004</v>
      </c>
      <c r="O22" s="101">
        <f>+'1'!O22+'2'!O22+'4'!O22+'3'!O22+'5'!O22+'6'!O22+'7'!O22+'8'!O22+'9'!O22+'10'!O22</f>
        <v>16.540623360000005</v>
      </c>
      <c r="P22" s="120">
        <f t="shared" si="0"/>
        <v>1670.6029593600003</v>
      </c>
      <c r="T22" s="163" t="str">
        <f>+'9'!A5</f>
        <v>Customer Name : MS Store</v>
      </c>
      <c r="U22" s="164">
        <f>+'9'!P35</f>
        <v>569.2698005625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786 Store</v>
      </c>
      <c r="U23" s="164">
        <f>+'10'!P35</f>
        <v>5251.9105381500003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Bilal Store</v>
      </c>
      <c r="U24" s="164">
        <f>+'11'!P35</f>
        <v>2322.3942112499999</v>
      </c>
    </row>
    <row r="25" spans="1:21 16384:16384" ht="26.5" thickBot="1" x14ac:dyDescent="0.65">
      <c r="A25" s="235" t="s">
        <v>84</v>
      </c>
      <c r="B25" s="236"/>
      <c r="C25" s="237">
        <f>H25/40</f>
        <v>11.5</v>
      </c>
      <c r="D25" s="231"/>
      <c r="E25" s="231"/>
      <c r="F25" s="231"/>
      <c r="G25" s="176">
        <f t="shared" ref="G25:M25" si="3">SUM(G16:G24)</f>
        <v>0</v>
      </c>
      <c r="H25" s="177">
        <f t="shared" si="3"/>
        <v>460</v>
      </c>
      <c r="I25" s="178">
        <f t="shared" si="3"/>
        <v>27638.95</v>
      </c>
      <c r="J25" s="177">
        <f t="shared" si="3"/>
        <v>0</v>
      </c>
      <c r="K25" s="178">
        <f t="shared" si="3"/>
        <v>973.94495000000006</v>
      </c>
      <c r="L25" s="179">
        <f t="shared" si="3"/>
        <v>1996.16</v>
      </c>
      <c r="M25" s="141">
        <f t="shared" si="3"/>
        <v>24668.845049999996</v>
      </c>
      <c r="N25" s="142">
        <f>SUM(N16:N24)</f>
        <v>4154.0371110000006</v>
      </c>
      <c r="O25" s="143">
        <f>SUM(O16:O24)</f>
        <v>141.89222248499999</v>
      </c>
      <c r="P25" s="144">
        <f>SUM(P16:P24)</f>
        <v>28964.774383484997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29188.668594734998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27638.95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1996.16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973.94495000000006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24668.84505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4154.0371110000006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28822.882161000001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720.57205402500006</v>
      </c>
    </row>
    <row r="43" spans="1:21" ht="15.75" customHeight="1" thickBot="1" x14ac:dyDescent="0.4">
      <c r="N43" s="229" t="s">
        <v>92</v>
      </c>
      <c r="O43" s="230"/>
      <c r="P43" s="160">
        <f>P41+P42</f>
        <v>29543.454215025002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 t="s">
        <v>124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75" t="s">
        <v>124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2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/>
      <c r="K19" s="104">
        <f t="shared" si="4"/>
        <v>38.136000000000003</v>
      </c>
      <c r="L19" s="105">
        <f t="shared" si="5"/>
        <v>87.167999999999992</v>
      </c>
      <c r="M19" s="118">
        <f t="shared" si="6"/>
        <v>964.29599999999994</v>
      </c>
      <c r="N19" s="118">
        <f t="shared" si="0"/>
        <v>173.57327999999998</v>
      </c>
      <c r="O19" s="119">
        <f t="shared" si="1"/>
        <v>5.6893463999999998</v>
      </c>
      <c r="P19" s="120">
        <f t="shared" si="2"/>
        <v>1143.5586263999999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/>
      <c r="K20" s="104">
        <f t="shared" si="4"/>
        <v>25.424000000000003</v>
      </c>
      <c r="L20" s="105">
        <f t="shared" si="5"/>
        <v>58.112000000000002</v>
      </c>
      <c r="M20" s="118">
        <f t="shared" si="6"/>
        <v>642.86400000000003</v>
      </c>
      <c r="N20" s="118">
        <f t="shared" si="0"/>
        <v>115.71552</v>
      </c>
      <c r="O20" s="119">
        <f t="shared" si="1"/>
        <v>3.7928975999999999</v>
      </c>
      <c r="P20" s="120">
        <f t="shared" si="2"/>
        <v>762.37241759999995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/>
      <c r="K21" s="104">
        <f t="shared" si="4"/>
        <v>38.136000000000003</v>
      </c>
      <c r="L21" s="105">
        <f t="shared" si="5"/>
        <v>87.167999999999992</v>
      </c>
      <c r="M21" s="118">
        <f t="shared" si="6"/>
        <v>964.29599999999994</v>
      </c>
      <c r="N21" s="118">
        <f t="shared" si="0"/>
        <v>173.57327999999998</v>
      </c>
      <c r="O21" s="119">
        <f t="shared" si="1"/>
        <v>5.6893463999999998</v>
      </c>
      <c r="P21" s="120">
        <f t="shared" si="2"/>
        <v>1143.5586263999999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40</v>
      </c>
      <c r="I25" s="137">
        <f t="shared" si="13"/>
        <v>2905.6</v>
      </c>
      <c r="J25" s="138"/>
      <c r="K25" s="139">
        <f t="shared" si="13"/>
        <v>101.696</v>
      </c>
      <c r="L25" s="140">
        <f t="shared" si="13"/>
        <v>232.44799999999998</v>
      </c>
      <c r="M25" s="141">
        <f t="shared" si="13"/>
        <v>2571.4559999999997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232.44799999999998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2571.4560000000001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3034.31808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9" t="s">
        <v>92</v>
      </c>
      <c r="O35" s="230"/>
      <c r="P35" s="160">
        <f>P33+P34</f>
        <v>3049.4896703999998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126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3277876197882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2">(G17*D17)*F17+H17*F17</f>
        <v>4197</v>
      </c>
      <c r="J17" s="117"/>
      <c r="K17" s="104">
        <f t="shared" ref="K17:K22" si="3">I17*3.5%</f>
        <v>146.89500000000001</v>
      </c>
      <c r="L17" s="105">
        <f t="shared" ref="L17:L21" si="4">I17*8%</f>
        <v>335.76</v>
      </c>
      <c r="M17" s="118">
        <f t="shared" ref="M17:M23" si="5">I17-K17-L17</f>
        <v>3714.3450000000003</v>
      </c>
      <c r="N17" s="118">
        <f t="shared" si="0"/>
        <v>668.58209999999997</v>
      </c>
      <c r="O17" s="119">
        <f t="shared" ref="O17:O24" si="6">(N17+M17)*$O$15</f>
        <v>21.914635499999999</v>
      </c>
      <c r="P17" s="120">
        <f t="shared" si="1"/>
        <v>4404.8417355000001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04">
        <f t="shared" si="3"/>
        <v>203.39200000000002</v>
      </c>
      <c r="L19" s="105">
        <f t="shared" si="4"/>
        <v>464.89600000000002</v>
      </c>
      <c r="M19" s="118">
        <f t="shared" si="5"/>
        <v>5142.9120000000003</v>
      </c>
      <c r="N19" s="118">
        <f t="shared" si="0"/>
        <v>925.72415999999998</v>
      </c>
      <c r="O19" s="119">
        <f t="shared" si="6"/>
        <v>30.343180799999999</v>
      </c>
      <c r="P19" s="120">
        <f t="shared" si="1"/>
        <v>6098.9793407999996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525.43050000000005</v>
      </c>
      <c r="L25" s="140">
        <f t="shared" si="9"/>
        <v>1200.9840000000002</v>
      </c>
      <c r="M25" s="141">
        <f t="shared" si="9"/>
        <v>13285.8855</v>
      </c>
      <c r="N25" s="142">
        <f>SUM(N16:N24)</f>
        <v>2391.45939</v>
      </c>
      <c r="O25" s="143">
        <f>SUM(O16:O24)</f>
        <v>78.386724450000003</v>
      </c>
      <c r="P25" s="144">
        <f>SUM(P16:P24)</f>
        <v>15755.73161445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15012.300000000001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1200.9840000000002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525.43050000000005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13285.8855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2391.45939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15677.34489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78.386724450000003</v>
      </c>
    </row>
    <row r="35" spans="2:16" ht="15.75" customHeight="1" thickBot="1" x14ac:dyDescent="0.4">
      <c r="N35" s="229" t="s">
        <v>92</v>
      </c>
      <c r="O35" s="230"/>
      <c r="P35" s="160">
        <f>P33+P34</f>
        <v>15755.73161445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8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129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130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2.0675779200000006</v>
      </c>
      <c r="P22" s="120">
        <f t="shared" si="1"/>
        <v>415.58316192000012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74.568384000000009</v>
      </c>
      <c r="O25" s="143">
        <f>SUM(O16:O24)</f>
        <v>2.0675779200000006</v>
      </c>
      <c r="P25" s="144">
        <f>SUM(P16:P24)</f>
        <v>415.58316192000012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19.615000000000006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33.7378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338.94720000000007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74.568384000000009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413.5155840000001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2.0675779200000006</v>
      </c>
    </row>
    <row r="35" spans="2:16" ht="15.75" customHeight="1" thickBot="1" x14ac:dyDescent="0.4">
      <c r="N35" s="229" t="s">
        <v>92</v>
      </c>
      <c r="O35" s="230"/>
      <c r="P35" s="160">
        <f>P33+P34</f>
        <v>415.58316192000012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132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467387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2.0675779200000006</v>
      </c>
      <c r="P22" s="120">
        <f t="shared" si="1"/>
        <v>415.58316192000012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74.568384000000009</v>
      </c>
      <c r="O25" s="143">
        <f>SUM(O16:O24)</f>
        <v>2.0675779200000006</v>
      </c>
      <c r="P25" s="144">
        <f>SUM(P16:P24)</f>
        <v>415.58316192000012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19.615000000000006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33.7378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338.94720000000007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74.568384000000009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413.5155840000001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2.0675779200000006</v>
      </c>
    </row>
    <row r="35" spans="2:16" ht="15.75" customHeight="1" thickBot="1" x14ac:dyDescent="0.4">
      <c r="N35" s="229" t="s">
        <v>92</v>
      </c>
      <c r="O35" s="230"/>
      <c r="P35" s="160">
        <f>P33+P34</f>
        <v>415.58316192000012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8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134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135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2.0675779200000006</v>
      </c>
      <c r="P22" s="120">
        <f t="shared" si="1"/>
        <v>415.58316192000012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74.568384000000009</v>
      </c>
      <c r="O25" s="143">
        <f>SUM(O16:O24)</f>
        <v>2.0675779200000006</v>
      </c>
      <c r="P25" s="144">
        <f>SUM(P16:P24)</f>
        <v>415.58316192000012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19.615000000000006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33.7378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338.94720000000007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74.568384000000009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413.5155840000001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2.0675779200000006</v>
      </c>
    </row>
    <row r="35" spans="2:16" ht="15.75" customHeight="1" thickBot="1" x14ac:dyDescent="0.4">
      <c r="N35" s="229" t="s">
        <v>92</v>
      </c>
      <c r="O35" s="230"/>
      <c r="P35" s="160">
        <f>P33+P34</f>
        <v>415.58316192000012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134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10.337889600000004</v>
      </c>
      <c r="P22" s="120">
        <f t="shared" si="1"/>
        <v>423.85347360000009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74.568384000000009</v>
      </c>
      <c r="O25" s="143">
        <f>SUM(O16:O24)</f>
        <v>10.337889600000004</v>
      </c>
      <c r="P25" s="144">
        <f>SUM(P16:P24)</f>
        <v>423.85347360000009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19.615000000000006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33.7378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338.94720000000007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74.568384000000009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413.5155840000001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10.337889600000004</v>
      </c>
    </row>
    <row r="35" spans="2:16" ht="15.75" customHeight="1" thickBot="1" x14ac:dyDescent="0.4">
      <c r="N35" s="229" t="s">
        <v>92</v>
      </c>
      <c r="O35" s="230"/>
      <c r="P35" s="160">
        <f>P33+P34</f>
        <v>423.85347360000009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7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132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138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132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4745431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2.8321880625000002</v>
      </c>
      <c r="P16" s="105">
        <f t="shared" ref="P16:P24" si="1">M16+N16+O16</f>
        <v>569.2698005625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102.14448750000001</v>
      </c>
      <c r="O25" s="143">
        <f>SUM(O16:O24)</f>
        <v>2.8321880625000002</v>
      </c>
      <c r="P25" s="144">
        <f>SUM(P16:P24)</f>
        <v>569.2698005625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524.625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41.97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18.361875000000001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464.29312499999997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102.14448750000001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566.4376125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2.8321880625000002</v>
      </c>
    </row>
    <row r="35" spans="2:16" ht="15.75" customHeight="1" thickBot="1" x14ac:dyDescent="0.4">
      <c r="N35" s="229" t="s">
        <v>92</v>
      </c>
      <c r="O35" s="230"/>
      <c r="P35" s="160">
        <f>P33+P34</f>
        <v>569.2698005625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140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132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694321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2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102.14448750000001</v>
      </c>
      <c r="O17" s="119">
        <f t="shared" ref="O17:O24" si="6">(N17+M17)*$O$15</f>
        <v>2.8321880625000002</v>
      </c>
      <c r="P17" s="120">
        <f t="shared" si="1"/>
        <v>569.2698005625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102.14448750000001</v>
      </c>
      <c r="O25" s="143">
        <f>SUM(O16:O24)</f>
        <v>2.8321880625000002</v>
      </c>
      <c r="P25" s="144">
        <f>SUM(P16:P24)</f>
        <v>569.2698005625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524.625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41.97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18.361875000000001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464.29312499999997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102.14448750000001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566.4376125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2.8321880625000002</v>
      </c>
    </row>
    <row r="35" spans="2:16" ht="15.75" customHeight="1" thickBot="1" x14ac:dyDescent="0.4">
      <c r="N35" s="229" t="s">
        <v>92</v>
      </c>
      <c r="O35" s="230"/>
      <c r="P35" s="160">
        <f>P33+P34</f>
        <v>569.2698005625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8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141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132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142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 t="s">
        <v>142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2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175.14350000000002</v>
      </c>
      <c r="L25" s="140">
        <f t="shared" si="9"/>
        <v>400.32799999999997</v>
      </c>
      <c r="M25" s="141">
        <f t="shared" si="9"/>
        <v>4428.6285000000007</v>
      </c>
      <c r="N25" s="142">
        <f>SUM(N16:N24)</f>
        <v>797.15312999999992</v>
      </c>
      <c r="O25" s="143">
        <f>SUM(O16:O24)</f>
        <v>26.128908150000001</v>
      </c>
      <c r="P25" s="144">
        <f>SUM(P16:P24)</f>
        <v>5251.9105381500003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5004.1000000000004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400.32799999999997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175.14350000000002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4428.6285000000007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797.15312999999992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5225.7816300000004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26.128908150000001</v>
      </c>
    </row>
    <row r="35" spans="2:16" ht="15.75" customHeight="1" thickBot="1" x14ac:dyDescent="0.4">
      <c r="N35" s="229" t="s">
        <v>92</v>
      </c>
      <c r="O35" s="230"/>
      <c r="P35" s="160">
        <f>P33+P34</f>
        <v>5251.9105381500003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9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143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132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28.321880625000002</v>
      </c>
      <c r="P16" s="105">
        <f t="shared" ref="P16:P24" si="1">M16+N16+O16</f>
        <v>1161.1971056249999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2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28.321880625000002</v>
      </c>
      <c r="P17" s="120">
        <f t="shared" si="1"/>
        <v>1161.1971056249999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408.57795000000004</v>
      </c>
      <c r="O25" s="143">
        <f>SUM(O16:O24)</f>
        <v>56.643761250000004</v>
      </c>
      <c r="P25" s="144">
        <f>SUM(P16:P24)</f>
        <v>2322.3942112499999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2098.5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167.88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73.447500000000005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1857.1724999999999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408.57795000000004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2265.75045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56.643761250000004</v>
      </c>
    </row>
    <row r="35" spans="2:16" ht="15.75" customHeight="1" thickBot="1" x14ac:dyDescent="0.4">
      <c r="N35" s="229" t="s">
        <v>92</v>
      </c>
      <c r="O35" s="230"/>
      <c r="P35" s="160">
        <f>P33+P34</f>
        <v>2322.3942112499999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2026-07-08T10:30:36Z</dcterms:modified>
</cp:coreProperties>
</file>