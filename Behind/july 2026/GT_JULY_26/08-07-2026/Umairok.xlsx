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850F9E7-6E4B-46E5-8766-96734AB18DF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7">'5'!$A$1:$P$36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L22" i="17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7" i="21"/>
  <c r="K18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0" i="26" l="1"/>
  <c r="K20" i="26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K20" i="21" s="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20"/>
  <c r="K20" i="20"/>
  <c r="L24" i="17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<sst xmlns="http://schemas.openxmlformats.org/spreadsheetml/2006/main" count="1635" uniqueCount="143">
  <si>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</si>
  <si>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</si>
  <si>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</si>
  <si>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</si>
  <si>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</si>
  <si>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</si>
  <si>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</si>
  <si>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</si>
  <si>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</si>
  <si>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</si>
  <si>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</si>
  <si>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</si>
  <si>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</si>
  <si>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</si>
  <si>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</si>
  <si>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</si>
  <si>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</si>
  <si>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</si>
  <si>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</si>
  <si>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</si>
  <si>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</si>
  <si>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</si>
  <si>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</si>
  <si>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</si>
  <si>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</si>
  <si>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</si>
  <si>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</si>
  <si>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</si>
  <si>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</si>
  <si>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</si>
  <si>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</si>
  <si>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</si>
  <si>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</si>
  <si>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</si>
  <si>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</si>
  <si>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</si>
  <si>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</si>
  <si>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</si>
  <si>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</si>
  <si>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</si>
  <si>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</si>
  <si>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</si>
  <si>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</si>
  <si>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</si>
  <si>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</si>
  <si>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</si>
  <si>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</si>
  <si>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</si>
  <si>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</si>
  <si>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</si>
  <si>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</si>
  <si>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</si>
  <si>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</si>
  <si>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</si>
  <si>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</si>
  <si>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</si>
  <si>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</si>
  <si>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</si>
  <si>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</si>
  <si>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</si>
  <si>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</si>
  <si>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</si>
  <si>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</si>
  <si>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</si>
  <si>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</si>
  <si>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</si>
  <si>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</si>
  <si>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</si>
  <si>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</si>
  <si>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</si>
  <si>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</si>
  <si>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</si>
  <si>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</si>
  <si>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</si>
  <si>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</si>
  <si>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</si>
  <si>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</si>
  <si>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</si>
  <si>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</si>
  <si>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</si>
  <si>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</si>
  <si>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</si>
  <si>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</si>
  <si>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</si>
  <si>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</si>
  <si>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</si>
  <si>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</si>
  <si>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</si>
  <si>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</si>
  <si>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</si>
  <si>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</si>
  <si>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</si>
  <si>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</si>
  <si>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</si>
  <si>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</si>
  <si>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</si>
  <si>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</si>
  <si>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</si>
  <si>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</si>
  <si>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</si>
  <si>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</si>
  <si>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</si>
  <si>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</si>
  <si>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</si>
  <si>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</si>
  <si>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</si>
  <si>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</si>
  <si>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</si>
  <si>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</si>
  <si>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</si>
  <si>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</si>
  <si>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</si>
  <si>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</si>
  <si>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</si>
  <si>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</si>
  <si>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</si>
  <si>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</si>
  <si>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</si>
  <si>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</si>
  <si>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</si>
  <si>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</si>
  <si>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 (Umair)</t>
  </si>
  <si>
    <t>Customer Name : AB GS</t>
  </si>
  <si>
    <t xml:space="preserve">Address: Awan Market </t>
  </si>
  <si>
    <t>6925517-8</t>
  </si>
  <si>
    <t>Customer Name :Al Makkah Keryana Store</t>
  </si>
  <si>
    <t xml:space="preserve">Customer Name : Hafiz Bakery </t>
  </si>
  <si>
    <t xml:space="preserve">Address: Awan Town </t>
  </si>
  <si>
    <t>Customer Name : Al makkah GS</t>
  </si>
  <si>
    <t xml:space="preserve">Customer Name : Al Fazal Cash &amp; Carry </t>
  </si>
  <si>
    <t>Address: Feroz pur Road</t>
  </si>
  <si>
    <t xml:space="preserve">Customer Name : Al Ahmad Bakers </t>
  </si>
  <si>
    <t>Address: Nishter Bazar</t>
  </si>
  <si>
    <t xml:space="preserve">Customer Name : A1 Bakers </t>
  </si>
  <si>
    <t>Address: Nishter Main Bazar</t>
  </si>
  <si>
    <t>Customer Name : Faridiya Verity Store</t>
  </si>
  <si>
    <t>Address: Nashter Main Bazar</t>
  </si>
  <si>
    <t>Customer Name : Hanif Khan Store</t>
  </si>
  <si>
    <t>Customer Name : Every K Bakers</t>
  </si>
  <si>
    <t xml:space="preserve">Customer Name : SS Sweets </t>
  </si>
  <si>
    <t>Address: Nashter Road</t>
  </si>
  <si>
    <t>Customer Name : Gulshan Bakery</t>
  </si>
  <si>
    <t>Address: Awan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</si>
</sst>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U18" sqref="U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AB GS</v>
      </c>
      <c r="U14" s="164">
        <f>+'1'!P35</f>
        <v>1607.8299379200002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:Al Makkah Keryana Store</v>
      </c>
      <c r="U15" s="164">
        <f>+'2'!P35</f>
        <v>508.62416832000002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Hafiz Bakery </v>
      </c>
      <c r="U16" s="164">
        <f>+'3'!P35</f>
        <v>423.85347360000009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Al makkah GS</v>
      </c>
      <c r="U17" s="164">
        <f>+'4'!P35</f>
        <v>508.62416832000002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Fazal Cash &amp; Carry </v>
      </c>
      <c r="U18" s="164">
        <f>+'5'!P35</f>
        <v>9148.4690111999989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85</v>
      </c>
      <c r="I19" s="1">
        <f t="shared" si="1"/>
        <v>6174.4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177.96800000000002</v>
      </c>
      <c r="L19" s="175">
        <f>+'1'!L19+'2'!L19+'4'!L19+'3'!L19+'5'!L19+'6'!L19+'7'!L19+'8'!L19+'9'!L19+'10'!L19</f>
        <v>406.78399999999999</v>
      </c>
      <c r="M19" s="118">
        <f t="shared" si="2"/>
        <v>5589.6480000000001</v>
      </c>
      <c r="N19" s="101">
        <f>+'1'!N19+'2'!N19+'4'!N19+'3'!N19+'5'!N19+'6'!N19+'7'!N19+'8'!N19+'9'!N19+'10'!N19</f>
        <v>810.0086399999999</v>
      </c>
      <c r="O19" s="101">
        <f>+'1'!O19+'2'!O19+'4'!O19+'3'!O19+'5'!O19+'6'!O19+'7'!O19+'8'!O19+'9'!O19+'10'!O19</f>
        <v>26.550283199999996</v>
      </c>
      <c r="P19" s="120">
        <f t="shared" si="0"/>
        <v>6426.2069232000003</v>
      </c>
      <c r="T19" s="163" t="str">
        <f>+'6'!A5</f>
        <v xml:space="preserve">Customer Name : Al Ahmad Bakers </v>
      </c>
      <c r="U19" s="164">
        <f>+'6'!P35</f>
        <v>4657.31960832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85</v>
      </c>
      <c r="I20" s="1">
        <f t="shared" si="1"/>
        <v>6174.4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177.96800000000002</v>
      </c>
      <c r="L20" s="175">
        <f>+'1'!L20+'2'!L20+'4'!L20+'3'!L20+'5'!L20+'6'!L20+'7'!L20+'8'!L20+'9'!L20+'10'!L20</f>
        <v>406.78399999999999</v>
      </c>
      <c r="M20" s="118">
        <f t="shared" si="2"/>
        <v>5589.6480000000001</v>
      </c>
      <c r="N20" s="101">
        <f>+'1'!N20+'2'!N20+'4'!N20+'3'!N20+'5'!N20+'6'!N20+'7'!N20+'8'!N20+'9'!N20+'10'!N20</f>
        <v>810.0086399999999</v>
      </c>
      <c r="O20" s="101">
        <f>+'1'!O20+'2'!O20+'4'!O20+'3'!O20+'5'!O20+'6'!O20+'7'!O20+'8'!O20+'9'!O20+'10'!O20</f>
        <v>26.550283199999996</v>
      </c>
      <c r="P20" s="120">
        <f t="shared" si="0"/>
        <v>6426.2069232000003</v>
      </c>
      <c r="T20" s="163" t="str">
        <f>+'7'!A5</f>
        <v xml:space="preserve">Customer Name : A1 Bakers </v>
      </c>
      <c r="U20" s="164">
        <f>+'7'!P35</f>
        <v>4657.31960832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70</v>
      </c>
      <c r="I21" s="1">
        <f t="shared" si="1"/>
        <v>5084.8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4583.5840000000007</v>
      </c>
      <c r="N21" s="101">
        <f>+'1'!N21+'2'!N21+'4'!N21+'3'!N21+'5'!N21+'6'!N21+'7'!N21+'8'!N21+'9'!N21+'10'!N21</f>
        <v>694.29311999999993</v>
      </c>
      <c r="O21" s="101">
        <f>+'1'!O21+'2'!O21+'4'!O21+'3'!O21+'5'!O21+'6'!O21+'7'!O21+'8'!O21+'9'!O21+'10'!O21</f>
        <v>22.757385599999999</v>
      </c>
      <c r="P21" s="120">
        <f t="shared" si="0"/>
        <v>5300.6345056000009</v>
      </c>
      <c r="T21" s="163" t="str">
        <f>+'8'!A5</f>
        <v>Customer Name : Faridiya Verity Store</v>
      </c>
      <c r="U21" s="164">
        <f>+'8'!P35</f>
        <v>847.70694720000017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254</v>
      </c>
      <c r="I22" s="1">
        <f t="shared" si="1"/>
        <v>9964.4200000000019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721.98891999999989</v>
      </c>
      <c r="L22" s="175">
        <f>+'1'!L22+'2'!L22+'4'!L22+'3'!L22+'5'!L22+'6'!L22+'7'!L22+'8'!L22+'9'!L22+'10'!L22</f>
        <v>419.76100000000014</v>
      </c>
      <c r="M22" s="118">
        <f t="shared" si="2"/>
        <v>8822.6700800000017</v>
      </c>
      <c r="N22" s="101">
        <f>+'1'!N22+'2'!N22+'4'!N22+'3'!N22+'5'!N22+'6'!N22+'7'!N22+'8'!N22+'9'!N22+'10'!N22</f>
        <v>1433.0687616000005</v>
      </c>
      <c r="O22" s="101">
        <f>+'1'!O22+'2'!O22+'4'!O22+'3'!O22+'5'!O22+'6'!O22+'7'!O22+'8'!O22+'9'!O22+'10'!O22</f>
        <v>121.17362400000003</v>
      </c>
      <c r="P22" s="120">
        <f t="shared" si="0"/>
        <v>10376.912465600004</v>
      </c>
      <c r="T22" s="163" t="str">
        <f>+'9'!A5</f>
        <v>Customer Name : Hanif Khan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Every K Bakers</v>
      </c>
      <c r="U23" s="164">
        <f>+'10'!P35</f>
        <v>1695.4138944000003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SS Sweets </v>
      </c>
      <c r="U24" s="164">
        <f>+'11'!P35</f>
        <v>3215.605728</v>
      </c>
    </row>
    <row r="25" spans="1:21 16384:16384" ht="26.5" thickBot="1" x14ac:dyDescent="0.65">
      <c r="A25" s="235" t="s">
        <v>84</v>
      </c>
      <c r="B25" s="236"/>
      <c r="C25" s="237">
        <f>H25/40</f>
        <v>12.35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494</v>
      </c>
      <c r="I25" s="178">
        <f t="shared" si="3"/>
        <v>27398.02</v>
      </c>
      <c r="J25" s="177">
        <f t="shared" si="3"/>
        <v>0</v>
      </c>
      <c r="K25" s="178">
        <f t="shared" si="3"/>
        <v>1230.4689199999998</v>
      </c>
      <c r="L25" s="179">
        <f t="shared" si="3"/>
        <v>1582.0010000000002</v>
      </c>
      <c r="M25" s="141">
        <f t="shared" si="3"/>
        <v>24585.550080000001</v>
      </c>
      <c r="N25" s="142">
        <f>SUM(N16:N24)</f>
        <v>3747.3791616000003</v>
      </c>
      <c r="O25" s="143">
        <f>SUM(O16:O24)</f>
        <v>197.03157600000003</v>
      </c>
      <c r="P25" s="144">
        <f>SUM(P16:P24)</f>
        <v>28529.960817600004</v>
      </c>
      <c r="T25" s="163" t="str">
        <f>+'12'!A5</f>
        <v>Customer Name : Gulshan Bakery</v>
      </c>
      <c r="U25" s="164">
        <f>+'12'!P35</f>
        <v>1662.3326476800005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28933.099193279999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27398.02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1582.0010000000002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1230.4689199999998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24585.550080000001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3747.3791616000003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28332.929241600003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708.32323104000011</v>
      </c>
    </row>
    <row r="43" spans="1:21" ht="15.75" customHeight="1" thickBot="1" x14ac:dyDescent="0.4">
      <c r="N43" s="229" t="s">
        <v>92</v>
      </c>
      <c r="O43" s="230"/>
      <c r="P43" s="160">
        <f>P41+P42</f>
        <v>29041.252472640004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75" t="s">
        <v>124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1569.2000000000003</v>
      </c>
      <c r="J25" s="138"/>
      <c r="K25" s="139">
        <f t="shared" si="13"/>
        <v>134.9512</v>
      </c>
      <c r="L25" s="140">
        <f t="shared" si="13"/>
        <v>78.460000000000022</v>
      </c>
      <c r="M25" s="141">
        <f t="shared" si="13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1599.8307840000002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29" t="s">
        <v>92</v>
      </c>
      <c r="O35" s="230"/>
      <c r="P35" s="160">
        <f>P33+P34</f>
        <v>1607.8299379200002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29" t="s">
        <v>92</v>
      </c>
      <c r="O35" s="230"/>
      <c r="P35" s="160">
        <f>P33+P34</f>
        <v>508.62416832000002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K7" sqref="K7:M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29" t="s">
        <v>92</v>
      </c>
      <c r="O35" s="230"/>
      <c r="P35" s="160">
        <f>P33+P34</f>
        <v>423.85347360000009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K7" sqref="K7:M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29" t="s">
        <v>92</v>
      </c>
      <c r="O35" s="230"/>
      <c r="P35" s="160">
        <f>P33+P34</f>
        <v>508.62416832000002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68579351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9">
        <v>3277876302987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9" t="s">
        <v>92</v>
      </c>
      <c r="O35" s="230"/>
      <c r="P35" s="160">
        <f>P33+P34</f>
        <v>9148.4690111999989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3510154733365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3510154733365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236.6472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3927.2447999999999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4634.1488639999998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9" t="s">
        <v>92</v>
      </c>
      <c r="O35" s="230"/>
      <c r="P35" s="160">
        <f>P33+P34</f>
        <v>4657.31960832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G19" sqref="G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3520170188827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5.6893463999999998</v>
      </c>
      <c r="P20" s="120">
        <f t="shared" si="1"/>
        <v>1143.5586263999999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236.6472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3927.2447999999999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4634.1488639999998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9" t="s">
        <v>92</v>
      </c>
      <c r="O35" s="230"/>
      <c r="P35" s="160">
        <f>P33+P34</f>
        <v>4657.31960832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"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149.13676800000002</v>
      </c>
      <c r="O25" s="143">
        <f>SUM(O16:O24)</f>
        <v>20.675779200000008</v>
      </c>
      <c r="P25" s="144">
        <f>SUM(P16:P24)</f>
        <v>847.70694720000017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784.60000000000014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67.4756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677.89440000000013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149.13676800000002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827.03116800000021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20.675779200000008</v>
      </c>
    </row>
    <row r="35" spans="2:16" ht="15.75" customHeight="1" thickBot="1" x14ac:dyDescent="0.4">
      <c r="N35" s="229" t="s">
        <v>92</v>
      </c>
      <c r="O35" s="230"/>
      <c r="P35" s="160">
        <f>P33+P34</f>
        <v>847.70694720000017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1654.0623360000004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29" t="s">
        <v>92</v>
      </c>
      <c r="O35" s="230"/>
      <c r="P35" s="160">
        <f>P33+P34</f>
        <v>1695.4138944000003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8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140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29.411028000000002</v>
      </c>
      <c r="P20" s="120">
        <f t="shared" si="1"/>
        <v>1205.8521479999999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29" t="s">
        <v>92</v>
      </c>
      <c r="O35" s="230"/>
      <c r="P35" s="160">
        <f>P33+P34</f>
        <v>3215.605728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142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1654.0623360000004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29" t="s">
        <v>92</v>
      </c>
      <c r="O35" s="230"/>
      <c r="P35" s="160">
        <f>P33+P34</f>
        <v>1662.3326476800005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46210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2026-07-08T10:28:56Z</dcterms:modified>
</cp:coreProperties>
</file>