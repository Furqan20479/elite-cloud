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A47BAB43-6FB9-4B93-8F1D-4E425DBCAAD2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Y22" i="15" l="1"/>
  <c r="AA22" i="15" l="1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7" i="33" l="1"/>
  <c r="K17" i="33" s="1"/>
  <c r="K22" i="35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K24" i="28" s="1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I24" i="30"/>
  <c r="K24" i="30" s="1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L24" i="31" s="1"/>
  <c r="I23" i="32"/>
  <c r="K23" i="32" s="1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K24" i="29" s="1"/>
  <c r="I24" i="32"/>
  <c r="L24" i="32" s="1"/>
  <c r="I19" i="33"/>
  <c r="I23" i="33"/>
  <c r="L23" i="33" s="1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L17" i="32"/>
  <c r="L21" i="32"/>
  <c r="K24" i="31"/>
  <c r="L23" i="31"/>
  <c r="L23" i="30"/>
  <c r="L24" i="30"/>
  <c r="L16" i="29"/>
  <c r="L19" i="28"/>
  <c r="L20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3" i="32" l="1"/>
  <c r="M23" i="32" s="1"/>
  <c r="L17" i="33"/>
  <c r="L24" i="28"/>
  <c r="M24" i="28" s="1"/>
  <c r="N24" i="28" s="1"/>
  <c r="O24" i="28" s="1"/>
  <c r="P24" i="28" s="1"/>
  <c r="L24" i="29"/>
  <c r="M24" i="29" s="1"/>
  <c r="N24" i="29" s="1"/>
  <c r="O24" i="29" s="1"/>
  <c r="P24" i="29" s="1"/>
  <c r="L16" i="31"/>
  <c r="K24" i="32"/>
  <c r="M23" i="30"/>
  <c r="N23" i="30" s="1"/>
  <c r="O23" i="30" s="1"/>
  <c r="L16" i="30"/>
  <c r="M17" i="33"/>
  <c r="L21" i="28"/>
  <c r="L21" i="30"/>
  <c r="M21" i="30" s="1"/>
  <c r="L21" i="34"/>
  <c r="L20" i="33"/>
  <c r="M20" i="33" s="1"/>
  <c r="N20" i="33" s="1"/>
  <c r="O20" i="33" s="1"/>
  <c r="L19" i="33"/>
  <c r="K19" i="33"/>
  <c r="M19" i="33" s="1"/>
  <c r="N19" i="33" s="1"/>
  <c r="O19" i="33" s="1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M16" i="33" s="1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M21" i="29" s="1"/>
  <c r="N21" i="29" s="1"/>
  <c r="O21" i="29" s="1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N21" i="35" s="1"/>
  <c r="O21" i="35" s="1"/>
  <c r="I25" i="34"/>
  <c r="P28" i="34" s="1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M23" i="33" s="1"/>
  <c r="N23" i="33" s="1"/>
  <c r="O23" i="33" s="1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3"/>
  <c r="O24" i="33" s="1"/>
  <c r="N18" i="33"/>
  <c r="O18" i="33" s="1"/>
  <c r="N17" i="33"/>
  <c r="O17" i="33" s="1"/>
  <c r="N17" i="32"/>
  <c r="O17" i="32" s="1"/>
  <c r="N23" i="32"/>
  <c r="O23" i="32" s="1"/>
  <c r="N24" i="31"/>
  <c r="O24" i="31" s="1"/>
  <c r="M16" i="31"/>
  <c r="K25" i="31"/>
  <c r="P30" i="31" s="1"/>
  <c r="N21" i="30"/>
  <c r="O21" i="30" s="1"/>
  <c r="N24" i="30"/>
  <c r="O24" i="30" s="1"/>
  <c r="P24" i="30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L16" i="26"/>
  <c r="T23" i="15"/>
  <c r="T22" i="15"/>
  <c r="T21" i="15"/>
  <c r="T20" i="15"/>
  <c r="T19" i="15"/>
  <c r="T18" i="15"/>
  <c r="T15" i="15"/>
  <c r="T14" i="15"/>
  <c r="K24" i="26" l="1"/>
  <c r="M24" i="26" s="1"/>
  <c r="N24" i="26" s="1"/>
  <c r="O24" i="26" s="1"/>
  <c r="P24" i="31"/>
  <c r="L25" i="33"/>
  <c r="P29" i="33" s="1"/>
  <c r="P31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O16" i="29"/>
  <c r="P23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C12" i="24" s="1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N25" i="29" l="1"/>
  <c r="P32" i="29" s="1"/>
  <c r="P22" i="29"/>
  <c r="L25" i="26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K24" i="19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L23" i="23" s="1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K23" i="23"/>
  <c r="L16" i="22"/>
  <c r="L18" i="22"/>
  <c r="L20" i="22"/>
  <c r="L17" i="22"/>
  <c r="L19" i="22"/>
  <c r="L21" i="22"/>
  <c r="K23" i="20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18" l="1"/>
  <c r="L24" i="20"/>
  <c r="L24" i="19"/>
  <c r="M25" i="26"/>
  <c r="L21" i="17"/>
  <c r="K21" i="17"/>
  <c r="L21" i="19"/>
  <c r="K21" i="19"/>
  <c r="M21" i="19" s="1"/>
  <c r="L20" i="23"/>
  <c r="M20" i="23" s="1"/>
  <c r="N20" i="23" s="1"/>
  <c r="O20" i="23" s="1"/>
  <c r="K20" i="23"/>
  <c r="L20" i="19"/>
  <c r="L20" i="18"/>
  <c r="K20" i="18"/>
  <c r="P33" i="34"/>
  <c r="P34" i="34" s="1"/>
  <c r="P35" i="34" s="1"/>
  <c r="U32" i="15" s="1"/>
  <c r="L19" i="19"/>
  <c r="K19" i="19"/>
  <c r="M19" i="19" s="1"/>
  <c r="N19" i="19" s="1"/>
  <c r="O19" i="19" s="1"/>
  <c r="L18" i="23"/>
  <c r="M18" i="23" s="1"/>
  <c r="N18" i="23" s="1"/>
  <c r="O18" i="23" s="1"/>
  <c r="K18" i="23"/>
  <c r="L18" i="19"/>
  <c r="K18" i="19"/>
  <c r="M18" i="19" s="1"/>
  <c r="N18" i="19" s="1"/>
  <c r="O18" i="19" s="1"/>
  <c r="L18" i="18"/>
  <c r="K18" i="18"/>
  <c r="L17" i="18"/>
  <c r="K17" i="18"/>
  <c r="L17" i="25"/>
  <c r="L17" i="24"/>
  <c r="K17" i="24"/>
  <c r="L16" i="20"/>
  <c r="K16" i="20"/>
  <c r="L16" i="25"/>
  <c r="L16" i="18"/>
  <c r="K16" i="18"/>
  <c r="L16" i="24"/>
  <c r="K16" i="24"/>
  <c r="L20" i="25"/>
  <c r="L21" i="25"/>
  <c r="K21" i="25"/>
  <c r="L21" i="24"/>
  <c r="M21" i="24" s="1"/>
  <c r="N21" i="24" s="1"/>
  <c r="O21" i="24" s="1"/>
  <c r="K21" i="24"/>
  <c r="L19" i="24"/>
  <c r="K19" i="24"/>
  <c r="L17" i="23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20" i="24" s="1"/>
  <c r="N20" i="24" s="1"/>
  <c r="O20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M21" i="21"/>
  <c r="N21" i="21" s="1"/>
  <c r="N24" i="19"/>
  <c r="O24" i="19" s="1"/>
  <c r="N24" i="18"/>
  <c r="O24" i="18" s="1"/>
  <c r="I23" i="15"/>
  <c r="M19" i="24" l="1"/>
  <c r="N19" i="24" s="1"/>
  <c r="O19" i="24" s="1"/>
  <c r="P19" i="24" s="1"/>
  <c r="M16" i="24"/>
  <c r="N16" i="24" s="1"/>
  <c r="M18" i="18"/>
  <c r="N18" i="18" s="1"/>
  <c r="O18" i="18" s="1"/>
  <c r="M22" i="18"/>
  <c r="N22" i="18" s="1"/>
  <c r="O22" i="18" s="1"/>
  <c r="M21" i="25"/>
  <c r="N21" i="25" s="1"/>
  <c r="O21" i="25" s="1"/>
  <c r="P21" i="25" s="1"/>
  <c r="M17" i="24"/>
  <c r="N17" i="24" s="1"/>
  <c r="O17" i="24" s="1"/>
  <c r="M20" i="20"/>
  <c r="N20" i="20" s="1"/>
  <c r="O20" i="20" s="1"/>
  <c r="P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P31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18" i="18"/>
  <c r="P17" i="17"/>
  <c r="N16" i="17"/>
  <c r="P20" i="17"/>
  <c r="P24" i="17"/>
  <c r="P18" i="17"/>
  <c r="P22" i="17"/>
  <c r="P22" i="18" l="1"/>
  <c r="P22" i="21"/>
  <c r="N25" i="21"/>
  <c r="P32" i="21" s="1"/>
  <c r="M25" i="21"/>
  <c r="M21" i="15"/>
  <c r="P31" i="24"/>
  <c r="P33" i="24" s="1"/>
  <c r="P34" i="24" s="1"/>
  <c r="P35" i="24" s="1"/>
  <c r="U22" i="15" s="1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21" l="1"/>
  <c r="P34" i="21" s="1"/>
  <c r="P35" i="21" s="1"/>
  <c r="U19" i="15" s="1"/>
  <c r="P33" i="18"/>
  <c r="P33" i="20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<sst xmlns="http://schemas.openxmlformats.org/spreadsheetml/2006/main" count="1637" uniqueCount="141">
  <si>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</si>
  <si>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</si>
  <si>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</si>
  <si>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</si>
  <si>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</si>
  <si>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</si>
  <si>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</si>
  <si>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</si>
  <si>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</si>
  <si>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</si>
  <si>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</si>
  <si>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</si>
  <si>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</si>
  <si>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</si>
  <si>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</si>
  <si>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</si>
  <si>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</si>
  <si>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</si>
  <si>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</si>
  <si>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</si>
  <si>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</si>
  <si>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</si>
  <si>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</si>
  <si>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</si>
  <si>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</si>
  <si>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</si>
  <si>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</si>
  <si>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</si>
  <si>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</si>
  <si>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</si>
  <si>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</si>
  <si>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</si>
  <si>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</si>
  <si>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</si>
  <si>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</si>
  <si>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</si>
  <si>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</si>
  <si>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</si>
  <si>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</si>
  <si>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</si>
  <si>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</si>
  <si>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</si>
  <si>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</si>
  <si>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</si>
  <si>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</si>
  <si>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</si>
  <si>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</si>
  <si>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</si>
  <si>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</si>
  <si>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</si>
  <si>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</si>
  <si>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</si>
  <si>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</si>
  <si>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</si>
  <si>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</si>
  <si>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</si>
  <si>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</si>
  <si>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</si>
  <si>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</si>
  <si>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</si>
  <si>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</si>
  <si>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</si>
  <si>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</si>
  <si>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</si>
  <si>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</si>
  <si>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</si>
  <si>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</si>
  <si>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</si>
  <si>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</si>
  <si>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</si>
  <si>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</si>
  <si>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</si>
  <si>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</si>
  <si>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</si>
  <si>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</si>
  <si>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</si>
  <si>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</si>
  <si>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</si>
  <si>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</si>
  <si>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</si>
  <si>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</si>
  <si>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</si>
  <si>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</si>
  <si>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</si>
  <si>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</si>
  <si>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</si>
  <si>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</si>
  <si>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</si>
  <si>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</si>
  <si>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</si>
  <si>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</si>
  <si>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</si>
  <si>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</si>
  <si>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</si>
  <si>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</si>
  <si>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</si>
  <si>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</si>
  <si>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</si>
  <si>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</si>
  <si>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</si>
  <si>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</si>
  <si>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</si>
  <si>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</si>
  <si>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</si>
  <si>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</si>
  <si>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</si>
  <si>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</si>
  <si>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</si>
  <si>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</si>
  <si>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</si>
  <si>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</si>
  <si>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</si>
  <si>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</si>
  <si>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</si>
  <si>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</si>
  <si>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</si>
  <si>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</si>
  <si>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</si>
  <si>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</si>
  <si>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</si>
  <si>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Umair</t>
  </si>
  <si>
    <t>Shop Bill Summary(Umair)</t>
  </si>
  <si>
    <t xml:space="preserve">Customer Name : Palace Bakers </t>
  </si>
  <si>
    <t>Address: Kacha Jail Road</t>
  </si>
  <si>
    <t>Customer Name : Al makkah GS</t>
  </si>
  <si>
    <t xml:space="preserve">Address: Awan Market </t>
  </si>
  <si>
    <t xml:space="preserve">Customer Name : Gulshan Bakers </t>
  </si>
  <si>
    <t>6925517-8</t>
  </si>
  <si>
    <t>Customer Name : Rana Super Store</t>
  </si>
  <si>
    <t>Customer Name : Shah Taj GS</t>
  </si>
  <si>
    <t xml:space="preserve">Customer Name : Hafiz Bakery </t>
  </si>
  <si>
    <t xml:space="preserve">Customer Name : Al Fazal Cash &amp; Carry </t>
  </si>
  <si>
    <t>Address: Nashter Main Bazar</t>
  </si>
  <si>
    <t>Address: Nashter Main Road</t>
  </si>
  <si>
    <t>Customer Name : S.S Sweets</t>
  </si>
  <si>
    <t>Customer Name : Ali Super Store</t>
  </si>
  <si>
    <t xml:space="preserve">Customer Name : Alhamd Bakers </t>
  </si>
  <si>
    <t>352001409541-9</t>
  </si>
  <si>
    <t>352013014458-1</t>
  </si>
  <si>
    <t>issu</t>
  </si>
  <si>
    <t>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</si>
</sst>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10" zoomScale="70" zoomScaleNormal="70" workbookViewId="0">
      <selection activeCell="T15" sqref="T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4" t="s">
        <v>45</v>
      </c>
      <c r="B2" s="254"/>
      <c r="C2" s="254"/>
    </row>
    <row r="3" spans="1:21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3" t="s">
        <v>120</v>
      </c>
      <c r="B5" s="253"/>
      <c r="C5" s="253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21 16383:16384" ht="15" customHeight="1" x14ac:dyDescent="0.35">
      <c r="A6" s="253"/>
      <c r="B6" s="253"/>
      <c r="C6" s="253"/>
      <c r="F6" s="70"/>
      <c r="G6" s="74"/>
      <c r="K6" s="238" t="s">
        <v>52</v>
      </c>
      <c r="L6" s="238"/>
      <c r="M6" s="238"/>
      <c r="N6" s="251" t="s">
        <v>42</v>
      </c>
      <c r="O6" s="251"/>
      <c r="P6" s="25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1 16383:16384" hidden="1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1 16383:16384" x14ac:dyDescent="0.35">
      <c r="A10" s="236"/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1 16383:16384" ht="15" thickBot="1" x14ac:dyDescent="0.4">
      <c r="A11" s="236"/>
      <c r="B11" s="76"/>
      <c r="C11" s="77"/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1 16383:16384" ht="14.65" customHeight="1" x14ac:dyDescent="0.35">
      <c r="A12" s="236"/>
      <c r="B12" s="76"/>
      <c r="C12" s="77"/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T12" s="208" t="s">
        <v>121</v>
      </c>
      <c r="U12" s="209"/>
      <c r="XFD12" t="s">
        <v>62</v>
      </c>
    </row>
    <row r="13" spans="1:21 16383:16384" ht="15" thickBot="1" x14ac:dyDescent="0.4">
      <c r="A13" s="237"/>
      <c r="J13" s="78"/>
      <c r="K13" s="78"/>
      <c r="L13" s="79">
        <v>0.05</v>
      </c>
      <c r="T13" s="210"/>
      <c r="U13" s="211"/>
      <c r="XFD13" t="s">
        <v>63</v>
      </c>
    </row>
    <row r="14" spans="1:21 16383:16384" ht="29.25" customHeight="1" x14ac:dyDescent="0.6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7" t="s">
        <v>69</v>
      </c>
      <c r="J14" s="247" t="s">
        <v>70</v>
      </c>
      <c r="K14" s="247"/>
      <c r="L14" s="249"/>
      <c r="M14" s="241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Palace Bakers </v>
      </c>
      <c r="U14" s="164">
        <f>+'1'!P35</f>
        <v>4657.31960832</v>
      </c>
      <c r="XFD14" t="s">
        <v>75</v>
      </c>
    </row>
    <row r="15" spans="1:21 16383:16384" ht="29.25" customHeight="1" thickBot="1" x14ac:dyDescent="0.65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8"/>
      <c r="J15" s="170" t="s">
        <v>78</v>
      </c>
      <c r="K15" s="170" t="s">
        <v>79</v>
      </c>
      <c r="L15" s="173" t="s">
        <v>80</v>
      </c>
      <c r="M15" s="24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Al makkah GS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10</v>
      </c>
      <c r="I16" s="1">
        <f>(G16*D16)*F16+H16*F16</f>
        <v>524.625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18.361875000000001</v>
      </c>
      <c r="L16" s="174">
        <f>+'1'!L16+'2'!L16+'4'!L16+'3'!L16+'5'!L16+'6'!L16+'7'!L16+'8'!L16+'9'!L16+'10'!L16</f>
        <v>41.97</v>
      </c>
      <c r="M16" s="106">
        <f>I16-K16-L16</f>
        <v>464.29312500000003</v>
      </c>
      <c r="N16" s="101">
        <f>+'1'!N16+'2'!N16+'4'!N16+'3'!N16+'5'!N16+'6'!N16+'7'!N16+'8'!N16+'9'!N16+'10'!N16</f>
        <v>83.572762499999996</v>
      </c>
      <c r="O16" s="101">
        <f>+'1'!O16+'2'!O16+'4'!O16+'3'!O16+'5'!O16+'6'!O16+'7'!O16+'8'!O16+'9'!O16+'10'!O16</f>
        <v>2.7393294374999999</v>
      </c>
      <c r="P16" s="105">
        <f t="shared" ref="P16:P24" si="0">M16+N16+O16</f>
        <v>550.60521693750002</v>
      </c>
      <c r="Q16" s="108"/>
      <c r="T16" s="163" t="str">
        <f>+'3'!A5</f>
        <v xml:space="preserve">Customer Name : Gulshan Bakers </v>
      </c>
      <c r="U16" s="164">
        <f>+'3'!P35</f>
        <v>1607.8299379200002</v>
      </c>
      <c r="XFD16" t="s">
        <v>82</v>
      </c>
    </row>
    <row r="17" spans="1:27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10</v>
      </c>
      <c r="I17" s="1">
        <f t="shared" ref="I17:I23" si="1">(G17*D17)*F17+H17*F17</f>
        <v>524.625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18.361875000000001</v>
      </c>
      <c r="L17" s="174">
        <f>+'1'!L17+'2'!L17+'4'!L17+'3'!L17+'5'!L17+'6'!L17+'7'!L17+'8'!L17+'9'!L17+'10'!L17</f>
        <v>41.97</v>
      </c>
      <c r="M17" s="118">
        <f t="shared" ref="M17:M23" si="2">I17-K17-L17</f>
        <v>464.29312500000003</v>
      </c>
      <c r="N17" s="101">
        <f>+'1'!N17+'2'!N17+'4'!N17+'3'!N17+'5'!N17+'6'!N17+'7'!N17+'8'!N17+'9'!N17+'10'!N17</f>
        <v>83.572762499999996</v>
      </c>
      <c r="O17" s="101">
        <f>+'1'!O17+'2'!O17+'4'!O17+'3'!O17+'5'!O17+'6'!O17+'7'!O17+'8'!O17+'9'!O17+'10'!O17</f>
        <v>2.7393294374999999</v>
      </c>
      <c r="P17" s="120">
        <f t="shared" si="0"/>
        <v>550.60521693750002</v>
      </c>
      <c r="S17" s="64"/>
      <c r="T17" s="163" t="str">
        <f>+'4'!A5</f>
        <v>Customer Name : Rana Super Store</v>
      </c>
      <c r="U17" s="164">
        <f>+'4'!P35</f>
        <v>0</v>
      </c>
      <c r="XFD17" t="s">
        <v>83</v>
      </c>
    </row>
    <row r="18" spans="1:27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Shah Taj GS</v>
      </c>
      <c r="U18" s="164">
        <f>+'5'!P35</f>
        <v>245.97398304000001</v>
      </c>
    </row>
    <row r="19" spans="1:27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32</v>
      </c>
      <c r="I19" s="1">
        <f t="shared" si="1"/>
        <v>2324.48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81.356800000000007</v>
      </c>
      <c r="L19" s="174">
        <f>+'1'!L19+'2'!L19+'4'!L19+'3'!L19+'5'!L19+'6'!L19+'7'!L19+'8'!L19+'9'!L19+'10'!L19</f>
        <v>185.95840000000001</v>
      </c>
      <c r="M19" s="118">
        <f t="shared" si="2"/>
        <v>2057.1648</v>
      </c>
      <c r="N19" s="101">
        <f>+'1'!N19+'2'!N19+'4'!N19+'3'!N19+'5'!N19+'6'!N19+'7'!N19+'8'!N19+'9'!N19+'10'!N19</f>
        <v>401.14713600000005</v>
      </c>
      <c r="O19" s="101">
        <f>+'1'!O19+'2'!O19+'4'!O19+'3'!O19+'5'!O19+'6'!O19+'7'!O19+'8'!O19+'9'!O19+'10'!O19</f>
        <v>12.291559679999999</v>
      </c>
      <c r="P19" s="120">
        <f t="shared" si="0"/>
        <v>2470.6034956799999</v>
      </c>
      <c r="T19" s="163" t="str">
        <f>+'6'!A5</f>
        <v xml:space="preserve">Customer Name : Hafiz Bakery </v>
      </c>
      <c r="U19" s="164">
        <f>+'6'!P35</f>
        <v>1607.8299379200002</v>
      </c>
    </row>
    <row r="20" spans="1:27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60</v>
      </c>
      <c r="I20" s="1">
        <f t="shared" si="1"/>
        <v>4358.3999999999996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152.54400000000001</v>
      </c>
      <c r="L20" s="174">
        <f>+'1'!L20+'2'!L20+'4'!L20+'3'!L20+'5'!L20+'6'!L20+'7'!L20+'8'!L20+'9'!L20+'10'!L20</f>
        <v>348.67200000000003</v>
      </c>
      <c r="M20" s="118">
        <f t="shared" si="2"/>
        <v>3857.1839999999997</v>
      </c>
      <c r="N20" s="101">
        <f>+'1'!N20+'2'!N20+'4'!N20+'3'!N20+'5'!N20+'6'!N20+'7'!N20+'8'!N20+'9'!N20+'10'!N20</f>
        <v>694.29312000000004</v>
      </c>
      <c r="O20" s="101">
        <f>+'1'!O20+'2'!O20+'4'!O20+'3'!O20+'5'!O20+'6'!O20+'7'!O20+'8'!O20+'9'!O20+'10'!O20</f>
        <v>22.757385599999999</v>
      </c>
      <c r="P20" s="120">
        <f t="shared" si="0"/>
        <v>4574.2345055999995</v>
      </c>
      <c r="T20" s="163" t="str">
        <f>+'7'!A5</f>
        <v xml:space="preserve">Customer Name : Al Fazal Cash &amp; Carry </v>
      </c>
      <c r="U20" s="164">
        <f>+'7'!P35</f>
        <v>6098.9793407999996</v>
      </c>
    </row>
    <row r="21" spans="1:27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52</v>
      </c>
      <c r="I21" s="1">
        <f t="shared" si="1"/>
        <v>3777.28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132.20480000000001</v>
      </c>
      <c r="L21" s="174">
        <f>+'1'!L21+'2'!L21+'4'!L21+'3'!L21+'5'!L21+'6'!L21+'7'!L21+'8'!L21+'9'!L21+'10'!L21</f>
        <v>302.18240000000003</v>
      </c>
      <c r="M21" s="118">
        <f t="shared" si="2"/>
        <v>3342.8928000000001</v>
      </c>
      <c r="N21" s="101">
        <f>+'1'!N21+'2'!N21+'4'!N21+'3'!N21+'5'!N21+'6'!N21+'7'!N21+'8'!N21+'9'!N21+'10'!N21</f>
        <v>632.57817599999998</v>
      </c>
      <c r="O21" s="101">
        <f>+'1'!O21+'2'!O21+'4'!O21+'3'!O21+'5'!O21+'6'!O21+'7'!O21+'8'!O21+'9'!O21+'10'!O21</f>
        <v>19.877354879999999</v>
      </c>
      <c r="P21" s="120">
        <f t="shared" si="0"/>
        <v>3995.34833088</v>
      </c>
      <c r="T21" s="163" t="str">
        <f>+'8'!A5</f>
        <v>Customer Name : S.S Sweets</v>
      </c>
      <c r="U21" s="164">
        <f>+'8'!P35</f>
        <v>0</v>
      </c>
      <c r="Y21" t="s">
        <v>139</v>
      </c>
      <c r="Z21" t="s">
        <v>140</v>
      </c>
    </row>
    <row r="22" spans="1:27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126</v>
      </c>
      <c r="I22" s="1">
        <f t="shared" si="1"/>
        <v>4942.9800000000005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425.09627999999998</v>
      </c>
      <c r="L22" s="174">
        <f>+'1'!L22+'2'!L22+'4'!L22+'3'!L22+'5'!L22+'6'!L22+'7'!L22+'8'!L22+'9'!L22+'10'!L22</f>
        <v>247.14900000000006</v>
      </c>
      <c r="M22" s="118">
        <f t="shared" si="2"/>
        <v>4270.7347200000004</v>
      </c>
      <c r="N22" s="101">
        <f>+'1'!N22+'2'!N22+'4'!N22+'3'!N22+'5'!N22+'6'!N22+'7'!N22+'8'!N22+'9'!N22+'10'!N22</f>
        <v>768.73224960000016</v>
      </c>
      <c r="O22" s="101">
        <f>+'1'!O22+'2'!O22+'4'!O22+'3'!O22+'5'!O22+'6'!O22+'7'!O22+'8'!O22+'9'!O22+'10'!O22</f>
        <v>29.996827200000006</v>
      </c>
      <c r="P22" s="120">
        <f t="shared" si="0"/>
        <v>5069.4637967999997</v>
      </c>
      <c r="T22" s="163" t="str">
        <f>+'9'!A5</f>
        <v>Customer Name : Ali Super Store</v>
      </c>
      <c r="U22" s="164">
        <f>+'9'!P35</f>
        <v>1101.210433875</v>
      </c>
      <c r="W22">
        <v>394</v>
      </c>
      <c r="X22">
        <v>417</v>
      </c>
      <c r="Y22">
        <f>W22+X22+200+320</f>
        <v>1331</v>
      </c>
      <c r="Z22">
        <v>648</v>
      </c>
      <c r="AA22">
        <f>Y22-Z22</f>
        <v>683</v>
      </c>
    </row>
    <row r="23" spans="1:27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Alhamd Bakers </v>
      </c>
      <c r="U23" s="164">
        <f>+'10'!P35</f>
        <v>1891.7173209600001</v>
      </c>
    </row>
    <row r="24" spans="1:27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7 16384:16384" ht="26.5" thickBot="1" x14ac:dyDescent="0.65">
      <c r="A25" s="218" t="s">
        <v>84</v>
      </c>
      <c r="B25" s="219"/>
      <c r="C25" s="220">
        <f>H25/40</f>
        <v>7.25</v>
      </c>
      <c r="D25" s="214"/>
      <c r="E25" s="214"/>
      <c r="F25" s="214"/>
      <c r="G25" s="175">
        <f t="shared" ref="G25:M25" si="3">SUM(G16:G24)</f>
        <v>0</v>
      </c>
      <c r="H25" s="176">
        <f t="shared" si="3"/>
        <v>290</v>
      </c>
      <c r="I25" s="177">
        <f t="shared" si="3"/>
        <v>16452.39</v>
      </c>
      <c r="J25" s="176">
        <f t="shared" si="3"/>
        <v>0</v>
      </c>
      <c r="K25" s="177">
        <f t="shared" si="3"/>
        <v>827.92562999999996</v>
      </c>
      <c r="L25" s="178">
        <f t="shared" si="3"/>
        <v>1167.9018000000001</v>
      </c>
      <c r="M25" s="141">
        <f t="shared" si="3"/>
        <v>14456.56257</v>
      </c>
      <c r="N25" s="142">
        <f>SUM(N16:N24)</f>
        <v>2663.8962066000004</v>
      </c>
      <c r="O25" s="143">
        <f>SUM(O16:O24)</f>
        <v>90.401786235000003</v>
      </c>
      <c r="P25" s="144">
        <f>SUM(P16:P24)</f>
        <v>17210.860562834998</v>
      </c>
      <c r="T25" s="163" t="str">
        <f>+'12'!A5</f>
        <v xml:space="preserve">Customer Name : </v>
      </c>
      <c r="U25" s="164">
        <f>+'12'!P35</f>
        <v>0</v>
      </c>
    </row>
    <row r="26" spans="1:27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7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7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7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7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7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7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17210.860562835001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1" t="s">
        <v>85</v>
      </c>
      <c r="C36" s="222"/>
      <c r="D36" s="222"/>
      <c r="E36" s="222"/>
      <c r="F36" s="222"/>
      <c r="G36" s="222"/>
      <c r="H36" s="222"/>
      <c r="I36" s="222"/>
      <c r="J36" s="222"/>
      <c r="K36" s="222"/>
      <c r="L36" s="223"/>
      <c r="N36" s="230" t="s">
        <v>86</v>
      </c>
      <c r="O36" s="231"/>
      <c r="P36" s="152">
        <f>I25</f>
        <v>16452.39</v>
      </c>
    </row>
    <row r="37" spans="1:21" ht="15" customHeight="1" x14ac:dyDescent="0.35">
      <c r="B37" s="224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N37" s="232" t="s">
        <v>87</v>
      </c>
      <c r="O37" s="233"/>
      <c r="P37" s="153">
        <f>L25</f>
        <v>1167.9018000000001</v>
      </c>
    </row>
    <row r="38" spans="1:21" ht="15" customHeight="1" x14ac:dyDescent="0.35">
      <c r="B38" s="224"/>
      <c r="C38" s="225"/>
      <c r="D38" s="225"/>
      <c r="E38" s="225"/>
      <c r="F38" s="225"/>
      <c r="G38" s="225"/>
      <c r="H38" s="225"/>
      <c r="I38" s="225"/>
      <c r="J38" s="225"/>
      <c r="K38" s="225"/>
      <c r="L38" s="226"/>
      <c r="N38" s="232" t="s">
        <v>4</v>
      </c>
      <c r="O38" s="233"/>
      <c r="P38" s="154">
        <f>K25</f>
        <v>827.92562999999996</v>
      </c>
    </row>
    <row r="39" spans="1:21" ht="15" customHeight="1" x14ac:dyDescent="0.35">
      <c r="B39" s="224"/>
      <c r="C39" s="225"/>
      <c r="D39" s="225"/>
      <c r="E39" s="225"/>
      <c r="F39" s="225"/>
      <c r="G39" s="225"/>
      <c r="H39" s="225"/>
      <c r="I39" s="225"/>
      <c r="J39" s="225"/>
      <c r="K39" s="225"/>
      <c r="L39" s="226"/>
      <c r="M39" s="2"/>
      <c r="N39" s="232" t="s">
        <v>88</v>
      </c>
      <c r="O39" s="233"/>
      <c r="P39" s="153">
        <f>P36-P37-P38</f>
        <v>14456.56257</v>
      </c>
    </row>
    <row r="40" spans="1:21" ht="15" customHeight="1" x14ac:dyDescent="0.35">
      <c r="B40" s="224"/>
      <c r="C40" s="225"/>
      <c r="D40" s="225"/>
      <c r="E40" s="225"/>
      <c r="F40" s="225"/>
      <c r="G40" s="225"/>
      <c r="H40" s="225"/>
      <c r="I40" s="225"/>
      <c r="J40" s="225"/>
      <c r="K40" s="225"/>
      <c r="L40" s="226"/>
      <c r="M40" s="2"/>
      <c r="N40" s="155" t="s">
        <v>89</v>
      </c>
      <c r="O40" s="156">
        <f>IF(B12="Registered",18%,22%)</f>
        <v>0.22</v>
      </c>
      <c r="P40" s="153">
        <f>N25</f>
        <v>2663.8962066000004</v>
      </c>
    </row>
    <row r="41" spans="1:21" ht="15" customHeight="1" x14ac:dyDescent="0.35">
      <c r="B41" s="224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"/>
      <c r="N41" s="234" t="s">
        <v>90</v>
      </c>
      <c r="O41" s="235"/>
      <c r="P41" s="153">
        <f>P39+P40</f>
        <v>17120.4587766</v>
      </c>
    </row>
    <row r="42" spans="1:21" ht="15" customHeight="1" thickBot="1" x14ac:dyDescent="0.4">
      <c r="B42" s="227"/>
      <c r="C42" s="228"/>
      <c r="D42" s="228"/>
      <c r="E42" s="228"/>
      <c r="F42" s="228"/>
      <c r="G42" s="228"/>
      <c r="H42" s="228"/>
      <c r="I42" s="228"/>
      <c r="J42" s="228"/>
      <c r="K42" s="228"/>
      <c r="L42" s="229"/>
      <c r="M42" s="157"/>
      <c r="N42" s="158" t="s">
        <v>91</v>
      </c>
      <c r="O42" s="159">
        <f>IF(B11="Filer",0.5%,2.5%)</f>
        <v>2.5000000000000001E-2</v>
      </c>
      <c r="P42" s="153">
        <f>O42*P41</f>
        <v>428.01146941500002</v>
      </c>
    </row>
    <row r="43" spans="1:21" ht="15.75" customHeight="1" thickBot="1" x14ac:dyDescent="0.4">
      <c r="N43" s="212" t="s">
        <v>92</v>
      </c>
      <c r="O43" s="213"/>
      <c r="P43" s="160">
        <f>P41+P42</f>
        <v>17548.470246015</v>
      </c>
    </row>
    <row r="44" spans="1:21" ht="15" thickBot="1" x14ac:dyDescent="0.4">
      <c r="B44" s="161" t="s">
        <v>93</v>
      </c>
      <c r="C44" s="214"/>
      <c r="D44" s="214"/>
      <c r="E44" s="214"/>
      <c r="F44" s="214"/>
      <c r="G44" s="214"/>
      <c r="H44" s="214"/>
      <c r="I44" s="215"/>
      <c r="J44" s="216"/>
      <c r="K44" s="217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E14" sqref="E1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4" t="s">
        <v>45</v>
      </c>
      <c r="B2" s="254"/>
      <c r="C2" s="254"/>
    </row>
    <row r="3" spans="1:26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26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6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6 16383:16384" x14ac:dyDescent="0.35">
      <c r="A10" s="236" t="s">
        <v>95</v>
      </c>
      <c r="B10" s="75">
        <v>3520127602341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6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6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26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S14" s="255" t="s">
        <v>117</v>
      </c>
      <c r="T14" s="255"/>
      <c r="U14" s="255"/>
      <c r="V14" s="255"/>
      <c r="W14" s="256" t="s">
        <v>119</v>
      </c>
      <c r="X14" s="256"/>
      <c r="Y14" s="256"/>
      <c r="Z14" s="256"/>
      <c r="XFD14" t="s">
        <v>75</v>
      </c>
    </row>
    <row r="15" spans="1:26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3"/>
        <v>1452.8</v>
      </c>
      <c r="J19" s="117"/>
      <c r="K19" s="104">
        <f t="shared" si="4"/>
        <v>50.848000000000006</v>
      </c>
      <c r="L19" s="105">
        <f t="shared" si="5"/>
        <v>116.224</v>
      </c>
      <c r="M19" s="118">
        <f t="shared" si="6"/>
        <v>1285.7280000000001</v>
      </c>
      <c r="N19" s="118">
        <f t="shared" si="0"/>
        <v>231.43104</v>
      </c>
      <c r="O19" s="119">
        <f t="shared" si="1"/>
        <v>7.5857951999999997</v>
      </c>
      <c r="P19" s="120">
        <f t="shared" si="2"/>
        <v>1524.7448351999999</v>
      </c>
      <c r="S19" s="257" t="s">
        <v>118</v>
      </c>
      <c r="T19" s="257"/>
      <c r="U19" s="257"/>
      <c r="V19" s="257"/>
      <c r="W19" s="258" t="s">
        <v>116</v>
      </c>
      <c r="X19" s="258"/>
      <c r="Y19" s="258"/>
      <c r="Z19" s="258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3"/>
        <v>1452.8</v>
      </c>
      <c r="J20" s="117"/>
      <c r="K20" s="104">
        <f t="shared" si="4"/>
        <v>50.848000000000006</v>
      </c>
      <c r="L20" s="105">
        <f t="shared" si="5"/>
        <v>116.224</v>
      </c>
      <c r="M20" s="118">
        <f t="shared" si="6"/>
        <v>1285.7280000000001</v>
      </c>
      <c r="N20" s="118">
        <f t="shared" si="0"/>
        <v>231.43104</v>
      </c>
      <c r="O20" s="119">
        <f t="shared" si="1"/>
        <v>7.5857951999999997</v>
      </c>
      <c r="P20" s="120">
        <f t="shared" si="2"/>
        <v>1524.7448351999999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6"/>
        <v>1355.7888000000003</v>
      </c>
      <c r="N22" s="118">
        <f t="shared" si="0"/>
        <v>244.04198400000004</v>
      </c>
      <c r="O22" s="119">
        <f t="shared" si="1"/>
        <v>7.9991539200000012</v>
      </c>
      <c r="P22" s="120">
        <f t="shared" si="2"/>
        <v>1607.8299379200002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13">SUM(G16:G24)</f>
        <v>0</v>
      </c>
      <c r="H25" s="136">
        <f t="shared" si="13"/>
        <v>80</v>
      </c>
      <c r="I25" s="137">
        <f t="shared" si="13"/>
        <v>4474.8</v>
      </c>
      <c r="J25" s="138"/>
      <c r="K25" s="139">
        <f t="shared" si="13"/>
        <v>236.6472</v>
      </c>
      <c r="L25" s="140">
        <f t="shared" si="13"/>
        <v>310.90800000000002</v>
      </c>
      <c r="M25" s="141">
        <f t="shared" si="13"/>
        <v>3927.2448000000004</v>
      </c>
      <c r="N25" s="142">
        <f>SUM(N16:N24)</f>
        <v>706.90406400000006</v>
      </c>
      <c r="O25" s="143">
        <f>SUM(O16:O24)</f>
        <v>23.170744320000001</v>
      </c>
      <c r="P25" s="144">
        <f>SUM(P16:P24)</f>
        <v>4657.31960832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4474.8</v>
      </c>
    </row>
    <row r="29" spans="1:26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310.90800000000002</v>
      </c>
    </row>
    <row r="30" spans="1:26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236.6472</v>
      </c>
    </row>
    <row r="31" spans="1:26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3927.2447999999999</v>
      </c>
    </row>
    <row r="32" spans="1:26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706.90406400000006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4634.1488639999998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23.170744320000001</v>
      </c>
    </row>
    <row r="35" spans="2:16" ht="15.75" customHeight="1" thickBot="1" x14ac:dyDescent="0.4">
      <c r="N35" s="212" t="s">
        <v>92</v>
      </c>
      <c r="O35" s="213"/>
      <c r="P35" s="160">
        <f>P33+P34</f>
        <v>4657.31960832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1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2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124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125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E14" sqref="E1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4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126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125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 t="s">
        <v>127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244.04198400000004</v>
      </c>
      <c r="O25" s="143">
        <f>SUM(O16:O24)</f>
        <v>7.9991539200000012</v>
      </c>
      <c r="P25" s="144">
        <f>SUM(P16:P24)</f>
        <v>1607.8299379200002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1569.2000000000003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78.460000000000022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134.9512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1355.7888000000003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244.04198400000004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1599.8307840000002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7.9991539200000012</v>
      </c>
    </row>
    <row r="35" spans="2:16" ht="15.75" customHeight="1" thickBot="1" x14ac:dyDescent="0.4">
      <c r="N35" s="212" t="s">
        <v>92</v>
      </c>
      <c r="O35" s="213"/>
      <c r="P35" s="160">
        <f>P33+P34</f>
        <v>1607.8299379200002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0" workbookViewId="0">
      <selection activeCell="H12" sqref="H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3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128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125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4" workbookViewId="0">
      <selection activeCell="E14" sqref="E1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5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125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04">
        <f>I22*8.6%</f>
        <v>20.24268</v>
      </c>
      <c r="L22" s="120">
        <f>I22*5%</f>
        <v>11.769000000000002</v>
      </c>
      <c r="M22" s="118">
        <f t="shared" si="5"/>
        <v>203.36832000000001</v>
      </c>
      <c r="N22" s="118">
        <f t="shared" si="0"/>
        <v>36.606297599999998</v>
      </c>
      <c r="O22" s="119">
        <f t="shared" si="6"/>
        <v>5.9993654400000009</v>
      </c>
      <c r="P22" s="120">
        <f t="shared" si="1"/>
        <v>245.97398304000001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6</v>
      </c>
      <c r="I25" s="137">
        <f t="shared" si="9"/>
        <v>235.38000000000002</v>
      </c>
      <c r="J25" s="138"/>
      <c r="K25" s="139">
        <f t="shared" si="9"/>
        <v>20.24268</v>
      </c>
      <c r="L25" s="140">
        <f t="shared" si="9"/>
        <v>11.769000000000002</v>
      </c>
      <c r="M25" s="141">
        <f t="shared" si="9"/>
        <v>203.36832000000001</v>
      </c>
      <c r="N25" s="142">
        <f>SUM(N16:N24)</f>
        <v>36.606297599999998</v>
      </c>
      <c r="O25" s="143">
        <f>SUM(O16:O24)</f>
        <v>5.9993654400000009</v>
      </c>
      <c r="P25" s="144">
        <f>SUM(P16:P24)</f>
        <v>245.97398304000001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235.38000000000002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11.769000000000002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20.24268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203.36832000000001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36.606297599999998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239.97461760000002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5.9993654400000009</v>
      </c>
    </row>
    <row r="35" spans="2:16" ht="15.75" customHeight="1" thickBot="1" x14ac:dyDescent="0.4">
      <c r="N35" s="212" t="s">
        <v>92</v>
      </c>
      <c r="O35" s="213"/>
      <c r="P35" s="160">
        <f>P33+P34</f>
        <v>245.97398304000001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7" workbookViewId="0">
      <selection activeCell="G8" sqref="G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6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130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125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137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244.04198400000004</v>
      </c>
      <c r="O25" s="143">
        <f>SUM(O16:O24)</f>
        <v>7.9991539200000012</v>
      </c>
      <c r="P25" s="144">
        <f>SUM(P16:P24)</f>
        <v>1607.8299379200002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1569.2000000000003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78.460000000000022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134.9512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1355.7888000000003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244.04198400000004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1599.8307840000002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7.9991539200000012</v>
      </c>
    </row>
    <row r="35" spans="2:16" ht="15.75" customHeight="1" thickBot="1" x14ac:dyDescent="0.4">
      <c r="N35" s="212" t="s">
        <v>92</v>
      </c>
      <c r="O35" s="213"/>
      <c r="P35" s="160">
        <f>P33+P34</f>
        <v>1607.8299379200002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0" workbookViewId="0">
      <selection activeCell="H18" sqref="H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7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131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133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1561651561651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462.86207999999999</v>
      </c>
      <c r="O20" s="119">
        <f t="shared" si="6"/>
        <v>15.171590399999999</v>
      </c>
      <c r="P20" s="120">
        <f t="shared" si="1"/>
        <v>3049.4896703999998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80</v>
      </c>
      <c r="I25" s="137">
        <f t="shared" si="9"/>
        <v>5811.2</v>
      </c>
      <c r="J25" s="138"/>
      <c r="K25" s="139">
        <f t="shared" si="9"/>
        <v>203.39200000000002</v>
      </c>
      <c r="L25" s="140">
        <f t="shared" si="9"/>
        <v>464.89600000000002</v>
      </c>
      <c r="M25" s="141">
        <f t="shared" si="9"/>
        <v>5142.9120000000003</v>
      </c>
      <c r="N25" s="142">
        <f>SUM(N16:N24)</f>
        <v>925.72415999999998</v>
      </c>
      <c r="O25" s="143">
        <f>SUM(O16:O24)</f>
        <v>30.343180799999999</v>
      </c>
      <c r="P25" s="144">
        <f>SUM(P16:P24)</f>
        <v>6098.9793407999996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5811.2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464.89600000000002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203.39200000000002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5142.9120000000003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925.72415999999998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6068.63616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30.343180799999999</v>
      </c>
    </row>
    <row r="35" spans="2:16" ht="15.75" customHeight="1" thickBot="1" x14ac:dyDescent="0.4">
      <c r="N35" s="212" t="s">
        <v>92</v>
      </c>
      <c r="O35" s="213"/>
      <c r="P35" s="160">
        <f>P33+P34</f>
        <v>6098.9793407999996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9" workbookViewId="0">
      <selection activeCell="H11" sqref="H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8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134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133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9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135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133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138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83.572762499999996</v>
      </c>
      <c r="O16" s="107">
        <f>(N16+M16)*$O$15</f>
        <v>2.7393294374999999</v>
      </c>
      <c r="P16" s="105">
        <f t="shared" ref="P16:P24" si="1">M16+N16+O16</f>
        <v>550.60521693750002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04">
        <f t="shared" ref="K17:K21" si="3">I17*3.5%</f>
        <v>18.361875000000001</v>
      </c>
      <c r="L17" s="105">
        <f t="shared" ref="L17:L21" si="4">I17*8%</f>
        <v>41.97</v>
      </c>
      <c r="M17" s="118">
        <f t="shared" ref="M17:M23" si="5">I17-K17-L17</f>
        <v>464.29312500000003</v>
      </c>
      <c r="N17" s="118">
        <f t="shared" si="0"/>
        <v>83.572762499999996</v>
      </c>
      <c r="O17" s="119">
        <f t="shared" ref="O17:O24" si="6">(N17+M17)*$O$15</f>
        <v>2.7393294374999999</v>
      </c>
      <c r="P17" s="120">
        <f t="shared" si="1"/>
        <v>550.60521693750002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20</v>
      </c>
      <c r="I25" s="137">
        <f t="shared" si="9"/>
        <v>1049.25</v>
      </c>
      <c r="J25" s="138"/>
      <c r="K25" s="139">
        <f t="shared" si="9"/>
        <v>36.723750000000003</v>
      </c>
      <c r="L25" s="140">
        <f t="shared" si="9"/>
        <v>83.94</v>
      </c>
      <c r="M25" s="141">
        <f t="shared" si="9"/>
        <v>928.58625000000006</v>
      </c>
      <c r="N25" s="142">
        <f>SUM(N16:N24)</f>
        <v>167.14552499999999</v>
      </c>
      <c r="O25" s="143">
        <f>SUM(O16:O24)</f>
        <v>5.4786588749999998</v>
      </c>
      <c r="P25" s="144">
        <f>SUM(P16:P24)</f>
        <v>1101.210433875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1049.25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83.94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36.723750000000003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928.58624999999995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167.14552499999999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1095.731775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5.4786588749999998</v>
      </c>
    </row>
    <row r="35" spans="2:16" ht="15.75" customHeight="1" thickBot="1" x14ac:dyDescent="0.4">
      <c r="N35" s="212" t="s">
        <v>92</v>
      </c>
      <c r="O35" s="213"/>
      <c r="P35" s="160">
        <f>P33+P34</f>
        <v>1101.210433875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3" workbookViewId="0">
      <selection activeCell="E14" sqref="E1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136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132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12</v>
      </c>
      <c r="I19" s="116">
        <f t="shared" si="2"/>
        <v>871.68000000000006</v>
      </c>
      <c r="J19" s="117"/>
      <c r="K19" s="104">
        <f t="shared" si="3"/>
        <v>30.508800000000004</v>
      </c>
      <c r="L19" s="105">
        <f t="shared" si="4"/>
        <v>69.734400000000008</v>
      </c>
      <c r="M19" s="118">
        <f t="shared" si="5"/>
        <v>771.43680000000006</v>
      </c>
      <c r="N19" s="118">
        <f t="shared" si="0"/>
        <v>169.71609600000002</v>
      </c>
      <c r="O19" s="119">
        <f t="shared" si="6"/>
        <v>4.70576448</v>
      </c>
      <c r="P19" s="120">
        <f t="shared" si="1"/>
        <v>945.85866048000003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2"/>
        <v>871.68000000000006</v>
      </c>
      <c r="J21" s="117"/>
      <c r="K21" s="104">
        <f t="shared" si="3"/>
        <v>30.508800000000004</v>
      </c>
      <c r="L21" s="105">
        <f t="shared" si="4"/>
        <v>69.734400000000008</v>
      </c>
      <c r="M21" s="118">
        <f t="shared" si="5"/>
        <v>771.43680000000006</v>
      </c>
      <c r="N21" s="118">
        <f t="shared" si="0"/>
        <v>169.71609600000002</v>
      </c>
      <c r="O21" s="119">
        <f t="shared" si="6"/>
        <v>4.70576448</v>
      </c>
      <c r="P21" s="120">
        <f t="shared" si="1"/>
        <v>945.85866048000003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24</v>
      </c>
      <c r="I25" s="137">
        <f t="shared" si="9"/>
        <v>1743.3600000000001</v>
      </c>
      <c r="J25" s="138"/>
      <c r="K25" s="139">
        <f t="shared" si="9"/>
        <v>61.017600000000009</v>
      </c>
      <c r="L25" s="140">
        <f t="shared" si="9"/>
        <v>139.46880000000002</v>
      </c>
      <c r="M25" s="141">
        <f t="shared" si="9"/>
        <v>1542.8736000000001</v>
      </c>
      <c r="N25" s="142">
        <f>SUM(N16:N24)</f>
        <v>339.43219200000004</v>
      </c>
      <c r="O25" s="143">
        <f>SUM(O16:O24)</f>
        <v>9.4115289600000001</v>
      </c>
      <c r="P25" s="144">
        <f>SUM(P16:P24)</f>
        <v>1891.7173209600001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1743.3600000000001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139.46880000000002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61.017600000000009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1542.8736000000001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339.43219200000004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1882.3057920000001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9.4115289600000001</v>
      </c>
    </row>
    <row r="35" spans="2:16" ht="15.75" customHeight="1" thickBot="1" x14ac:dyDescent="0.4">
      <c r="N35" s="212" t="s">
        <v>92</v>
      </c>
      <c r="O35" s="213"/>
      <c r="P35" s="160">
        <f>P33+P34</f>
        <v>1891.7173209600001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2026-07-22T09:30:46Z</dcterms:modified>
</cp:coreProperties>
</file>