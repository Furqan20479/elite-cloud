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67D515-3460-492F-8592-626194D7C23A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J15" i="62"/>
  <c r="M20" i="46"/>
  <c r="O20" i="46" s="1"/>
  <c r="P20" i="46" s="1"/>
  <c r="R20" i="46" s="1"/>
  <c r="K12" i="62"/>
  <c r="M16" i="44"/>
  <c r="O16" i="44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<sst xmlns="http://schemas.openxmlformats.org/spreadsheetml/2006/main" count="3913" uniqueCount="525">
  <si>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</si>
  <si>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</si>
  <si>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</si>
  <si>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</si>
  <si>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</si>
  <si>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</si>
  <si>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</si>
  <si>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</si>
  <si>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</si>
  <si>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</si>
  <si>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</si>
  <si>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</si>
  <si>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</si>
  <si>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</si>
  <si>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</si>
  <si>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</si>
  <si>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</si>
  <si>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</si>
  <si>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</si>
  <si>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</si>
  <si>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</si>
  <si>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</si>
  <si>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</si>
  <si>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</si>
  <si>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</si>
  <si>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</si>
  <si>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</si>
  <si>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</si>
  <si>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</si>
  <si>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</si>
  <si>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</si>
  <si>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</si>
  <si>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</si>
  <si>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</si>
  <si>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</si>
  <si>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</si>
  <si>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</si>
  <si>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</si>
  <si>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</si>
  <si>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</si>
  <si>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</si>
  <si>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</si>
  <si>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</si>
  <si>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</si>
  <si>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</si>
  <si>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</si>
  <si>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</si>
  <si>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</si>
  <si>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</si>
  <si>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</si>
  <si>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</si>
  <si>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</si>
  <si>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</si>
  <si>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</si>
  <si>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</si>
  <si>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</si>
  <si>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</si>
  <si>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</si>
  <si>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</si>
  <si>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</si>
  <si>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</si>
  <si>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</si>
  <si>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</si>
  <si>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</si>
  <si>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</si>
  <si>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</si>
  <si>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</si>
  <si>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</si>
  <si>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</si>
  <si>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</si>
  <si>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</si>
  <si>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</si>
  <si>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</si>
  <si>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</si>
  <si>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</si>
  <si>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</si>
  <si>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</si>
  <si>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</si>
  <si>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</si>
  <si>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</si>
  <si>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</si>
  <si>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</si>
  <si>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</si>
  <si>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</si>
  <si>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</si>
  <si>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</si>
  <si>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</si>
  <si>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</si>
  <si>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</si>
  <si>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</si>
  <si>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</si>
  <si>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</si>
  <si>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</si>
  <si>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</si>
  <si>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</si>
  <si>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</si>
  <si>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</si>
  <si>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</si>
  <si>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</si>
  <si>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</si>
  <si>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</si>
  <si>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</si>
  <si>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</si>
  <si>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</si>
  <si>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</si>
  <si>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</si>
  <si>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</si>
  <si>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</si>
  <si>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</si>
  <si>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</si>
  <si>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</si>
  <si>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</si>
  <si>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</si>
  <si>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</si>
  <si>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</si>
  <si>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</si>
  <si>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</si>
  <si>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</si>
  <si>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</si>
  <si>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</si>
  <si>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</si>
  <si>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</si>
  <si>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</si>
  <si>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</si>
  <si>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</si>
  <si>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</si>
  <si>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</si>
  <si>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</si>
  <si>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</si>
  <si>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</si>
  <si>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</si>
  <si>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</si>
  <si>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</si>
  <si>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</si>
  <si>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</si>
  <si>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</si>
  <si>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</si>
  <si>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</si>
  <si>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</si>
  <si>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</si>
  <si>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</si>
  <si>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</si>
  <si>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</si>
  <si>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</si>
  <si>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</si>
  <si>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</si>
  <si>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</si>
  <si>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</si>
  <si>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</si>
  <si>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</si>
  <si>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</si>
  <si>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</si>
  <si>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</si>
  <si>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</si>
  <si>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</si>
  <si>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</si>
  <si>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</si>
  <si>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</si>
  <si>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</si>
  <si>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</si>
  <si>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</si>
  <si>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</si>
  <si>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</si>
  <si>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</si>
  <si>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</si>
  <si>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</si>
  <si>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</si>
  <si>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</si>
  <si>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</si>
  <si>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</si>
  <si>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</si>
  <si>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</si>
  <si>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</si>
  <si>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</si>
  <si>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</si>
  <si>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</si>
  <si>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</si>
  <si>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</si>
  <si>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</si>
  <si>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</si>
  <si>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</si>
  <si>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</si>
  <si>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</si>
  <si>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</si>
  <si>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</si>
  <si>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</si>
  <si>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</si>
  <si>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</si>
  <si>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</si>
  <si>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</si>
  <si>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</si>
  <si>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</si>
  <si>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</si>
  <si>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</si>
  <si>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</si>
  <si>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</si>
  <si>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</si>
  <si>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</si>
  <si>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</si>
  <si>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</si>
  <si>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</si>
  <si>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</si>
  <si>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</si>
  <si>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</si>
  <si>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</si>
  <si>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</si>
  <si>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</si>
  <si>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</si>
  <si>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</si>
  <si>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</si>
  <si>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</si>
  <si>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</si>
  <si>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</si>
  <si>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</si>
  <si>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</si>
  <si>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</si>
  <si>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</si>
  <si>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</si>
  <si>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</si>
  <si>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</si>
  <si>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</si>
  <si>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</si>
  <si>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</si>
  <si>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</si>
  <si>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</si>
  <si>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</si>
  <si>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</si>
  <si>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</si>
  <si>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</si>
  <si>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</si>
  <si>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</si>
  <si>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</si>
  <si>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</si>
  <si>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</si>
  <si>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</si>
  <si>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</si>
  <si>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</si>
  <si>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</si>
  <si>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</si>
  <si>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</si>
  <si>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</si>
  <si>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</si>
  <si>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</si>
  <si>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</si>
  <si>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</si>
  <si>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</si>
  <si>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</si>
  <si>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</si>
  <si>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</si>
  <si>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</si>
  <si>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</si>
  <si>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</si>
  <si>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</si>
  <si>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</si>
  <si>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</si>
  <si>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</si>
  <si>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</si>
  <si>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</si>
  <si>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</si>
  <si>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</si>
  <si>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</si>
  <si>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</si>
  <si>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</si>
  <si>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</si>
  <si>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</si>
  <si>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</si>
  <si>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</si>
  <si>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</si>
  <si>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</si>
  <si>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</si>
  <si>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</si>
  <si>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</si>
  <si>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</si>
  <si>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</si>
  <si>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</si>
  <si>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</si>
  <si>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</si>
  <si>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</si>
  <si>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</si>
  <si>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</si>
  <si>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</si>
  <si>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</si>
  <si>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</si>
  <si>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</si>
  <si>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</si>
  <si>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</si>
  <si>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</si>
  <si>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</si>
  <si>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</si>
  <si>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</si>
  <si>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</si>
  <si>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</si>
  <si>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</si>
  <si>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</si>
  <si>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</si>
  <si>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</si>
  <si>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</si>
  <si>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</si>
  <si>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</si>
  <si>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</si>
  <si>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</si>
  <si>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</si>
  <si>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</si>
  <si>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</si>
  <si>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</si>
  <si>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</si>
  <si>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</si>
  <si>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</si>
  <si>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</si>
  <si>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</si>
  <si>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</si>
  <si>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</si>
  <si>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</si>
  <si>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</si>
  <si>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</si>
  <si>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</si>
  <si>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</si>
  <si>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</si>
  <si>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</si>
  <si>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</si>
  <si>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</si>
  <si>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</si>
  <si>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</si>
  <si>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</si>
  <si>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</si>
  <si>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</si>
  <si>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</si>
  <si>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</si>
  <si>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</si>
  <si>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</si>
  <si>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</si>
  <si>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</si>
  <si>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</si>
  <si>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</si>
  <si>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</si>
  <si>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</si>
  <si>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</si>
  <si>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</si>
  <si>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</si>
  <si>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</si>
  <si>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</si>
  <si>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</si>
  <si>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</si>
  <si>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</si>
  <si>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</si>
  <si>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</si>
  <si>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</si>
  <si>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</si>
  <si>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</si>
  <si>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</si>
  <si>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</si>
  <si>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</si>
  <si>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</si>
  <si>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</si>
  <si>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</si>
  <si>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</si>
  <si>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</si>
  <si>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</si>
  <si>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</si>
  <si>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</si>
  <si>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</si>
  <si>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</si>
  <si>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</si>
  <si>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</si>
  <si>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</si>
  <si>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</si>
  <si>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</si>
  <si>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</si>
  <si>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</si>
  <si>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</si>
  <si>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</si>
  <si>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</si>
  <si>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</si>
  <si>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</si>
  <si>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</si>
  <si>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</si>
  <si>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</si>
  <si>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</si>
  <si>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</si>
  <si>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</si>
  <si>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</si>
  <si>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</si>
  <si>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</si>
  <si>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</si>
  <si>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</si>
  <si>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</si>
  <si>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</si>
  <si>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</si>
  <si>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</si>
  <si>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</si>
  <si>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</si>
  <si>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</si>
  <si>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</si>
  <si>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</si>
  <si>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</si>
  <si>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</si>
  <si>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</si>
  <si>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</si>
  <si>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</si>
  <si>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</si>
  <si>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</si>
  <si>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</si>
  <si>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</si>
  <si>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</si>
  <si>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</si>
  <si>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</si>
  <si>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</si>
  <si>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</si>
  <si>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</si>
  <si>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</si>
  <si>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</si>
  <si>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</si>
  <si>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</si>
  <si>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</si>
  <si>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</si>
  <si>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</si>
  <si>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</si>
  <si>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</si>
  <si>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</si>
  <si>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</si>
  <si>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</si>
  <si>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</si>
  <si>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</si>
  <si>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</si>
  <si>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</si>
  <si>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</si>
  <si>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</si>
  <si>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</si>
  <si>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</si>
  <si>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</si>
  <si>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</si>
  <si>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</si>
  <si>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</si>
  <si>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</si>
  <si>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</si>
  <si>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</si>
  <si>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</si>
  <si>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</si>
  <si>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</si>
  <si>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</si>
  <si>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</si>
  <si>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</si>
  <si>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</si>
  <si>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</si>
  <si>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</si>
  <si>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</si>
  <si>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</si>
  <si>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</si>
  <si>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</si>
  <si>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</si>
  <si>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</si>
  <si>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</si>
  <si>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</si>
  <si>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</si>
  <si>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</si>
  <si>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</si>
  <si>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</si>
  <si>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</si>
  <si>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</si>
  <si>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</si>
  <si>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</si>
  <si>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</si>
  <si>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</si>
  <si>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</si>
  <si>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</si>
  <si>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</si>
  <si>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</si>
  <si>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</si>
  <si>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</si>
  <si>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</si>
  <si>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</si>
  <si>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</si>
  <si>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</si>
  <si>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</si>
  <si>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</si>
  <si>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</si>
  <si>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</si>
  <si>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</si>
  <si>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</si>
  <si>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</si>
  <si>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</si>
  <si>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</si>
  <si>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</si>
  <si>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</si>
  <si>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</si>
  <si>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</si>
  <si>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</si>
  <si>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</si>
  <si>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</si>
  <si>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</si>
  <si>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</si>
  <si>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</si>
  <si>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</si>
  <si>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</si>
  <si>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</si>
  <si>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</si>
  <si>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</si>
  <si>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</si>
  <si>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</si>
  <si>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</si>
  <si>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</si>
  <si>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</si>
  <si>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</si>
  <si>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</si>
  <si>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</si>
  <si>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</si>
  <si>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</si>
  <si>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</si>
  <si>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</si>
  <si>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</si>
  <si>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</si>
  <si>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Zeshan </t>
  </si>
  <si>
    <t xml:space="preserve">Address:Bedian </t>
  </si>
  <si>
    <t>Yasen Store</t>
  </si>
  <si>
    <t>Hafiz Store</t>
  </si>
  <si>
    <t xml:space="preserve">Irfan Bakers </t>
  </si>
  <si>
    <t xml:space="preserve">AL Makkah </t>
  </si>
  <si>
    <t>Address:Rifal Range Road\</t>
  </si>
  <si>
    <t>Khan Store</t>
  </si>
  <si>
    <t>Address:Rifal Range Road</t>
  </si>
  <si>
    <t>Address: Rifal Range Road</t>
  </si>
  <si>
    <t>Bread &amp; Butter</t>
  </si>
  <si>
    <t>Bilal Store</t>
  </si>
  <si>
    <t>Abdullah Store</t>
  </si>
  <si>
    <t xml:space="preserve">Hamza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</si>
</sst>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511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46232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AL Makkah </v>
      </c>
      <c r="T3" s="301">
        <f>+'1'!P35</f>
        <v>4094.5009289300847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Khan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Bread &amp; Butter</v>
      </c>
      <c r="T5" s="301">
        <f>+'3'!P35</f>
        <v>7070.4410814152552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Bilal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118">
        <f>M7+N7+O7</f>
        <v>2831.3144785487289</v>
      </c>
      <c r="Q7" s="142"/>
      <c r="R7" s="299">
        <v>5</v>
      </c>
      <c r="S7" s="300" t="str">
        <f>+'5'!A6:A6</f>
        <v>Abdullah Store</v>
      </c>
      <c r="T7" s="301">
        <f>+'5'!P35</f>
        <v>1568.1057925423729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 xml:space="preserve">Hamza Mart </v>
      </c>
      <c r="T8" s="301">
        <f>+'6'!P35</f>
        <v>16479.075836669494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Yasen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37.057226440677965</v>
      </c>
      <c r="P10" s="119">
        <f t="shared" si="2"/>
        <v>7448.502514576272</v>
      </c>
      <c r="R10" s="299">
        <v>8</v>
      </c>
      <c r="S10" s="300" t="str">
        <f>+'8'!A6:A6</f>
        <v>Hafiz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125</v>
      </c>
      <c r="I11" s="236">
        <f t="shared" si="0"/>
        <v>9080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726.4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317.80000000000007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8035.8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1716.1016949152543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48.759508474576272</v>
      </c>
      <c r="P11" s="119">
        <f t="shared" si="2"/>
        <v>9800.6612033898309</v>
      </c>
      <c r="R11" s="299">
        <v>9</v>
      </c>
      <c r="S11" s="300" t="str">
        <f>+'9'!A6:A6</f>
        <v xml:space="preserve">Irfan Bakers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105</v>
      </c>
      <c r="I12" s="236">
        <f t="shared" si="0"/>
        <v>7627.2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610.17599999999993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266.952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6750.0720000000001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1441.5254237288136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40.95798711864407</v>
      </c>
      <c r="P12" s="119">
        <f t="shared" si="2"/>
        <v>8232.5554108474571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119">
        <f t="shared" si="2"/>
        <v>3338.355826983051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495</v>
      </c>
      <c r="I16" s="114">
        <f t="shared" si="3"/>
        <v>31468.025000000001</v>
      </c>
      <c r="J16" s="274">
        <f>SUM(J7:J15)</f>
        <v>2423.29</v>
      </c>
      <c r="K16" s="275">
        <f t="shared" si="3"/>
        <v>1101.3808750000001</v>
      </c>
      <c r="L16" s="276">
        <f t="shared" si="3"/>
        <v>160.05840000000001</v>
      </c>
      <c r="M16" s="232">
        <f t="shared" si="3"/>
        <v>27783.295725</v>
      </c>
      <c r="N16" s="233">
        <f>SUM(N7:N15)</f>
        <v>5964.4067796610161</v>
      </c>
      <c r="O16" s="101">
        <f>SUM(O7:O15)</f>
        <v>168.73851252330508</v>
      </c>
      <c r="P16" s="234">
        <f>SUM(P7:P15)</f>
        <v>33916.441017184326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31468.025000000001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2423.29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1261.4392750000002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27783.295725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5964.4067796610161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33747.702504661014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168.73851252330508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33916.441017184319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33916.441017184326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7.2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517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55</v>
      </c>
      <c r="I25" s="114">
        <f t="shared" ref="I25:M25" si="10">SUM(I16:I24)</f>
        <v>3793.4249999999997</v>
      </c>
      <c r="J25" s="274">
        <f>SUM(J16:J24)</f>
        <v>303.47399999999999</v>
      </c>
      <c r="K25" s="275">
        <f t="shared" si="10"/>
        <v>132.76987500000001</v>
      </c>
      <c r="L25" s="276">
        <f t="shared" si="10"/>
        <v>0</v>
      </c>
      <c r="M25" s="232">
        <f t="shared" si="10"/>
        <v>3357.1811249999996</v>
      </c>
      <c r="N25" s="233">
        <f>SUM(N16:N24)</f>
        <v>716.94915254237299</v>
      </c>
      <c r="O25" s="101">
        <f>SUM(O16:O24)</f>
        <v>20.370651387711867</v>
      </c>
      <c r="P25" s="234">
        <f>SUM(P16:P24)</f>
        <v>4094.5009289300842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3793.4249999999997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303.47399999999999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132.76987500000001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3357.1811249999996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716.94915254237299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4074.1302775423728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20.370651387711863</v>
      </c>
    </row>
    <row r="35" spans="2:16" ht="15.75" customHeight="1" thickBot="1" x14ac:dyDescent="0.4">
      <c r="N35" s="363" t="s">
        <v>88</v>
      </c>
      <c r="O35" s="364"/>
      <c r="P35" s="297">
        <f>+P33+P34</f>
        <v>4094.5009289300847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8.75" customHeight="1" x14ac:dyDescent="0.4">
      <c r="A6" s="389" t="s">
        <v>521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520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6573.3000000000011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478.78800000000007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310.09470000000005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5784.417300000001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7035.2647576271193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63" t="s">
        <v>88</v>
      </c>
      <c r="O35" s="364"/>
      <c r="P35" s="297">
        <f>+P33+P34</f>
        <v>7070.4410814152552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522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1452.8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116.224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50.848000000000006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1285.7280000000001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1560.3042711864407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63" t="s">
        <v>88</v>
      </c>
      <c r="O35" s="364"/>
      <c r="P35" s="297">
        <f>+P33+P34</f>
        <v>1568.1057925423729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523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1452.8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116.224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50.848000000000006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1285.7280000000001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1560.3042711864407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63" t="s">
        <v>88</v>
      </c>
      <c r="O35" s="364"/>
      <c r="P35" s="297">
        <f>+P33+P34</f>
        <v>1568.1057925423729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524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520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50</v>
      </c>
      <c r="I19" s="236">
        <f t="shared" si="0"/>
        <v>3632</v>
      </c>
      <c r="J19" s="272">
        <f t="shared" si="1"/>
        <v>290.56</v>
      </c>
      <c r="K19" s="128">
        <f t="shared" si="1"/>
        <v>127.12000000000002</v>
      </c>
      <c r="L19" s="119">
        <f t="shared" si="1"/>
        <v>0</v>
      </c>
      <c r="M19" s="230">
        <f t="shared" si="2"/>
        <v>3214.32</v>
      </c>
      <c r="N19" s="277">
        <f t="shared" si="3"/>
        <v>686.4406779661017</v>
      </c>
      <c r="O19" s="239">
        <f t="shared" si="4"/>
        <v>19.503803389830509</v>
      </c>
      <c r="P19" s="119">
        <f t="shared" si="5"/>
        <v>3920.2644813559323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50</v>
      </c>
      <c r="I20" s="236">
        <f t="shared" si="0"/>
        <v>3632</v>
      </c>
      <c r="J20" s="272">
        <f t="shared" si="1"/>
        <v>290.56</v>
      </c>
      <c r="K20" s="128">
        <f t="shared" si="1"/>
        <v>127.12000000000002</v>
      </c>
      <c r="L20" s="119">
        <f t="shared" si="1"/>
        <v>0</v>
      </c>
      <c r="M20" s="230">
        <f t="shared" si="2"/>
        <v>3214.32</v>
      </c>
      <c r="N20" s="277">
        <f t="shared" si="3"/>
        <v>686.4406779661017</v>
      </c>
      <c r="O20" s="239">
        <f t="shared" si="4"/>
        <v>19.503803389830509</v>
      </c>
      <c r="P20" s="119">
        <f t="shared" si="5"/>
        <v>3920.2644813559323</v>
      </c>
      <c r="R20">
        <f>P20/21</f>
        <v>186.67926101694917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</v>
      </c>
      <c r="I21" s="236">
        <f t="shared" si="0"/>
        <v>4358.3999999999996</v>
      </c>
      <c r="J21" s="272">
        <f t="shared" si="1"/>
        <v>348.67199999999997</v>
      </c>
      <c r="K21" s="128">
        <f t="shared" si="1"/>
        <v>152.54400000000001</v>
      </c>
      <c r="L21" s="119">
        <f t="shared" si="1"/>
        <v>0</v>
      </c>
      <c r="M21" s="230">
        <f t="shared" si="2"/>
        <v>3857.1839999999997</v>
      </c>
      <c r="N21" s="277">
        <f t="shared" si="3"/>
        <v>823.72881355932213</v>
      </c>
      <c r="O21" s="239">
        <f t="shared" si="4"/>
        <v>23.40456406779661</v>
      </c>
      <c r="P21" s="119">
        <f t="shared" si="5"/>
        <v>4704.3173776271187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240</v>
      </c>
      <c r="I25" s="114">
        <f t="shared" si="7"/>
        <v>15290.1</v>
      </c>
      <c r="J25" s="274">
        <f>SUM(J16:J24)</f>
        <v>1176.1320000000001</v>
      </c>
      <c r="K25" s="275">
        <f t="shared" si="7"/>
        <v>535.15350000000012</v>
      </c>
      <c r="L25" s="276">
        <f t="shared" si="7"/>
        <v>80.029200000000003</v>
      </c>
      <c r="M25" s="232">
        <f t="shared" si="7"/>
        <v>13498.7853</v>
      </c>
      <c r="N25" s="233">
        <f>SUM(N16:N24)</f>
        <v>2898.3050847457625</v>
      </c>
      <c r="O25" s="101">
        <f>SUM(O16:O24)</f>
        <v>81.985451923728817</v>
      </c>
      <c r="P25" s="234">
        <f>SUM(P16:P24)</f>
        <v>16479.075836669494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15290.1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1176.1320000000001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615.18270000000007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13498.785300000001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2898.3050847457625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16397.090384745763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81.985451923728817</v>
      </c>
    </row>
    <row r="35" spans="2:16" ht="15.75" customHeight="1" thickBot="1" x14ac:dyDescent="0.4">
      <c r="N35" s="363" t="s">
        <v>88</v>
      </c>
      <c r="O35" s="364"/>
      <c r="P35" s="297">
        <f>+P33+P34</f>
        <v>16479.075836669494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4" workbookViewId="0">
      <selection activeCell="H20" sqref="H20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3" workbookViewId="0">
      <selection activeCell="H17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H21" sqref="H21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46232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46231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2026-07-28T10:43:27Z</dcterms:modified>
</cp:coreProperties>
</file>