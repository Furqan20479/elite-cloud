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F2188781-90B8-4605-B471-FDCAB1334031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21" i="17"/>
  <c r="K21" i="17"/>
  <c r="L21" i="19"/>
  <c r="K21" i="19"/>
  <c r="M21" i="19" s="1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K17" i="21"/>
  <c r="L16" i="21"/>
  <c r="K16" i="21"/>
  <c r="M16" i="21" s="1"/>
  <c r="N16" i="21" s="1"/>
  <c r="L20" i="20"/>
  <c r="K20" i="20"/>
  <c r="L21" i="20"/>
  <c r="K21" i="20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17" i="21" l="1"/>
  <c r="N17" i="21" s="1"/>
  <c r="O17" i="21" s="1"/>
  <c r="P17" i="21" s="1"/>
  <c r="M21" i="20"/>
  <c r="N21" i="20" s="1"/>
  <c r="O21" i="20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1" l="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<sst xmlns="http://schemas.openxmlformats.org/spreadsheetml/2006/main" count="1634" uniqueCount="132">
  <si>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</si>
  <si>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</si>
  <si>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</si>
  <si>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</si>
  <si>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</si>
  <si>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</si>
  <si>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</si>
  <si>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</si>
  <si>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</si>
  <si>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</si>
  <si>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</si>
  <si>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</si>
  <si>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</si>
  <si>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</si>
  <si>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</si>
  <si>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</si>
  <si>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</si>
  <si>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</si>
  <si>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</si>
  <si>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</si>
  <si>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</si>
  <si>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</si>
  <si>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</si>
  <si>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</si>
  <si>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</si>
  <si>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</si>
  <si>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</si>
  <si>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</si>
  <si>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</si>
  <si>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</si>
  <si>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</si>
  <si>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</si>
  <si>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</si>
  <si>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</si>
  <si>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</si>
  <si>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</si>
  <si>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</si>
  <si>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</si>
  <si>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</si>
  <si>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</si>
  <si>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</si>
  <si>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</si>
  <si>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</si>
  <si>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</si>
  <si>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</si>
  <si>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</si>
  <si>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</si>
  <si>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</si>
  <si>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</si>
  <si>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</si>
  <si>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</si>
  <si>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</si>
  <si>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</si>
  <si>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</si>
  <si>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</si>
  <si>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</si>
  <si>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</si>
  <si>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</si>
  <si>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</si>
  <si>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</si>
  <si>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</si>
  <si>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</si>
  <si>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</si>
  <si>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</si>
  <si>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</si>
  <si>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</si>
  <si>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</si>
  <si>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</si>
  <si>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</si>
  <si>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</si>
  <si>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</si>
  <si>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</si>
  <si>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</si>
  <si>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</si>
  <si>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</si>
  <si>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</si>
  <si>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</si>
  <si>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</si>
  <si>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</si>
  <si>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</si>
  <si>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</si>
  <si>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</si>
  <si>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</si>
  <si>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</si>
  <si>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</si>
  <si>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</si>
  <si>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</si>
  <si>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</si>
  <si>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</si>
  <si>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</si>
  <si>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</si>
  <si>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</si>
  <si>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</si>
  <si>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</si>
  <si>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</si>
  <si>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</si>
  <si>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</si>
  <si>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</si>
  <si>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</si>
  <si>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</si>
  <si>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</si>
  <si>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</si>
  <si>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</si>
  <si>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</si>
  <si>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</si>
  <si>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</si>
  <si>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</si>
  <si>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</si>
  <si>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</si>
  <si>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</si>
  <si>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</si>
  <si>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</si>
  <si>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</si>
  <si>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</si>
  <si>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</si>
  <si>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</si>
  <si>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</si>
  <si>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</si>
  <si>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</si>
  <si>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</si>
  <si>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Summary(Furqan)</t>
  </si>
  <si>
    <t>Customer Name : Sawat Variety Store</t>
  </si>
  <si>
    <t xml:space="preserve">Address: Gopal Nager </t>
  </si>
  <si>
    <t>E156529-1</t>
  </si>
  <si>
    <t>Customer Name : 6 Brother Store</t>
  </si>
  <si>
    <t>Customer Name : 786 Store</t>
  </si>
  <si>
    <t>Address: Gopal Nager</t>
  </si>
  <si>
    <t>Customer Name : Ali Store</t>
  </si>
  <si>
    <t xml:space="preserve">Customer Name : New Kashmir Bakery </t>
  </si>
  <si>
    <t>Customer Name : MA Super Store</t>
  </si>
  <si>
    <t>Customer Name : Main Sons Store</t>
  </si>
  <si>
    <t>3140256-9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</si>
</sst>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6" zoomScale="70" zoomScaleNormal="70" workbookViewId="0">
      <selection activeCell="S18" sqref="S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96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120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Sawat Variety Store</v>
      </c>
      <c r="U14" s="164">
        <f>+'1'!P35</f>
        <v>6098.9793407999996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6 Brother Store</v>
      </c>
      <c r="U15" s="164">
        <f>+'2'!P35</f>
        <v>3110.1760319999999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34</v>
      </c>
      <c r="I16" s="1">
        <f>(G16*D16)*F16+H16*F16</f>
        <v>1783.7249999999999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62.430374999999998</v>
      </c>
      <c r="L16" s="174">
        <f>+'1'!L16+'2'!L16+'4'!L16+'3'!L16+'5'!L16+'6'!L16+'7'!L16+'8'!L16+'9'!L16+'10'!L16</f>
        <v>142.69799999999998</v>
      </c>
      <c r="M16" s="106">
        <f>I16-K16-L16</f>
        <v>1578.5966250000001</v>
      </c>
      <c r="N16" s="101">
        <f>+'1'!N16+'2'!N16+'4'!N16+'3'!N16+'5'!N16+'6'!N16+'7'!N16+'8'!N16+'9'!N16+'10'!N16</f>
        <v>284.14739249999997</v>
      </c>
      <c r="O16" s="101">
        <f>+'1'!O16+'2'!O16+'4'!O16+'3'!O16+'5'!O16+'6'!O16+'7'!O16+'8'!O16+'9'!O16+'10'!O16</f>
        <v>22.462501387499994</v>
      </c>
      <c r="P16" s="105">
        <f t="shared" ref="P16:P24" si="0">M16+N16+O16</f>
        <v>1885.2065188875001</v>
      </c>
      <c r="Q16" s="108"/>
      <c r="T16" s="163" t="str">
        <f>+'3'!A5</f>
        <v>Customer Name : 786 Store</v>
      </c>
      <c r="U16" s="164">
        <f>+'3'!P35</f>
        <v>491.94796608000001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39</v>
      </c>
      <c r="I17" s="1">
        <f t="shared" ref="I17:I23" si="1">(G17*D17)*F17+H17*F17</f>
        <v>2046.0374999999999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71.611312499999997</v>
      </c>
      <c r="L17" s="174">
        <f>+'1'!L17+'2'!L17+'4'!L17+'3'!L17+'5'!L17+'6'!L17+'7'!L17+'8'!L17+'9'!L17+'10'!L17</f>
        <v>163.68299999999999</v>
      </c>
      <c r="M17" s="118">
        <f t="shared" ref="M17:M23" si="2">I17-K17-L17</f>
        <v>1810.7431875</v>
      </c>
      <c r="N17" s="101">
        <f>+'1'!N17+'2'!N17+'4'!N17+'3'!N17+'5'!N17+'6'!N17+'7'!N17+'8'!N17+'9'!N17+'10'!N17</f>
        <v>325.93377374999994</v>
      </c>
      <c r="O17" s="101">
        <f>+'1'!O17+'2'!O17+'4'!O17+'3'!O17+'5'!O17+'6'!O17+'7'!O17+'8'!O17+'9'!O17+'10'!O17</f>
        <v>23.832166106249993</v>
      </c>
      <c r="P17" s="120">
        <f t="shared" si="0"/>
        <v>2160.5091273562498</v>
      </c>
      <c r="S17" s="64"/>
      <c r="T17" s="163" t="str">
        <f>+'4'!A5</f>
        <v>Customer Name : Ali Store</v>
      </c>
      <c r="U17" s="164">
        <f>+'4'!P35</f>
        <v>1607.8299379200002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New Kashmir Bakery </v>
      </c>
      <c r="U18" s="164">
        <f>+'5'!P35</f>
        <v>3713.8868011619993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43</v>
      </c>
      <c r="I19" s="1">
        <f t="shared" si="1"/>
        <v>3123.52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109.32320000000001</v>
      </c>
      <c r="L19" s="174">
        <f>+'1'!L19+'2'!L19+'4'!L19+'3'!L19+'5'!L19+'6'!L19+'7'!L19+'8'!L19+'9'!L19+'10'!L19</f>
        <v>249.88159999999999</v>
      </c>
      <c r="M19" s="118">
        <f t="shared" si="2"/>
        <v>2764.3152</v>
      </c>
      <c r="N19" s="101">
        <f>+'1'!N19+'2'!N19+'4'!N19+'3'!N19+'5'!N19+'6'!N19+'7'!N19+'8'!N19+'9'!N19+'10'!N19</f>
        <v>497.57673599999998</v>
      </c>
      <c r="O19" s="101">
        <f>+'1'!O19+'2'!O19+'4'!O19+'3'!O19+'5'!O19+'6'!O19+'7'!O19+'8'!O19+'9'!O19+'10'!O19</f>
        <v>31.481050079999999</v>
      </c>
      <c r="P19" s="120">
        <f t="shared" si="0"/>
        <v>3293.3729860799999</v>
      </c>
      <c r="T19" s="163" t="str">
        <f>+'6'!A5</f>
        <v>Customer Name : MA Super Store</v>
      </c>
      <c r="U19" s="164">
        <f>+'6'!P35</f>
        <v>1921.6893770099998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48</v>
      </c>
      <c r="I20" s="1">
        <f t="shared" si="1"/>
        <v>3486.7200000000003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122.03520000000002</v>
      </c>
      <c r="L20" s="174">
        <f>+'1'!L20+'2'!L20+'4'!L20+'3'!L20+'5'!L20+'6'!L20+'7'!L20+'8'!L20+'9'!L20+'10'!L20</f>
        <v>278.93759999999997</v>
      </c>
      <c r="M20" s="118">
        <f t="shared" si="2"/>
        <v>3085.7472000000007</v>
      </c>
      <c r="N20" s="101">
        <f>+'1'!N20+'2'!N20+'4'!N20+'3'!N20+'5'!N20+'6'!N20+'7'!N20+'8'!N20+'9'!N20+'10'!N20</f>
        <v>555.43449599999997</v>
      </c>
      <c r="O20" s="101">
        <f>+'1'!O20+'2'!O20+'4'!O20+'3'!O20+'5'!O20+'6'!O20+'7'!O20+'8'!O20+'9'!O20+'10'!O20</f>
        <v>40.963294079999997</v>
      </c>
      <c r="P20" s="120">
        <f t="shared" si="0"/>
        <v>3682.1449900800008</v>
      </c>
      <c r="T20" s="163" t="str">
        <f>+'7'!A5</f>
        <v>Customer Name : Main Sons Store</v>
      </c>
      <c r="U20" s="164">
        <f>+'7'!P35</f>
        <v>1979.4492690637499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53</v>
      </c>
      <c r="I21" s="1">
        <f t="shared" si="1"/>
        <v>3849.92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134.74720000000002</v>
      </c>
      <c r="L21" s="174">
        <f>+'1'!L21+'2'!L21+'4'!L21+'3'!L21+'5'!L21+'6'!L21+'7'!L21+'8'!L21+'9'!L21+'10'!L21</f>
        <v>307.99359999999996</v>
      </c>
      <c r="M21" s="118">
        <f t="shared" si="2"/>
        <v>3407.1792000000005</v>
      </c>
      <c r="N21" s="101">
        <f>+'1'!N21+'2'!N21+'4'!N21+'3'!N21+'5'!N21+'6'!N21+'7'!N21+'8'!N21+'9'!N21+'10'!N21</f>
        <v>613.29225599999995</v>
      </c>
      <c r="O21" s="101">
        <f>+'1'!O21+'2'!O21+'4'!O21+'3'!O21+'5'!O21+'6'!O21+'7'!O21+'8'!O21+'9'!O21+'10'!O21</f>
        <v>42.859742879999992</v>
      </c>
      <c r="P21" s="120">
        <f t="shared" si="0"/>
        <v>4063.3311988800001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95</v>
      </c>
      <c r="I22" s="1">
        <f t="shared" si="1"/>
        <v>3726.8500000000004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320.50909999999999</v>
      </c>
      <c r="L22" s="174">
        <f>+'1'!L22+'2'!L22+'4'!L22+'3'!L22+'5'!L22+'6'!L22+'7'!L22+'8'!L22+'9'!L22+'10'!L22</f>
        <v>186.34250000000006</v>
      </c>
      <c r="M22" s="118">
        <f t="shared" si="2"/>
        <v>3219.9983999999999</v>
      </c>
      <c r="N22" s="101">
        <f>+'1'!N22+'2'!N22+'4'!N22+'3'!N22+'5'!N22+'6'!N22+'7'!N22+'8'!N22+'9'!N22+'10'!N22</f>
        <v>579.59971200000007</v>
      </c>
      <c r="O22" s="101">
        <f>+'1'!O22+'2'!O22+'4'!O22+'3'!O22+'5'!O22+'6'!O22+'7'!O22+'8'!O22+'9'!O22+'10'!O22</f>
        <v>39.795790752000009</v>
      </c>
      <c r="P22" s="120">
        <f t="shared" si="0"/>
        <v>3839.393902752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8" t="s">
        <v>84</v>
      </c>
      <c r="B25" s="219"/>
      <c r="C25" s="220">
        <f>H25/40</f>
        <v>7.8</v>
      </c>
      <c r="D25" s="214"/>
      <c r="E25" s="214"/>
      <c r="F25" s="214"/>
      <c r="G25" s="175">
        <f t="shared" ref="G25:M25" si="3">SUM(G16:G24)</f>
        <v>0</v>
      </c>
      <c r="H25" s="176">
        <f t="shared" si="3"/>
        <v>312</v>
      </c>
      <c r="I25" s="177">
        <f t="shared" si="3"/>
        <v>18016.772499999999</v>
      </c>
      <c r="J25" s="176">
        <f t="shared" si="3"/>
        <v>0</v>
      </c>
      <c r="K25" s="177">
        <f t="shared" si="3"/>
        <v>820.65638750000005</v>
      </c>
      <c r="L25" s="178">
        <f t="shared" si="3"/>
        <v>1329.5363</v>
      </c>
      <c r="M25" s="141">
        <f t="shared" si="3"/>
        <v>15866.579812500002</v>
      </c>
      <c r="N25" s="142">
        <f>SUM(N16:N24)</f>
        <v>2855.9843662499998</v>
      </c>
      <c r="O25" s="143">
        <f>SUM(O16:O24)</f>
        <v>201.39454528574998</v>
      </c>
      <c r="P25" s="144">
        <f>SUM(P16:P24)</f>
        <v>18923.95872403575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18923.95872403575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18016.772499999999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1329.5363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820.65638750000005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15866.5798125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2855.9843662499998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18722.564178749999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468.06410446874997</v>
      </c>
    </row>
    <row r="43" spans="1:21" ht="15.75" customHeight="1" thickBot="1" x14ac:dyDescent="0.4">
      <c r="N43" s="212" t="s">
        <v>92</v>
      </c>
      <c r="O43" s="213"/>
      <c r="P43" s="160">
        <f>P41+P42</f>
        <v>19190.62828321875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26 16383:16384" ht="15" customHeight="1" x14ac:dyDescent="0.35">
      <c r="A6" s="238" t="s">
        <v>122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 t="s">
        <v>123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25</v>
      </c>
      <c r="I19" s="116">
        <f t="shared" si="3"/>
        <v>1816</v>
      </c>
      <c r="J19" s="117"/>
      <c r="K19" s="104">
        <f t="shared" si="4"/>
        <v>63.560000000000009</v>
      </c>
      <c r="L19" s="105">
        <f t="shared" si="5"/>
        <v>145.28</v>
      </c>
      <c r="M19" s="118">
        <f t="shared" si="6"/>
        <v>1607.16</v>
      </c>
      <c r="N19" s="118">
        <f t="shared" si="0"/>
        <v>289.28879999999998</v>
      </c>
      <c r="O19" s="119">
        <f t="shared" si="1"/>
        <v>9.4822440000000014</v>
      </c>
      <c r="P19" s="120">
        <f t="shared" si="2"/>
        <v>1905.9310440000002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25</v>
      </c>
      <c r="I20" s="116">
        <f t="shared" si="3"/>
        <v>1816</v>
      </c>
      <c r="J20" s="117"/>
      <c r="K20" s="104">
        <f t="shared" si="4"/>
        <v>63.560000000000009</v>
      </c>
      <c r="L20" s="105">
        <f t="shared" si="5"/>
        <v>145.28</v>
      </c>
      <c r="M20" s="118">
        <f t="shared" si="6"/>
        <v>1607.16</v>
      </c>
      <c r="N20" s="118">
        <f t="shared" si="0"/>
        <v>289.28879999999998</v>
      </c>
      <c r="O20" s="119">
        <f t="shared" si="1"/>
        <v>9.4822440000000014</v>
      </c>
      <c r="P20" s="120">
        <f t="shared" si="2"/>
        <v>1905.9310440000002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30</v>
      </c>
      <c r="I21" s="116">
        <f t="shared" si="3"/>
        <v>2179.1999999999998</v>
      </c>
      <c r="J21" s="117"/>
      <c r="K21" s="104">
        <f t="shared" si="4"/>
        <v>76.272000000000006</v>
      </c>
      <c r="L21" s="105">
        <f t="shared" si="5"/>
        <v>174.33599999999998</v>
      </c>
      <c r="M21" s="118">
        <f t="shared" si="6"/>
        <v>1928.5919999999999</v>
      </c>
      <c r="N21" s="118">
        <f t="shared" si="0"/>
        <v>347.14655999999997</v>
      </c>
      <c r="O21" s="119">
        <f t="shared" si="1"/>
        <v>11.3786928</v>
      </c>
      <c r="P21" s="120">
        <f t="shared" si="2"/>
        <v>2287.1172527999997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80</v>
      </c>
      <c r="I25" s="137">
        <f t="shared" si="13"/>
        <v>5811.2</v>
      </c>
      <c r="J25" s="138"/>
      <c r="K25" s="139">
        <f t="shared" si="13"/>
        <v>203.39200000000002</v>
      </c>
      <c r="L25" s="140">
        <f t="shared" si="13"/>
        <v>464.89599999999996</v>
      </c>
      <c r="M25" s="141">
        <f t="shared" si="13"/>
        <v>5142.9120000000003</v>
      </c>
      <c r="N25" s="142">
        <f>SUM(N16:N24)</f>
        <v>925.72415999999998</v>
      </c>
      <c r="O25" s="143">
        <f>SUM(O16:O24)</f>
        <v>30.343180800000003</v>
      </c>
      <c r="P25" s="144">
        <f>SUM(P16:P24)</f>
        <v>6098.9793408000005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5811.2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464.89599999999996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203.39200000000002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5142.9120000000003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925.72415999999998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6068.63616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30.343180799999999</v>
      </c>
    </row>
    <row r="35" spans="2:16" ht="15.75" customHeight="1" thickBot="1" x14ac:dyDescent="0.4">
      <c r="N35" s="212" t="s">
        <v>92</v>
      </c>
      <c r="O35" s="213"/>
      <c r="P35" s="160">
        <f>P33+P34</f>
        <v>6098.9793407999996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122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18.964487999999999</v>
      </c>
      <c r="P19" s="120">
        <f t="shared" si="1"/>
        <v>777.54400799999996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/>
      <c r="K20" s="104">
        <f t="shared" si="3"/>
        <v>38.136000000000003</v>
      </c>
      <c r="L20" s="105">
        <f t="shared" si="4"/>
        <v>87.167999999999992</v>
      </c>
      <c r="M20" s="118">
        <f t="shared" si="5"/>
        <v>964.29599999999994</v>
      </c>
      <c r="N20" s="118">
        <f t="shared" si="0"/>
        <v>173.57327999999998</v>
      </c>
      <c r="O20" s="119">
        <f t="shared" si="6"/>
        <v>28.446731999999997</v>
      </c>
      <c r="P20" s="120">
        <f t="shared" si="1"/>
        <v>1166.3160119999998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28.446731999999997</v>
      </c>
      <c r="P21" s="120">
        <f t="shared" si="1"/>
        <v>1166.3160119999998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</v>
      </c>
      <c r="L25" s="140">
        <f t="shared" si="9"/>
        <v>232.44799999999998</v>
      </c>
      <c r="M25" s="141">
        <f t="shared" si="9"/>
        <v>2571.4559999999997</v>
      </c>
      <c r="N25" s="142">
        <f>SUM(N16:N24)</f>
        <v>462.86207999999999</v>
      </c>
      <c r="O25" s="143">
        <f>SUM(O16:O24)</f>
        <v>75.857951999999997</v>
      </c>
      <c r="P25" s="144">
        <f>SUM(P16:P24)</f>
        <v>3110.1760319999994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2905.6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232.44799999999998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101.696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2571.4560000000001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3034.31808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75.857951999999997</v>
      </c>
    </row>
    <row r="35" spans="2:16" ht="15.75" customHeight="1" thickBot="1" x14ac:dyDescent="0.4">
      <c r="N35" s="212" t="s">
        <v>92</v>
      </c>
      <c r="O35" s="213"/>
      <c r="P35" s="160">
        <f>P33+P34</f>
        <v>3110.1760319999999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126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73.212595199999996</v>
      </c>
      <c r="O22" s="119">
        <f t="shared" si="6"/>
        <v>11.998730880000002</v>
      </c>
      <c r="P22" s="120">
        <f t="shared" si="1"/>
        <v>491.94796608000001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40.48536</v>
      </c>
      <c r="L25" s="140">
        <f t="shared" si="9"/>
        <v>23.538000000000004</v>
      </c>
      <c r="M25" s="141">
        <f t="shared" si="9"/>
        <v>406.73664000000002</v>
      </c>
      <c r="N25" s="142">
        <f>SUM(N16:N24)</f>
        <v>73.212595199999996</v>
      </c>
      <c r="O25" s="143">
        <f>SUM(O16:O24)</f>
        <v>11.998730880000002</v>
      </c>
      <c r="P25" s="144">
        <f>SUM(P16:P24)</f>
        <v>491.94796608000001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470.76000000000005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23.538000000000004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40.48536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406.73664000000002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73.212595199999996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479.94923520000003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11.998730880000002</v>
      </c>
    </row>
    <row r="35" spans="2:16" ht="15.75" customHeight="1" thickBot="1" x14ac:dyDescent="0.4">
      <c r="N35" s="212" t="s">
        <v>92</v>
      </c>
      <c r="O35" s="213"/>
      <c r="P35" s="160">
        <f>P33+P34</f>
        <v>491.94796608000001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126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6925517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7.9991539200000012</v>
      </c>
      <c r="P25" s="144">
        <f>SUM(P16:P24)</f>
        <v>1607.8299379200002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7.9991539200000012</v>
      </c>
    </row>
    <row r="35" spans="2:16" ht="15.75" customHeight="1" thickBot="1" x14ac:dyDescent="0.4">
      <c r="N35" s="212" t="s">
        <v>92</v>
      </c>
      <c r="O35" s="213"/>
      <c r="P35" s="160">
        <f>P33+P34</f>
        <v>1607.8299379200002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126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I16*3.5%</f>
        <v>22.03425</v>
      </c>
      <c r="L16" s="105">
        <f>I16*8%</f>
        <v>50.363999999999997</v>
      </c>
      <c r="M16" s="106">
        <f>I16-K16-L16</f>
        <v>557.15174999999988</v>
      </c>
      <c r="N16" s="106">
        <f t="shared" ref="N16:N24" si="0">(M16*$N$15)+(J16*F16)*$N$15</f>
        <v>100.28731499999998</v>
      </c>
      <c r="O16" s="107">
        <f>(N16+M16)*$O$15</f>
        <v>3.287195324999999</v>
      </c>
      <c r="P16" s="105">
        <f t="shared" ref="P16:P24" si="1">M16+N16+O16</f>
        <v>660.72626032499977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/>
      <c r="K17" s="104">
        <f t="shared" ref="K17:K21" si="3">I17*3.5%</f>
        <v>22.03425</v>
      </c>
      <c r="L17" s="105">
        <f t="shared" ref="L17:L21" si="4">I17*8%</f>
        <v>50.363999999999997</v>
      </c>
      <c r="M17" s="118">
        <f t="shared" ref="M17:M23" si="5">I17-K17-L17</f>
        <v>557.15174999999988</v>
      </c>
      <c r="N17" s="118">
        <f t="shared" si="0"/>
        <v>100.28731499999998</v>
      </c>
      <c r="O17" s="119">
        <f t="shared" ref="O17:O24" si="6">(N17+M17)*$O$15</f>
        <v>3.287195324999999</v>
      </c>
      <c r="P17" s="120">
        <f t="shared" si="1"/>
        <v>660.72626032499977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</v>
      </c>
      <c r="I19" s="116">
        <f t="shared" si="2"/>
        <v>581.12</v>
      </c>
      <c r="J19" s="117"/>
      <c r="K19" s="104">
        <f t="shared" si="3"/>
        <v>20.339200000000002</v>
      </c>
      <c r="L19" s="105">
        <f t="shared" si="4"/>
        <v>46.489600000000003</v>
      </c>
      <c r="M19" s="118">
        <f t="shared" si="5"/>
        <v>514.2912</v>
      </c>
      <c r="N19" s="118">
        <f t="shared" si="0"/>
        <v>92.572416000000004</v>
      </c>
      <c r="O19" s="119">
        <f t="shared" si="6"/>
        <v>3.0343180799999998</v>
      </c>
      <c r="P19" s="120">
        <f t="shared" si="1"/>
        <v>609.89793408000003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</v>
      </c>
      <c r="I20" s="116">
        <f t="shared" si="2"/>
        <v>581.12</v>
      </c>
      <c r="J20" s="117"/>
      <c r="K20" s="104">
        <f t="shared" si="3"/>
        <v>20.339200000000002</v>
      </c>
      <c r="L20" s="105">
        <f t="shared" si="4"/>
        <v>46.489600000000003</v>
      </c>
      <c r="M20" s="118">
        <f t="shared" si="5"/>
        <v>514.2912</v>
      </c>
      <c r="N20" s="118">
        <f t="shared" si="0"/>
        <v>92.572416000000004</v>
      </c>
      <c r="O20" s="119">
        <f t="shared" si="6"/>
        <v>3.0343180799999998</v>
      </c>
      <c r="P20" s="120">
        <f t="shared" si="1"/>
        <v>609.89793408000003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</v>
      </c>
      <c r="I21" s="116">
        <f t="shared" si="2"/>
        <v>581.12</v>
      </c>
      <c r="J21" s="117"/>
      <c r="K21" s="104">
        <f t="shared" si="3"/>
        <v>20.339200000000002</v>
      </c>
      <c r="L21" s="105">
        <f t="shared" si="4"/>
        <v>46.489600000000003</v>
      </c>
      <c r="M21" s="118">
        <f t="shared" si="5"/>
        <v>514.2912</v>
      </c>
      <c r="N21" s="118">
        <f t="shared" si="0"/>
        <v>92.572416000000004</v>
      </c>
      <c r="O21" s="119">
        <f t="shared" si="6"/>
        <v>3.0343180799999998</v>
      </c>
      <c r="P21" s="120">
        <f t="shared" si="1"/>
        <v>609.89793408000003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14</v>
      </c>
      <c r="I22" s="116">
        <f t="shared" si="2"/>
        <v>549.22</v>
      </c>
      <c r="J22" s="117"/>
      <c r="K22" s="104">
        <f>I22*8.6%</f>
        <v>47.23292</v>
      </c>
      <c r="L22" s="120">
        <f>I22*5%</f>
        <v>27.461000000000002</v>
      </c>
      <c r="M22" s="118">
        <f t="shared" si="5"/>
        <v>474.52608000000004</v>
      </c>
      <c r="N22" s="118">
        <f t="shared" si="0"/>
        <v>85.414694400000002</v>
      </c>
      <c r="O22" s="119">
        <f t="shared" si="6"/>
        <v>2.7997038720000003</v>
      </c>
      <c r="P22" s="120">
        <f t="shared" si="1"/>
        <v>562.74047827200002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62</v>
      </c>
      <c r="I25" s="137">
        <f t="shared" si="9"/>
        <v>3551.6799999999994</v>
      </c>
      <c r="J25" s="138"/>
      <c r="K25" s="139">
        <f t="shared" si="9"/>
        <v>152.31902000000002</v>
      </c>
      <c r="L25" s="140">
        <f t="shared" si="9"/>
        <v>267.65780000000001</v>
      </c>
      <c r="M25" s="141">
        <f t="shared" si="9"/>
        <v>3131.70318</v>
      </c>
      <c r="N25" s="142">
        <f>SUM(N16:N24)</f>
        <v>563.70657239999991</v>
      </c>
      <c r="O25" s="143">
        <f>SUM(O16:O24)</f>
        <v>18.477048761999999</v>
      </c>
      <c r="P25" s="144">
        <f>SUM(P16:P24)</f>
        <v>3713.8868011619998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3551.6799999999994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267.65780000000001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152.31902000000002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3131.7031799999995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563.70657239999991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3695.4097523999994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18.477048761999999</v>
      </c>
    </row>
    <row r="35" spans="2:16" ht="15.75" customHeight="1" thickBot="1" x14ac:dyDescent="0.4">
      <c r="N35" s="212" t="s">
        <v>92</v>
      </c>
      <c r="O35" s="213"/>
      <c r="P35" s="160">
        <f>P33+P34</f>
        <v>3713.8868011619993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87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126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I16*3.5%</f>
        <v>22.03425</v>
      </c>
      <c r="L16" s="105">
        <f>I16*8%</f>
        <v>50.363999999999997</v>
      </c>
      <c r="M16" s="106">
        <f>I16-K16-L16</f>
        <v>557.15174999999988</v>
      </c>
      <c r="N16" s="106">
        <f t="shared" ref="N16:N24" si="0">(M16*$N$15)+(J16*F16)*$N$15</f>
        <v>100.28731499999998</v>
      </c>
      <c r="O16" s="107">
        <f>(N16+M16)*$O$15</f>
        <v>16.435976624999995</v>
      </c>
      <c r="P16" s="105">
        <f t="shared" ref="P16:P24" si="1">M16+N16+O16</f>
        <v>673.87504162499977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/>
      <c r="K17" s="104">
        <f t="shared" ref="K17:K21" si="3">I17*3.5%</f>
        <v>22.03425</v>
      </c>
      <c r="L17" s="105">
        <f t="shared" ref="L17:L21" si="4">I17*8%</f>
        <v>50.363999999999997</v>
      </c>
      <c r="M17" s="118">
        <f t="shared" ref="M17:M23" si="5">I17-K17-L17</f>
        <v>557.15174999999988</v>
      </c>
      <c r="N17" s="118">
        <f t="shared" si="0"/>
        <v>100.28731499999998</v>
      </c>
      <c r="O17" s="119">
        <f t="shared" ref="O17:O24" si="6">(N17+M17)*$O$15</f>
        <v>16.435976624999995</v>
      </c>
      <c r="P17" s="120">
        <f t="shared" si="1"/>
        <v>673.87504162499977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14</v>
      </c>
      <c r="I22" s="116">
        <f t="shared" si="2"/>
        <v>549.22</v>
      </c>
      <c r="J22" s="117"/>
      <c r="K22" s="104">
        <f>I22*8.6%</f>
        <v>47.23292</v>
      </c>
      <c r="L22" s="120">
        <f>I22*5%</f>
        <v>27.461000000000002</v>
      </c>
      <c r="M22" s="118">
        <f t="shared" si="5"/>
        <v>474.52608000000004</v>
      </c>
      <c r="N22" s="118">
        <f t="shared" si="0"/>
        <v>85.414694400000002</v>
      </c>
      <c r="O22" s="119">
        <f t="shared" si="6"/>
        <v>13.998519360000001</v>
      </c>
      <c r="P22" s="120">
        <f t="shared" si="1"/>
        <v>573.93929376000006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38</v>
      </c>
      <c r="I25" s="137">
        <f t="shared" si="9"/>
        <v>1808.32</v>
      </c>
      <c r="J25" s="138"/>
      <c r="K25" s="139">
        <f t="shared" si="9"/>
        <v>91.301420000000007</v>
      </c>
      <c r="L25" s="140">
        <f t="shared" si="9"/>
        <v>128.18899999999999</v>
      </c>
      <c r="M25" s="141">
        <f t="shared" si="9"/>
        <v>1588.8295799999999</v>
      </c>
      <c r="N25" s="142">
        <f>SUM(N16:N24)</f>
        <v>285.98932439999999</v>
      </c>
      <c r="O25" s="143">
        <f>SUM(O16:O24)</f>
        <v>46.870472609999993</v>
      </c>
      <c r="P25" s="144">
        <f>SUM(P16:P24)</f>
        <v>1921.6893770099996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1808.32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128.18899999999999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91.301420000000007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1588.8295799999999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285.98932439999999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1874.8189043999998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46.87047261</v>
      </c>
    </row>
    <row r="35" spans="2:16" ht="15.75" customHeight="1" thickBot="1" x14ac:dyDescent="0.4">
      <c r="N35" s="212" t="s">
        <v>92</v>
      </c>
      <c r="O35" s="213"/>
      <c r="P35" s="160">
        <f>P33+P34</f>
        <v>1921.6893770099998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130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126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352012948969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83.572762499999996</v>
      </c>
      <c r="O16" s="107">
        <f>(N16+M16)*$O$15</f>
        <v>2.7393294374999999</v>
      </c>
      <c r="P16" s="105">
        <f t="shared" ref="P16:P24" si="1">M16+N16+O16</f>
        <v>550.60521693750002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15</v>
      </c>
      <c r="I17" s="116">
        <f t="shared" ref="I17:I23" si="2">(G17*D17)*F17+H17*F17</f>
        <v>786.9375</v>
      </c>
      <c r="J17" s="117"/>
      <c r="K17" s="104">
        <f t="shared" ref="K17:K21" si="3">I17*3.5%</f>
        <v>27.542812500000004</v>
      </c>
      <c r="L17" s="105">
        <f t="shared" ref="L17:L21" si="4">I17*8%</f>
        <v>62.954999999999998</v>
      </c>
      <c r="M17" s="118">
        <f t="shared" ref="M17:M23" si="5">I17-K17-L17</f>
        <v>696.43968749999999</v>
      </c>
      <c r="N17" s="118">
        <f t="shared" si="0"/>
        <v>125.35914374999999</v>
      </c>
      <c r="O17" s="119">
        <f t="shared" ref="O17:O24" si="6">(N17+M17)*$O$15</f>
        <v>4.1089941562499996</v>
      </c>
      <c r="P17" s="120">
        <f t="shared" si="1"/>
        <v>825.90782540624991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15</v>
      </c>
      <c r="I22" s="116">
        <f t="shared" si="2"/>
        <v>588.45000000000005</v>
      </c>
      <c r="J22" s="117"/>
      <c r="K22" s="104">
        <f>I22*8.6%</f>
        <v>50.606699999999996</v>
      </c>
      <c r="L22" s="120">
        <f>I22*5%</f>
        <v>29.422500000000003</v>
      </c>
      <c r="M22" s="118">
        <f t="shared" si="5"/>
        <v>508.42079999999999</v>
      </c>
      <c r="N22" s="118">
        <f t="shared" si="0"/>
        <v>91.515743999999998</v>
      </c>
      <c r="O22" s="119">
        <f t="shared" si="6"/>
        <v>2.99968272</v>
      </c>
      <c r="P22" s="120">
        <f t="shared" si="1"/>
        <v>602.93622672000004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1900.0125</v>
      </c>
      <c r="J25" s="138"/>
      <c r="K25" s="139">
        <f t="shared" si="9"/>
        <v>96.511387500000012</v>
      </c>
      <c r="L25" s="140">
        <f t="shared" si="9"/>
        <v>134.3475</v>
      </c>
      <c r="M25" s="141">
        <f t="shared" si="9"/>
        <v>1669.1536124999998</v>
      </c>
      <c r="N25" s="142">
        <f>SUM(N16:N24)</f>
        <v>300.44765024999998</v>
      </c>
      <c r="O25" s="143">
        <f>SUM(O16:O24)</f>
        <v>9.8480063137499982</v>
      </c>
      <c r="P25" s="144">
        <f>SUM(P16:P24)</f>
        <v>1979.4492690637499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1900.0125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134.3475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96.511387500000012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1669.1536125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300.44765024999998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1969.6012627499999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9.84800631375</v>
      </c>
    </row>
    <row r="35" spans="2:16" ht="15.75" customHeight="1" thickBot="1" x14ac:dyDescent="0.4">
      <c r="N35" s="212" t="s">
        <v>92</v>
      </c>
      <c r="O35" s="213"/>
      <c r="P35" s="160">
        <f>P33+P34</f>
        <v>1979.4492690637499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2026-07-21T12:52:43Z</dcterms:modified>
</cp:coreProperties>
</file>