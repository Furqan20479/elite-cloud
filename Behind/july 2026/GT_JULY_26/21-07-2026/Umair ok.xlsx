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DE2BE1C-5936-42D9-A1A0-FC8289B8098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2" i="18" l="1"/>
  <c r="N22" i="18" s="1"/>
  <c r="O22" i="18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18" i="18"/>
  <c r="P17" i="17"/>
  <c r="N16" i="17"/>
  <c r="P20" i="17"/>
  <c r="P24" i="17"/>
  <c r="P18" i="17"/>
  <c r="P22" i="17"/>
  <c r="P22" i="18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1" l="1"/>
  <c r="P34" i="21" s="1"/>
  <c r="P35" i="21" s="1"/>
  <c r="U19" i="15" s="1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<sst xmlns="http://schemas.openxmlformats.org/spreadsheetml/2006/main" count="1632" uniqueCount="135">
  <si>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</si>
  <si>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</si>
  <si>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</si>
  <si>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</si>
  <si>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</si>
  <si>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</si>
  <si>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</si>
  <si>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</si>
  <si>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</si>
  <si>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</si>
  <si>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</si>
  <si>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</si>
  <si>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</si>
  <si>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</si>
  <si>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</si>
  <si>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</si>
  <si>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</si>
  <si>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</si>
  <si>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</si>
  <si>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</si>
  <si>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</si>
  <si>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</si>
  <si>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</si>
  <si>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</si>
  <si>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</si>
  <si>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</si>
  <si>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</si>
  <si>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</si>
  <si>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</si>
  <si>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</si>
  <si>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</si>
  <si>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</si>
  <si>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</si>
  <si>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</si>
  <si>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</si>
  <si>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</si>
  <si>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</si>
  <si>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</si>
  <si>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</si>
  <si>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</si>
  <si>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</si>
  <si>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</si>
  <si>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</si>
  <si>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</si>
  <si>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</si>
  <si>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</si>
  <si>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</si>
  <si>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</si>
  <si>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</si>
  <si>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</si>
  <si>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</si>
  <si>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</si>
  <si>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</si>
  <si>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</si>
  <si>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</si>
  <si>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</si>
  <si>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</si>
  <si>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</si>
  <si>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</si>
  <si>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</si>
  <si>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</si>
  <si>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</si>
  <si>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</si>
  <si>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</si>
  <si>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</si>
  <si>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</si>
  <si>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</si>
  <si>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</si>
  <si>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</si>
  <si>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</si>
  <si>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</si>
  <si>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</si>
  <si>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</si>
  <si>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</si>
  <si>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</si>
  <si>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</si>
  <si>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</si>
  <si>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</si>
  <si>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</si>
  <si>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</si>
  <si>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</si>
  <si>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</si>
  <si>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</si>
  <si>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</si>
  <si>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</si>
  <si>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</si>
  <si>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</si>
  <si>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</si>
  <si>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</si>
  <si>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</si>
  <si>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</si>
  <si>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</si>
  <si>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</si>
  <si>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</si>
  <si>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</si>
  <si>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</si>
  <si>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</si>
  <si>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</si>
  <si>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</si>
  <si>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</si>
  <si>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</si>
  <si>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</si>
  <si>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</si>
  <si>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</si>
  <si>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</si>
  <si>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</si>
  <si>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</si>
  <si>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</si>
  <si>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</si>
  <si>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</si>
  <si>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</si>
  <si>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</si>
  <si>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</si>
  <si>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</si>
  <si>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</si>
  <si>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</si>
  <si>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</si>
  <si>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</si>
  <si>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</si>
  <si>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</si>
  <si>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</si>
  <si>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</si>
  <si>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Bangash Karachi Store</t>
  </si>
  <si>
    <t>Address: Qenchi Bazar</t>
  </si>
  <si>
    <t xml:space="preserve">Customer Name : SK Mart </t>
  </si>
  <si>
    <t xml:space="preserve">Customer Name : Haji Charagh Deen </t>
  </si>
  <si>
    <t>Address: Qenechi Bazar</t>
  </si>
  <si>
    <t>Customer Name : Ghosia Kariyana Store</t>
  </si>
  <si>
    <t xml:space="preserve">Address: Abid Market </t>
  </si>
  <si>
    <t>Customer Name : Tayyab general Store</t>
  </si>
  <si>
    <t>Address: Qenchy Bazar</t>
  </si>
  <si>
    <t>Customer Name : Ameen Store</t>
  </si>
  <si>
    <t xml:space="preserve">Customer Name : Bismillah Cash &amp; Carry </t>
  </si>
  <si>
    <t>Customer Name : Tahir Store</t>
  </si>
  <si>
    <t>Address: Qenchi Main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</si>
</sst>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W19" sqref="W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Bangash Karachi Store</v>
      </c>
      <c r="U14" s="164">
        <f>+'1'!P35</f>
        <v>245.97398304000001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3110.1760319999999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10</v>
      </c>
      <c r="I16" s="1">
        <f>(G16*D16)*F16+H16*F16</f>
        <v>524.625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18.361875000000001</v>
      </c>
      <c r="L16" s="174">
        <f>+'1'!L16+'2'!L16+'4'!L16+'3'!L16+'5'!L16+'6'!L16+'7'!L16+'8'!L16+'9'!L16+'10'!L16</f>
        <v>41.97</v>
      </c>
      <c r="M16" s="106">
        <f>I16-K16-L16</f>
        <v>464.29312500000003</v>
      </c>
      <c r="N16" s="101">
        <f>+'1'!N16+'2'!N16+'4'!N16+'3'!N16+'5'!N16+'6'!N16+'7'!N16+'8'!N16+'9'!N16+'10'!N16</f>
        <v>83.572762499999996</v>
      </c>
      <c r="O16" s="101">
        <f>+'1'!O16+'2'!O16+'4'!O16+'3'!O16+'5'!O16+'6'!O16+'7'!O16+'8'!O16+'9'!O16+'10'!O16</f>
        <v>2.7393294374999999</v>
      </c>
      <c r="P16" s="105">
        <f t="shared" ref="P16:P24" si="0">M16+N16+O16</f>
        <v>550.60521693750002</v>
      </c>
      <c r="Q16" s="108"/>
      <c r="T16" s="163" t="str">
        <f>+'3'!A5</f>
        <v xml:space="preserve">Customer Name : Haji Charagh Deen </v>
      </c>
      <c r="U16" s="164">
        <f>+'3'!P35</f>
        <v>1905.1254028350002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18.361875000000001</v>
      </c>
      <c r="L17" s="174">
        <f>+'1'!L17+'2'!L17+'4'!L17+'3'!L17+'5'!L17+'6'!L17+'7'!L17+'8'!L17+'9'!L17+'10'!L17</f>
        <v>41.97</v>
      </c>
      <c r="M17" s="118">
        <f t="shared" ref="M17:M23" si="2">I17-K17-L17</f>
        <v>464.29312500000003</v>
      </c>
      <c r="N17" s="101">
        <f>+'1'!N17+'2'!N17+'4'!N17+'3'!N17+'5'!N17+'6'!N17+'7'!N17+'8'!N17+'9'!N17+'10'!N17</f>
        <v>83.572762499999996</v>
      </c>
      <c r="O17" s="101">
        <f>+'1'!O17+'2'!O17+'4'!O17+'3'!O17+'5'!O17+'6'!O17+'7'!O17+'8'!O17+'9'!O17+'10'!O17</f>
        <v>2.7393294374999999</v>
      </c>
      <c r="P17" s="120">
        <f t="shared" si="0"/>
        <v>550.60521693750002</v>
      </c>
      <c r="S17" s="64"/>
      <c r="T17" s="163" t="str">
        <f>+'4'!A5</f>
        <v>Customer Name : Ghosia Kariyana Store</v>
      </c>
      <c r="U17" s="164">
        <f>+'4'!P35</f>
        <v>1607.8299379200002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Tayyab general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37.928975999999999</v>
      </c>
      <c r="P19" s="120">
        <f t="shared" si="0"/>
        <v>1555.0880159999999</v>
      </c>
      <c r="T19" s="163" t="str">
        <f>+'6'!A5</f>
        <v>Customer Name : Ameen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Bismillah Cash &amp; Carry </v>
      </c>
      <c r="U20" s="164">
        <f>+'7'!P35</f>
        <v>482.34898137600004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20</v>
      </c>
      <c r="I21" s="1">
        <f t="shared" si="1"/>
        <v>1452.8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50.848000000000006</v>
      </c>
      <c r="L21" s="174">
        <f>+'1'!L21+'2'!L21+'4'!L21+'3'!L21+'5'!L21+'6'!L21+'7'!L21+'8'!L21+'9'!L21+'10'!L21</f>
        <v>116.224</v>
      </c>
      <c r="M21" s="118">
        <f t="shared" si="2"/>
        <v>1285.7280000000001</v>
      </c>
      <c r="N21" s="101">
        <f>+'1'!N21+'2'!N21+'4'!N21+'3'!N21+'5'!N21+'6'!N21+'7'!N21+'8'!N21+'9'!N21+'10'!N21</f>
        <v>231.43104</v>
      </c>
      <c r="O21" s="101">
        <f>+'1'!O21+'2'!O21+'4'!O21+'3'!O21+'5'!O21+'6'!O21+'7'!O21+'8'!O21+'9'!O21+'10'!O21</f>
        <v>37.928975999999999</v>
      </c>
      <c r="P21" s="120">
        <f t="shared" si="0"/>
        <v>1555.0880159999999</v>
      </c>
      <c r="T21" s="163" t="str">
        <f>+'8'!A5</f>
        <v>Customer Name : Tahir Store</v>
      </c>
      <c r="U21" s="164">
        <f>+'8'!P35</f>
        <v>3279.6531072000002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158</v>
      </c>
      <c r="I22" s="1">
        <f t="shared" si="1"/>
        <v>6198.3400000000011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533.05724000000009</v>
      </c>
      <c r="L22" s="174">
        <f>+'1'!L22+'2'!L22+'4'!L22+'3'!L22+'5'!L22+'6'!L22+'7'!L22+'8'!L22+'9'!L22+'10'!L22</f>
        <v>309.91700000000009</v>
      </c>
      <c r="M22" s="118">
        <f t="shared" si="2"/>
        <v>5355.3657600000006</v>
      </c>
      <c r="N22" s="101">
        <f>+'1'!N22+'2'!N22+'4'!N22+'3'!N22+'5'!N22+'6'!N22+'7'!N22+'8'!N22+'9'!N22+'10'!N22</f>
        <v>963.96583680000015</v>
      </c>
      <c r="O22" s="101">
        <f>+'1'!O22+'2'!O22+'4'!O22+'3'!O22+'5'!O22+'6'!O22+'7'!O22+'8'!O22+'9'!O22+'10'!O22</f>
        <v>100.38938169600002</v>
      </c>
      <c r="P22" s="120">
        <f t="shared" si="0"/>
        <v>6419.7209784960005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5.45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218</v>
      </c>
      <c r="I25" s="177">
        <f t="shared" si="3"/>
        <v>10153.190000000002</v>
      </c>
      <c r="J25" s="176">
        <f t="shared" si="3"/>
        <v>0</v>
      </c>
      <c r="K25" s="177">
        <f t="shared" si="3"/>
        <v>671.47699000000011</v>
      </c>
      <c r="L25" s="178">
        <f t="shared" si="3"/>
        <v>626.30500000000006</v>
      </c>
      <c r="M25" s="141">
        <f t="shared" si="3"/>
        <v>8855.408010000001</v>
      </c>
      <c r="N25" s="142">
        <f>SUM(N16:N24)</f>
        <v>1593.9734418000003</v>
      </c>
      <c r="O25" s="143">
        <f>SUM(O16:O24)</f>
        <v>181.72599257100001</v>
      </c>
      <c r="P25" s="144">
        <f>SUM(P16:P24)</f>
        <v>10631.107444371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10631.107444371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10153.190000000002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626.30500000000006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671.47699000000011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8855.4080100000028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1593.9734418000003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10449.381451800004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261.23453629500011</v>
      </c>
    </row>
    <row r="43" spans="1:21" ht="15.75" customHeight="1" thickBot="1" x14ac:dyDescent="0.4">
      <c r="N43" s="212" t="s">
        <v>92</v>
      </c>
      <c r="O43" s="213"/>
      <c r="P43" s="160">
        <f>P41+P42</f>
        <v>10710.615988095004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36.606297599999998</v>
      </c>
      <c r="O22" s="119">
        <f t="shared" si="1"/>
        <v>5.9993654400000009</v>
      </c>
      <c r="P22" s="120">
        <f t="shared" si="2"/>
        <v>245.97398304000001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6</v>
      </c>
      <c r="I25" s="137">
        <f t="shared" si="13"/>
        <v>235.38000000000002</v>
      </c>
      <c r="J25" s="138"/>
      <c r="K25" s="139">
        <f t="shared" si="13"/>
        <v>20.24268</v>
      </c>
      <c r="L25" s="140">
        <f t="shared" si="13"/>
        <v>11.769000000000002</v>
      </c>
      <c r="M25" s="141">
        <f t="shared" si="13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37.928975999999999</v>
      </c>
      <c r="P19" s="120">
        <f t="shared" si="1"/>
        <v>1555.0880159999999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3110.1760319999999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3520199322765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289.166517</v>
      </c>
      <c r="O25" s="143">
        <f>SUM(O16:O24)</f>
        <v>9.4782358349999996</v>
      </c>
      <c r="P25" s="144">
        <f>SUM(P16:P24)</f>
        <v>1905.1254028350002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1833.8500000000001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123.17000000000002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104.19935000000001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1606.48065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289.166517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1895.6471670000001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9.4782358350000013</v>
      </c>
    </row>
    <row r="35" spans="2:16" ht="15.75" customHeight="1" thickBot="1" x14ac:dyDescent="0.4">
      <c r="N35" s="212" t="s">
        <v>92</v>
      </c>
      <c r="O35" s="213"/>
      <c r="P35" s="160">
        <f>P33+P34</f>
        <v>1905.1254028350002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1720162142491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D11" sqref="D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4530203667941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2.3997461760000003</v>
      </c>
      <c r="P25" s="144">
        <f>SUM(P16:P24)</f>
        <v>482.34898137600004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2.3997461760000003</v>
      </c>
    </row>
    <row r="35" spans="2:16" ht="15.75" customHeight="1" thickBot="1" x14ac:dyDescent="0.4">
      <c r="N35" s="212" t="s">
        <v>92</v>
      </c>
      <c r="O35" s="213"/>
      <c r="P35" s="160">
        <f>P33+P34</f>
        <v>482.34898137600004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79.99153920000002</v>
      </c>
      <c r="P22" s="120">
        <f t="shared" si="1"/>
        <v>3279.6531072000002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269.9024</v>
      </c>
      <c r="L25" s="140">
        <f t="shared" si="9"/>
        <v>156.92000000000004</v>
      </c>
      <c r="M25" s="141">
        <f t="shared" si="9"/>
        <v>2711.5776000000005</v>
      </c>
      <c r="N25" s="142">
        <f>SUM(N16:N24)</f>
        <v>488.08396800000008</v>
      </c>
      <c r="O25" s="143">
        <f>SUM(O16:O24)</f>
        <v>79.99153920000002</v>
      </c>
      <c r="P25" s="144">
        <f>SUM(P16:P24)</f>
        <v>3279.6531072000002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3138.4000000000005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156.92000000000004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269.9024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2711.5776000000005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3199.6615680000004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79.99153920000002</v>
      </c>
    </row>
    <row r="35" spans="2:16" ht="15.75" customHeight="1" thickBot="1" x14ac:dyDescent="0.4">
      <c r="N35" s="212" t="s">
        <v>92</v>
      </c>
      <c r="O35" s="213"/>
      <c r="P35" s="160">
        <f>P33+P34</f>
        <v>3279.6531072000002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2026-07-21T12:54:49Z</dcterms:modified>
</cp:coreProperties>
</file>