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40FB67D-9F27-4504-B613-373FE31C66D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8">'6'!$A$1:$P$36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T23" i="15"/>
  <c r="T22" i="15"/>
  <c r="T21" i="15"/>
  <c r="T20" i="15"/>
  <c r="T19" i="15"/>
  <c r="T18" i="15"/>
  <c r="T15" i="15"/>
  <c r="T14" i="15"/>
  <c r="L16" i="26" l="1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2" i="24" l="1"/>
  <c r="N22" i="24" s="1"/>
  <c r="O22" i="24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<sst xmlns="http://schemas.openxmlformats.org/spreadsheetml/2006/main" count="1638" uniqueCount="141">
  <si>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</si>
  <si>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</si>
  <si>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</si>
  <si>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</si>
  <si>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</si>
  <si>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</si>
  <si>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</si>
  <si>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</si>
  <si>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</si>
  <si>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</si>
  <si>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</si>
  <si>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</si>
  <si>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</si>
  <si>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</si>
  <si>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</si>
  <si>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</si>
  <si>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</si>
  <si>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</si>
  <si>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</si>
  <si>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</si>
  <si>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</si>
  <si>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</si>
  <si>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</si>
  <si>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</si>
  <si>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</si>
  <si>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</si>
  <si>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</si>
  <si>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</si>
  <si>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</si>
  <si>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</si>
  <si>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</si>
  <si>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</si>
  <si>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</si>
  <si>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</si>
  <si>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</si>
  <si>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</si>
  <si>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</si>
  <si>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</si>
  <si>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</si>
  <si>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</si>
  <si>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</si>
  <si>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</si>
  <si>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</si>
  <si>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</si>
  <si>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</si>
  <si>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</si>
  <si>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</si>
  <si>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</si>
  <si>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</si>
  <si>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</si>
  <si>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</si>
  <si>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</si>
  <si>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</si>
  <si>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</si>
  <si>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</si>
  <si>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</si>
  <si>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</si>
  <si>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</si>
  <si>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</si>
  <si>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</si>
  <si>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</si>
  <si>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</si>
  <si>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</si>
  <si>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</si>
  <si>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</si>
  <si>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</si>
  <si>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</si>
  <si>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</si>
  <si>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</si>
  <si>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</si>
  <si>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</si>
  <si>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</si>
  <si>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</si>
  <si>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</si>
  <si>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</si>
  <si>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</si>
  <si>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</si>
  <si>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</si>
  <si>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</si>
  <si>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</si>
  <si>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</si>
  <si>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</si>
  <si>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</si>
  <si>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</si>
  <si>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</si>
  <si>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</si>
  <si>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</si>
  <si>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</si>
  <si>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</si>
  <si>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</si>
  <si>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</si>
  <si>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</si>
  <si>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</si>
  <si>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</si>
  <si>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</si>
  <si>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</si>
  <si>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</si>
  <si>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</si>
  <si>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</si>
  <si>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</si>
  <si>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</si>
  <si>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</si>
  <si>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</si>
  <si>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</si>
  <si>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</si>
  <si>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</si>
  <si>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</si>
  <si>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</si>
  <si>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</si>
  <si>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</si>
  <si>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</si>
  <si>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</si>
  <si>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</si>
  <si>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</si>
  <si>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</si>
  <si>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</si>
  <si>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</si>
  <si>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</si>
  <si>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</si>
  <si>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</si>
  <si>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</si>
  <si>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</si>
  <si>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 xml:space="preserve">Customer Name : Raza Mart </t>
  </si>
  <si>
    <t>Address: Gulshan Colony</t>
  </si>
  <si>
    <t>Customer Name : Bilal Store</t>
  </si>
  <si>
    <t xml:space="preserve">Customer Name : HR Mart </t>
  </si>
  <si>
    <t>Customer Name : MS Store</t>
  </si>
  <si>
    <t>Customer Name : 786 Store</t>
  </si>
  <si>
    <t xml:space="preserve">Customer Name : MHT Mart </t>
  </si>
  <si>
    <t>Address: Gulahan Colony</t>
  </si>
  <si>
    <t>7999552-1</t>
  </si>
  <si>
    <t>Customer Name : Rana Store</t>
  </si>
  <si>
    <t>986655-4</t>
  </si>
  <si>
    <t>Customer Name : Moon store</t>
  </si>
  <si>
    <t>Customer Name : Awan Store</t>
  </si>
  <si>
    <t>886556-5</t>
  </si>
  <si>
    <t>Customer Name : Hadi Store</t>
  </si>
  <si>
    <t>775557-5</t>
  </si>
  <si>
    <t>Customer Name : Euro Store</t>
  </si>
  <si>
    <t>6616456-4</t>
  </si>
  <si>
    <t>wazaran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</si>
</sst>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5" zoomScale="70" zoomScaleNormal="70" workbookViewId="0">
      <selection activeCell="S28" sqref="S28:S2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Raza Mart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401.95748448000006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2098.5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2098.5</v>
      </c>
      <c r="Q16" s="108"/>
      <c r="T16" s="163" t="str">
        <f>+'3'!A5</f>
        <v xml:space="preserve">Customer Name : HR Mart </v>
      </c>
      <c r="U16" s="164">
        <f>+'3'!P35</f>
        <v>401.95748448000006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MS Store</v>
      </c>
      <c r="U17" s="164">
        <f>+'4'!P35</f>
        <v>401.95748448000006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786 Store</v>
      </c>
      <c r="U18" s="164">
        <f>+'5'!P35</f>
        <v>401.95748448000006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95</v>
      </c>
      <c r="I19" s="1">
        <f t="shared" si="1"/>
        <v>6900.8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38.136000000000003</v>
      </c>
      <c r="L19" s="174">
        <f>+'1'!L19+'2'!L19+'4'!L19+'3'!L19+'5'!L19+'6'!L19+'7'!L19+'8'!L19+'9'!L19+'10'!L19</f>
        <v>87.167999999999992</v>
      </c>
      <c r="M19" s="118">
        <f t="shared" si="2"/>
        <v>6775.4960000000001</v>
      </c>
      <c r="N19" s="101">
        <f>+'1'!N19+'2'!N19+'4'!N19+'3'!N19+'5'!N19+'6'!N19+'7'!N19+'8'!N19+'9'!N19+'10'!N19</f>
        <v>173.57327999999998</v>
      </c>
      <c r="O19" s="101">
        <f>+'1'!O19+'2'!O19+'4'!O19+'3'!O19+'5'!O19+'6'!O19+'7'!O19+'8'!O19+'9'!O19+'10'!O19</f>
        <v>5.6893463999999998</v>
      </c>
      <c r="P19" s="120">
        <f t="shared" si="0"/>
        <v>6954.7586264000001</v>
      </c>
      <c r="T19" s="163" t="str">
        <f>+'6'!A5</f>
        <v xml:space="preserve">Customer Name : MHT Mart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50</v>
      </c>
      <c r="I20" s="1">
        <f t="shared" si="1"/>
        <v>3632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25.424000000000003</v>
      </c>
      <c r="L20" s="174">
        <f>+'1'!L20+'2'!L20+'4'!L20+'3'!L20+'5'!L20+'6'!L20+'7'!L20+'8'!L20+'9'!L20+'10'!L20</f>
        <v>58.112000000000002</v>
      </c>
      <c r="M20" s="118">
        <f t="shared" si="2"/>
        <v>3548.4639999999999</v>
      </c>
      <c r="N20" s="101">
        <f>+'1'!N20+'2'!N20+'4'!N20+'3'!N20+'5'!N20+'6'!N20+'7'!N20+'8'!N20+'9'!N20+'10'!N20</f>
        <v>115.71552</v>
      </c>
      <c r="O20" s="101">
        <f>+'1'!O20+'2'!O20+'4'!O20+'3'!O20+'5'!O20+'6'!O20+'7'!O20+'8'!O20+'9'!O20+'10'!O20</f>
        <v>3.7928975999999999</v>
      </c>
      <c r="P20" s="120">
        <f t="shared" si="0"/>
        <v>3667.9724176</v>
      </c>
      <c r="T20" s="163" t="str">
        <f>+'7'!A5</f>
        <v>Customer Name : Rana Store</v>
      </c>
      <c r="U20" s="164">
        <f>+'7'!P35</f>
        <v>401.95748448000006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15</v>
      </c>
      <c r="I21" s="1">
        <f t="shared" si="1"/>
        <v>1089.5999999999999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38.136000000000003</v>
      </c>
      <c r="L21" s="174">
        <f>+'1'!L21+'2'!L21+'4'!L21+'3'!L21+'5'!L21+'6'!L21+'7'!L21+'8'!L21+'9'!L21+'10'!L21</f>
        <v>87.167999999999992</v>
      </c>
      <c r="M21" s="118">
        <f t="shared" si="2"/>
        <v>964.29599999999994</v>
      </c>
      <c r="N21" s="101">
        <f>+'1'!N21+'2'!N21+'4'!N21+'3'!N21+'5'!N21+'6'!N21+'7'!N21+'8'!N21+'9'!N21+'10'!N21</f>
        <v>173.57327999999998</v>
      </c>
      <c r="O21" s="101">
        <f>+'1'!O21+'2'!O21+'4'!O21+'3'!O21+'5'!O21+'6'!O21+'7'!O21+'8'!O21+'9'!O21+'10'!O21</f>
        <v>5.6893463999999998</v>
      </c>
      <c r="P21" s="120">
        <f t="shared" si="0"/>
        <v>1143.5586263999999</v>
      </c>
      <c r="T21" s="163" t="str">
        <f>+'8'!A5</f>
        <v>Customer Name : Moon store</v>
      </c>
      <c r="U21" s="164">
        <f>+'8'!P35</f>
        <v>401.95748448000006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144</v>
      </c>
      <c r="I22" s="1">
        <f t="shared" si="1"/>
        <v>5649.1200000000008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452.08651999999995</v>
      </c>
      <c r="L22" s="174">
        <f>+'1'!L22+'2'!L22+'4'!L22+'3'!L22+'5'!L22+'6'!L22+'7'!L22+'8'!L22+'9'!L22+'10'!L22</f>
        <v>262.84100000000007</v>
      </c>
      <c r="M22" s="118">
        <f t="shared" si="2"/>
        <v>4934.1924800000006</v>
      </c>
      <c r="N22" s="101">
        <f>+'1'!N22+'2'!N22+'4'!N22+'3'!N22+'5'!N22+'6'!N22+'7'!N22+'8'!N22+'9'!N22+'10'!N22</f>
        <v>817.54064640000001</v>
      </c>
      <c r="O22" s="101">
        <f>+'1'!O22+'2'!O22+'4'!O22+'3'!O22+'5'!O22+'6'!O22+'7'!O22+'8'!O22+'9'!O22+'10'!O22</f>
        <v>26.797165631999999</v>
      </c>
      <c r="P22" s="120">
        <f t="shared" si="0"/>
        <v>5778.530292032</v>
      </c>
      <c r="T22" s="163" t="str">
        <f>+'9'!A5</f>
        <v>Customer Name : Awan Store</v>
      </c>
      <c r="U22" s="164">
        <f>+'9'!P35</f>
        <v>401.95748448000006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Hadi Store</v>
      </c>
      <c r="U23" s="164">
        <f>+'10'!P35</f>
        <v>964.69796275200008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Euro Store</v>
      </c>
      <c r="U24" s="164">
        <f>+'11'!P35</f>
        <v>11752.847363429997</v>
      </c>
    </row>
    <row r="25" spans="1:21 16384:16384" ht="26.5" thickBot="1" x14ac:dyDescent="0.65">
      <c r="A25" s="218" t="s">
        <v>84</v>
      </c>
      <c r="B25" s="219"/>
      <c r="C25" s="220">
        <f>H25/40</f>
        <v>8.6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344</v>
      </c>
      <c r="I25" s="177">
        <f t="shared" si="3"/>
        <v>19370.02</v>
      </c>
      <c r="J25" s="176">
        <f t="shared" si="3"/>
        <v>0</v>
      </c>
      <c r="K25" s="177">
        <f t="shared" si="3"/>
        <v>553.78251999999998</v>
      </c>
      <c r="L25" s="178">
        <f t="shared" si="3"/>
        <v>495.28900000000004</v>
      </c>
      <c r="M25" s="141">
        <f t="shared" si="3"/>
        <v>18320.948479999999</v>
      </c>
      <c r="N25" s="142">
        <f>SUM(N16:N24)</f>
        <v>1280.4027264000001</v>
      </c>
      <c r="O25" s="143">
        <f>SUM(O16:O24)</f>
        <v>41.968756032000002</v>
      </c>
      <c r="P25" s="144">
        <f>SUM(P16:P24)</f>
        <v>19643.319962432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20188.567325861997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19370.02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495.28900000000004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553.78251999999998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18320.948479999999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1280.4027264000001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19601.351206399999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490.03378015999999</v>
      </c>
    </row>
    <row r="43" spans="1:21" ht="15.75" customHeight="1" thickBot="1" x14ac:dyDescent="0.4">
      <c r="N43" s="212" t="s">
        <v>92</v>
      </c>
      <c r="O43" s="213"/>
      <c r="P43" s="160">
        <f>P41+P42</f>
        <v>20091.384986559999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875448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173.57327999999998</v>
      </c>
      <c r="O19" s="119">
        <f t="shared" si="1"/>
        <v>5.6893463999999998</v>
      </c>
      <c r="P19" s="120">
        <f t="shared" si="2"/>
        <v>1143.5586263999999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173.57327999999998</v>
      </c>
      <c r="O21" s="119">
        <f t="shared" si="1"/>
        <v>5.6893463999999998</v>
      </c>
      <c r="P21" s="120">
        <f t="shared" si="2"/>
        <v>1143.5586263999999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3927.2447999999999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4634.1488639999998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12" t="s">
        <v>92</v>
      </c>
      <c r="O35" s="213"/>
      <c r="P35" s="160">
        <f>P33+P34</f>
        <v>4657.31960832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555467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755478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886558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G14" sqref="G14:H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906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 t="s">
        <v>140</v>
      </c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132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876578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392.30000000000007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19.615000000000006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33.7378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338.94720000000007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399.95769600000006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12" t="s">
        <v>92</v>
      </c>
      <c r="O35" s="213"/>
      <c r="P35" s="160">
        <f>P33+P34</f>
        <v>401.95748448000006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4.7994923520000006</v>
      </c>
      <c r="P25" s="144">
        <f>SUM(P16:P24)</f>
        <v>964.69796275200008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941.5200000000001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47.076000000000008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80.97072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813.47328000000005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959.89847040000006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4.7994923520000006</v>
      </c>
    </row>
    <row r="35" spans="2:16" ht="15.75" customHeight="1" thickBot="1" x14ac:dyDescent="0.4">
      <c r="N35" s="212" t="s">
        <v>92</v>
      </c>
      <c r="O35" s="213"/>
      <c r="P35" s="160">
        <f>P33+P34</f>
        <v>964.69796275200008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139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170</v>
      </c>
      <c r="I25" s="137">
        <f t="shared" si="9"/>
        <v>11207.599999999999</v>
      </c>
      <c r="J25" s="138"/>
      <c r="K25" s="139">
        <f t="shared" si="9"/>
        <v>412.27330000000006</v>
      </c>
      <c r="L25" s="140">
        <f t="shared" si="9"/>
        <v>884.83900000000006</v>
      </c>
      <c r="M25" s="141">
        <f t="shared" si="9"/>
        <v>9910.4877000000015</v>
      </c>
      <c r="N25" s="142">
        <f>SUM(N16:N24)</f>
        <v>1783.887786</v>
      </c>
      <c r="O25" s="143">
        <f>SUM(O16:O24)</f>
        <v>58.471877429999999</v>
      </c>
      <c r="P25" s="144">
        <f>SUM(P16:P24)</f>
        <v>11752.847363430001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11207.599999999999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884.83900000000006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412.27330000000006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9910.4876999999979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1783.887786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11694.375485999997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58.471877429999985</v>
      </c>
    </row>
    <row r="35" spans="2:16" ht="15.75" customHeight="1" thickBot="1" x14ac:dyDescent="0.4">
      <c r="N35" s="212" t="s">
        <v>92</v>
      </c>
      <c r="O35" s="213"/>
      <c r="P35" s="160">
        <f>P33+P34</f>
        <v>11752.847363429997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46224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46223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2026-07-21T12:50:30Z</dcterms:modified>
</cp:coreProperties>
</file>