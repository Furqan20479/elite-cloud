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DAEF6335-9D6B-49C1-B720-695928DDD45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18"/>
  <c r="L22" i="20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7"/>
  <c r="K18" i="17"/>
  <c r="K19" i="17"/>
  <c r="K20" i="17"/>
  <c r="K21" i="17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8"/>
  <c r="K16" i="20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L21" i="18" s="1"/>
  <c r="I22" i="18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I18" i="21"/>
  <c r="K18" i="21" s="1"/>
  <c r="I20" i="21"/>
  <c r="K20" i="21" s="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6" i="21" l="1"/>
  <c r="K16" i="21"/>
  <c r="L17" i="21"/>
  <c r="K17" i="21"/>
  <c r="M17" i="21" s="1"/>
  <c r="N17" i="21" s="1"/>
  <c r="O17" i="21" s="1"/>
  <c r="P17" i="21" s="1"/>
  <c r="K22" i="21"/>
  <c r="L22" i="21"/>
  <c r="L17" i="19"/>
  <c r="K17" i="19"/>
  <c r="L16" i="19"/>
  <c r="K16" i="19"/>
  <c r="L20" i="19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M19" i="19"/>
  <c r="N19" i="19" s="1"/>
  <c r="O19" i="19" s="1"/>
  <c r="L23" i="22"/>
  <c r="L25" i="22" s="1"/>
  <c r="P29" i="22" s="1"/>
  <c r="L19" i="25"/>
  <c r="L25" i="25" s="1"/>
  <c r="P29" i="25" s="1"/>
  <c r="M16" i="24"/>
  <c r="N16" i="24" s="1"/>
  <c r="M18" i="18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M17" i="19"/>
  <c r="N17" i="19" s="1"/>
  <c r="O17" i="19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N24" i="19"/>
  <c r="O24" i="19" s="1"/>
  <c r="L25" i="19"/>
  <c r="P29" i="19" s="1"/>
  <c r="N24" i="18"/>
  <c r="O24" i="18" s="1"/>
  <c r="N18" i="18"/>
  <c r="O18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16" i="16"/>
  <c r="N16" i="16" s="1"/>
  <c r="O16" i="16" s="1"/>
  <c r="M21" i="15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25" i="20" l="1"/>
  <c r="P33" i="20"/>
  <c r="P34" i="20" s="1"/>
  <c r="P35" i="20" s="1"/>
  <c r="U18" i="15" s="1"/>
  <c r="N16" i="15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<sst xmlns="http://schemas.openxmlformats.org/spreadsheetml/2006/main" count="1634" uniqueCount="132">
  <si>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</si>
  <si>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</si>
  <si>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</si>
  <si>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</si>
  <si>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</si>
  <si>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</si>
  <si>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</si>
  <si>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</si>
  <si>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</si>
  <si>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</si>
  <si>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</si>
  <si>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</si>
  <si>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</si>
  <si>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</si>
  <si>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</si>
  <si>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</si>
  <si>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</si>
  <si>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</si>
  <si>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</si>
  <si>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</si>
  <si>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</si>
  <si>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</si>
  <si>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</si>
  <si>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</si>
  <si>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</si>
  <si>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</si>
  <si>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</si>
  <si>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</si>
  <si>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</si>
  <si>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</si>
  <si>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</si>
  <si>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</si>
  <si>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</si>
  <si>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</si>
  <si>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</si>
  <si>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</si>
  <si>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</si>
  <si>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</si>
  <si>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</si>
  <si>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</si>
  <si>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</si>
  <si>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</si>
  <si>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</si>
  <si>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</si>
  <si>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</si>
  <si>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</si>
  <si>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</si>
  <si>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</si>
  <si>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</si>
  <si>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</si>
  <si>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</si>
  <si>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</si>
  <si>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</si>
  <si>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</si>
  <si>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</si>
  <si>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</si>
  <si>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</si>
  <si>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</si>
  <si>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</si>
  <si>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</si>
  <si>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</si>
  <si>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</si>
  <si>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</si>
  <si>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</si>
  <si>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</si>
  <si>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</si>
  <si>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</si>
  <si>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</si>
  <si>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</si>
  <si>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</si>
  <si>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</si>
  <si>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</si>
  <si>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</si>
  <si>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</si>
  <si>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</si>
  <si>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</si>
  <si>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</si>
  <si>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</si>
  <si>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</si>
  <si>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</si>
  <si>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</si>
  <si>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</si>
  <si>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</si>
  <si>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</si>
  <si>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</si>
  <si>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</si>
  <si>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</si>
  <si>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</si>
  <si>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</si>
  <si>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</si>
  <si>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</si>
  <si>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</si>
  <si>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</si>
  <si>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</si>
  <si>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</si>
  <si>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</si>
  <si>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</si>
  <si>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</si>
  <si>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</si>
  <si>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</si>
  <si>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</si>
  <si>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</si>
  <si>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</si>
  <si>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</si>
  <si>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</si>
  <si>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</si>
  <si>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</si>
  <si>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</si>
  <si>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</si>
  <si>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</si>
  <si>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</si>
  <si>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</si>
  <si>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</si>
  <si>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</si>
  <si>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</si>
  <si>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</si>
  <si>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</si>
  <si>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</si>
  <si>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</si>
  <si>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</si>
  <si>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</si>
  <si>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</si>
  <si>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>Customer Name : Mirch Mahal</t>
  </si>
  <si>
    <t>Address: Rifal Range Road</t>
  </si>
  <si>
    <t>Customer Name : Daim Store</t>
  </si>
  <si>
    <t>Customer Name : Bread &amp; Butter</t>
  </si>
  <si>
    <t>Customer Name : Ahmed Pharmacy Mart</t>
  </si>
  <si>
    <t>Customer Name : Imtiaz Mart</t>
  </si>
  <si>
    <t>Customer Name : Al Makkah General Store</t>
  </si>
  <si>
    <t>Customer Name : Shamza Bakers</t>
  </si>
  <si>
    <t>2321652-2</t>
  </si>
  <si>
    <t>f9473668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</si>
</sst>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7" sqref="A7:C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7" sqref="A7:C7"/>
      <selection pane="topRight" activeCell="A7" sqref="A7:C7"/>
      <selection pane="bottomLeft" activeCell="A7" sqref="A7:C7"/>
      <selection pane="bottomRight" activeCell="A7" sqref="A7:C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Mirch Mahal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Daim Store</v>
      </c>
      <c r="U15" s="164">
        <f>+'2'!P35</f>
        <v>1637.8165942649998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44</v>
      </c>
      <c r="I16" s="1">
        <f>(G16*D16)*F16+H16*F16</f>
        <v>2308.35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80.79225000000001</v>
      </c>
      <c r="L16" s="175">
        <f>+'1'!L16+'2'!L16+'4'!L16+'3'!L16+'5'!L16+'6'!L16+'7'!L16+'8'!L16+'9'!L16+'10'!L16</f>
        <v>184.66800000000001</v>
      </c>
      <c r="M16" s="106">
        <f>I16-K16-L16</f>
        <v>2042.8897499999998</v>
      </c>
      <c r="N16" s="101">
        <f>+'1'!N16+'2'!N16+'4'!N16+'3'!N16+'5'!N16+'6'!N16+'7'!N16+'8'!N16+'9'!N16+'10'!N16</f>
        <v>412.29229499999997</v>
      </c>
      <c r="O16" s="101">
        <f>+'1'!O16+'2'!O16+'4'!O16+'3'!O16+'5'!O16+'6'!O16+'7'!O16+'8'!O16+'9'!O16+'10'!O16</f>
        <v>23.233227974999998</v>
      </c>
      <c r="P16" s="105">
        <f t="shared" ref="P16:P24" si="0">M16+N16+O16</f>
        <v>2478.4152729749994</v>
      </c>
      <c r="Q16" s="108"/>
      <c r="T16" s="163" t="str">
        <f>+'3'!A5</f>
        <v>Customer Name : Bread &amp; Butter</v>
      </c>
      <c r="U16" s="164">
        <f>+'3'!P35</f>
        <v>5875.0256023750007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34</v>
      </c>
      <c r="I17" s="1">
        <f t="shared" ref="I17:I23" si="1">(G17*D17)*F17+H17*F17</f>
        <v>1783.7249999999999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62.430375000000005</v>
      </c>
      <c r="L17" s="175">
        <f>+'1'!L17+'2'!L17+'4'!L17+'3'!L17+'5'!L17+'6'!L17+'7'!L17+'8'!L17+'9'!L17+'10'!L17</f>
        <v>142.69800000000001</v>
      </c>
      <c r="M17" s="118">
        <f t="shared" ref="M17:M23" si="2">I17-K17-L17</f>
        <v>1578.5966249999999</v>
      </c>
      <c r="N17" s="101">
        <f>+'1'!N17+'2'!N17+'4'!N17+'3'!N17+'5'!N17+'6'!N17+'7'!N17+'8'!N17+'9'!N17+'10'!N17</f>
        <v>328.71953250000001</v>
      </c>
      <c r="O17" s="101">
        <f>+'1'!O17+'2'!O17+'4'!O17+'3'!O17+'5'!O17+'6'!O17+'7'!O17+'8'!O17+'9'!O17+'10'!O17</f>
        <v>20.493898537499998</v>
      </c>
      <c r="P17" s="120">
        <f t="shared" si="0"/>
        <v>1927.8100560374999</v>
      </c>
      <c r="S17" s="64"/>
      <c r="T17" s="163" t="str">
        <f>+'4'!A5</f>
        <v>Customer Name : Ahmed Pharmacy Mart</v>
      </c>
      <c r="U17" s="164">
        <f>+'4'!P35</f>
        <v>4817.1188454000012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Imtiaz Mart</v>
      </c>
      <c r="U18" s="164">
        <f>+'5'!P35</f>
        <v>3079.1760975675006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55</v>
      </c>
      <c r="I19" s="1">
        <f t="shared" si="1"/>
        <v>3995.2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139.83200000000002</v>
      </c>
      <c r="L19" s="175">
        <f>+'1'!L19+'2'!L19+'4'!L19+'3'!L19+'5'!L19+'6'!L19+'7'!L19+'8'!L19+'9'!L19+'10'!L19</f>
        <v>319.61599999999999</v>
      </c>
      <c r="M19" s="118">
        <f t="shared" si="2"/>
        <v>3535.752</v>
      </c>
      <c r="N19" s="101">
        <f>+'1'!N19+'2'!N19+'4'!N19+'3'!N19+'5'!N19+'6'!N19+'7'!N19+'8'!N19+'9'!N19+'10'!N19</f>
        <v>726.43632000000002</v>
      </c>
      <c r="O19" s="101">
        <f>+'1'!O19+'2'!O19+'4'!O19+'3'!O19+'5'!O19+'6'!O19+'7'!O19+'8'!O19+'9'!O19+'10'!O19</f>
        <v>36.482531999999999</v>
      </c>
      <c r="P19" s="120">
        <f t="shared" si="0"/>
        <v>4298.6708520000002</v>
      </c>
      <c r="T19" s="163" t="str">
        <f>+'6'!A5</f>
        <v>Customer Name : Al Makkah General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45</v>
      </c>
      <c r="I20" s="1">
        <f t="shared" si="1"/>
        <v>3268.8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114.40800000000002</v>
      </c>
      <c r="L20" s="175">
        <f>+'1'!L20+'2'!L20+'4'!L20+'3'!L20+'5'!L20+'6'!L20+'7'!L20+'8'!L20+'9'!L20+'10'!L20</f>
        <v>261.50400000000002</v>
      </c>
      <c r="M20" s="118">
        <f t="shared" si="2"/>
        <v>2892.8880000000004</v>
      </c>
      <c r="N20" s="101">
        <f>+'1'!N20+'2'!N20+'4'!N20+'3'!N20+'5'!N20+'6'!N20+'7'!N20+'8'!N20+'9'!N20+'10'!N20</f>
        <v>585.00623999999993</v>
      </c>
      <c r="O20" s="101">
        <f>+'1'!O20+'2'!O20+'4'!O20+'3'!O20+'5'!O20+'6'!O20+'7'!O20+'8'!O20+'9'!O20+'10'!O20</f>
        <v>32.561061599999995</v>
      </c>
      <c r="P20" s="120">
        <f t="shared" si="0"/>
        <v>3510.4553016000004</v>
      </c>
      <c r="T20" s="163" t="str">
        <f>+'7'!A5</f>
        <v>Customer Name : Shamza Bakers</v>
      </c>
      <c r="U20" s="164">
        <f>+'7'!P35</f>
        <v>950.27574703499988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56</v>
      </c>
      <c r="I21" s="1">
        <f t="shared" si="1"/>
        <v>4067.84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142.37440000000001</v>
      </c>
      <c r="L21" s="175">
        <f>+'1'!L21+'2'!L21+'4'!L21+'3'!L21+'5'!L21+'6'!L21+'7'!L21+'8'!L21+'9'!L21+'10'!L21</f>
        <v>325.42720000000003</v>
      </c>
      <c r="M21" s="118">
        <f t="shared" si="2"/>
        <v>3600.0383999999999</v>
      </c>
      <c r="N21" s="101">
        <f>+'1'!N21+'2'!N21+'4'!N21+'3'!N21+'5'!N21+'6'!N21+'7'!N21+'8'!N21+'9'!N21+'10'!N21</f>
        <v>714.86476799999991</v>
      </c>
      <c r="O21" s="101">
        <f>+'1'!O21+'2'!O21+'4'!O21+'3'!O21+'5'!O21+'6'!O21+'7'!O21+'8'!O21+'9'!O21+'10'!O21</f>
        <v>51.917696640000003</v>
      </c>
      <c r="P21" s="120">
        <f t="shared" si="0"/>
        <v>4366.8208646399999</v>
      </c>
      <c r="T21" s="163" t="str">
        <f>+'8'!A5</f>
        <v>Customer Name : Al Makkah General Store</v>
      </c>
      <c r="U21" s="164">
        <f>+'8'!P35</f>
        <v>5517.6637092299998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128</v>
      </c>
      <c r="I22" s="1">
        <f t="shared" si="1"/>
        <v>5021.4400000000005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175.75040000000004</v>
      </c>
      <c r="L22" s="175">
        <f>+'1'!L22+'2'!L22+'4'!L22+'3'!L22+'5'!L22+'6'!L22+'7'!L22+'8'!L22+'9'!L22+'10'!L22</f>
        <v>502.14400000000012</v>
      </c>
      <c r="M22" s="118">
        <f t="shared" si="2"/>
        <v>4343.5456000000004</v>
      </c>
      <c r="N22" s="101">
        <f>+'1'!N22+'2'!N22+'4'!N22+'3'!N22+'5'!N22+'6'!N22+'7'!N22+'8'!N22+'9'!N22+'10'!N22</f>
        <v>893.14156400000013</v>
      </c>
      <c r="O22" s="101">
        <f>+'1'!O22+'2'!O22+'4'!O22+'3'!O22+'5'!O22+'6'!O22+'7'!O22+'8'!O22+'9'!O22+'10'!O22</f>
        <v>58.217084620000008</v>
      </c>
      <c r="P22" s="120">
        <f t="shared" si="0"/>
        <v>5294.9042486200005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9.0500000000000007</v>
      </c>
      <c r="D25" s="231"/>
      <c r="E25" s="231"/>
      <c r="F25" s="231"/>
      <c r="G25" s="176">
        <f t="shared" ref="G25:M25" si="3">SUM(G16:G24)</f>
        <v>0</v>
      </c>
      <c r="H25" s="177">
        <f t="shared" si="3"/>
        <v>362</v>
      </c>
      <c r="I25" s="178">
        <f t="shared" si="3"/>
        <v>20445.355000000003</v>
      </c>
      <c r="J25" s="177">
        <f t="shared" si="3"/>
        <v>0</v>
      </c>
      <c r="K25" s="178">
        <f t="shared" si="3"/>
        <v>715.58742500000005</v>
      </c>
      <c r="L25" s="179">
        <f t="shared" si="3"/>
        <v>1736.0572000000002</v>
      </c>
      <c r="M25" s="141">
        <f t="shared" si="3"/>
        <v>17993.710374999999</v>
      </c>
      <c r="N25" s="142">
        <f>SUM(N16:N24)</f>
        <v>3660.4607194999999</v>
      </c>
      <c r="O25" s="143">
        <f>SUM(O16:O24)</f>
        <v>222.9055013725</v>
      </c>
      <c r="P25" s="144">
        <f>SUM(P16:P24)</f>
        <v>21877.076595872502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21877.076595872502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20445.355000000003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1736.0572000000002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715.58742500000005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17993.710375000002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3660.4607194999999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21654.171094500001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541.35427736250006</v>
      </c>
    </row>
    <row r="43" spans="1:21" ht="15.75" customHeight="1" thickBot="1" x14ac:dyDescent="0.4">
      <c r="N43" s="229" t="s">
        <v>92</v>
      </c>
      <c r="O43" s="230"/>
      <c r="P43" s="160">
        <f>P41+P42</f>
        <v>22195.525371862503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3520187956533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2.8321880625000002</v>
      </c>
      <c r="P17" s="120">
        <f t="shared" si="1"/>
        <v>569.2698005625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2.48396514</v>
      </c>
      <c r="P22" s="120">
        <f t="shared" si="1"/>
        <v>499.27699314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32</v>
      </c>
      <c r="I25" s="137">
        <f t="shared" si="9"/>
        <v>1520.01</v>
      </c>
      <c r="J25" s="138"/>
      <c r="K25" s="139">
        <f t="shared" si="9"/>
        <v>53.200350000000007</v>
      </c>
      <c r="L25" s="140">
        <f t="shared" si="9"/>
        <v>131.01600000000002</v>
      </c>
      <c r="M25" s="141">
        <f t="shared" si="9"/>
        <v>1335.7936500000001</v>
      </c>
      <c r="N25" s="142">
        <f>SUM(N16:N24)</f>
        <v>293.87460300000004</v>
      </c>
      <c r="O25" s="143">
        <f>SUM(O16:O24)</f>
        <v>8.1483412650000009</v>
      </c>
      <c r="P25" s="144">
        <f>SUM(P16:P24)</f>
        <v>1637.816594265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1520.01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131.01600000000002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53.200350000000007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1335.7936499999998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293.87460300000004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1629.6682529999998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8.1483412649999991</v>
      </c>
    </row>
    <row r="35" spans="2:16" ht="15.75" customHeight="1" thickBot="1" x14ac:dyDescent="0.4">
      <c r="N35" s="229" t="s">
        <v>92</v>
      </c>
      <c r="O35" s="230"/>
      <c r="P35" s="160">
        <f>P33+P34</f>
        <v>1637.8165942649998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89792212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13.6966471875</v>
      </c>
      <c r="P16" s="105">
        <f t="shared" ref="P16:P24" si="1">M16+N16+O16</f>
        <v>561.56253468750003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13.6966471875</v>
      </c>
      <c r="P17" s="120">
        <f t="shared" si="1"/>
        <v>561.56253468750003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18.964487999999999</v>
      </c>
      <c r="P20" s="120">
        <f t="shared" si="1"/>
        <v>777.54400799999996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37.928975999999999</v>
      </c>
      <c r="P21" s="120">
        <f t="shared" si="1"/>
        <v>1555.0880159999999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244.32444000000001</v>
      </c>
      <c r="O22" s="119">
        <f t="shared" si="6"/>
        <v>40.042061000000011</v>
      </c>
      <c r="P22" s="120">
        <f t="shared" si="1"/>
        <v>1641.7245010000004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100</v>
      </c>
      <c r="I25" s="137">
        <f t="shared" si="9"/>
        <v>5524.0500000000011</v>
      </c>
      <c r="J25" s="138"/>
      <c r="K25" s="139">
        <f t="shared" si="9"/>
        <v>193.34175000000005</v>
      </c>
      <c r="L25" s="140">
        <f t="shared" si="9"/>
        <v>473.30799999999999</v>
      </c>
      <c r="M25" s="141">
        <f t="shared" si="9"/>
        <v>4857.4002500000006</v>
      </c>
      <c r="N25" s="142">
        <f>SUM(N16:N24)</f>
        <v>874.33204499999999</v>
      </c>
      <c r="O25" s="143">
        <f>SUM(O16:O24)</f>
        <v>143.29330737500001</v>
      </c>
      <c r="P25" s="144">
        <f>SUM(P16:P24)</f>
        <v>5875.0256023750007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5524.0500000000011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473.30799999999999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193.34175000000005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4857.4002500000006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874.33204499999999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5731.7322950000007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143.29330737500001</v>
      </c>
    </row>
    <row r="35" spans="2:16" ht="15.75" customHeight="1" thickBot="1" x14ac:dyDescent="0.4">
      <c r="N35" s="229" t="s">
        <v>92</v>
      </c>
      <c r="O35" s="230"/>
      <c r="P35" s="160">
        <f>P33+P34</f>
        <v>5875.0256023750007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28413527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183.859104</v>
      </c>
      <c r="O19" s="119">
        <f t="shared" si="6"/>
        <v>5.0979115200000003</v>
      </c>
      <c r="P19" s="120">
        <f t="shared" si="1"/>
        <v>1024.68021552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183.859104</v>
      </c>
      <c r="O20" s="119">
        <f t="shared" si="6"/>
        <v>5.0979115200000003</v>
      </c>
      <c r="P20" s="120">
        <f t="shared" si="1"/>
        <v>1024.68021552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198.00211199999998</v>
      </c>
      <c r="O21" s="119">
        <f t="shared" si="6"/>
        <v>5.4900585600000005</v>
      </c>
      <c r="P21" s="120">
        <f t="shared" si="1"/>
        <v>1103.5017705600001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4474.8000000000011</v>
      </c>
      <c r="J25" s="138"/>
      <c r="K25" s="139">
        <f t="shared" si="9"/>
        <v>156.61799999999999</v>
      </c>
      <c r="L25" s="140">
        <f t="shared" si="9"/>
        <v>389.36800000000005</v>
      </c>
      <c r="M25" s="141">
        <f t="shared" si="9"/>
        <v>3928.8140000000003</v>
      </c>
      <c r="N25" s="142">
        <f>SUM(N16:N24)</f>
        <v>864.33908000000008</v>
      </c>
      <c r="O25" s="143">
        <f>SUM(O16:O24)</f>
        <v>23.965765400000002</v>
      </c>
      <c r="P25" s="144">
        <f>SUM(P16:P24)</f>
        <v>4817.1188454000003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4474.8000000000011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389.36800000000005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156.61799999999999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3928.8140000000012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864.33908000000008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4793.153080000001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23.965765400000006</v>
      </c>
    </row>
    <row r="35" spans="2:16" ht="15.75" customHeight="1" thickBot="1" x14ac:dyDescent="0.4">
      <c r="N35" s="229" t="s">
        <v>92</v>
      </c>
      <c r="O35" s="230"/>
      <c r="P35" s="160">
        <f>P33+P34</f>
        <v>4817.1188454000012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activeCell="K26" sqref="K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4210162351693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9">
        <v>4210162351693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I22*10%</f>
        <v>23.538000000000004</v>
      </c>
      <c r="M22" s="118">
        <f t="shared" si="5"/>
        <v>203.6037</v>
      </c>
      <c r="N22" s="118">
        <f t="shared" si="0"/>
        <v>36.648665999999999</v>
      </c>
      <c r="O22" s="119">
        <f t="shared" si="6"/>
        <v>1.20126183</v>
      </c>
      <c r="P22" s="120">
        <f t="shared" si="1"/>
        <v>241.45362782999999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46</v>
      </c>
      <c r="I25" s="137">
        <f t="shared" si="9"/>
        <v>2939.2050000000004</v>
      </c>
      <c r="J25" s="138"/>
      <c r="K25" s="139">
        <f t="shared" si="9"/>
        <v>102.87217500000003</v>
      </c>
      <c r="L25" s="140">
        <f t="shared" si="9"/>
        <v>239.84399999999999</v>
      </c>
      <c r="M25" s="141">
        <f t="shared" si="9"/>
        <v>2596.4888250000004</v>
      </c>
      <c r="N25" s="142">
        <f>SUM(N16:N24)</f>
        <v>467.36798849999997</v>
      </c>
      <c r="O25" s="143">
        <f>SUM(O16:O24)</f>
        <v>15.3192840675</v>
      </c>
      <c r="P25" s="144">
        <f>SUM(P16:P24)</f>
        <v>3079.1760975675002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2939.2050000000004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239.84399999999999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102.87217500000003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2596.4888250000004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467.36798849999997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3063.8568135000005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15.319284067500003</v>
      </c>
    </row>
    <row r="35" spans="2:16" ht="15.75" customHeight="1" thickBot="1" x14ac:dyDescent="0.4">
      <c r="N35" s="229" t="s">
        <v>92</v>
      </c>
      <c r="O35" s="230"/>
      <c r="P35" s="160">
        <f>P33+P34</f>
        <v>3079.1760975675006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1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</v>
      </c>
      <c r="I16" s="102">
        <f>(G16*D16)*F16+H16*F16</f>
        <v>104.925</v>
      </c>
      <c r="J16" s="103"/>
      <c r="K16" s="104">
        <f>I16*3.5%</f>
        <v>3.6723750000000002</v>
      </c>
      <c r="L16" s="105">
        <f>I16*8%</f>
        <v>8.3940000000000001</v>
      </c>
      <c r="M16" s="106">
        <f>I16-K16-L16</f>
        <v>92.858624999999989</v>
      </c>
      <c r="N16" s="106">
        <f t="shared" ref="N16:N24" si="0">(M16*$N$15)+(J16*F16)*$N$15</f>
        <v>20.428897499999998</v>
      </c>
      <c r="O16" s="107">
        <f>(N16+M16)*$O$15</f>
        <v>0.56643761250000002</v>
      </c>
      <c r="P16" s="105">
        <f t="shared" ref="P16:P24" si="1">M16+N16+O16</f>
        <v>113.85396011249999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</v>
      </c>
      <c r="I17" s="116">
        <f t="shared" ref="I17:I23" si="2">(G17*D17)*F17+H17*F17</f>
        <v>104.925</v>
      </c>
      <c r="J17" s="117"/>
      <c r="K17" s="104">
        <f t="shared" ref="K17:K21" si="3">I17*3.5%</f>
        <v>3.6723750000000002</v>
      </c>
      <c r="L17" s="105">
        <f t="shared" ref="L17:L21" si="4">I17*8%</f>
        <v>8.3940000000000001</v>
      </c>
      <c r="M17" s="118">
        <f t="shared" ref="M17:M23" si="5">I17-K17-L17</f>
        <v>92.858624999999989</v>
      </c>
      <c r="N17" s="118">
        <f t="shared" si="0"/>
        <v>20.428897499999998</v>
      </c>
      <c r="O17" s="119">
        <f t="shared" ref="O17:O24" si="6">(N17+M17)*$O$15</f>
        <v>0.56643761250000002</v>
      </c>
      <c r="P17" s="120">
        <f t="shared" si="1"/>
        <v>113.85396011249999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</v>
      </c>
      <c r="I19" s="116">
        <f t="shared" si="2"/>
        <v>145.28</v>
      </c>
      <c r="J19" s="117"/>
      <c r="K19" s="104">
        <f t="shared" si="3"/>
        <v>5.0848000000000004</v>
      </c>
      <c r="L19" s="105">
        <f t="shared" si="4"/>
        <v>11.622400000000001</v>
      </c>
      <c r="M19" s="118">
        <f t="shared" si="5"/>
        <v>128.5728</v>
      </c>
      <c r="N19" s="118">
        <f t="shared" si="0"/>
        <v>28.286016</v>
      </c>
      <c r="O19" s="119">
        <f t="shared" si="6"/>
        <v>0.78429408</v>
      </c>
      <c r="P19" s="120">
        <f t="shared" si="1"/>
        <v>157.64311007999999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</v>
      </c>
      <c r="I20" s="116">
        <f t="shared" si="2"/>
        <v>145.28</v>
      </c>
      <c r="J20" s="117"/>
      <c r="K20" s="104">
        <f t="shared" si="3"/>
        <v>5.0848000000000004</v>
      </c>
      <c r="L20" s="105">
        <f t="shared" si="4"/>
        <v>11.622400000000001</v>
      </c>
      <c r="M20" s="118">
        <f t="shared" si="5"/>
        <v>128.5728</v>
      </c>
      <c r="N20" s="118">
        <f t="shared" si="0"/>
        <v>28.286016</v>
      </c>
      <c r="O20" s="119">
        <f t="shared" si="6"/>
        <v>0.78429408</v>
      </c>
      <c r="P20" s="120">
        <f t="shared" si="1"/>
        <v>157.64311007999999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</v>
      </c>
      <c r="I21" s="116">
        <f t="shared" si="2"/>
        <v>145.28</v>
      </c>
      <c r="J21" s="117"/>
      <c r="K21" s="104">
        <f t="shared" si="3"/>
        <v>5.0848000000000004</v>
      </c>
      <c r="L21" s="105">
        <f t="shared" si="4"/>
        <v>11.622400000000001</v>
      </c>
      <c r="M21" s="118">
        <f t="shared" si="5"/>
        <v>128.5728</v>
      </c>
      <c r="N21" s="118">
        <f t="shared" si="0"/>
        <v>28.286016</v>
      </c>
      <c r="O21" s="119">
        <f t="shared" si="6"/>
        <v>0.78429408</v>
      </c>
      <c r="P21" s="120">
        <f t="shared" si="1"/>
        <v>157.64311007999999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I22*10%</f>
        <v>23.538000000000004</v>
      </c>
      <c r="M22" s="118">
        <f t="shared" si="5"/>
        <v>203.6037</v>
      </c>
      <c r="N22" s="118">
        <f t="shared" si="0"/>
        <v>44.792814</v>
      </c>
      <c r="O22" s="119">
        <f t="shared" si="6"/>
        <v>1.24198257</v>
      </c>
      <c r="P22" s="120">
        <f t="shared" si="1"/>
        <v>249.63849657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16</v>
      </c>
      <c r="I25" s="137">
        <f t="shared" si="9"/>
        <v>881.06999999999994</v>
      </c>
      <c r="J25" s="138"/>
      <c r="K25" s="139">
        <f t="shared" si="9"/>
        <v>30.837450000000004</v>
      </c>
      <c r="L25" s="140">
        <f t="shared" si="9"/>
        <v>75.193200000000004</v>
      </c>
      <c r="M25" s="141">
        <f t="shared" si="9"/>
        <v>775.03935000000001</v>
      </c>
      <c r="N25" s="142">
        <f>SUM(N16:N24)</f>
        <v>170.508657</v>
      </c>
      <c r="O25" s="143">
        <f>SUM(O16:O24)</f>
        <v>4.7277400350000001</v>
      </c>
      <c r="P25" s="144">
        <f>SUM(P16:P24)</f>
        <v>950.27574703500011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881.06999999999994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75.193200000000004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30.837450000000004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775.0393499999999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170.508657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945.54800699999987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4.7277400349999992</v>
      </c>
    </row>
    <row r="35" spans="2:16" ht="15.75" customHeight="1" thickBot="1" x14ac:dyDescent="0.4">
      <c r="N35" s="229" t="s">
        <v>92</v>
      </c>
      <c r="O35" s="230"/>
      <c r="P35" s="160">
        <f>P33+P34</f>
        <v>950.27574703499988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3.3986256749999995</v>
      </c>
      <c r="P16" s="105">
        <f t="shared" ref="P16:P24" si="1">M16+N16+O16</f>
        <v>683.12376067499986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3.3986256749999995</v>
      </c>
      <c r="P17" s="120">
        <f t="shared" si="1"/>
        <v>683.12376067499986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7.8429408</v>
      </c>
      <c r="P19" s="120">
        <f t="shared" si="1"/>
        <v>1576.4311008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I22*10%</f>
        <v>94.152000000000015</v>
      </c>
      <c r="M22" s="118">
        <f t="shared" si="5"/>
        <v>814.41480000000001</v>
      </c>
      <c r="N22" s="118">
        <f t="shared" si="0"/>
        <v>179.171256</v>
      </c>
      <c r="O22" s="119">
        <f t="shared" si="6"/>
        <v>4.96793028</v>
      </c>
      <c r="P22" s="120">
        <f t="shared" si="1"/>
        <v>998.55398628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88</v>
      </c>
      <c r="I25" s="137">
        <f t="shared" si="9"/>
        <v>5106.22</v>
      </c>
      <c r="J25" s="138"/>
      <c r="K25" s="139">
        <f t="shared" si="9"/>
        <v>178.71770000000004</v>
      </c>
      <c r="L25" s="140">
        <f t="shared" si="9"/>
        <v>427.32800000000009</v>
      </c>
      <c r="M25" s="141">
        <f t="shared" si="9"/>
        <v>4500.1743000000006</v>
      </c>
      <c r="N25" s="142">
        <f>SUM(N16:N24)</f>
        <v>990.03834599999993</v>
      </c>
      <c r="O25" s="143">
        <f>SUM(O16:O24)</f>
        <v>27.451063229999999</v>
      </c>
      <c r="P25" s="144">
        <f>SUM(P16:P24)</f>
        <v>5517.6637092299998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5106.22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427.32800000000009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178.71770000000004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4500.1742999999997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990.03834599999993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5490.2126459999999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27.451063229999999</v>
      </c>
    </row>
    <row r="35" spans="2:16" ht="15.75" customHeight="1" thickBot="1" x14ac:dyDescent="0.4">
      <c r="N35" s="229" t="s">
        <v>92</v>
      </c>
      <c r="O35" s="230"/>
      <c r="P35" s="160">
        <f>P33+P34</f>
        <v>5517.6637092299998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46205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46204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2026-07-02T13:31:12Z</dcterms:modified>
</cp:coreProperties>
</file>