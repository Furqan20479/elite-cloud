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22B5FAC-25E7-429F-8928-44079997714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7" i="20"/>
  <c r="K18" i="20"/>
  <c r="K19" i="20"/>
  <c r="K20" i="20"/>
  <c r="K21" i="20"/>
  <c r="K22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5"/>
  <c r="L22" i="15"/>
  <c r="L19" i="16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16" i="16"/>
  <c r="N16" i="16" s="1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<sst xmlns="http://schemas.openxmlformats.org/spreadsheetml/2006/main" count="1634" uniqueCount="138">
  <si>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</si>
  <si>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</si>
  <si>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</si>
  <si>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</si>
  <si>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</si>
  <si>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</si>
  <si>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</si>
  <si>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</si>
  <si>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</si>
  <si>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</si>
  <si>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</si>
  <si>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</si>
  <si>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</si>
  <si>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</si>
  <si>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</si>
  <si>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</si>
  <si>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</si>
  <si>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</si>
  <si>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</si>
  <si>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</si>
  <si>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</si>
  <si>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</si>
  <si>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</si>
  <si>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</si>
  <si>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</si>
  <si>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</si>
  <si>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</si>
  <si>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</si>
  <si>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</si>
  <si>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</si>
  <si>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</si>
  <si>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</si>
  <si>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</si>
  <si>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</si>
  <si>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</si>
  <si>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</si>
  <si>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</si>
  <si>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</si>
  <si>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</si>
  <si>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</si>
  <si>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</si>
  <si>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</si>
  <si>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</si>
  <si>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</si>
  <si>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</si>
  <si>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</si>
  <si>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</si>
  <si>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</si>
  <si>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</si>
  <si>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</si>
  <si>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</si>
  <si>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</si>
  <si>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</si>
  <si>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</si>
  <si>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</si>
  <si>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</si>
  <si>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</si>
  <si>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</si>
  <si>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</si>
  <si>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</si>
  <si>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</si>
  <si>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</si>
  <si>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</si>
  <si>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</si>
  <si>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</si>
  <si>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</si>
  <si>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</si>
  <si>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</si>
  <si>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</si>
  <si>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</si>
  <si>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</si>
  <si>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</si>
  <si>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</si>
  <si>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</si>
  <si>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</si>
  <si>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</si>
  <si>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</si>
  <si>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</si>
  <si>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</si>
  <si>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</si>
  <si>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</si>
  <si>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</si>
  <si>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</si>
  <si>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</si>
  <si>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</si>
  <si>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</si>
  <si>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</si>
  <si>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</si>
  <si>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</si>
  <si>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</si>
  <si>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</si>
  <si>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</si>
  <si>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</si>
  <si>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</si>
  <si>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</si>
  <si>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</si>
  <si>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</si>
  <si>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</si>
  <si>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</si>
  <si>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</si>
  <si>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</si>
  <si>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</si>
  <si>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</si>
  <si>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</si>
  <si>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</si>
  <si>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</si>
  <si>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</si>
  <si>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</si>
  <si>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</si>
  <si>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</si>
  <si>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</si>
  <si>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</si>
  <si>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</si>
  <si>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</si>
  <si>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</si>
  <si>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</si>
  <si>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</si>
  <si>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</si>
  <si>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</si>
  <si>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</si>
  <si>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</si>
  <si>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</si>
  <si>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Address: Youna Abad</t>
  </si>
  <si>
    <t>D4770778</t>
  </si>
  <si>
    <t xml:space="preserve">Customer Name : Azan Traders </t>
  </si>
  <si>
    <t>Address: Youna abad</t>
  </si>
  <si>
    <t xml:space="preserve">Customer Name : Grace land Mart </t>
  </si>
  <si>
    <t xml:space="preserve">Address: Younaabd </t>
  </si>
  <si>
    <t>Customer Name : Bhai Bhai GS</t>
  </si>
  <si>
    <t xml:space="preserve">Customer Name : Tayab Khan </t>
  </si>
  <si>
    <t>Customer Name : Shehriyar Khatak Store</t>
  </si>
  <si>
    <t>Customer Name : Bhati GS</t>
  </si>
  <si>
    <t>Customer Name : Malik Ijaz</t>
  </si>
  <si>
    <t xml:space="preserve">Customer Name : Nadeem Bakers </t>
  </si>
  <si>
    <t>Address: Main Gajumata</t>
  </si>
  <si>
    <t xml:space="preserve">Customer Name : MA Bakers </t>
  </si>
  <si>
    <t>Address: 22 fit Road Nishter</t>
  </si>
  <si>
    <t>Customer Name : Mozzam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</si>
</sst>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25" sqref="L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25" sqref="L25"/>
      <selection pane="topRight" activeCell="L25" sqref="L25"/>
      <selection pane="bottomLeft" activeCell="L25" sqref="L25"/>
      <selection pane="bottomRight" activeCell="L25" sqref="L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Mozzam Mart</v>
      </c>
      <c r="U14" s="164">
        <f>+'1'!P35</f>
        <v>15107.941077206253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Azan Traders </v>
      </c>
      <c r="U15" s="164">
        <f>+'2'!P35</f>
        <v>1664.2566438000003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39</v>
      </c>
      <c r="I16" s="1">
        <f>(G16*D16)*F16+H16*F16</f>
        <v>2046.0374999999999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71.611312499999997</v>
      </c>
      <c r="L16" s="175">
        <f>+'1'!L16+'2'!L16+'4'!L16+'3'!L16+'5'!L16+'6'!L16+'7'!L16+'8'!L16+'9'!L16+'10'!L16</f>
        <v>163.68299999999999</v>
      </c>
      <c r="M16" s="106">
        <f>I16-K16-L16</f>
        <v>1810.7431875</v>
      </c>
      <c r="N16" s="101">
        <f>+'1'!N16+'2'!N16+'4'!N16+'3'!N16+'5'!N16+'6'!N16+'7'!N16+'8'!N16+'9'!N16+'10'!N16</f>
        <v>325.93377375</v>
      </c>
      <c r="O16" s="101">
        <f>+'1'!O16+'2'!O16+'4'!O16+'3'!O16+'5'!O16+'6'!O16+'7'!O16+'8'!O16+'9'!O16+'10'!O16</f>
        <v>10.683384806250002</v>
      </c>
      <c r="P16" s="105">
        <f t="shared" ref="P16:P24" si="0">M16+N16+O16</f>
        <v>2147.3603460562504</v>
      </c>
      <c r="Q16" s="108"/>
      <c r="T16" s="163" t="str">
        <f>+'3'!A5</f>
        <v xml:space="preserve">Customer Name : Grace land Mart </v>
      </c>
      <c r="U16" s="164">
        <f>+'3'!P35</f>
        <v>4817.1188454000003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Bhai Bhai GS</v>
      </c>
      <c r="U17" s="164">
        <f>+'4'!P35</f>
        <v>1697.3761790000003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Tayab Khan </v>
      </c>
      <c r="U18" s="164">
        <f>+'5'!P35</f>
        <v>1697.3761790000003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464.89600000000002</v>
      </c>
      <c r="M19" s="118">
        <f t="shared" si="2"/>
        <v>5142.9120000000003</v>
      </c>
      <c r="N19" s="101">
        <f>+'1'!N19+'2'!N19+'4'!N19+'3'!N19+'5'!N19+'6'!N19+'7'!N19+'8'!N19+'9'!N19+'10'!N19</f>
        <v>1028.5824</v>
      </c>
      <c r="O19" s="101">
        <f>+'1'!O19+'2'!O19+'4'!O19+'3'!O19+'5'!O19+'6'!O19+'7'!O19+'8'!O19+'9'!O19+'10'!O19</f>
        <v>30.857472000000001</v>
      </c>
      <c r="P19" s="120">
        <f t="shared" si="0"/>
        <v>6202.3518720000002</v>
      </c>
      <c r="T19" s="163" t="str">
        <f>+'6'!A5</f>
        <v>Customer Name : Shehriyar Khatak Store</v>
      </c>
      <c r="U19" s="164">
        <f>+'6'!P35</f>
        <v>254.60642684999999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462.86207999999999</v>
      </c>
      <c r="O20" s="101">
        <f>+'1'!O20+'2'!O20+'4'!O20+'3'!O20+'5'!O20+'6'!O20+'7'!O20+'8'!O20+'9'!O20+'10'!O20</f>
        <v>15.171590399999999</v>
      </c>
      <c r="P20" s="120">
        <f t="shared" si="0"/>
        <v>3049.4896703999998</v>
      </c>
      <c r="T20" s="163" t="str">
        <f>+'7'!A5</f>
        <v>Customer Name : Bhati GS</v>
      </c>
      <c r="U20" s="164">
        <f>+'7'!P35</f>
        <v>424.34404475000008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15.171590399999999</v>
      </c>
      <c r="P21" s="120">
        <f t="shared" si="0"/>
        <v>3049.4896703999998</v>
      </c>
      <c r="T21" s="163" t="str">
        <f>+'8'!A5</f>
        <v>Customer Name : Malik Ijaz</v>
      </c>
      <c r="U21" s="164">
        <f>+'8'!P35</f>
        <v>424.34404475000008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276</v>
      </c>
      <c r="I22" s="1">
        <f t="shared" si="1"/>
        <v>10827.480000000001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378.9618000000001</v>
      </c>
      <c r="L22" s="175">
        <f>+'1'!L22+'2'!L22+'4'!L22+'3'!L22+'5'!L22+'6'!L22+'7'!L22+'8'!L22+'9'!L22+'10'!L22</f>
        <v>1082.7480000000003</v>
      </c>
      <c r="M22" s="118">
        <f t="shared" si="2"/>
        <v>9365.7702000000008</v>
      </c>
      <c r="N22" s="101">
        <f>+'1'!N22+'2'!N22+'4'!N22+'3'!N22+'5'!N22+'6'!N22+'7'!N22+'8'!N22+'9'!N22+'10'!N22</f>
        <v>2006.1751240000006</v>
      </c>
      <c r="O22" s="101">
        <f>+'1'!O22+'2'!O22+'4'!O22+'3'!O22+'5'!O22+'6'!O22+'7'!O22+'8'!O22+'9'!O22+'10'!O22</f>
        <v>186.02591390000003</v>
      </c>
      <c r="P22" s="120">
        <f t="shared" si="0"/>
        <v>11557.971237900003</v>
      </c>
      <c r="T22" s="163" t="str">
        <f>+'9'!A5</f>
        <v xml:space="preserve">Customer Name : Nadeem Bakers </v>
      </c>
      <c r="U22" s="164">
        <f>+'9'!P35</f>
        <v>424.34404475000008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MA Bakers </v>
      </c>
      <c r="U23" s="164">
        <f>+'10'!P35</f>
        <v>1697.3761790000003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12.875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515</v>
      </c>
      <c r="I25" s="178">
        <f t="shared" si="3"/>
        <v>26594.417500000003</v>
      </c>
      <c r="J25" s="177">
        <f t="shared" si="3"/>
        <v>0</v>
      </c>
      <c r="K25" s="178">
        <f t="shared" si="3"/>
        <v>930.80461250000008</v>
      </c>
      <c r="L25" s="179">
        <f t="shared" si="3"/>
        <v>2344.1030000000005</v>
      </c>
      <c r="M25" s="141">
        <f t="shared" si="3"/>
        <v>23319.509887500004</v>
      </c>
      <c r="N25" s="142">
        <f>SUM(N16:N24)</f>
        <v>4620.7065077500001</v>
      </c>
      <c r="O25" s="143">
        <f>SUM(O16:O24)</f>
        <v>268.86726925625004</v>
      </c>
      <c r="P25" s="144">
        <f>SUM(P16:P24)</f>
        <v>28209.083664506252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28209.083664506252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26594.417500000003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2344.1030000000005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930.80461250000008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23319.509887500004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4620.7065077500001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27940.216395250005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698.50540988125022</v>
      </c>
    </row>
    <row r="43" spans="1:21" ht="15.75" customHeight="1" thickBot="1" x14ac:dyDescent="0.4">
      <c r="N43" s="213" t="s">
        <v>92</v>
      </c>
      <c r="O43" s="214"/>
      <c r="P43" s="160">
        <f>P41+P42</f>
        <v>28638.721805131256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75" t="s">
        <v>123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39</v>
      </c>
      <c r="I16" s="102">
        <f>(G16*D16)*F16+H16*F16</f>
        <v>2046.0374999999999</v>
      </c>
      <c r="J16" s="103"/>
      <c r="K16" s="104">
        <f>I16*3.5%</f>
        <v>71.611312499999997</v>
      </c>
      <c r="L16" s="105">
        <f>I16*8%</f>
        <v>163.68299999999999</v>
      </c>
      <c r="M16" s="106">
        <f>I16-K16-L16</f>
        <v>1810.7431875</v>
      </c>
      <c r="N16" s="106">
        <f t="shared" ref="N16:N24" si="0">(M16*$N$15)+(J16*F16)*$N$15</f>
        <v>325.93377375</v>
      </c>
      <c r="O16" s="107">
        <f t="shared" ref="O16:O24" si="1">(N16+M16)*$O$15</f>
        <v>10.683384806250002</v>
      </c>
      <c r="P16" s="105">
        <f t="shared" ref="P16:P24" si="2">M16+N16+O16</f>
        <v>2147.3603460562504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2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 t="shared" si="4"/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244.32444000000001</v>
      </c>
      <c r="O22" s="119">
        <f t="shared" si="1"/>
        <v>8.0084122000000022</v>
      </c>
      <c r="P22" s="120">
        <f t="shared" si="2"/>
        <v>1609.6908522000003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239</v>
      </c>
      <c r="I25" s="137">
        <f t="shared" si="13"/>
        <v>14430.537500000002</v>
      </c>
      <c r="J25" s="138"/>
      <c r="K25" s="139">
        <f t="shared" si="13"/>
        <v>505.06881250000009</v>
      </c>
      <c r="L25" s="140">
        <f t="shared" si="13"/>
        <v>1185.827</v>
      </c>
      <c r="M25" s="141">
        <f t="shared" si="13"/>
        <v>12739.641687500001</v>
      </c>
      <c r="N25" s="142">
        <f>SUM(N16:N24)</f>
        <v>2293.1355037499998</v>
      </c>
      <c r="O25" s="143">
        <f>SUM(O16:O24)</f>
        <v>75.163885956249999</v>
      </c>
      <c r="P25" s="144">
        <f>SUM(P16:P24)</f>
        <v>15107.941077206251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14430.537500000002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1185.827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505.06881250000009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12739.641687500003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2293.1355037499998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15032.777191250003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75.163885956250013</v>
      </c>
    </row>
    <row r="35" spans="2:16" ht="15.75" customHeight="1" thickBot="1" x14ac:dyDescent="0.4">
      <c r="N35" s="213" t="s">
        <v>92</v>
      </c>
      <c r="O35" s="214"/>
      <c r="P35" s="160">
        <f>P33+P34</f>
        <v>15107.941077206253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3510280594855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13" t="s">
        <v>92</v>
      </c>
      <c r="O35" s="214"/>
      <c r="P35" s="160">
        <f>P33+P34</f>
        <v>1664.2566438000003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34193677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156.61800000000002</v>
      </c>
      <c r="L25" s="140">
        <f t="shared" si="9"/>
        <v>389.36800000000005</v>
      </c>
      <c r="M25" s="141">
        <f t="shared" si="9"/>
        <v>3928.8140000000003</v>
      </c>
      <c r="N25" s="142">
        <f>SUM(N16:N24)</f>
        <v>864.33908000000008</v>
      </c>
      <c r="O25" s="143">
        <f>SUM(O16:O24)</f>
        <v>23.965765400000002</v>
      </c>
      <c r="P25" s="144">
        <f>SUM(P16:P24)</f>
        <v>4817.1188454000003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389.36800000000005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156.61800000000002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3928.8140000000003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4793.15308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23.965765400000002</v>
      </c>
    </row>
    <row r="35" spans="2:16" ht="15.75" customHeight="1" thickBot="1" x14ac:dyDescent="0.4">
      <c r="N35" s="213" t="s">
        <v>92</v>
      </c>
      <c r="O35" s="214"/>
      <c r="P35" s="160">
        <f>P33+P34</f>
        <v>4817.1188454000003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13" t="s">
        <v>92</v>
      </c>
      <c r="O35" s="214"/>
      <c r="P35" s="160">
        <f>P33+P34</f>
        <v>1697.3761790000003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13" t="s">
        <v>92</v>
      </c>
      <c r="O35" s="214"/>
      <c r="P35" s="160">
        <f>P33+P34</f>
        <v>1697.3761790000003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 t="shared" si="3"/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6.2099128500000003</v>
      </c>
      <c r="P22" s="120">
        <f t="shared" si="1"/>
        <v>254.60642684999999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23.538000000000004</v>
      </c>
      <c r="M25" s="141">
        <f t="shared" si="9"/>
        <v>203.6037</v>
      </c>
      <c r="N25" s="142">
        <f>SUM(N16:N24)</f>
        <v>44.792814</v>
      </c>
      <c r="O25" s="143">
        <f>SUM(O16:O24)</f>
        <v>6.2099128500000003</v>
      </c>
      <c r="P25" s="144">
        <f>SUM(P16:P24)</f>
        <v>254.60642684999999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235.38000000000002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23.538000000000004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8.2383000000000024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203.6037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44.792814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248.396514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6.2099128500000003</v>
      </c>
    </row>
    <row r="35" spans="2:16" ht="15.75" customHeight="1" thickBot="1" x14ac:dyDescent="0.4">
      <c r="N35" s="213" t="s">
        <v>92</v>
      </c>
      <c r="O35" s="214"/>
      <c r="P35" s="160">
        <f>P33+P34</f>
        <v>254.60642684999999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134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13" t="s">
        <v>92</v>
      </c>
      <c r="O35" s="214"/>
      <c r="P35" s="160">
        <f>P33+P34</f>
        <v>1697.3761790000003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2026-07-02T10:36:21Z</dcterms:modified>
</cp:coreProperties>
</file>