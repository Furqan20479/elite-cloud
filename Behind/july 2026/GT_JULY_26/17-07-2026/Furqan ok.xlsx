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EEDF274-2CF5-4DF3-B814-302F9EA7B30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M17" i="18" s="1"/>
  <c r="N17" i="18" s="1"/>
  <c r="O17" i="18" s="1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0" l="1"/>
  <c r="N21" i="20" s="1"/>
  <c r="O21" i="20" s="1"/>
  <c r="M21" i="19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0" i="20" l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<sst xmlns="http://schemas.openxmlformats.org/spreadsheetml/2006/main" count="1636" uniqueCount="137">
  <si>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</si>
  <si>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</si>
  <si>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</si>
  <si>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</si>
  <si>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</si>
  <si>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</si>
  <si>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</si>
  <si>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</si>
  <si>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</si>
  <si>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</si>
  <si>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</si>
  <si>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</si>
  <si>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</si>
  <si>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</si>
  <si>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</si>
  <si>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</si>
  <si>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</si>
  <si>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</si>
  <si>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</si>
  <si>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</si>
  <si>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</si>
  <si>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</si>
  <si>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</si>
  <si>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</si>
  <si>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</si>
  <si>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</si>
  <si>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</si>
  <si>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</si>
  <si>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</si>
  <si>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</si>
  <si>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</si>
  <si>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</si>
  <si>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</si>
  <si>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</si>
  <si>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</si>
  <si>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</si>
  <si>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</si>
  <si>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</si>
  <si>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</si>
  <si>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</si>
  <si>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</si>
  <si>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</si>
  <si>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</si>
  <si>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</si>
  <si>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</si>
  <si>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</si>
  <si>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</si>
  <si>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</si>
  <si>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</si>
  <si>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</si>
  <si>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</si>
  <si>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</si>
  <si>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</si>
  <si>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</si>
  <si>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</si>
  <si>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</si>
  <si>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</si>
  <si>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</si>
  <si>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</si>
  <si>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</si>
  <si>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</si>
  <si>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</si>
  <si>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</si>
  <si>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</si>
  <si>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</si>
  <si>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</si>
  <si>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</si>
  <si>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</si>
  <si>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</si>
  <si>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</si>
  <si>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</si>
  <si>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</si>
  <si>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</si>
  <si>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</si>
  <si>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</si>
  <si>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</si>
  <si>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</si>
  <si>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</si>
  <si>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</si>
  <si>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</si>
  <si>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</si>
  <si>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</si>
  <si>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</si>
  <si>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</si>
  <si>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</si>
  <si>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</si>
  <si>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</si>
  <si>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</si>
  <si>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</si>
  <si>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</si>
  <si>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</si>
  <si>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</si>
  <si>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</si>
  <si>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</si>
  <si>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</si>
  <si>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</si>
  <si>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</si>
  <si>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</si>
  <si>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</si>
  <si>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</si>
  <si>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</si>
  <si>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</si>
  <si>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</si>
  <si>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</si>
  <si>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</si>
  <si>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</si>
  <si>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</si>
  <si>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</si>
  <si>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</si>
  <si>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</si>
  <si>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</si>
  <si>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</si>
  <si>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</si>
  <si>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</si>
  <si>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</si>
  <si>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</si>
  <si>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</si>
  <si>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</si>
  <si>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</si>
  <si>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</si>
  <si>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</si>
  <si>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Murad G Store</t>
  </si>
  <si>
    <t xml:space="preserve">Address: Gullberg </t>
  </si>
  <si>
    <t xml:space="preserve">Customer Name : SK Mart </t>
  </si>
  <si>
    <t>Address: Gullberg</t>
  </si>
  <si>
    <t xml:space="preserve">Customer Name : Shell Perto Mart </t>
  </si>
  <si>
    <t>4550863-0</t>
  </si>
  <si>
    <t xml:space="preserve">Address: Press Club Shimla Pahari </t>
  </si>
  <si>
    <t>Customer Name : Tufail Store</t>
  </si>
  <si>
    <t xml:space="preserve">Address: Qilla Gujjer Singh </t>
  </si>
  <si>
    <t>1942640-2</t>
  </si>
  <si>
    <t>Customer Name : Ali Brothers</t>
  </si>
  <si>
    <t>Address: Qillah Gujjer Singh</t>
  </si>
  <si>
    <t>6925517-8</t>
  </si>
  <si>
    <t>Customer Name : Arif Store</t>
  </si>
  <si>
    <t xml:space="preserve">Address: Gwal Mandi </t>
  </si>
  <si>
    <t>E156529-1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</si>
</sst>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zoomScale="70" zoomScaleNormal="70" workbookViewId="0">
      <selection activeCell="T4" sqref="T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96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Murad G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Shell Perto Mart </v>
      </c>
      <c r="U16" s="164">
        <f>+'3'!P35</f>
        <v>3049.4896703999998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Tufail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Ali Brothers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60</v>
      </c>
      <c r="I19" s="1">
        <f t="shared" si="1"/>
        <v>4358.3999999999996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152.54400000000001</v>
      </c>
      <c r="L19" s="174">
        <f>+'1'!L19+'2'!L19+'4'!L19+'3'!L19+'5'!L19+'6'!L19+'7'!L19+'8'!L19+'9'!L19+'10'!L19</f>
        <v>348.67200000000003</v>
      </c>
      <c r="M19" s="118">
        <f t="shared" si="2"/>
        <v>3857.1839999999997</v>
      </c>
      <c r="N19" s="101">
        <f>+'1'!N19+'2'!N19+'4'!N19+'3'!N19+'5'!N19+'6'!N19+'7'!N19+'8'!N19+'9'!N19+'10'!N19</f>
        <v>694.29312000000004</v>
      </c>
      <c r="O19" s="101">
        <f>+'1'!O19+'2'!O19+'4'!O19+'3'!O19+'5'!O19+'6'!O19+'7'!O19+'8'!O19+'9'!O19+'10'!O19</f>
        <v>22.757385599999999</v>
      </c>
      <c r="P19" s="120">
        <f t="shared" si="0"/>
        <v>4574.2345055999995</v>
      </c>
      <c r="T19" s="163" t="str">
        <f>+'6'!A5</f>
        <v>Customer Name : Arif Store</v>
      </c>
      <c r="U19" s="164">
        <f>+'6'!P35</f>
        <v>6098.9793407999996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694.29312000000004</v>
      </c>
      <c r="O21" s="101">
        <f>+'1'!O21+'2'!O21+'4'!O21+'3'!O21+'5'!O21+'6'!O21+'7'!O21+'8'!O21+'9'!O21+'10'!O21</f>
        <v>22.757385599999999</v>
      </c>
      <c r="P21" s="120">
        <f t="shared" si="0"/>
        <v>4574.2345055999995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3</v>
      </c>
      <c r="D25" s="230"/>
      <c r="E25" s="230"/>
      <c r="F25" s="230"/>
      <c r="G25" s="175">
        <f t="shared" ref="G25:M25" si="3">SUM(G16:G24)</f>
        <v>0</v>
      </c>
      <c r="H25" s="176">
        <f t="shared" si="3"/>
        <v>120</v>
      </c>
      <c r="I25" s="177">
        <f t="shared" si="3"/>
        <v>8716.7999999999993</v>
      </c>
      <c r="J25" s="176">
        <f t="shared" si="3"/>
        <v>0</v>
      </c>
      <c r="K25" s="177">
        <f t="shared" si="3"/>
        <v>305.08800000000002</v>
      </c>
      <c r="L25" s="178">
        <f t="shared" si="3"/>
        <v>697.34400000000005</v>
      </c>
      <c r="M25" s="141">
        <f t="shared" si="3"/>
        <v>7714.3679999999995</v>
      </c>
      <c r="N25" s="142">
        <f>SUM(N16:N24)</f>
        <v>1388.5862400000001</v>
      </c>
      <c r="O25" s="143">
        <f>SUM(O16:O24)</f>
        <v>45.514771199999998</v>
      </c>
      <c r="P25" s="144">
        <f>SUM(P16:P24)</f>
        <v>9148.4690111999989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9148.4690111999989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8716.7999999999993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697.34400000000005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305.08800000000002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7714.3679999999995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1388.5862400000001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9102.9542399999991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227.57385599999998</v>
      </c>
    </row>
    <row r="43" spans="1:21" ht="15.75" customHeight="1" thickBot="1" x14ac:dyDescent="0.4">
      <c r="N43" s="228" t="s">
        <v>92</v>
      </c>
      <c r="O43" s="229"/>
      <c r="P43" s="160">
        <f>P41+P42</f>
        <v>9330.5280959999982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2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26 16383:16384" ht="15" customHeight="1" x14ac:dyDescent="0.35">
      <c r="A6" s="210" t="s">
        <v>122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124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127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G12" sqref="G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132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133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36" sqref="B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135</v>
      </c>
      <c r="B6" s="210"/>
      <c r="C6" s="210"/>
      <c r="F6" s="70"/>
      <c r="G6" s="74"/>
      <c r="K6" s="210" t="s">
        <v>52</v>
      </c>
      <c r="L6" s="210"/>
      <c r="M6" s="210"/>
      <c r="N6" s="212" t="s">
        <v>96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5811.2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464.89600000000002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203.39200000000002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5142.9120000000003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6068.63616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28" t="s">
        <v>92</v>
      </c>
      <c r="O35" s="229"/>
      <c r="P35" s="160">
        <f>P33+P34</f>
        <v>6098.9793407999996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2026-07-18T04:15:48Z</dcterms:modified>
</cp:coreProperties>
</file>