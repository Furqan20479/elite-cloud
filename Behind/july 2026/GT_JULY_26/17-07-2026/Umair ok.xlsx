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CA7685A-DFFF-46B5-BA07-BEE7EFF1C45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<sst xmlns="http://schemas.openxmlformats.org/spreadsheetml/2006/main" count="1635" uniqueCount="147">
  <si>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</si>
  <si>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</si>
  <si>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</si>
  <si>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</si>
  <si>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</si>
  <si>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</si>
  <si>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</si>
  <si>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</si>
  <si>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</si>
  <si>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</si>
  <si>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</si>
  <si>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</si>
  <si>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</si>
  <si>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</si>
  <si>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</si>
  <si>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</si>
  <si>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</si>
  <si>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</si>
  <si>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</si>
  <si>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</si>
  <si>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</si>
  <si>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</si>
  <si>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</si>
  <si>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</si>
  <si>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</si>
  <si>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</si>
  <si>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</si>
  <si>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</si>
  <si>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</si>
  <si>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</si>
  <si>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</si>
  <si>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</si>
  <si>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</si>
  <si>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</si>
  <si>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</si>
  <si>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</si>
  <si>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</si>
  <si>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</si>
  <si>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</si>
  <si>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</si>
  <si>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</si>
  <si>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</si>
  <si>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</si>
  <si>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</si>
  <si>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</si>
  <si>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</si>
  <si>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</si>
  <si>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</si>
  <si>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</si>
  <si>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</si>
  <si>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</si>
  <si>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</si>
  <si>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</si>
  <si>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</si>
  <si>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</si>
  <si>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</si>
  <si>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</si>
  <si>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</si>
  <si>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</si>
  <si>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</si>
  <si>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</si>
  <si>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</si>
  <si>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</si>
  <si>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</si>
  <si>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</si>
  <si>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</si>
  <si>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</si>
  <si>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</si>
  <si>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</si>
  <si>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</si>
  <si>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</si>
  <si>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</si>
  <si>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</si>
  <si>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</si>
  <si>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</si>
  <si>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</si>
  <si>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</si>
  <si>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</si>
  <si>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</si>
  <si>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</si>
  <si>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</si>
  <si>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</si>
  <si>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</si>
  <si>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</si>
  <si>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</si>
  <si>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</si>
  <si>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</si>
  <si>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</si>
  <si>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</si>
  <si>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</si>
  <si>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</si>
  <si>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</si>
  <si>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</si>
  <si>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</si>
  <si>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</si>
  <si>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</si>
  <si>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</si>
  <si>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</si>
  <si>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</si>
  <si>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</si>
  <si>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</si>
  <si>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</si>
  <si>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</si>
  <si>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</si>
  <si>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</si>
  <si>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</si>
  <si>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</si>
  <si>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</si>
  <si>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</si>
  <si>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</si>
  <si>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</si>
  <si>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</si>
  <si>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</si>
  <si>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</si>
  <si>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</si>
  <si>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</si>
  <si>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</si>
  <si>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</si>
  <si>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</si>
  <si>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</si>
  <si>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</si>
  <si>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</si>
  <si>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Moazam Store</t>
  </si>
  <si>
    <t>Address: Youna Abad</t>
  </si>
  <si>
    <t>J440576</t>
  </si>
  <si>
    <t>Customer Name : Malik Ijaz Kareyana Store</t>
  </si>
  <si>
    <t>Address: Youna abad</t>
  </si>
  <si>
    <t>Customer Name : Zafar GS</t>
  </si>
  <si>
    <t>Address: Garhi Shahu</t>
  </si>
  <si>
    <t>Customer Name : Quality Store</t>
  </si>
  <si>
    <t xml:space="preserve">Address: Garhishahu </t>
  </si>
  <si>
    <t xml:space="preserve">Customer Name : Kekiz Bakers </t>
  </si>
  <si>
    <t>Address: younaabad</t>
  </si>
  <si>
    <t>A2149323</t>
  </si>
  <si>
    <t xml:space="preserve">Customer Name : Grace land </t>
  </si>
  <si>
    <t>Address: Younaabad</t>
  </si>
  <si>
    <t>3419367-7</t>
  </si>
  <si>
    <t>Customer Name : Haroon Super Store</t>
  </si>
  <si>
    <t>Address: younabad</t>
  </si>
  <si>
    <t>Customer Name : Khatak Pishawer Store</t>
  </si>
  <si>
    <t>Address: Younabad</t>
  </si>
  <si>
    <t>Customer Name : Noor e Madina</t>
  </si>
  <si>
    <t xml:space="preserve">Address: Satlite Town </t>
  </si>
  <si>
    <t>Customer Name : Insaf General Store</t>
  </si>
  <si>
    <t>Address: Satlite Town</t>
  </si>
  <si>
    <t xml:space="preserve">Customer Name : M.A Bakers </t>
  </si>
  <si>
    <t>Address: Nashter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</si>
</sst>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3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Moazam Store</v>
      </c>
      <c r="U14" s="164">
        <f>+'1'!P35</f>
        <v>8039.1496896000008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Malik Ijaz Kareyana Store</v>
      </c>
      <c r="U15" s="164">
        <f>+'2'!P35</f>
        <v>1639.8265536000001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Zafar GS</v>
      </c>
      <c r="U16" s="164">
        <f>+'3'!P35</f>
        <v>819.91327680000006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Quality Store</v>
      </c>
      <c r="U17" s="164">
        <f>+'4'!P35</f>
        <v>466.52640480000002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Kekiz Bakers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86</v>
      </c>
      <c r="I19" s="1">
        <f t="shared" si="1"/>
        <v>6247.04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116.95040000000002</v>
      </c>
      <c r="L19" s="174">
        <f>+'1'!L19+'2'!L19+'4'!L19+'3'!L19+'5'!L19+'6'!L19+'7'!L19+'8'!L19+'9'!L19+'10'!L19</f>
        <v>267.3152</v>
      </c>
      <c r="M19" s="118">
        <f t="shared" si="2"/>
        <v>5862.7744000000002</v>
      </c>
      <c r="N19" s="101">
        <f>+'1'!N19+'2'!N19+'4'!N19+'3'!N19+'5'!N19+'6'!N19+'7'!N19+'8'!N19+'9'!N19+'10'!N19</f>
        <v>532.29139199999997</v>
      </c>
      <c r="O19" s="101">
        <f>+'1'!O19+'2'!O19+'4'!O19+'3'!O19+'5'!O19+'6'!O19+'7'!O19+'8'!O19+'9'!O19+'10'!O19</f>
        <v>26.550283200000003</v>
      </c>
      <c r="P19" s="120">
        <f t="shared" si="0"/>
        <v>6421.6160752000005</v>
      </c>
      <c r="T19" s="163" t="str">
        <f>+'6'!A5</f>
        <v xml:space="preserve">Customer Name : Grace land </v>
      </c>
      <c r="U19" s="164">
        <f>+'6'!P35</f>
        <v>6098.9793407999996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Haroon Super Store</v>
      </c>
      <c r="U20" s="164">
        <f>+'7'!P35</f>
        <v>819.91327680000006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232.44800000000001</v>
      </c>
      <c r="M21" s="118">
        <f t="shared" si="2"/>
        <v>5477.0559999999996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5955.0896703999997</v>
      </c>
      <c r="T21" s="163" t="str">
        <f>+'8'!A5</f>
        <v>Customer Name : Khatak Pishawer Store</v>
      </c>
      <c r="U21" s="164">
        <f>+'8'!P35</f>
        <v>1639.8265536000001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460</v>
      </c>
      <c r="I22" s="1">
        <f t="shared" si="1"/>
        <v>18045.800000000003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1282.0364</v>
      </c>
      <c r="L22" s="174">
        <f>+'1'!L22+'2'!L22+'4'!L22+'3'!L22+'5'!L22+'6'!L22+'7'!L22+'8'!L22+'9'!L22+'10'!L22</f>
        <v>745.37000000000023</v>
      </c>
      <c r="M22" s="118">
        <f t="shared" si="2"/>
        <v>16018.393600000001</v>
      </c>
      <c r="N22" s="101">
        <f>+'1'!N22+'2'!N22+'4'!N22+'3'!N22+'5'!N22+'6'!N22+'7'!N22+'8'!N22+'9'!N22+'10'!N22</f>
        <v>2318.3988480000003</v>
      </c>
      <c r="O22" s="101">
        <f>+'1'!O22+'2'!O22+'4'!O22+'3'!O22+'5'!O22+'6'!O22+'7'!O22+'8'!O22+'9'!O22+'10'!O22</f>
        <v>219.97673280000006</v>
      </c>
      <c r="P22" s="120">
        <f t="shared" si="0"/>
        <v>18556.769180800002</v>
      </c>
      <c r="T22" s="163" t="str">
        <f>+'9'!A5</f>
        <v>Customer Name : Noor e Madina</v>
      </c>
      <c r="U22" s="164">
        <f>+'9'!P35</f>
        <v>1639.8265536000001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Insaf General Store</v>
      </c>
      <c r="U23" s="164">
        <f>+'10'!P35</f>
        <v>819.91327680000006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M.A Bakers </v>
      </c>
      <c r="U24" s="164">
        <f>+'11'!P35</f>
        <v>9314.6392166400001</v>
      </c>
    </row>
    <row r="25" spans="1:21 16384:16384" ht="26.5" thickBot="1" x14ac:dyDescent="0.65">
      <c r="A25" s="218" t="s">
        <v>84</v>
      </c>
      <c r="B25" s="219"/>
      <c r="C25" s="220">
        <f>H25/40</f>
        <v>15.65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626</v>
      </c>
      <c r="I25" s="177">
        <f t="shared" si="3"/>
        <v>30104.04</v>
      </c>
      <c r="J25" s="176">
        <f t="shared" si="3"/>
        <v>0</v>
      </c>
      <c r="K25" s="177">
        <f t="shared" si="3"/>
        <v>1500.6828</v>
      </c>
      <c r="L25" s="178">
        <f t="shared" si="3"/>
        <v>1245.1332000000002</v>
      </c>
      <c r="M25" s="141">
        <f t="shared" si="3"/>
        <v>27358.224000000002</v>
      </c>
      <c r="N25" s="142">
        <f>SUM(N16:N24)</f>
        <v>3313.5523200000002</v>
      </c>
      <c r="O25" s="143">
        <f>SUM(O16:O24)</f>
        <v>261.69860640000007</v>
      </c>
      <c r="P25" s="144">
        <f>SUM(P16:P24)</f>
        <v>30933.474926400002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31298.514143040004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30104.04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1245.1332000000002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1500.6828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27358.224000000002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3313.5523200000002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30671.776320000001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766.79440800000009</v>
      </c>
    </row>
    <row r="43" spans="1:21" ht="15.75" customHeight="1" thickBot="1" x14ac:dyDescent="0.4">
      <c r="N43" s="212" t="s">
        <v>92</v>
      </c>
      <c r="O43" s="213"/>
      <c r="P43" s="160">
        <f>P41+P42</f>
        <v>31438.570728000002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3"/>
        <v>7846.0000000000009</v>
      </c>
      <c r="J22" s="117"/>
      <c r="K22" s="104">
        <f>I22*8.6%</f>
        <v>674.75599999999997</v>
      </c>
      <c r="L22" s="120">
        <f>I22*5%</f>
        <v>392.30000000000007</v>
      </c>
      <c r="M22" s="118">
        <f t="shared" si="6"/>
        <v>6778.9440000000004</v>
      </c>
      <c r="N22" s="118">
        <f t="shared" si="0"/>
        <v>1220.20992</v>
      </c>
      <c r="O22" s="119">
        <f t="shared" si="1"/>
        <v>39.995769600000003</v>
      </c>
      <c r="P22" s="120">
        <f t="shared" si="2"/>
        <v>8039.1496896000008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200</v>
      </c>
      <c r="I25" s="137">
        <f t="shared" si="13"/>
        <v>7846.0000000000009</v>
      </c>
      <c r="J25" s="138"/>
      <c r="K25" s="139">
        <f t="shared" si="13"/>
        <v>674.75599999999997</v>
      </c>
      <c r="L25" s="140">
        <f t="shared" si="13"/>
        <v>392.30000000000007</v>
      </c>
      <c r="M25" s="141">
        <f t="shared" si="13"/>
        <v>6778.9440000000004</v>
      </c>
      <c r="N25" s="142">
        <f>SUM(N16:N24)</f>
        <v>1220.20992</v>
      </c>
      <c r="O25" s="143">
        <f>SUM(O16:O24)</f>
        <v>39.995769600000003</v>
      </c>
      <c r="P25" s="144">
        <f>SUM(P16:P24)</f>
        <v>8039.1496896000008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7846.0000000000009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392.30000000000007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674.75599999999997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6778.9440000000004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1220.20992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7999.1539200000007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39.995769600000003</v>
      </c>
    </row>
    <row r="35" spans="2:16" ht="15.75" customHeight="1" thickBot="1" x14ac:dyDescent="0.4">
      <c r="N35" s="212" t="s">
        <v>92</v>
      </c>
      <c r="O35" s="213"/>
      <c r="P35" s="160">
        <f>P33+P34</f>
        <v>8039.1496896000008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11.378692800000001</v>
      </c>
      <c r="P19" s="120">
        <f t="shared" si="1"/>
        <v>466.52640480000002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11.378692800000001</v>
      </c>
      <c r="P25" s="144">
        <f>SUM(P16:P24)</f>
        <v>466.52640480000002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11.378692800000001</v>
      </c>
    </row>
    <row r="35" spans="2:16" ht="15.75" customHeight="1" thickBot="1" x14ac:dyDescent="0.4">
      <c r="N35" s="212" t="s">
        <v>92</v>
      </c>
      <c r="O35" s="213"/>
      <c r="P35" s="160">
        <f>P33+P34</f>
        <v>466.52640480000002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135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138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2" workbookViewId="0">
      <selection activeCell="R30" sqref="R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142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144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146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3520152349095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8949.6</v>
      </c>
      <c r="J25" s="138"/>
      <c r="K25" s="139">
        <f t="shared" si="9"/>
        <v>473.2944</v>
      </c>
      <c r="L25" s="140">
        <f t="shared" si="9"/>
        <v>621.81600000000003</v>
      </c>
      <c r="M25" s="141">
        <f t="shared" si="9"/>
        <v>7854.4896000000008</v>
      </c>
      <c r="N25" s="142">
        <f>SUM(N16:N24)</f>
        <v>1413.8081280000001</v>
      </c>
      <c r="O25" s="143">
        <f>SUM(O16:O24)</f>
        <v>46.341488640000001</v>
      </c>
      <c r="P25" s="144">
        <f>SUM(P16:P24)</f>
        <v>9314.6392166400001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8949.6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621.81600000000003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473.2944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7854.4895999999999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1413.8081280000001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9268.2977279999996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46.341488640000001</v>
      </c>
    </row>
    <row r="35" spans="2:16" ht="15.75" customHeight="1" thickBot="1" x14ac:dyDescent="0.4">
      <c r="N35" s="212" t="s">
        <v>92</v>
      </c>
      <c r="O35" s="213"/>
      <c r="P35" s="160">
        <f>P33+P34</f>
        <v>9314.6392166400001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2026-07-18T04:17:24Z</dcterms:modified>
</cp:coreProperties>
</file>