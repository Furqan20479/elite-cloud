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6AD8398-73C9-4D54-8A74-1BC729609C35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7" i="19"/>
  <c r="K18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7" i="16"/>
  <c r="K18" i="16"/>
  <c r="K20" i="16"/>
  <c r="K21" i="16"/>
  <c r="K16" i="17"/>
  <c r="K16" i="19"/>
  <c r="K16" i="18"/>
  <c r="K16" i="20"/>
  <c r="K16" i="21"/>
  <c r="K16" i="22"/>
  <c r="K16" i="23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I17" i="24"/>
  <c r="I18" i="24"/>
  <c r="I19" i="24"/>
  <c r="I20" i="24"/>
  <c r="K20" i="24" s="1"/>
  <c r="I21" i="24"/>
  <c r="I22" i="24"/>
  <c r="I21" i="23"/>
  <c r="K21" i="23" s="1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I20" i="23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K19" i="17" s="1"/>
  <c r="I20" i="17"/>
  <c r="K20" i="17" s="1"/>
  <c r="I21" i="17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23" l="1"/>
  <c r="K18" i="23"/>
  <c r="L21" i="24"/>
  <c r="K21" i="24"/>
  <c r="L19" i="24"/>
  <c r="K19" i="24"/>
  <c r="L17" i="24"/>
  <c r="K17" i="24"/>
  <c r="L16" i="24"/>
  <c r="K16" i="24"/>
  <c r="L20" i="23"/>
  <c r="K20" i="23"/>
  <c r="M20" i="23" s="1"/>
  <c r="N20" i="23" s="1"/>
  <c r="O20" i="23" s="1"/>
  <c r="L19" i="19"/>
  <c r="K19" i="19"/>
  <c r="L21" i="17"/>
  <c r="K21" i="17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K19" i="16" s="1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4" l="1"/>
  <c r="N22" i="24" s="1"/>
  <c r="O22" i="24" s="1"/>
  <c r="P22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18" l="1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33" i="23" l="1"/>
  <c r="P34" i="23" s="1"/>
  <c r="P35" i="23" s="1"/>
  <c r="U21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<sst xmlns="http://schemas.openxmlformats.org/spreadsheetml/2006/main" count="1633" uniqueCount="141">
  <si>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</si>
  <si>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</si>
  <si>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</si>
  <si>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</si>
  <si>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</si>
  <si>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</si>
  <si>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</si>
  <si>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</si>
  <si>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</si>
  <si>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</si>
  <si>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</si>
  <si>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</si>
  <si>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</si>
  <si>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</si>
  <si>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</si>
  <si>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</si>
  <si>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</si>
  <si>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</si>
  <si>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</si>
  <si>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</si>
  <si>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</si>
  <si>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</si>
  <si>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</si>
  <si>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</si>
  <si>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</si>
  <si>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</si>
  <si>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</si>
  <si>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</si>
  <si>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</si>
  <si>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</si>
  <si>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</si>
  <si>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</si>
  <si>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</si>
  <si>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</si>
  <si>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</si>
  <si>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</si>
  <si>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</si>
  <si>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</si>
  <si>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</si>
  <si>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</si>
  <si>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</si>
  <si>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</si>
  <si>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</si>
  <si>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</si>
  <si>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</si>
  <si>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</si>
  <si>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</si>
  <si>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</si>
  <si>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</si>
  <si>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</si>
  <si>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</si>
  <si>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</si>
  <si>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</si>
  <si>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</si>
  <si>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</si>
  <si>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</si>
  <si>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</si>
  <si>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</si>
  <si>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</si>
  <si>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</si>
  <si>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</si>
  <si>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</si>
  <si>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</si>
  <si>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</si>
  <si>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</si>
  <si>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</si>
  <si>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</si>
  <si>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</si>
  <si>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</si>
  <si>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</si>
  <si>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</si>
  <si>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</si>
  <si>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</si>
  <si>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</si>
  <si>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</si>
  <si>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</si>
  <si>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</si>
  <si>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</si>
  <si>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</si>
  <si>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</si>
  <si>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</si>
  <si>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</si>
  <si>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</si>
  <si>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</si>
  <si>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</si>
  <si>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</si>
  <si>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</si>
  <si>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</si>
  <si>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</si>
  <si>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</si>
  <si>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</si>
  <si>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</si>
  <si>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</si>
  <si>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</si>
  <si>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</si>
  <si>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</si>
  <si>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</si>
  <si>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</si>
  <si>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</si>
  <si>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</si>
  <si>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</si>
  <si>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</si>
  <si>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</si>
  <si>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</si>
  <si>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</si>
  <si>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</si>
  <si>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</si>
  <si>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</si>
  <si>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</si>
  <si>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</si>
  <si>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</si>
  <si>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</si>
  <si>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</si>
  <si>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</si>
  <si>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</si>
  <si>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</si>
  <si>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</si>
  <si>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</si>
  <si>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</si>
  <si>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</si>
  <si>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</si>
  <si>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 (Umair)</t>
  </si>
  <si>
    <t>Customer Name : Khatija Kareyana Store</t>
  </si>
  <si>
    <t xml:space="preserve">Address: Youna Abad </t>
  </si>
  <si>
    <t xml:space="preserve">Customer Name : Grace Land Mart </t>
  </si>
  <si>
    <t>Address: Youna abad</t>
  </si>
  <si>
    <t>3419367-7</t>
  </si>
  <si>
    <t>Customer Name : Mahmood Quality Store</t>
  </si>
  <si>
    <t>Address: Youna Abad B Block</t>
  </si>
  <si>
    <t>Customer Name : Shehriyar Store</t>
  </si>
  <si>
    <t xml:space="preserve">Address: Clink Charch k opsite </t>
  </si>
  <si>
    <t>Customer Name : Bhati Store</t>
  </si>
  <si>
    <t>Address: Clink Charch k opsite</t>
  </si>
  <si>
    <t xml:space="preserve">Customer Name : Malik Ijaz </t>
  </si>
  <si>
    <t>Address: Youna Abad</t>
  </si>
  <si>
    <t xml:space="preserve">Customer Name : Noor Madina Mart </t>
  </si>
  <si>
    <t xml:space="preserve">Address: Setlight Town Orange Station  </t>
  </si>
  <si>
    <t xml:space="preserve">Customer Name : Sufi Kareyana </t>
  </si>
  <si>
    <t xml:space="preserve">Address: Sadiqia Sweets Orange Station </t>
  </si>
  <si>
    <t xml:space="preserve">Customer Name : Altaf Cash &amp; Carry </t>
  </si>
  <si>
    <t xml:space="preserve">Address: Central Park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</si>
</sst>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5" zoomScale="70" zoomScaleNormal="70" workbookViewId="0">
      <selection activeCell="V23" sqref="V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120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121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Khatija Kareyana Store</v>
      </c>
      <c r="U14" s="164">
        <f>+'1'!P35</f>
        <v>254.31208416000001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Grace Land Mart </v>
      </c>
      <c r="U15" s="164">
        <f>+'2'!P35</f>
        <v>4815.1948492799993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73.447500000000005</v>
      </c>
      <c r="L16" s="174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334.29104999999998</v>
      </c>
      <c r="O16" s="101">
        <f>+'1'!O16+'2'!O16+'4'!O16+'3'!O16+'5'!O16+'6'!O16+'7'!O16+'8'!O16+'9'!O16+'10'!O16</f>
        <v>10.95731775</v>
      </c>
      <c r="P16" s="105">
        <f t="shared" ref="P16:P24" si="0">M16+N16+O16</f>
        <v>2202.4208677500001</v>
      </c>
      <c r="Q16" s="108"/>
      <c r="T16" s="163" t="str">
        <f>+'3'!A5</f>
        <v>Customer Name : Mahmood Quality Store</v>
      </c>
      <c r="U16" s="164">
        <f>+'3'!P35</f>
        <v>964.68171840000002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73.447500000000005</v>
      </c>
      <c r="L17" s="174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334.29104999999998</v>
      </c>
      <c r="O17" s="101">
        <f>+'1'!O17+'2'!O17+'4'!O17+'3'!O17+'5'!O17+'6'!O17+'7'!O17+'8'!O17+'9'!O17+'10'!O17</f>
        <v>10.95731775</v>
      </c>
      <c r="P17" s="120">
        <f t="shared" si="0"/>
        <v>2202.4208677500001</v>
      </c>
      <c r="S17" s="64"/>
      <c r="T17" s="163" t="str">
        <f>+'4'!A5</f>
        <v>Customer Name : Shehriyar Store</v>
      </c>
      <c r="U17" s="164">
        <f>+'4'!P35</f>
        <v>1695.4138944000003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Bhati Store</v>
      </c>
      <c r="U18" s="164">
        <f>+'5'!P35</f>
        <v>1695.4138944000003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52</v>
      </c>
      <c r="I19" s="1">
        <f t="shared" si="1"/>
        <v>3777.28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132.20480000000001</v>
      </c>
      <c r="L19" s="174">
        <f>+'1'!L19+'2'!L19+'4'!L19+'3'!L19+'5'!L19+'6'!L19+'7'!L19+'8'!L19+'9'!L19+'10'!L19</f>
        <v>302.18240000000003</v>
      </c>
      <c r="M19" s="118">
        <f t="shared" si="2"/>
        <v>3342.8928000000001</v>
      </c>
      <c r="N19" s="101">
        <f>+'1'!N19+'2'!N19+'4'!N19+'3'!N19+'5'!N19+'6'!N19+'7'!N19+'8'!N19+'9'!N19+'10'!N19</f>
        <v>632.57817599999998</v>
      </c>
      <c r="O19" s="101">
        <f>+'1'!O19+'2'!O19+'4'!O19+'3'!O19+'5'!O19+'6'!O19+'7'!O19+'8'!O19+'9'!O19+'10'!O19</f>
        <v>38.700412800000002</v>
      </c>
      <c r="P19" s="120">
        <f t="shared" si="0"/>
        <v>4014.1713887999999</v>
      </c>
      <c r="T19" s="163" t="str">
        <f>+'6'!A5</f>
        <v xml:space="preserve">Customer Name : Malik Ijaz </v>
      </c>
      <c r="U19" s="164">
        <f>+'6'!P35</f>
        <v>508.62416832000002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60</v>
      </c>
      <c r="I20" s="1">
        <f t="shared" si="1"/>
        <v>4358.3999999999996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152.54400000000001</v>
      </c>
      <c r="L20" s="174">
        <f>+'1'!L20+'2'!L20+'4'!L20+'3'!L20+'5'!L20+'6'!L20+'7'!L20+'8'!L20+'9'!L20+'10'!L20</f>
        <v>348.67200000000003</v>
      </c>
      <c r="M20" s="118">
        <f t="shared" si="2"/>
        <v>3857.1839999999997</v>
      </c>
      <c r="N20" s="101">
        <f>+'1'!N20+'2'!N20+'4'!N20+'3'!N20+'5'!N20+'6'!N20+'7'!N20+'8'!N20+'9'!N20+'10'!N20</f>
        <v>745.72224000000006</v>
      </c>
      <c r="O20" s="101">
        <f>+'1'!O20+'2'!O20+'4'!O20+'3'!O20+'5'!O20+'6'!O20+'7'!O20+'8'!O20+'9'!O20+'10'!O20</f>
        <v>23.0145312</v>
      </c>
      <c r="P20" s="120">
        <f t="shared" si="0"/>
        <v>4625.9207712000007</v>
      </c>
      <c r="T20" s="163" t="str">
        <f>+'7'!A5</f>
        <v xml:space="preserve">Customer Name : Noor Madina Mart </v>
      </c>
      <c r="U20" s="164">
        <f>+'7'!P35</f>
        <v>847.70694720000017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60</v>
      </c>
      <c r="I21" s="1">
        <f t="shared" si="1"/>
        <v>4358.3999999999996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152.54400000000001</v>
      </c>
      <c r="L21" s="174">
        <f>+'1'!L21+'2'!L21+'4'!L21+'3'!L21+'5'!L21+'6'!L21+'7'!L21+'8'!L21+'9'!L21+'10'!L21</f>
        <v>348.67200000000003</v>
      </c>
      <c r="M21" s="118">
        <f t="shared" si="2"/>
        <v>3857.1839999999997</v>
      </c>
      <c r="N21" s="101">
        <f>+'1'!N21+'2'!N21+'4'!N21+'3'!N21+'5'!N21+'6'!N21+'7'!N21+'8'!N21+'9'!N21+'10'!N21</f>
        <v>745.72224000000006</v>
      </c>
      <c r="O21" s="101">
        <f>+'1'!O21+'2'!O21+'4'!O21+'3'!O21+'5'!O21+'6'!O21+'7'!O21+'8'!O21+'9'!O21+'10'!O21</f>
        <v>23.0145312</v>
      </c>
      <c r="P21" s="120">
        <f t="shared" si="0"/>
        <v>4625.9207712000007</v>
      </c>
      <c r="T21" s="163" t="str">
        <f>+'8'!A5</f>
        <v xml:space="preserve">Customer Name : Sufi Kareyana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198</v>
      </c>
      <c r="I22" s="1">
        <f t="shared" si="1"/>
        <v>7767.5400000000009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668.00843999999995</v>
      </c>
      <c r="L22" s="174">
        <f>+'1'!L22+'2'!L22+'4'!L22+'3'!L22+'5'!L22+'6'!L22+'7'!L22+'8'!L22+'9'!L22+'10'!L22</f>
        <v>388.37700000000012</v>
      </c>
      <c r="M22" s="118">
        <f t="shared" si="2"/>
        <v>6711.1545600000009</v>
      </c>
      <c r="N22" s="101">
        <f>+'1'!N22+'2'!N22+'4'!N22+'3'!N22+'5'!N22+'6'!N22+'7'!N22+'8'!N22+'9'!N22+'10'!N22</f>
        <v>1422.2224512</v>
      </c>
      <c r="O22" s="101">
        <f>+'1'!O22+'2'!O22+'4'!O22+'3'!O22+'5'!O22+'6'!O22+'7'!O22+'8'!O22+'9'!O22+'10'!O22</f>
        <v>138.25656288000005</v>
      </c>
      <c r="P22" s="120">
        <f t="shared" si="0"/>
        <v>8271.6335740800005</v>
      </c>
      <c r="T22" s="163" t="str">
        <f>+'9'!A5</f>
        <v xml:space="preserve">Customer Name : Altaf Cash &amp; Carry </v>
      </c>
      <c r="U22" s="164">
        <f>+'9'!P35</f>
        <v>15161.140684620001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11.25</v>
      </c>
      <c r="D25" s="214"/>
      <c r="E25" s="214"/>
      <c r="F25" s="214"/>
      <c r="G25" s="175">
        <f t="shared" ref="G25:M25" si="3">SUM(G16:G24)</f>
        <v>0</v>
      </c>
      <c r="H25" s="176">
        <f t="shared" si="3"/>
        <v>450</v>
      </c>
      <c r="I25" s="177">
        <f t="shared" si="3"/>
        <v>24458.620000000003</v>
      </c>
      <c r="J25" s="176">
        <f t="shared" si="3"/>
        <v>0</v>
      </c>
      <c r="K25" s="177">
        <f t="shared" si="3"/>
        <v>1252.19624</v>
      </c>
      <c r="L25" s="178">
        <f t="shared" si="3"/>
        <v>1723.6634000000001</v>
      </c>
      <c r="M25" s="141">
        <f t="shared" si="3"/>
        <v>21482.76036</v>
      </c>
      <c r="N25" s="142">
        <f>SUM(N16:N24)</f>
        <v>4214.8272072</v>
      </c>
      <c r="O25" s="143">
        <f>SUM(O16:O24)</f>
        <v>244.90067358000005</v>
      </c>
      <c r="P25" s="144">
        <f>SUM(P16:P24)</f>
        <v>25942.488240780003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1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0" t="str">
        <f>+'16'!A5</f>
        <v xml:space="preserve">Customer Name : </v>
      </c>
      <c r="U29" s="181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0" t="str">
        <f>+'17'!A5</f>
        <v xml:space="preserve">Customer Name : </v>
      </c>
      <c r="U30" s="181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0" t="str">
        <f>+'18'!A5</f>
        <v xml:space="preserve">Customer Name : </v>
      </c>
      <c r="U31" s="181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0" t="str">
        <f>+'19'!A5</f>
        <v xml:space="preserve">Customer Name : </v>
      </c>
      <c r="U32" s="181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0" t="str">
        <f>+'20'!A5</f>
        <v xml:space="preserve">Customer Name : </v>
      </c>
      <c r="U33" s="181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25942.488240780003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24458.620000000003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1723.6634000000001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1252.19624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21482.76036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4214.8272072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25697.5875672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642.43968918000007</v>
      </c>
    </row>
    <row r="43" spans="1:21" ht="15.75" customHeight="1" thickBot="1" x14ac:dyDescent="0.4">
      <c r="N43" s="212" t="s">
        <v>92</v>
      </c>
      <c r="O43" s="213"/>
      <c r="P43" s="160">
        <f>P41+P42</f>
        <v>26340.027256379999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26 16383:16384" ht="15" customHeight="1" x14ac:dyDescent="0.35">
      <c r="A6" s="238" t="s">
        <v>123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S15" s="184" t="s">
        <v>109</v>
      </c>
      <c r="T15" s="184" t="s">
        <v>110</v>
      </c>
      <c r="U15" s="184" t="s">
        <v>114</v>
      </c>
      <c r="V15" s="184" t="s">
        <v>115</v>
      </c>
      <c r="W15" s="185" t="s">
        <v>109</v>
      </c>
      <c r="X15" s="185" t="s">
        <v>110</v>
      </c>
      <c r="Y15" s="185" t="s">
        <v>114</v>
      </c>
      <c r="Z15" s="185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2" t="s">
        <v>106</v>
      </c>
      <c r="T16" s="182">
        <v>1697</v>
      </c>
      <c r="U16" s="182" t="s">
        <v>111</v>
      </c>
      <c r="V16" s="182">
        <f>T16/40</f>
        <v>42.424999999999997</v>
      </c>
      <c r="W16" s="186" t="s">
        <v>106</v>
      </c>
      <c r="X16" s="186">
        <v>1664</v>
      </c>
      <c r="Y16" s="186" t="s">
        <v>111</v>
      </c>
      <c r="Z16" s="186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3" t="s">
        <v>108</v>
      </c>
      <c r="T17" s="182">
        <v>2322</v>
      </c>
      <c r="U17" s="182" t="s">
        <v>112</v>
      </c>
      <c r="V17" s="182">
        <f t="shared" ref="V17:V18" si="7">T17/40</f>
        <v>58.05</v>
      </c>
      <c r="W17" s="187" t="s">
        <v>108</v>
      </c>
      <c r="X17" s="186">
        <v>2277</v>
      </c>
      <c r="Y17" s="186" t="s">
        <v>112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2" t="s">
        <v>107</v>
      </c>
      <c r="T18" s="182">
        <v>3216</v>
      </c>
      <c r="U18" s="182" t="s">
        <v>113</v>
      </c>
      <c r="V18" s="182">
        <f t="shared" si="7"/>
        <v>80.400000000000006</v>
      </c>
      <c r="W18" s="186" t="s">
        <v>107</v>
      </c>
      <c r="X18" s="186">
        <v>3153</v>
      </c>
      <c r="Y18" s="186" t="s">
        <v>113</v>
      </c>
      <c r="Z18" s="186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4" t="s">
        <v>109</v>
      </c>
      <c r="T20" s="184" t="s">
        <v>110</v>
      </c>
      <c r="U20" s="184" t="s">
        <v>114</v>
      </c>
      <c r="V20" s="184" t="s">
        <v>115</v>
      </c>
      <c r="W20" s="184" t="s">
        <v>109</v>
      </c>
      <c r="X20" s="184" t="s">
        <v>110</v>
      </c>
      <c r="Y20" s="184" t="s">
        <v>114</v>
      </c>
      <c r="Z20" s="184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8" t="s">
        <v>106</v>
      </c>
      <c r="T21" s="188">
        <v>1610</v>
      </c>
      <c r="U21" s="188" t="s">
        <v>111</v>
      </c>
      <c r="V21" s="188">
        <f>T21/40</f>
        <v>40.25</v>
      </c>
      <c r="W21" s="190" t="s">
        <v>106</v>
      </c>
      <c r="X21" s="190">
        <v>1642</v>
      </c>
      <c r="Y21" s="190" t="s">
        <v>111</v>
      </c>
      <c r="Z21" s="190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3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6"/>
        <v>203.36832000000001</v>
      </c>
      <c r="N22" s="118">
        <f t="shared" si="0"/>
        <v>44.7410304</v>
      </c>
      <c r="O22" s="119">
        <f t="shared" si="1"/>
        <v>6.202733760000001</v>
      </c>
      <c r="P22" s="120">
        <f t="shared" si="2"/>
        <v>254.31208416000001</v>
      </c>
      <c r="S22" s="189" t="s">
        <v>108</v>
      </c>
      <c r="T22" s="188">
        <v>2202</v>
      </c>
      <c r="U22" s="188" t="s">
        <v>112</v>
      </c>
      <c r="V22" s="188">
        <f t="shared" ref="V22:V25" si="9">T22/40</f>
        <v>55.05</v>
      </c>
      <c r="W22" s="191" t="s">
        <v>108</v>
      </c>
      <c r="X22" s="190">
        <v>2246</v>
      </c>
      <c r="Y22" s="190" t="s">
        <v>112</v>
      </c>
      <c r="Z22" s="190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8" t="s">
        <v>107</v>
      </c>
      <c r="T23" s="188">
        <v>3216</v>
      </c>
      <c r="U23" s="188" t="s">
        <v>113</v>
      </c>
      <c r="V23" s="188">
        <f t="shared" si="9"/>
        <v>80.400000000000006</v>
      </c>
      <c r="W23" s="190" t="s">
        <v>107</v>
      </c>
      <c r="X23" s="190">
        <v>3216</v>
      </c>
      <c r="Y23" s="190" t="s">
        <v>112</v>
      </c>
      <c r="Z23" s="190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8" t="s">
        <v>107</v>
      </c>
      <c r="T24" s="188">
        <v>3216</v>
      </c>
      <c r="U24" s="188" t="s">
        <v>113</v>
      </c>
      <c r="V24" s="188">
        <f t="shared" si="9"/>
        <v>80.400000000000006</v>
      </c>
      <c r="W24" s="190"/>
      <c r="X24" s="190"/>
      <c r="Y24" s="190" t="s">
        <v>112</v>
      </c>
      <c r="Z24" s="190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6</v>
      </c>
      <c r="I25" s="137">
        <f t="shared" si="13"/>
        <v>235.38000000000002</v>
      </c>
      <c r="J25" s="138"/>
      <c r="K25" s="139">
        <f t="shared" si="13"/>
        <v>20.24268</v>
      </c>
      <c r="L25" s="140">
        <f t="shared" si="13"/>
        <v>11.769000000000002</v>
      </c>
      <c r="M25" s="141">
        <f t="shared" si="13"/>
        <v>203.36832000000001</v>
      </c>
      <c r="N25" s="142">
        <f>SUM(N16:N24)</f>
        <v>44.7410304</v>
      </c>
      <c r="O25" s="143">
        <f>SUM(O16:O24)</f>
        <v>6.202733760000001</v>
      </c>
      <c r="P25" s="144">
        <f>SUM(P16:P24)</f>
        <v>254.31208416000001</v>
      </c>
      <c r="S25" s="188" t="s">
        <v>107</v>
      </c>
      <c r="T25" s="188">
        <v>3216</v>
      </c>
      <c r="U25" s="188" t="s">
        <v>113</v>
      </c>
      <c r="V25" s="188">
        <f t="shared" si="9"/>
        <v>80.400000000000006</v>
      </c>
      <c r="W25" s="190" t="s">
        <v>107</v>
      </c>
      <c r="X25" s="190">
        <v>3110</v>
      </c>
      <c r="Y25" s="190" t="s">
        <v>113</v>
      </c>
      <c r="Z25" s="190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235.38000000000002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11.769000000000002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20.24268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203.36832000000001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44.7410304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248.10935040000001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6.202733760000001</v>
      </c>
    </row>
    <row r="35" spans="2:16" ht="15.75" customHeight="1" thickBot="1" x14ac:dyDescent="0.4">
      <c r="N35" s="212" t="s">
        <v>92</v>
      </c>
      <c r="O35" s="213"/>
      <c r="P35" s="160">
        <f>P33+P34</f>
        <v>254.31208416000001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124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125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 t="s">
        <v>126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236.6472</v>
      </c>
      <c r="L25" s="140">
        <f t="shared" si="9"/>
        <v>310.90800000000002</v>
      </c>
      <c r="M25" s="141">
        <f t="shared" si="9"/>
        <v>3927.2448000000004</v>
      </c>
      <c r="N25" s="142">
        <f>SUM(N16:N24)</f>
        <v>863.99385600000005</v>
      </c>
      <c r="O25" s="143">
        <f>SUM(O16:O24)</f>
        <v>23.956193280000001</v>
      </c>
      <c r="P25" s="144">
        <f>SUM(P16:P24)</f>
        <v>4815.1948492800002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4474.8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310.90800000000002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236.6472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3927.2447999999999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863.99385600000005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4791.2386559999995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23.956193279999997</v>
      </c>
    </row>
    <row r="35" spans="2:16" ht="15.75" customHeight="1" thickBot="1" x14ac:dyDescent="0.4">
      <c r="N35" s="212" t="s">
        <v>92</v>
      </c>
      <c r="O35" s="213"/>
      <c r="P35" s="160">
        <f>P33+P34</f>
        <v>4815.1948492799993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128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04">
        <f t="shared" si="3"/>
        <v>30.508800000000004</v>
      </c>
      <c r="L19" s="105">
        <f t="shared" si="4"/>
        <v>69.734400000000008</v>
      </c>
      <c r="M19" s="118">
        <f t="shared" si="5"/>
        <v>771.43680000000006</v>
      </c>
      <c r="N19" s="118">
        <f t="shared" si="0"/>
        <v>169.71609600000002</v>
      </c>
      <c r="O19" s="119">
        <f t="shared" si="6"/>
        <v>23.528822400000003</v>
      </c>
      <c r="P19" s="120">
        <f t="shared" si="1"/>
        <v>964.68171840000002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871.68000000000006</v>
      </c>
      <c r="J25" s="138"/>
      <c r="K25" s="139">
        <f t="shared" si="9"/>
        <v>30.508800000000004</v>
      </c>
      <c r="L25" s="140">
        <f t="shared" si="9"/>
        <v>69.734400000000008</v>
      </c>
      <c r="M25" s="141">
        <f t="shared" si="9"/>
        <v>771.43680000000006</v>
      </c>
      <c r="N25" s="142">
        <f>SUM(N16:N24)</f>
        <v>169.71609600000002</v>
      </c>
      <c r="O25" s="143">
        <f>SUM(O16:O24)</f>
        <v>23.528822400000003</v>
      </c>
      <c r="P25" s="144">
        <f>SUM(P16:P24)</f>
        <v>964.68171840000002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871.68000000000006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69.734400000000008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30.508800000000004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771.43680000000006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169.71609600000002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941.15289600000006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23.528822400000003</v>
      </c>
    </row>
    <row r="35" spans="2:16" ht="15.75" customHeight="1" thickBot="1" x14ac:dyDescent="0.4">
      <c r="N35" s="212" t="s">
        <v>92</v>
      </c>
      <c r="O35" s="213"/>
      <c r="P35" s="160">
        <f>P33+P34</f>
        <v>964.68171840000002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41.351558400000016</v>
      </c>
      <c r="P22" s="120">
        <f t="shared" si="1"/>
        <v>1695.4138944000003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298.27353600000004</v>
      </c>
      <c r="O25" s="143">
        <f>SUM(O16:O24)</f>
        <v>41.351558400000016</v>
      </c>
      <c r="P25" s="144">
        <f>SUM(P16:P24)</f>
        <v>1695.4138944000003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298.27353600000004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1654.0623360000004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41.351558400000016</v>
      </c>
    </row>
    <row r="35" spans="2:16" ht="15.75" customHeight="1" thickBot="1" x14ac:dyDescent="0.4">
      <c r="N35" s="212" t="s">
        <v>92</v>
      </c>
      <c r="O35" s="213"/>
      <c r="P35" s="160">
        <f>P33+P34</f>
        <v>1695.4138944000003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132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41.351558400000016</v>
      </c>
      <c r="P22" s="120">
        <f t="shared" si="1"/>
        <v>1695.4138944000003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298.27353600000004</v>
      </c>
      <c r="O25" s="143">
        <f>SUM(O16:O24)</f>
        <v>41.351558400000016</v>
      </c>
      <c r="P25" s="144">
        <f>SUM(P16:P24)</f>
        <v>1695.4138944000003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1569.2000000000003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78.460000000000022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134.9512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1355.7888000000003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298.27353600000004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1654.0623360000004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41.351558400000016</v>
      </c>
    </row>
    <row r="35" spans="2:16" ht="15.75" customHeight="1" thickBot="1" x14ac:dyDescent="0.4">
      <c r="N35" s="212" t="s">
        <v>92</v>
      </c>
      <c r="O35" s="213"/>
      <c r="P35" s="160">
        <f>P33+P34</f>
        <v>1695.4138944000003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134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12.405467520000002</v>
      </c>
      <c r="P22" s="120">
        <f t="shared" si="1"/>
        <v>508.62416832000002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89.482060799999999</v>
      </c>
      <c r="O25" s="143">
        <f>SUM(O16:O24)</f>
        <v>12.405467520000002</v>
      </c>
      <c r="P25" s="144">
        <f>SUM(P16:P24)</f>
        <v>508.62416832000002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470.76000000000005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23.538000000000004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40.48536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406.73664000000002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89.482060799999999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496.21870080000002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12.405467520000002</v>
      </c>
    </row>
    <row r="35" spans="2:16" ht="15.75" customHeight="1" thickBot="1" x14ac:dyDescent="0.4">
      <c r="N35" s="212" t="s">
        <v>92</v>
      </c>
      <c r="O35" s="213"/>
      <c r="P35" s="160">
        <f>P33+P34</f>
        <v>508.62416832000002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" workbookViewId="0">
      <selection activeCell="H12" sqref="H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136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149.13676800000002</v>
      </c>
      <c r="O22" s="119">
        <f t="shared" si="6"/>
        <v>20.675779200000008</v>
      </c>
      <c r="P22" s="120">
        <f t="shared" si="1"/>
        <v>847.70694720000017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67.4756</v>
      </c>
      <c r="L25" s="140">
        <f t="shared" si="9"/>
        <v>39.230000000000011</v>
      </c>
      <c r="M25" s="141">
        <f t="shared" si="9"/>
        <v>677.89440000000013</v>
      </c>
      <c r="N25" s="142">
        <f>SUM(N16:N24)</f>
        <v>149.13676800000002</v>
      </c>
      <c r="O25" s="143">
        <f>SUM(O16:O24)</f>
        <v>20.675779200000008</v>
      </c>
      <c r="P25" s="144">
        <f>SUM(P16:P24)</f>
        <v>847.70694720000017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784.60000000000014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39.230000000000011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67.4756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677.89440000000013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149.13676800000002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827.03116800000021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20.675779200000008</v>
      </c>
    </row>
    <row r="35" spans="2:16" ht="15.75" customHeight="1" thickBot="1" x14ac:dyDescent="0.4">
      <c r="N35" s="212" t="s">
        <v>92</v>
      </c>
      <c r="O35" s="213"/>
      <c r="P35" s="160">
        <f>P33+P34</f>
        <v>847.70694720000017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4" workbookViewId="0">
      <selection activeCell="H18" sqref="H18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138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139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140</v>
      </c>
      <c r="B6" s="238"/>
      <c r="C6" s="238"/>
      <c r="F6" s="70"/>
      <c r="G6" s="74"/>
      <c r="K6" s="238" t="s">
        <v>52</v>
      </c>
      <c r="L6" s="238"/>
      <c r="M6" s="238"/>
      <c r="N6" s="251" t="s">
        <v>104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7">
        <v>631515315313153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7">
        <v>631515315313153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240</v>
      </c>
      <c r="I25" s="137">
        <f t="shared" si="9"/>
        <v>14483.000000000002</v>
      </c>
      <c r="J25" s="138"/>
      <c r="K25" s="139">
        <f t="shared" si="9"/>
        <v>586.93420000000003</v>
      </c>
      <c r="L25" s="140">
        <f t="shared" si="9"/>
        <v>1111.5640000000001</v>
      </c>
      <c r="M25" s="141">
        <f t="shared" si="9"/>
        <v>12784.501800000002</v>
      </c>
      <c r="N25" s="142">
        <f>SUM(N16:N24)</f>
        <v>2301.2103239999997</v>
      </c>
      <c r="O25" s="143">
        <f>SUM(O16:O24)</f>
        <v>75.428560619999999</v>
      </c>
      <c r="P25" s="144">
        <f>SUM(P16:P24)</f>
        <v>15161.140684620001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14483.000000000002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1111.5640000000001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586.93420000000003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12784.501800000002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2301.2103239999997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15085.712124000001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75.428560620000013</v>
      </c>
    </row>
    <row r="35" spans="2:16" ht="15.75" customHeight="1" thickBot="1" x14ac:dyDescent="0.4">
      <c r="N35" s="212" t="s">
        <v>92</v>
      </c>
      <c r="O35" s="213"/>
      <c r="P35" s="160">
        <f>P33+P34</f>
        <v>15161.140684620001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41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79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46213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46212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>
        <v>0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2026-07-10T13:27:28Z</dcterms:modified>
</cp:coreProperties>
</file>