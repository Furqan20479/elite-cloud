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FFCC79E-6AED-447C-842F-E1B66579597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19" i="19"/>
  <c r="K20" i="19"/>
  <c r="K21" i="19"/>
  <c r="K17" i="18"/>
  <c r="K18" i="18"/>
  <c r="K19" i="18"/>
  <c r="K20" i="18"/>
  <c r="K21" i="18"/>
  <c r="K17" i="20"/>
  <c r="K20" i="20"/>
  <c r="K21" i="20"/>
  <c r="K17" i="21"/>
  <c r="K18" i="21"/>
  <c r="K17" i="22"/>
  <c r="K18" i="22"/>
  <c r="K19" i="22"/>
  <c r="K20" i="22"/>
  <c r="K21" i="22"/>
  <c r="K18" i="23"/>
  <c r="K17" i="24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21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I20" i="24"/>
  <c r="K20" i="24" s="1"/>
  <c r="I21" i="24"/>
  <c r="I22" i="24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L18" i="23" s="1"/>
  <c r="I20" i="23"/>
  <c r="I22" i="23"/>
  <c r="I24" i="23"/>
  <c r="L24" i="23" s="1"/>
  <c r="I16" i="20"/>
  <c r="I18" i="20"/>
  <c r="K18" i="20" s="1"/>
  <c r="I20" i="20"/>
  <c r="L20" i="20" s="1"/>
  <c r="I22" i="20"/>
  <c r="I24" i="20"/>
  <c r="K24" i="20" s="1"/>
  <c r="I16" i="21"/>
  <c r="L16" i="21" s="1"/>
  <c r="I18" i="21"/>
  <c r="I20" i="21"/>
  <c r="K20" i="21" s="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9" i="24" l="1"/>
  <c r="K19" i="24"/>
  <c r="L21" i="24"/>
  <c r="K21" i="24"/>
  <c r="L20" i="23"/>
  <c r="K20" i="23"/>
  <c r="L16" i="23"/>
  <c r="K16" i="23"/>
  <c r="L17" i="23"/>
  <c r="K17" i="23"/>
  <c r="L16" i="20"/>
  <c r="K16" i="20"/>
  <c r="L16" i="18"/>
  <c r="K16" i="18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8"/>
  <c r="O16" i="17"/>
  <c r="O25" i="17" s="1"/>
  <c r="N25" i="17"/>
  <c r="P32" i="17" s="1"/>
  <c r="P33" i="23" l="1"/>
  <c r="P34" i="23" s="1"/>
  <c r="P35" i="23" s="1"/>
  <c r="U21" i="15" s="1"/>
  <c r="P33" i="18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<sst xmlns="http://schemas.openxmlformats.org/spreadsheetml/2006/main" count="1632" uniqueCount="139">
  <si>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</si>
  <si>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</si>
  <si>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</si>
  <si>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</si>
  <si>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</si>
  <si>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</si>
  <si>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</si>
  <si>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</si>
  <si>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</si>
  <si>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</si>
  <si>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</si>
  <si>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</si>
  <si>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</si>
  <si>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</si>
  <si>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</si>
  <si>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</si>
  <si>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</si>
  <si>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</si>
  <si>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</si>
  <si>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</si>
  <si>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</si>
  <si>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</si>
  <si>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</si>
  <si>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</si>
  <si>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</si>
  <si>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</si>
  <si>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</si>
  <si>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</si>
  <si>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</si>
  <si>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</si>
  <si>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</si>
  <si>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</si>
  <si>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</si>
  <si>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</si>
  <si>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</si>
  <si>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</si>
  <si>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</si>
  <si>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</si>
  <si>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</si>
  <si>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</si>
  <si>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</si>
  <si>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</si>
  <si>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</si>
  <si>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</si>
  <si>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</si>
  <si>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</si>
  <si>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</si>
  <si>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</si>
  <si>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</si>
  <si>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</si>
  <si>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</si>
  <si>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</si>
  <si>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</si>
  <si>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</si>
  <si>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</si>
  <si>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</si>
  <si>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</si>
  <si>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</si>
  <si>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</si>
  <si>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</si>
  <si>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</si>
  <si>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</si>
  <si>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</si>
  <si>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</si>
  <si>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</si>
  <si>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</si>
  <si>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</si>
  <si>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</si>
  <si>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</si>
  <si>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</si>
  <si>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</si>
  <si>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</si>
  <si>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</si>
  <si>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</si>
  <si>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</si>
  <si>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</si>
  <si>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</si>
  <si>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</si>
  <si>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</si>
  <si>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</si>
  <si>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</si>
  <si>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</si>
  <si>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</si>
  <si>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</si>
  <si>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</si>
  <si>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</si>
  <si>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</si>
  <si>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</si>
  <si>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</si>
  <si>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</si>
  <si>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</si>
  <si>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</si>
  <si>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</si>
  <si>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</si>
  <si>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</si>
  <si>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</si>
  <si>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</si>
  <si>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</si>
  <si>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</si>
  <si>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</si>
  <si>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</si>
  <si>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</si>
  <si>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</si>
  <si>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</si>
  <si>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</si>
  <si>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</si>
  <si>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</si>
  <si>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</si>
  <si>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</si>
  <si>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</si>
  <si>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</si>
  <si>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</si>
  <si>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</si>
  <si>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</si>
  <si>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</si>
  <si>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</si>
  <si>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</si>
  <si>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</si>
  <si>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</si>
  <si>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</si>
  <si>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(Salman)</t>
  </si>
  <si>
    <t>Salman</t>
  </si>
  <si>
    <t xml:space="preserve">Customer Name : Kinza Bakers </t>
  </si>
  <si>
    <t>Address: Canal Park Bazar</t>
  </si>
  <si>
    <t xml:space="preserve">Customer Name : SK Mart </t>
  </si>
  <si>
    <t>Address: Nabipura</t>
  </si>
  <si>
    <t>Customer Name : Murad GS</t>
  </si>
  <si>
    <t>Customer Name : Wahid Medical Store</t>
  </si>
  <si>
    <t>Address: Main Market</t>
  </si>
  <si>
    <t>Customer Name : Bakhtawar Sweets</t>
  </si>
  <si>
    <t>Address: Makkah Colony Bazar</t>
  </si>
  <si>
    <t>Customer Name : M Sadiq Store</t>
  </si>
  <si>
    <t>Address: Gurumangat Road</t>
  </si>
  <si>
    <t>Customer Name : Khan Store</t>
  </si>
  <si>
    <t>Address: Makkah Colony</t>
  </si>
  <si>
    <t>Customer Name : My Store</t>
  </si>
  <si>
    <t>Address: Falcon Society</t>
  </si>
  <si>
    <t>Customer Name : Shaheen Store</t>
  </si>
  <si>
    <t xml:space="preserve">Address: Falcon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</si>
</sst>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9" fillId="8" borderId="0" xfId="0" applyFont="1" applyFill="1" applyAlignment="1">
      <alignment horizontal="right" vertical="center" wrapText="1" inden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L2" sqref="L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4" zoomScale="70" zoomScaleNormal="70" workbookViewId="0">
      <selection activeCell="T23" sqref="T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121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120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Kinza Bakers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49"/>
      <c r="J15" s="169" t="s">
        <v>78</v>
      </c>
      <c r="K15" s="169" t="s">
        <v>79</v>
      </c>
      <c r="L15" s="172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1447.0225775999997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54</v>
      </c>
      <c r="I16" s="1">
        <f>(G16*D16)*F16+H16*F16</f>
        <v>2832.9749999999999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99.154124999999993</v>
      </c>
      <c r="L16" s="173">
        <f>+'1'!L16+'2'!L16+'4'!L16+'3'!L16+'5'!L16+'6'!L16+'7'!L16+'8'!L16+'9'!L16+'10'!L16</f>
        <v>226.63799999999998</v>
      </c>
      <c r="M16" s="106">
        <f>I16-K16-L16</f>
        <v>2507.182875</v>
      </c>
      <c r="N16" s="101">
        <f>+'1'!N16+'2'!N16+'4'!N16+'3'!N16+'5'!N16+'6'!N16+'7'!N16+'8'!N16+'9'!N16+'10'!N16</f>
        <v>514.43678249999994</v>
      </c>
      <c r="O16" s="101">
        <f>+'1'!O16+'2'!O16+'4'!O16+'3'!O16+'5'!O16+'6'!O16+'7'!O16+'8'!O16+'9'!O16+'10'!O16</f>
        <v>15.108098287499999</v>
      </c>
      <c r="P16" s="105">
        <f t="shared" ref="P16:P24" si="0">M16+N16+O16</f>
        <v>3036.7277557875</v>
      </c>
      <c r="Q16" s="108"/>
      <c r="T16" s="163" t="str">
        <f>+'3'!A5</f>
        <v>Customer Name : Murad GS</v>
      </c>
      <c r="U16" s="164">
        <f>+'3'!P35</f>
        <v>498.69979430400002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36.723750000000003</v>
      </c>
      <c r="L17" s="173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>Customer Name : Wahid Medical Store</v>
      </c>
      <c r="U17" s="164">
        <f>+'4'!P35</f>
        <v>984.85296248249995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Bakhtawar Sweets</v>
      </c>
      <c r="U18" s="164">
        <f>+'5'!P35</f>
        <v>3257.9648423099998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58</v>
      </c>
      <c r="I19" s="1">
        <f t="shared" si="1"/>
        <v>4213.12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147.45920000000001</v>
      </c>
      <c r="L19" s="173">
        <f>+'1'!L19+'2'!L19+'4'!L19+'3'!L19+'5'!L19+'6'!L19+'7'!L19+'8'!L19+'9'!L19+'10'!L19</f>
        <v>337.04960000000005</v>
      </c>
      <c r="M19" s="118">
        <f t="shared" si="2"/>
        <v>3728.6111999999994</v>
      </c>
      <c r="N19" s="101">
        <f>+'1'!N19+'2'!N19+'4'!N19+'3'!N19+'5'!N19+'6'!N19+'7'!N19+'8'!N19+'9'!N19+'10'!N19</f>
        <v>761.15097600000001</v>
      </c>
      <c r="O19" s="101">
        <f>+'1'!O19+'2'!O19+'4'!O19+'3'!O19+'5'!O19+'6'!O19+'7'!O19+'8'!O19+'9'!O19+'10'!O19</f>
        <v>31.860339840000002</v>
      </c>
      <c r="P19" s="120">
        <f t="shared" si="0"/>
        <v>4521.6225158399993</v>
      </c>
      <c r="T19" s="163" t="str">
        <f>+'6'!A5</f>
        <v>Customer Name : M Sadiq Store</v>
      </c>
      <c r="U19" s="164">
        <f>+'6'!P35</f>
        <v>1576.4311008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34</v>
      </c>
      <c r="I20" s="1">
        <f t="shared" si="1"/>
        <v>2469.7600000000002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86.441600000000008</v>
      </c>
      <c r="L20" s="173">
        <f>+'1'!L20+'2'!L20+'4'!L20+'3'!L20+'5'!L20+'6'!L20+'7'!L20+'8'!L20+'9'!L20+'10'!L20</f>
        <v>197.58080000000001</v>
      </c>
      <c r="M20" s="118">
        <f t="shared" si="2"/>
        <v>2185.7375999999999</v>
      </c>
      <c r="N20" s="101">
        <f>+'1'!N20+'2'!N20+'4'!N20+'3'!N20+'5'!N20+'6'!N20+'7'!N20+'8'!N20+'9'!N20+'10'!N20</f>
        <v>421.71878400000003</v>
      </c>
      <c r="O20" s="101">
        <f>+'1'!O20+'2'!O20+'4'!O20+'3'!O20+'5'!O20+'6'!O20+'7'!O20+'8'!O20+'9'!O20+'10'!O20</f>
        <v>22.448810880000003</v>
      </c>
      <c r="P20" s="120">
        <f t="shared" si="0"/>
        <v>2629.9051948800002</v>
      </c>
      <c r="T20" s="163" t="str">
        <f>+'7'!A5</f>
        <v>Customer Name : Khan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50</v>
      </c>
      <c r="I21" s="1">
        <f t="shared" si="1"/>
        <v>3632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127.12</v>
      </c>
      <c r="L21" s="173">
        <f>+'1'!L21+'2'!L21+'4'!L21+'3'!L21+'5'!L21+'6'!L21+'7'!L21+'8'!L21+'9'!L21+'10'!L21</f>
        <v>290.56</v>
      </c>
      <c r="M21" s="118">
        <f t="shared" si="2"/>
        <v>3214.32</v>
      </c>
      <c r="N21" s="101">
        <f>+'1'!N21+'2'!N21+'4'!N21+'3'!N21+'5'!N21+'6'!N21+'7'!N21+'8'!N21+'9'!N21+'10'!N21</f>
        <v>619.72089600000004</v>
      </c>
      <c r="O21" s="101">
        <f>+'1'!O21+'2'!O21+'4'!O21+'3'!O21+'5'!O21+'6'!O21+'7'!O21+'8'!O21+'9'!O21+'10'!O21</f>
        <v>28.581733440000001</v>
      </c>
      <c r="P21" s="120">
        <f t="shared" si="0"/>
        <v>3862.6226294400003</v>
      </c>
      <c r="T21" s="163" t="str">
        <f>+'8'!A5</f>
        <v>Customer Name : My Store</v>
      </c>
      <c r="U21" s="164">
        <f>+'8'!P35</f>
        <v>6055.8255071100002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42</v>
      </c>
      <c r="I22" s="1">
        <f t="shared" si="1"/>
        <v>1647.66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141.69875999999999</v>
      </c>
      <c r="L22" s="173">
        <f>+'1'!L22+'2'!L22+'4'!L22+'3'!L22+'5'!L22+'6'!L22+'7'!L22+'8'!L22+'9'!L22+'10'!L22</f>
        <v>82.38300000000001</v>
      </c>
      <c r="M22" s="118">
        <f t="shared" si="2"/>
        <v>1423.5782400000001</v>
      </c>
      <c r="N22" s="101">
        <f>+'1'!N22+'2'!N22+'4'!N22+'3'!N22+'5'!N22+'6'!N22+'7'!N22+'8'!N22+'9'!N22+'10'!N22</f>
        <v>286.07143680000001</v>
      </c>
      <c r="O22" s="101">
        <f>+'1'!O22+'2'!O22+'4'!O22+'3'!O22+'5'!O22+'6'!O22+'7'!O22+'8'!O22+'9'!O22+'10'!O22</f>
        <v>8.5482483840000008</v>
      </c>
      <c r="P22" s="120">
        <f t="shared" si="0"/>
        <v>1718.1979251840003</v>
      </c>
      <c r="T22" s="163" t="str">
        <f>+'9'!A5</f>
        <v>Customer Name : Shaheen Store</v>
      </c>
      <c r="U22" s="164">
        <f>+'9'!P35</f>
        <v>3049.4896704000003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6.45</v>
      </c>
      <c r="D25" s="215"/>
      <c r="E25" s="215"/>
      <c r="F25" s="215"/>
      <c r="G25" s="174">
        <f t="shared" ref="G25:M25" si="3">SUM(G16:G24)</f>
        <v>0</v>
      </c>
      <c r="H25" s="175">
        <f t="shared" si="3"/>
        <v>258</v>
      </c>
      <c r="I25" s="176">
        <f t="shared" si="3"/>
        <v>15844.764999999999</v>
      </c>
      <c r="J25" s="175">
        <f t="shared" si="3"/>
        <v>0</v>
      </c>
      <c r="K25" s="176">
        <f t="shared" si="3"/>
        <v>638.59743500000002</v>
      </c>
      <c r="L25" s="177">
        <f t="shared" si="3"/>
        <v>1218.1514</v>
      </c>
      <c r="M25" s="141">
        <f t="shared" si="3"/>
        <v>13988.016164999999</v>
      </c>
      <c r="N25" s="142">
        <f>SUM(N16:N24)</f>
        <v>2770.2444003000001</v>
      </c>
      <c r="O25" s="143">
        <f>SUM(O16:O24)</f>
        <v>112.02588970650001</v>
      </c>
      <c r="P25" s="144">
        <f>SUM(P16:P24)</f>
        <v>16870.286455006499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16870.286455006499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15844.764999999999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1218.1514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638.59743500000002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13988.016164999999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2770.2444003000001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16758.260565299999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418.95651413249999</v>
      </c>
    </row>
    <row r="43" spans="1:21" ht="15.75" customHeight="1" thickBot="1" x14ac:dyDescent="0.4">
      <c r="N43" s="213" t="s">
        <v>92</v>
      </c>
      <c r="O43" s="214"/>
      <c r="P43" s="160">
        <f>P41+P42</f>
        <v>17177.217079432499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ht="17.5" x14ac:dyDescent="0.35">
      <c r="A10" s="237" t="s">
        <v>95</v>
      </c>
      <c r="B10" s="191">
        <v>3520225590257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11.764411200000001</v>
      </c>
      <c r="P20" s="120">
        <f t="shared" si="1"/>
        <v>482.34085920000001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254.57414400000005</v>
      </c>
      <c r="O25" s="143">
        <f>SUM(O16:O24)</f>
        <v>35.293233600000008</v>
      </c>
      <c r="P25" s="144">
        <f>SUM(P16:P24)</f>
        <v>1447.0225776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1307.52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104.60160000000002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45.763200000000005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1157.1551999999999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254.57414400000005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1411.7293439999999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35.293233600000001</v>
      </c>
    </row>
    <row r="35" spans="2:16" ht="15.75" customHeight="1" thickBot="1" x14ac:dyDescent="0.4">
      <c r="N35" s="213" t="s">
        <v>92</v>
      </c>
      <c r="O35" s="214"/>
      <c r="P35" s="160">
        <f>P33+P34</f>
        <v>1447.0225775999997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125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ht="17.5" x14ac:dyDescent="0.35">
      <c r="A10" s="237" t="s">
        <v>95</v>
      </c>
      <c r="B10" s="191">
        <v>3520014826759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2.4810935039999999</v>
      </c>
      <c r="P25" s="144">
        <f>SUM(P16:P24)</f>
        <v>498.69979430400002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470.76000000000005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40.48536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406.73664000000002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496.21870080000002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2.4810935039999999</v>
      </c>
    </row>
    <row r="35" spans="2:16" ht="15.75" customHeight="1" thickBot="1" x14ac:dyDescent="0.4">
      <c r="N35" s="213" t="s">
        <v>92</v>
      </c>
      <c r="O35" s="214"/>
      <c r="P35" s="160">
        <f>P33+P34</f>
        <v>498.69979430400002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ht="17.5" x14ac:dyDescent="0.35">
      <c r="A10" s="237" t="s">
        <v>95</v>
      </c>
      <c r="B10" s="191">
        <v>3520245283263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916.92500000000007</v>
      </c>
      <c r="J25" s="138"/>
      <c r="K25" s="139">
        <f t="shared" si="9"/>
        <v>52.099675000000005</v>
      </c>
      <c r="L25" s="140">
        <f t="shared" si="9"/>
        <v>61.585000000000008</v>
      </c>
      <c r="M25" s="141">
        <f t="shared" si="9"/>
        <v>803.2403250000001</v>
      </c>
      <c r="N25" s="142">
        <f>SUM(N16:N24)</f>
        <v>176.71287150000001</v>
      </c>
      <c r="O25" s="143">
        <f>SUM(O16:O24)</f>
        <v>4.8997659825000008</v>
      </c>
      <c r="P25" s="144">
        <f>SUM(P16:P24)</f>
        <v>984.85296248250006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916.92500000000007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61.585000000000008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52.099675000000005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803.24032499999998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176.71287150000001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979.95319649999999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4.8997659825</v>
      </c>
    </row>
    <row r="35" spans="2:16" ht="15.75" customHeight="1" thickBot="1" x14ac:dyDescent="0.4">
      <c r="N35" s="213" t="s">
        <v>92</v>
      </c>
      <c r="O35" s="214"/>
      <c r="P35" s="160">
        <f>P33+P34</f>
        <v>984.85296248249995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130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ht="17.5" x14ac:dyDescent="0.35">
      <c r="A10" s="237" t="s">
        <v>95</v>
      </c>
      <c r="B10" s="192">
        <v>14368579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</v>
      </c>
      <c r="I16" s="102">
        <f>(G16*D16)*F16+H16*F16</f>
        <v>1259.0999999999999</v>
      </c>
      <c r="J16" s="103"/>
      <c r="K16" s="104">
        <f>I16*3.5%</f>
        <v>44.0685</v>
      </c>
      <c r="L16" s="105">
        <f>I16*8%</f>
        <v>100.72799999999999</v>
      </c>
      <c r="M16" s="106">
        <f>I16-K16-L16</f>
        <v>1114.3034999999998</v>
      </c>
      <c r="N16" s="106">
        <f t="shared" ref="N16:N24" si="0">(M16*$N$15)+(J16*F16)*$N$15</f>
        <v>245.14676999999995</v>
      </c>
      <c r="O16" s="107">
        <f>(N16+M16)*$O$15</f>
        <v>6.7972513499999989</v>
      </c>
      <c r="P16" s="105">
        <f t="shared" ref="P16:P24" si="1">M16+N16+O16</f>
        <v>1366.2475213499997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/>
      <c r="K19" s="104">
        <f t="shared" si="3"/>
        <v>61.017600000000009</v>
      </c>
      <c r="L19" s="105">
        <f t="shared" si="4"/>
        <v>139.46880000000002</v>
      </c>
      <c r="M19" s="118">
        <f t="shared" si="5"/>
        <v>1542.8736000000001</v>
      </c>
      <c r="N19" s="118">
        <f t="shared" si="0"/>
        <v>339.43219200000004</v>
      </c>
      <c r="O19" s="119">
        <f t="shared" si="6"/>
        <v>9.4115289600000001</v>
      </c>
      <c r="P19" s="120">
        <f t="shared" si="1"/>
        <v>1891.7173209600001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48</v>
      </c>
      <c r="I25" s="137">
        <f t="shared" si="9"/>
        <v>3002.46</v>
      </c>
      <c r="J25" s="138"/>
      <c r="K25" s="139">
        <f t="shared" si="9"/>
        <v>105.08610000000002</v>
      </c>
      <c r="L25" s="140">
        <f t="shared" si="9"/>
        <v>240.1968</v>
      </c>
      <c r="M25" s="141">
        <f t="shared" si="9"/>
        <v>2657.1770999999999</v>
      </c>
      <c r="N25" s="142">
        <f>SUM(N16:N24)</f>
        <v>584.57896200000005</v>
      </c>
      <c r="O25" s="143">
        <f>SUM(O16:O24)</f>
        <v>16.208780309999998</v>
      </c>
      <c r="P25" s="144">
        <f>SUM(P16:P24)</f>
        <v>3257.9648423099998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3002.46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240.1968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105.08610000000002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2657.1770999999999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584.57896200000005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3241.7560619999999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16.208780310000002</v>
      </c>
    </row>
    <row r="35" spans="2:16" ht="15.75" customHeight="1" thickBot="1" x14ac:dyDescent="0.4">
      <c r="N35" s="213" t="s">
        <v>92</v>
      </c>
      <c r="O35" s="214"/>
      <c r="P35" s="160">
        <f>P33+P34</f>
        <v>3257.9648423099998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132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ht="17.5" x14ac:dyDescent="0.35">
      <c r="A10" s="237" t="s">
        <v>95</v>
      </c>
      <c r="B10" s="191">
        <v>3520227816793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70.715040000000002</v>
      </c>
      <c r="O19" s="119">
        <f t="shared" si="6"/>
        <v>1.9607352</v>
      </c>
      <c r="P19" s="120">
        <f t="shared" si="1"/>
        <v>394.10777519999999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70.715040000000002</v>
      </c>
      <c r="O20" s="119">
        <f t="shared" si="6"/>
        <v>1.9607352</v>
      </c>
      <c r="P20" s="120">
        <f t="shared" si="1"/>
        <v>394.10777519999999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1452.8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116.224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50.848000000000006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1285.7280000000001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1568.58816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13" t="s">
        <v>92</v>
      </c>
      <c r="O35" s="214"/>
      <c r="P35" s="160">
        <f>P33+P34</f>
        <v>1576.4311008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134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ht="17.5" x14ac:dyDescent="0.35">
      <c r="A10" s="237" t="s">
        <v>95</v>
      </c>
      <c r="B10" s="191">
        <v>3520296393577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8" thickBot="1" x14ac:dyDescent="0.4">
      <c r="A13" s="238"/>
      <c r="B13" s="191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136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1.3213213132132099E+17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>
        <v>5.6165156156156102E+17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5788.7000000000007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439.55799999999999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242.6191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5106.5229000000008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6025.6970220000003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13" t="s">
        <v>92</v>
      </c>
      <c r="O35" s="214"/>
      <c r="P35" s="160">
        <f>P33+P34</f>
        <v>6055.8255071100002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138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7">
        <v>1.56156156160605E+18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>
        <v>4.1651561561651502E+21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150.43017599999999</v>
      </c>
      <c r="O20" s="119">
        <f t="shared" si="6"/>
        <v>4.9307668800000002</v>
      </c>
      <c r="P20" s="120">
        <f t="shared" si="1"/>
        <v>991.08414287999994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6"/>
        <v>5.31005664</v>
      </c>
      <c r="P21" s="120">
        <f t="shared" si="1"/>
        <v>1067.3213846400001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2905.6000000000004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232.44800000000004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101.696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2571.4560000000006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3034.3180800000005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13" t="s">
        <v>92</v>
      </c>
      <c r="O35" s="214"/>
      <c r="P35" s="160">
        <f>P33+P34</f>
        <v>3049.4896704000003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78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46213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46212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2026-07-10T10:49:02Z</dcterms:modified>
</cp:coreProperties>
</file>