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C53A085-758B-4D41-BCAB-9C5513B05F3B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3" l="1"/>
  <c r="O21" i="43" s="1"/>
  <c r="P21" i="43" s="1"/>
  <c r="M17" i="44"/>
  <c r="O17" i="44" s="1"/>
  <c r="P17" i="44" s="1"/>
  <c r="J7" i="62"/>
  <c r="M16" i="44"/>
  <c r="M21" i="44"/>
  <c r="O21" i="44" s="1"/>
  <c r="P21" i="44" s="1"/>
  <c r="K12" i="62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<sst xmlns="http://schemas.openxmlformats.org/spreadsheetml/2006/main" count="3914" uniqueCount="519">
  <si>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</si>
  <si>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</si>
  <si>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</si>
  <si>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</si>
  <si>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</si>
  <si>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</si>
  <si>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</si>
  <si>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</si>
  <si>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</si>
  <si>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</si>
  <si>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</si>
  <si>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</si>
  <si>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</si>
  <si>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</si>
  <si>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</si>
  <si>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</si>
  <si>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</si>
  <si>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</si>
  <si>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</si>
  <si>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</si>
  <si>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</si>
  <si>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</si>
  <si>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</si>
  <si>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</si>
  <si>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</si>
  <si>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</si>
  <si>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</si>
  <si>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</si>
  <si>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</si>
  <si>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</si>
  <si>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</si>
  <si>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</si>
  <si>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</si>
  <si>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</si>
  <si>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</si>
  <si>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</si>
  <si>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</si>
  <si>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</si>
  <si>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</si>
  <si>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</si>
  <si>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</si>
  <si>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</si>
  <si>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</si>
  <si>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</si>
  <si>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</si>
  <si>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</si>
  <si>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</si>
  <si>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</si>
  <si>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</si>
  <si>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</si>
  <si>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</si>
  <si>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</si>
  <si>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</si>
  <si>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</si>
  <si>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</si>
  <si>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</si>
  <si>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</si>
  <si>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</si>
  <si>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</si>
  <si>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</si>
  <si>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</si>
  <si>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</si>
  <si>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</si>
  <si>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</si>
  <si>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</si>
  <si>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</si>
  <si>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</si>
  <si>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</si>
  <si>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</si>
  <si>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</si>
  <si>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</si>
  <si>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</si>
  <si>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</si>
  <si>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</si>
  <si>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</si>
  <si>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</si>
  <si>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</si>
  <si>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</si>
  <si>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</si>
  <si>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</si>
  <si>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</si>
  <si>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</si>
  <si>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</si>
  <si>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</si>
  <si>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</si>
  <si>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</si>
  <si>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</si>
  <si>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</si>
  <si>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</si>
  <si>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</si>
  <si>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</si>
  <si>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</si>
  <si>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</si>
  <si>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</si>
  <si>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</si>
  <si>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</si>
  <si>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</si>
  <si>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</si>
  <si>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</si>
  <si>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</si>
  <si>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</si>
  <si>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</si>
  <si>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</si>
  <si>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</si>
  <si>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</si>
  <si>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</si>
  <si>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</si>
  <si>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</si>
  <si>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</si>
  <si>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</si>
  <si>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</si>
  <si>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</si>
  <si>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</si>
  <si>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</si>
  <si>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</si>
  <si>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</si>
  <si>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</si>
  <si>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</si>
  <si>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</si>
  <si>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</si>
  <si>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</si>
  <si>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</si>
  <si>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</si>
  <si>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</si>
  <si>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</si>
  <si>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</si>
  <si>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</si>
  <si>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</si>
  <si>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</si>
  <si>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</si>
  <si>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</si>
  <si>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</si>
  <si>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</si>
  <si>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</si>
  <si>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</si>
  <si>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</si>
  <si>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</si>
  <si>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</si>
  <si>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</si>
  <si>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</si>
  <si>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</si>
  <si>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</si>
  <si>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</si>
  <si>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</si>
  <si>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</si>
  <si>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</si>
  <si>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</si>
  <si>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</si>
  <si>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</si>
  <si>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</si>
  <si>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</si>
  <si>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</si>
  <si>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</si>
  <si>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</si>
  <si>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</si>
  <si>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</si>
  <si>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</si>
  <si>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</si>
  <si>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</si>
  <si>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</si>
  <si>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</si>
  <si>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</si>
  <si>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</si>
  <si>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</si>
  <si>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</si>
  <si>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</si>
  <si>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</si>
  <si>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</si>
  <si>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</si>
  <si>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</si>
  <si>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</si>
  <si>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</si>
  <si>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</si>
  <si>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</si>
  <si>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</si>
  <si>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</si>
  <si>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</si>
  <si>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</si>
  <si>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</si>
  <si>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</si>
  <si>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</si>
  <si>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</si>
  <si>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</si>
  <si>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</si>
  <si>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</si>
  <si>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</si>
  <si>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</si>
  <si>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</si>
  <si>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</si>
  <si>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</si>
  <si>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</si>
  <si>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</si>
  <si>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</si>
  <si>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</si>
  <si>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</si>
  <si>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</si>
  <si>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</si>
  <si>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</si>
  <si>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</si>
  <si>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</si>
  <si>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</si>
  <si>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</si>
  <si>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</si>
  <si>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</si>
  <si>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</si>
  <si>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</si>
  <si>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</si>
  <si>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</si>
  <si>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</si>
  <si>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</si>
  <si>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</si>
  <si>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</si>
  <si>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</si>
  <si>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</si>
  <si>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</si>
  <si>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</si>
  <si>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</si>
  <si>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</si>
  <si>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</si>
  <si>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</si>
  <si>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</si>
  <si>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</si>
  <si>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</si>
  <si>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</si>
  <si>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</si>
  <si>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</si>
  <si>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</si>
  <si>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</si>
  <si>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</si>
  <si>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</si>
  <si>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</si>
  <si>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</si>
  <si>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</si>
  <si>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</si>
  <si>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</si>
  <si>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</si>
  <si>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</si>
  <si>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</si>
  <si>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</si>
  <si>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</si>
  <si>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</si>
  <si>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</si>
  <si>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</si>
  <si>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</si>
  <si>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</si>
  <si>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</si>
  <si>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</si>
  <si>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</si>
  <si>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</si>
  <si>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</si>
  <si>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</si>
  <si>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</si>
  <si>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</si>
  <si>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</si>
  <si>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</si>
  <si>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</si>
  <si>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</si>
  <si>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</si>
  <si>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</si>
  <si>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</si>
  <si>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</si>
  <si>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</si>
  <si>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</si>
  <si>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</si>
  <si>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</si>
  <si>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</si>
  <si>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</si>
  <si>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</si>
  <si>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</si>
  <si>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</si>
  <si>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</si>
  <si>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</si>
  <si>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</si>
  <si>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</si>
  <si>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</si>
  <si>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</si>
  <si>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</si>
  <si>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</si>
  <si>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</si>
  <si>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</si>
  <si>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</si>
  <si>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</si>
  <si>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</si>
  <si>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</si>
  <si>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</si>
  <si>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</si>
  <si>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</si>
  <si>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</si>
  <si>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</si>
  <si>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</si>
  <si>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</si>
  <si>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</si>
  <si>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</si>
  <si>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</si>
  <si>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</si>
  <si>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</si>
  <si>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</si>
  <si>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</si>
  <si>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</si>
  <si>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</si>
  <si>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</si>
  <si>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</si>
  <si>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</si>
  <si>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</si>
  <si>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</si>
  <si>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</si>
  <si>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</si>
  <si>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</si>
  <si>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</si>
  <si>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</si>
  <si>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</si>
  <si>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</si>
  <si>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</si>
  <si>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</si>
  <si>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</si>
  <si>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</si>
  <si>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</si>
  <si>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</si>
  <si>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</si>
  <si>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</si>
  <si>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</si>
  <si>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</si>
  <si>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</si>
  <si>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</si>
  <si>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</si>
  <si>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</si>
  <si>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</si>
  <si>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</si>
  <si>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</si>
  <si>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</si>
  <si>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</si>
  <si>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</si>
  <si>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</si>
  <si>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</si>
  <si>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</si>
  <si>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</si>
  <si>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</si>
  <si>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</si>
  <si>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</si>
  <si>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</si>
  <si>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</si>
  <si>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</si>
  <si>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</si>
  <si>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</si>
  <si>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</si>
  <si>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</si>
  <si>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</si>
  <si>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</si>
  <si>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</si>
  <si>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</si>
  <si>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</si>
  <si>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</si>
  <si>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</si>
  <si>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</si>
  <si>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</si>
  <si>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</si>
  <si>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</si>
  <si>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</si>
  <si>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</si>
  <si>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</si>
  <si>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</si>
  <si>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</si>
  <si>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</si>
  <si>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</si>
  <si>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</si>
  <si>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</si>
  <si>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</si>
  <si>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</si>
  <si>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</si>
  <si>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</si>
  <si>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</si>
  <si>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</si>
  <si>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</si>
  <si>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</si>
  <si>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</si>
  <si>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</si>
  <si>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</si>
  <si>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</si>
  <si>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</si>
  <si>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</si>
  <si>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</si>
  <si>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</si>
  <si>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</si>
  <si>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</si>
  <si>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</si>
  <si>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</si>
  <si>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</si>
  <si>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</si>
  <si>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</si>
  <si>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</si>
  <si>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</si>
  <si>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</si>
  <si>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</si>
  <si>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</si>
  <si>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</si>
  <si>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</si>
  <si>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</si>
  <si>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</si>
  <si>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</si>
  <si>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</si>
  <si>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</si>
  <si>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</si>
  <si>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</si>
  <si>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</si>
  <si>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</si>
  <si>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</si>
  <si>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</si>
  <si>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</si>
  <si>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</si>
  <si>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</si>
  <si>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</si>
  <si>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</si>
  <si>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</si>
  <si>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</si>
  <si>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</si>
  <si>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</si>
  <si>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</si>
  <si>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</si>
  <si>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</si>
  <si>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</si>
  <si>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</si>
  <si>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</si>
  <si>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</si>
  <si>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</si>
  <si>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</si>
  <si>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</si>
  <si>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</si>
  <si>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</si>
  <si>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</si>
  <si>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</si>
  <si>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</si>
  <si>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</si>
  <si>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</si>
  <si>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</si>
  <si>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</si>
  <si>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</si>
  <si>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</si>
  <si>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</si>
  <si>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</si>
  <si>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</si>
  <si>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</si>
  <si>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</si>
  <si>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</si>
  <si>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</si>
  <si>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</si>
  <si>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</si>
  <si>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</si>
  <si>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</si>
  <si>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</si>
  <si>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</si>
  <si>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</si>
  <si>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</si>
  <si>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</si>
  <si>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</si>
  <si>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</si>
  <si>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</si>
  <si>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</si>
  <si>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</si>
  <si>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</si>
  <si>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</si>
  <si>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</si>
  <si>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</si>
  <si>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</si>
  <si>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</si>
  <si>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</si>
  <si>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</si>
  <si>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</si>
  <si>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</si>
  <si>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</si>
  <si>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</si>
  <si>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</si>
  <si>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</si>
  <si>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</si>
  <si>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</si>
  <si>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</si>
  <si>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</si>
  <si>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</si>
  <si>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</si>
  <si>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</si>
  <si>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</si>
  <si>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</si>
  <si>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</si>
  <si>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</si>
  <si>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</si>
  <si>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</si>
  <si>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</si>
  <si>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</si>
  <si>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</si>
  <si>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</si>
  <si>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</si>
  <si>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</si>
  <si>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</si>
  <si>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</si>
  <si>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</si>
  <si>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</si>
  <si>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</si>
  <si>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</si>
  <si>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</si>
  <si>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</si>
  <si>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</si>
  <si>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</si>
  <si>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</si>
  <si>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</si>
  <si>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</si>
  <si>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</si>
  <si>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</si>
  <si>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</si>
  <si>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</si>
  <si>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</si>
  <si>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</si>
  <si>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</si>
  <si>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</si>
  <si>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Salman</t>
  </si>
  <si>
    <t>Satara Bakers</t>
  </si>
  <si>
    <t>Address:Sadar Bazar</t>
  </si>
  <si>
    <t>OLD</t>
  </si>
  <si>
    <t>Shalimar Store</t>
  </si>
  <si>
    <t>Bismillah Mart</t>
  </si>
  <si>
    <t xml:space="preserve">Address:Ravi Block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</si>
</sst>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1" fontId="38" fillId="0" borderId="45" xfId="0" applyNumberFormat="1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9"/>
      <c r="B3" s="319"/>
      <c r="C3" s="319"/>
      <c r="D3" s="319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</row>
    <row r="4" spans="1:29" x14ac:dyDescent="0.35">
      <c r="A4" s="321" t="s">
        <v>436</v>
      </c>
      <c r="B4" s="165" t="s">
        <v>437</v>
      </c>
      <c r="C4" s="165"/>
      <c r="D4" s="323" t="s">
        <v>438</v>
      </c>
      <c r="E4" s="325" t="s">
        <v>439</v>
      </c>
      <c r="F4" s="327" t="s">
        <v>58</v>
      </c>
      <c r="G4" s="327"/>
      <c r="H4" s="328" t="s">
        <v>440</v>
      </c>
      <c r="I4" s="328"/>
      <c r="J4" s="329" t="s">
        <v>441</v>
      </c>
      <c r="K4" s="330"/>
      <c r="L4" s="329" t="s">
        <v>442</v>
      </c>
      <c r="M4" s="330"/>
      <c r="N4" s="331" t="s">
        <v>443</v>
      </c>
      <c r="O4" s="331"/>
      <c r="P4" s="329" t="s">
        <v>86</v>
      </c>
      <c r="Q4" s="330"/>
      <c r="R4" s="329" t="s">
        <v>444</v>
      </c>
      <c r="S4" s="330"/>
      <c r="T4" s="332" t="s">
        <v>445</v>
      </c>
      <c r="U4" s="332"/>
      <c r="V4" s="333" t="s">
        <v>446</v>
      </c>
      <c r="W4" s="334"/>
      <c r="X4" s="333" t="s">
        <v>447</v>
      </c>
      <c r="Y4" s="334"/>
    </row>
    <row r="5" spans="1:29" ht="26.25" customHeight="1" thickBot="1" x14ac:dyDescent="0.4">
      <c r="A5" s="322"/>
      <c r="B5" s="167" t="s">
        <v>448</v>
      </c>
      <c r="C5" s="167" t="s">
        <v>438</v>
      </c>
      <c r="D5" s="324"/>
      <c r="E5" s="32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abSelected="1" topLeftCell="C5" workbookViewId="0">
      <selection activeCell="U9" sqref="U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5" t="s">
        <v>499</v>
      </c>
      <c r="F2" s="373"/>
      <c r="G2" s="373"/>
      <c r="H2" s="373" t="s">
        <v>512</v>
      </c>
      <c r="I2" s="373"/>
      <c r="J2" s="374"/>
      <c r="R2" s="370" t="s">
        <v>498</v>
      </c>
      <c r="S2" s="371"/>
      <c r="T2" s="372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 ca="1">+'1'!N4:N4</f>
        <v>46229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Satara Bakers</v>
      </c>
      <c r="T3" s="301">
        <f>+'1'!P35</f>
        <v>13938.737920932204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Shalimar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5" t="s">
        <v>51</v>
      </c>
      <c r="B5" s="336"/>
      <c r="C5" s="339" t="s">
        <v>90</v>
      </c>
      <c r="D5" s="115" t="s">
        <v>52</v>
      </c>
      <c r="E5" s="341" t="s">
        <v>58</v>
      </c>
      <c r="F5" s="342"/>
      <c r="G5" s="343" t="s">
        <v>54</v>
      </c>
      <c r="H5" s="344"/>
      <c r="I5" s="345" t="s">
        <v>77</v>
      </c>
      <c r="J5" s="381" t="s">
        <v>55</v>
      </c>
      <c r="K5" s="343"/>
      <c r="L5" s="344"/>
      <c r="M5" s="336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Bismillah Mart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7"/>
      <c r="B6" s="338"/>
      <c r="C6" s="34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6"/>
      <c r="J6" s="143" t="s">
        <v>59</v>
      </c>
      <c r="K6" s="144" t="s">
        <v>39</v>
      </c>
      <c r="L6" s="145" t="s">
        <v>493</v>
      </c>
      <c r="M6" s="338"/>
      <c r="N6" s="346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118">
        <f>M7+N7+O7</f>
        <v>2265.051582838983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119">
        <f t="shared" ref="P8:P15" si="2">M8+N8+O8</f>
        <v>2265.051582838983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119">
        <f t="shared" si="2"/>
        <v>3136.2115850847458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119">
        <f t="shared" si="2"/>
        <v>3136.2115850847458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119">
        <f t="shared" si="2"/>
        <v>3136.2115850847458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7"/>
      <c r="C16" s="347" t="s">
        <v>40</v>
      </c>
      <c r="D16" s="347"/>
      <c r="E16" s="347"/>
      <c r="F16" s="348"/>
      <c r="G16" s="117">
        <f t="shared" ref="G16:M16" si="3">SUM(G7:G15)</f>
        <v>0</v>
      </c>
      <c r="H16" s="310">
        <f t="shared" si="3"/>
        <v>200</v>
      </c>
      <c r="I16" s="114">
        <f t="shared" si="3"/>
        <v>12913.800000000001</v>
      </c>
      <c r="J16" s="274">
        <f>SUM(J7:J15)</f>
        <v>1033.104</v>
      </c>
      <c r="K16" s="275">
        <f t="shared" si="3"/>
        <v>451.98300000000006</v>
      </c>
      <c r="L16" s="276">
        <f t="shared" si="3"/>
        <v>0</v>
      </c>
      <c r="M16" s="232">
        <f t="shared" si="3"/>
        <v>11428.713000000002</v>
      </c>
      <c r="N16" s="233">
        <f>SUM(N7:N15)</f>
        <v>2440.6779661016944</v>
      </c>
      <c r="O16" s="101">
        <f>SUM(O7:O15)</f>
        <v>69.346954830508466</v>
      </c>
      <c r="P16" s="234">
        <f>SUM(P7:P15)</f>
        <v>13938.737920932204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9" t="s">
        <v>64</v>
      </c>
      <c r="C19" s="350"/>
      <c r="D19" s="350"/>
      <c r="E19" s="350"/>
      <c r="F19" s="350"/>
      <c r="G19" s="350"/>
      <c r="H19" s="350"/>
      <c r="I19" s="350"/>
      <c r="J19" s="350"/>
      <c r="K19" s="350"/>
      <c r="L19" s="351"/>
      <c r="N19" s="358" t="s">
        <v>60</v>
      </c>
      <c r="O19" s="359"/>
      <c r="P19" s="139">
        <f>I16</f>
        <v>12913.800000000001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2"/>
      <c r="C20" s="353"/>
      <c r="D20" s="353"/>
      <c r="E20" s="353"/>
      <c r="F20" s="353"/>
      <c r="G20" s="353"/>
      <c r="H20" s="353"/>
      <c r="I20" s="353"/>
      <c r="J20" s="353"/>
      <c r="K20" s="353"/>
      <c r="L20" s="354"/>
      <c r="N20" s="360" t="s">
        <v>85</v>
      </c>
      <c r="O20" s="361"/>
      <c r="P20" s="140">
        <f>+J16</f>
        <v>1033.104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2"/>
      <c r="C21" s="353"/>
      <c r="D21" s="353"/>
      <c r="E21" s="353"/>
      <c r="F21" s="353"/>
      <c r="G21" s="353"/>
      <c r="H21" s="353"/>
      <c r="I21" s="353"/>
      <c r="J21" s="353"/>
      <c r="K21" s="353"/>
      <c r="L21" s="354"/>
      <c r="N21" s="360" t="s">
        <v>86</v>
      </c>
      <c r="O21" s="361"/>
      <c r="P21" s="140">
        <f>+K16+L16</f>
        <v>451.98300000000006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2"/>
      <c r="C22" s="353"/>
      <c r="D22" s="353"/>
      <c r="E22" s="353"/>
      <c r="F22" s="353"/>
      <c r="G22" s="353"/>
      <c r="H22" s="353"/>
      <c r="I22" s="353"/>
      <c r="J22" s="353"/>
      <c r="K22" s="353"/>
      <c r="L22" s="354"/>
      <c r="M22" s="131"/>
      <c r="N22" s="360" t="s">
        <v>87</v>
      </c>
      <c r="O22" s="361"/>
      <c r="P22" s="140">
        <f>P19-P20-P21</f>
        <v>11428.713000000002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2"/>
      <c r="C23" s="353"/>
      <c r="D23" s="353"/>
      <c r="E23" s="353"/>
      <c r="F23" s="353"/>
      <c r="G23" s="353"/>
      <c r="H23" s="353"/>
      <c r="I23" s="353"/>
      <c r="J23" s="353"/>
      <c r="K23" s="353"/>
      <c r="L23" s="354"/>
      <c r="M23" s="131"/>
      <c r="N23" s="136" t="s">
        <v>61</v>
      </c>
      <c r="O23" s="133">
        <v>0.18</v>
      </c>
      <c r="P23" s="140">
        <f>+N16</f>
        <v>2440.6779661016944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2"/>
      <c r="C24" s="353"/>
      <c r="D24" s="353"/>
      <c r="E24" s="353"/>
      <c r="F24" s="353"/>
      <c r="G24" s="353"/>
      <c r="H24" s="353"/>
      <c r="I24" s="353"/>
      <c r="J24" s="353"/>
      <c r="K24" s="353"/>
      <c r="L24" s="354"/>
      <c r="M24" s="131"/>
      <c r="N24" s="362" t="s">
        <v>76</v>
      </c>
      <c r="O24" s="363"/>
      <c r="P24" s="140">
        <f>P22+P23</f>
        <v>13869.390966101695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5"/>
      <c r="C25" s="356"/>
      <c r="D25" s="356"/>
      <c r="E25" s="356"/>
      <c r="F25" s="356"/>
      <c r="G25" s="356"/>
      <c r="H25" s="356"/>
      <c r="I25" s="356"/>
      <c r="J25" s="356"/>
      <c r="K25" s="356"/>
      <c r="L25" s="357"/>
      <c r="M25" s="99"/>
      <c r="N25" s="138" t="s">
        <v>83</v>
      </c>
      <c r="O25" s="137" t="e">
        <f>IF(#REF!="Filer",0.5%,2.5%)</f>
        <v>#REF!</v>
      </c>
      <c r="P25" s="140">
        <f>+O16</f>
        <v>69.346954830508466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4" t="s">
        <v>88</v>
      </c>
      <c r="O26" s="365"/>
      <c r="P26" s="297">
        <f>+P24+P25</f>
        <v>13938.737920932204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6"/>
      <c r="D27" s="366"/>
      <c r="E27" s="366"/>
      <c r="F27" s="366"/>
      <c r="G27" s="366"/>
      <c r="H27" s="366"/>
      <c r="I27" s="367"/>
      <c r="J27" s="368"/>
      <c r="K27" s="36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13938.737920932204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FD38"/>
  <sheetViews>
    <sheetView topLeftCell="A8" workbookViewId="0">
      <selection activeCell="Q14" sqref="Q1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7.25" customHeight="1" x14ac:dyDescent="0.4">
      <c r="A6" s="389" t="s">
        <v>513</v>
      </c>
      <c r="B6" s="389"/>
      <c r="C6" s="389"/>
      <c r="F6" s="85"/>
      <c r="G6" s="86"/>
      <c r="K6" s="384" t="s">
        <v>69</v>
      </c>
      <c r="L6" s="384"/>
      <c r="M6" s="384"/>
      <c r="N6" s="386" t="s">
        <v>509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514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Q15" s="268" t="s">
        <v>515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215">
        <v>2202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61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61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61">
        <v>3050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61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61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61">
        <v>1608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12913.800000000001</v>
      </c>
      <c r="J25" s="274">
        <f>SUM(J16:J24)</f>
        <v>1033.104</v>
      </c>
      <c r="K25" s="275">
        <f t="shared" si="10"/>
        <v>451.98300000000006</v>
      </c>
      <c r="L25" s="276">
        <f t="shared" si="10"/>
        <v>0</v>
      </c>
      <c r="M25" s="232">
        <f t="shared" si="10"/>
        <v>11428.713000000002</v>
      </c>
      <c r="N25" s="233">
        <f>SUM(N16:N24)</f>
        <v>2440.6779661016944</v>
      </c>
      <c r="O25" s="101">
        <f>SUM(O16:O24)</f>
        <v>69.346954830508466</v>
      </c>
      <c r="P25" s="234">
        <f>SUM(P16:P24)</f>
        <v>13938.737920932204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12913.800000000001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1033.104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451.98300000000006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11428.713000000002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13869.390966101695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69.34695483050848</v>
      </c>
    </row>
    <row r="35" spans="2:16" ht="15.75" customHeight="1" thickBot="1" x14ac:dyDescent="0.4">
      <c r="N35" s="364" t="s">
        <v>88</v>
      </c>
      <c r="O35" s="365"/>
      <c r="P35" s="297">
        <f>+P33+P34</f>
        <v>13938.737920932204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topLeftCell="A9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516</v>
      </c>
      <c r="B6" s="389"/>
      <c r="C6" s="389"/>
      <c r="F6" s="85"/>
      <c r="G6" s="86"/>
      <c r="K6" s="384" t="s">
        <v>69</v>
      </c>
      <c r="L6" s="384"/>
      <c r="M6" s="384"/>
      <c r="N6" s="386" t="s">
        <v>509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514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>
        <v>80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>
        <v>80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>
        <v>80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C1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v>46105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46104</v>
      </c>
      <c r="O5" s="383"/>
      <c r="P5" s="383"/>
      <c r="R5" s="85"/>
      <c r="S5" s="266"/>
    </row>
    <row r="6" spans="1:22 16383:16384" ht="18.75" customHeight="1" x14ac:dyDescent="0.4">
      <c r="A6" s="389" t="s">
        <v>517</v>
      </c>
      <c r="B6" s="389"/>
      <c r="C6" s="389"/>
      <c r="F6" s="85"/>
      <c r="G6" s="86"/>
      <c r="K6" s="384" t="s">
        <v>69</v>
      </c>
      <c r="L6" s="384"/>
      <c r="M6" s="384"/>
      <c r="N6" s="386" t="s">
        <v>509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518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81</v>
      </c>
      <c r="C11" s="281" t="str">
        <f>IF($O34&gt;2.49%,"No","Yes")</f>
        <v>No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2.5000000000000001E-2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2.5000000000000001E-2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8.75" customHeight="1" x14ac:dyDescent="0.4">
      <c r="A6" s="389" t="s">
        <v>504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46229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46228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5" t="s">
        <v>51</v>
      </c>
      <c r="B14" s="336"/>
      <c r="C14" s="339" t="s">
        <v>90</v>
      </c>
      <c r="D14" s="115" t="s">
        <v>52</v>
      </c>
      <c r="E14" s="341" t="s">
        <v>58</v>
      </c>
      <c r="F14" s="342"/>
      <c r="G14" s="343" t="s">
        <v>54</v>
      </c>
      <c r="H14" s="344"/>
      <c r="I14" s="345" t="s">
        <v>77</v>
      </c>
      <c r="J14" s="381" t="s">
        <v>55</v>
      </c>
      <c r="K14" s="343"/>
      <c r="L14" s="344"/>
      <c r="M14" s="336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7"/>
      <c r="B15" s="338"/>
      <c r="C15" s="34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6"/>
      <c r="J15" s="143" t="s">
        <v>59</v>
      </c>
      <c r="K15" s="144" t="s">
        <v>39</v>
      </c>
      <c r="L15" s="145" t="s">
        <v>493</v>
      </c>
      <c r="M15" s="338"/>
      <c r="N15" s="34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1"/>
      <c r="N28" s="358" t="s">
        <v>60</v>
      </c>
      <c r="O28" s="359"/>
      <c r="P28" s="139">
        <f>I25</f>
        <v>0</v>
      </c>
    </row>
    <row r="29" spans="1:22 16384:16384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3"/>
      <c r="L29" s="354"/>
      <c r="N29" s="360" t="s">
        <v>85</v>
      </c>
      <c r="O29" s="361"/>
      <c r="P29" s="140">
        <f>+J25</f>
        <v>0</v>
      </c>
    </row>
    <row r="30" spans="1:22 16384:16384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3"/>
      <c r="L30" s="354"/>
      <c r="N30" s="360" t="s">
        <v>86</v>
      </c>
      <c r="O30" s="361"/>
      <c r="P30" s="140">
        <f>+K25+L25</f>
        <v>0</v>
      </c>
    </row>
    <row r="31" spans="1:22 16384:16384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3"/>
      <c r="L31" s="354"/>
      <c r="M31" s="131"/>
      <c r="N31" s="360" t="s">
        <v>87</v>
      </c>
      <c r="O31" s="361"/>
      <c r="P31" s="140">
        <f>P28-P29-P30</f>
        <v>0</v>
      </c>
    </row>
    <row r="32" spans="1:22 16384:16384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3"/>
      <c r="L32" s="35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3"/>
      <c r="L33" s="354"/>
      <c r="M33" s="131"/>
      <c r="N33" s="362" t="s">
        <v>76</v>
      </c>
      <c r="O33" s="363"/>
      <c r="P33" s="140">
        <f>P31+P32</f>
        <v>0</v>
      </c>
    </row>
    <row r="34" spans="2:16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6"/>
      <c r="L34" s="35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4" t="s">
        <v>88</v>
      </c>
      <c r="O35" s="365"/>
      <c r="P35" s="297">
        <f>+P33+P34</f>
        <v>0</v>
      </c>
    </row>
    <row r="36" spans="2:16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368"/>
      <c r="K36" s="36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46229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46228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5" t="s">
        <v>51</v>
      </c>
      <c r="B14" s="336"/>
      <c r="C14" s="339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4"/>
      <c r="I14" s="345" t="s">
        <v>77</v>
      </c>
      <c r="J14" s="343" t="s">
        <v>55</v>
      </c>
      <c r="K14" s="344"/>
      <c r="L14" s="34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7"/>
      <c r="B15" s="338"/>
      <c r="C15" s="34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6"/>
      <c r="J15" s="144" t="s">
        <v>39</v>
      </c>
      <c r="K15" s="145" t="s">
        <v>59</v>
      </c>
      <c r="L15" s="34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7"/>
      <c r="C25" s="347" t="s">
        <v>40</v>
      </c>
      <c r="D25" s="347"/>
      <c r="E25" s="347"/>
      <c r="F25" s="34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9" t="s">
        <v>64</v>
      </c>
      <c r="C28" s="350"/>
      <c r="D28" s="350"/>
      <c r="E28" s="350"/>
      <c r="F28" s="350"/>
      <c r="G28" s="350"/>
      <c r="H28" s="350"/>
      <c r="I28" s="350"/>
      <c r="J28" s="350"/>
      <c r="K28" s="351"/>
      <c r="M28" s="358" t="s">
        <v>60</v>
      </c>
      <c r="N28" s="359"/>
      <c r="O28" s="139">
        <f>I25</f>
        <v>1452.8</v>
      </c>
    </row>
    <row r="29" spans="1:18 16383:16383" ht="15" customHeight="1" x14ac:dyDescent="0.35">
      <c r="B29" s="352"/>
      <c r="C29" s="353"/>
      <c r="D29" s="353"/>
      <c r="E29" s="353"/>
      <c r="F29" s="353"/>
      <c r="G29" s="353"/>
      <c r="H29" s="353"/>
      <c r="I29" s="353"/>
      <c r="J29" s="353"/>
      <c r="K29" s="354"/>
      <c r="M29" s="360" t="s">
        <v>85</v>
      </c>
      <c r="N29" s="361"/>
      <c r="O29" s="140">
        <f>K25</f>
        <v>0</v>
      </c>
    </row>
    <row r="30" spans="1:18 16383:16383" ht="15" customHeight="1" x14ac:dyDescent="0.35">
      <c r="B30" s="352"/>
      <c r="C30" s="353"/>
      <c r="D30" s="353"/>
      <c r="E30" s="353"/>
      <c r="F30" s="353"/>
      <c r="G30" s="353"/>
      <c r="H30" s="353"/>
      <c r="I30" s="353"/>
      <c r="J30" s="353"/>
      <c r="K30" s="354"/>
      <c r="M30" s="360" t="s">
        <v>86</v>
      </c>
      <c r="N30" s="361"/>
      <c r="O30" s="140">
        <f>J25</f>
        <v>50.848000000000006</v>
      </c>
    </row>
    <row r="31" spans="1:18 16383:16383" ht="15" customHeight="1" x14ac:dyDescent="0.35">
      <c r="B31" s="352"/>
      <c r="C31" s="353"/>
      <c r="D31" s="353"/>
      <c r="E31" s="353"/>
      <c r="F31" s="353"/>
      <c r="G31" s="353"/>
      <c r="H31" s="353"/>
      <c r="I31" s="353"/>
      <c r="J31" s="353"/>
      <c r="K31" s="354"/>
      <c r="L31" s="131"/>
      <c r="M31" s="360" t="s">
        <v>87</v>
      </c>
      <c r="N31" s="361"/>
      <c r="O31" s="140">
        <f>O28-O29-O30</f>
        <v>1401.952</v>
      </c>
    </row>
    <row r="32" spans="1:18 16383:16383" ht="15" customHeight="1" x14ac:dyDescent="0.35">
      <c r="B32" s="352"/>
      <c r="C32" s="353"/>
      <c r="D32" s="353"/>
      <c r="E32" s="353"/>
      <c r="F32" s="353"/>
      <c r="G32" s="353"/>
      <c r="H32" s="353"/>
      <c r="I32" s="353"/>
      <c r="J32" s="353"/>
      <c r="K32" s="35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2"/>
      <c r="C33" s="353"/>
      <c r="D33" s="353"/>
      <c r="E33" s="353"/>
      <c r="F33" s="353"/>
      <c r="G33" s="353"/>
      <c r="H33" s="353"/>
      <c r="I33" s="353"/>
      <c r="J33" s="353"/>
      <c r="K33" s="354"/>
      <c r="L33" s="131"/>
      <c r="M33" s="362" t="s">
        <v>76</v>
      </c>
      <c r="N33" s="363"/>
      <c r="O33" s="140">
        <f>O31+O32</f>
        <v>1710.3814400000001</v>
      </c>
    </row>
    <row r="34" spans="2:15" ht="15" customHeight="1" thickBot="1" x14ac:dyDescent="0.4">
      <c r="B34" s="355"/>
      <c r="C34" s="356"/>
      <c r="D34" s="356"/>
      <c r="E34" s="356"/>
      <c r="F34" s="356"/>
      <c r="G34" s="356"/>
      <c r="H34" s="356"/>
      <c r="I34" s="356"/>
      <c r="J34" s="356"/>
      <c r="K34" s="35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4" t="s">
        <v>88</v>
      </c>
      <c r="N35" s="365"/>
      <c r="O35" s="141">
        <f>O28-O29+O31+O34</f>
        <v>2897.511536</v>
      </c>
    </row>
    <row r="36" spans="2:15" ht="15" thickBot="1" x14ac:dyDescent="0.4">
      <c r="B36" s="121" t="s">
        <v>63</v>
      </c>
      <c r="C36" s="366"/>
      <c r="D36" s="366"/>
      <c r="E36" s="366"/>
      <c r="F36" s="366"/>
      <c r="G36" s="366"/>
      <c r="H36" s="366"/>
      <c r="I36" s="36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7" t="s">
        <v>438</v>
      </c>
      <c r="D1" s="394" t="s">
        <v>439</v>
      </c>
      <c r="E1" s="327" t="s">
        <v>58</v>
      </c>
      <c r="F1" s="327"/>
      <c r="G1" s="328" t="s">
        <v>440</v>
      </c>
      <c r="H1" s="328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7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2" t="s">
        <v>438</v>
      </c>
      <c r="D7" s="326" t="s">
        <v>439</v>
      </c>
      <c r="E7" s="398" t="s">
        <v>58</v>
      </c>
      <c r="F7" s="398"/>
      <c r="G7" s="399" t="s">
        <v>440</v>
      </c>
      <c r="H7" s="328"/>
      <c r="I7" s="329" t="s">
        <v>441</v>
      </c>
      <c r="J7" s="330"/>
      <c r="K7" s="329" t="s">
        <v>442</v>
      </c>
      <c r="L7" s="330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4"/>
      <c r="D8" s="32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3" t="s">
        <v>438</v>
      </c>
      <c r="D13" s="325" t="s">
        <v>439</v>
      </c>
      <c r="E13" s="327" t="s">
        <v>58</v>
      </c>
      <c r="F13" s="327"/>
      <c r="G13" s="328" t="s">
        <v>440</v>
      </c>
      <c r="H13" s="328"/>
      <c r="I13" s="329" t="s">
        <v>441</v>
      </c>
      <c r="J13" s="330"/>
      <c r="K13" s="329" t="s">
        <v>442</v>
      </c>
      <c r="L13" s="330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4"/>
      <c r="D14" s="32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3" t="s">
        <v>438</v>
      </c>
      <c r="D20" s="325" t="s">
        <v>439</v>
      </c>
      <c r="E20" s="327" t="s">
        <v>58</v>
      </c>
      <c r="F20" s="327"/>
      <c r="G20" s="328" t="s">
        <v>440</v>
      </c>
      <c r="H20" s="328"/>
      <c r="I20" s="329" t="s">
        <v>441</v>
      </c>
      <c r="J20" s="330"/>
      <c r="K20" s="329" t="s">
        <v>442</v>
      </c>
      <c r="L20" s="330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4"/>
      <c r="D21" s="32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3" t="s">
        <v>438</v>
      </c>
      <c r="D27" s="325" t="s">
        <v>439</v>
      </c>
      <c r="E27" s="327" t="s">
        <v>58</v>
      </c>
      <c r="F27" s="327"/>
      <c r="G27" s="328" t="s">
        <v>440</v>
      </c>
      <c r="H27" s="328"/>
      <c r="I27" s="329" t="s">
        <v>441</v>
      </c>
      <c r="J27" s="330"/>
      <c r="K27" s="329" t="s">
        <v>442</v>
      </c>
      <c r="L27" s="330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4"/>
      <c r="D28" s="32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7" t="s">
        <v>438</v>
      </c>
      <c r="C1" s="394" t="s">
        <v>439</v>
      </c>
      <c r="D1" s="327" t="s">
        <v>58</v>
      </c>
      <c r="E1" s="327"/>
      <c r="F1" s="328" t="s">
        <v>440</v>
      </c>
      <c r="G1" s="328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7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2026-07-25T10:45:56Z</dcterms:modified>
</cp:coreProperties>
</file>