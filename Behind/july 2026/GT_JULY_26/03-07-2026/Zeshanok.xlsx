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74AC6C3D-5454-42AD-B5EB-3260EF2D48B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17" i="19"/>
  <c r="K18" i="19"/>
  <c r="K19" i="19"/>
  <c r="K20" i="19"/>
  <c r="K17" i="18"/>
  <c r="K18" i="18"/>
  <c r="K19" i="18"/>
  <c r="K18" i="20"/>
  <c r="K18" i="21"/>
  <c r="K17" i="22"/>
  <c r="K18" i="22"/>
  <c r="K19" i="22"/>
  <c r="K20" i="22"/>
  <c r="K17" i="23"/>
  <c r="K18" i="23"/>
  <c r="K19" i="23"/>
  <c r="K20" i="23"/>
  <c r="K17" i="24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I20" i="20"/>
  <c r="I22" i="20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4" l="1"/>
  <c r="K21" i="24"/>
  <c r="M21" i="24" s="1"/>
  <c r="N21" i="24" s="1"/>
  <c r="O21" i="24" s="1"/>
  <c r="L19" i="24"/>
  <c r="K19" i="24"/>
  <c r="L17" i="21"/>
  <c r="K17" i="21"/>
  <c r="K22" i="20"/>
  <c r="L22" i="20"/>
  <c r="L16" i="20"/>
  <c r="K16" i="20"/>
  <c r="L21" i="20"/>
  <c r="K21" i="20"/>
  <c r="L20" i="20"/>
  <c r="K20" i="20"/>
  <c r="L16" i="18"/>
  <c r="K16" i="18"/>
  <c r="L20" i="18"/>
  <c r="K20" i="18"/>
  <c r="L21" i="18"/>
  <c r="L21" i="19"/>
  <c r="K21" i="19"/>
  <c r="M21" i="19" s="1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16E357D6-7219-4802-B8B1-8D78FE1F7EA1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<sst xmlns="http://schemas.openxmlformats.org/spreadsheetml/2006/main" count="1641" uniqueCount="140">
  <si>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</si>
  <si>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</si>
  <si>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</si>
  <si>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</si>
  <si>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</si>
  <si>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</si>
  <si>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</si>
  <si>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</si>
  <si>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</si>
  <si>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</si>
  <si>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</si>
  <si>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</si>
  <si>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</si>
  <si>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</si>
  <si>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</si>
  <si>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</si>
  <si>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</si>
  <si>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</si>
  <si>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</si>
  <si>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</si>
  <si>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</si>
  <si>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</si>
  <si>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</si>
  <si>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</si>
  <si>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</si>
  <si>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</si>
  <si>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</si>
  <si>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</si>
  <si>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</si>
  <si>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</si>
  <si>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</si>
  <si>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</si>
  <si>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</si>
  <si>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</si>
  <si>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</si>
  <si>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</si>
  <si>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</si>
  <si>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</si>
  <si>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</si>
  <si>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</si>
  <si>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</si>
  <si>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</si>
  <si>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</si>
  <si>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</si>
  <si>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</si>
  <si>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</si>
  <si>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</si>
  <si>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</si>
  <si>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</si>
  <si>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</si>
  <si>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</si>
  <si>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</si>
  <si>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</si>
  <si>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</si>
  <si>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</si>
  <si>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</si>
  <si>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</si>
  <si>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</si>
  <si>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</si>
  <si>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</si>
  <si>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</si>
  <si>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</si>
  <si>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</si>
  <si>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</si>
  <si>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</si>
  <si>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</si>
  <si>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</si>
  <si>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</si>
  <si>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</si>
  <si>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</si>
  <si>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</si>
  <si>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</si>
  <si>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</si>
  <si>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</si>
  <si>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</si>
  <si>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</si>
  <si>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</si>
  <si>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</si>
  <si>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</si>
  <si>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</si>
  <si>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</si>
  <si>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</si>
  <si>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</si>
  <si>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</si>
  <si>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</si>
  <si>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</si>
  <si>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</si>
  <si>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</si>
  <si>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</si>
  <si>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</si>
  <si>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</si>
  <si>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</si>
  <si>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</si>
  <si>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</si>
  <si>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</si>
  <si>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</si>
  <si>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</si>
  <si>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</si>
  <si>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</si>
  <si>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</si>
  <si>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</si>
  <si>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</si>
  <si>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</si>
  <si>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</si>
  <si>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</si>
  <si>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</si>
  <si>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</si>
  <si>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</si>
  <si>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</si>
  <si>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</si>
  <si>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</si>
  <si>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</si>
  <si>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</si>
  <si>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</si>
  <si>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</si>
  <si>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</si>
  <si>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</si>
  <si>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</si>
  <si>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</si>
  <si>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</si>
  <si>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</si>
  <si>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 (Zeshan)</t>
  </si>
  <si>
    <t>Customer Name : Trust Store</t>
  </si>
  <si>
    <t>Address: DHA</t>
  </si>
  <si>
    <t>0159686-1</t>
  </si>
  <si>
    <t>Customer Name : Bilal Store</t>
  </si>
  <si>
    <t>457897-4</t>
  </si>
  <si>
    <t xml:space="preserve">Customer Name : Bilal Store </t>
  </si>
  <si>
    <t xml:space="preserve">Address: DHA M Block </t>
  </si>
  <si>
    <t>Customer Name : 786 Store</t>
  </si>
  <si>
    <t xml:space="preserve">Address: DHA B Block </t>
  </si>
  <si>
    <t>0846372-7</t>
  </si>
  <si>
    <t xml:space="preserve">Customer Name : Groccer Mart </t>
  </si>
  <si>
    <t>Customer Name : Bin Hadi Store</t>
  </si>
  <si>
    <t>8754367-1</t>
  </si>
  <si>
    <t xml:space="preserve">Customer Name : Besta Mart </t>
  </si>
  <si>
    <t>876546-3</t>
  </si>
  <si>
    <t>7643679-4</t>
  </si>
  <si>
    <t xml:space="preserve">Customer Name : K S Mart </t>
  </si>
  <si>
    <t>Customer Name : 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</si>
</sst>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9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6" t="s">
        <v>45</v>
      </c>
      <c r="B2" s="256"/>
      <c r="C2" s="256"/>
    </row>
    <row r="3" spans="1:21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5" t="s">
        <v>120</v>
      </c>
      <c r="B5" s="255"/>
      <c r="C5" s="255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21 16383:16384" ht="15" customHeight="1" x14ac:dyDescent="0.35">
      <c r="A6" s="255"/>
      <c r="B6" s="255"/>
      <c r="C6" s="255"/>
      <c r="F6" s="70"/>
      <c r="G6" s="74"/>
      <c r="K6" s="240" t="s">
        <v>52</v>
      </c>
      <c r="L6" s="240"/>
      <c r="M6" s="240"/>
      <c r="N6" s="253" t="s">
        <v>42</v>
      </c>
      <c r="O6" s="253"/>
      <c r="P6" s="25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1 16383:16384" hidden="1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1 16383:16384" x14ac:dyDescent="0.35">
      <c r="A10" s="238"/>
      <c r="B10" s="75"/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1 16383:16384" ht="15" thickBot="1" x14ac:dyDescent="0.4">
      <c r="A11" s="238"/>
      <c r="B11" s="76"/>
      <c r="C11" s="77"/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1 16383:16384" ht="14.65" customHeight="1" x14ac:dyDescent="0.35">
      <c r="A12" s="238"/>
      <c r="B12" s="76"/>
      <c r="C12" s="77"/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T12" s="210" t="s">
        <v>121</v>
      </c>
      <c r="U12" s="211"/>
      <c r="XFD12" t="s">
        <v>62</v>
      </c>
    </row>
    <row r="13" spans="1:21 16383:16384" ht="15" thickBot="1" x14ac:dyDescent="0.4">
      <c r="A13" s="239"/>
      <c r="J13" s="78"/>
      <c r="K13" s="78"/>
      <c r="L13" s="79">
        <v>0.05</v>
      </c>
      <c r="T13" s="212"/>
      <c r="U13" s="213"/>
      <c r="XFD13" t="s">
        <v>63</v>
      </c>
    </row>
    <row r="14" spans="1:21 16383:16384" ht="29.25" customHeight="1" x14ac:dyDescent="0.6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49" t="s">
        <v>69</v>
      </c>
      <c r="J14" s="249" t="s">
        <v>70</v>
      </c>
      <c r="K14" s="249"/>
      <c r="L14" s="251"/>
      <c r="M14" s="24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Trust Store</v>
      </c>
      <c r="U14" s="164">
        <f>+'1'!P35</f>
        <v>985.33396151249997</v>
      </c>
      <c r="XFD14" t="s">
        <v>75</v>
      </c>
    </row>
    <row r="15" spans="1:21 16383:16384" ht="29.25" customHeight="1" thickBot="1" x14ac:dyDescent="0.65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50"/>
      <c r="J15" s="171" t="s">
        <v>78</v>
      </c>
      <c r="K15" s="171" t="s">
        <v>79</v>
      </c>
      <c r="L15" s="174" t="s">
        <v>80</v>
      </c>
      <c r="M15" s="2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762.37241759999995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100</v>
      </c>
      <c r="I16" s="1">
        <f>(G16*D16)*F16+H16*F16</f>
        <v>5246.25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183.61875000000001</v>
      </c>
      <c r="L16" s="175">
        <f>+'1'!L16+'2'!L16+'4'!L16+'3'!L16+'5'!L16+'6'!L16+'7'!L16+'8'!L16+'9'!L16+'10'!L16</f>
        <v>419.70000000000005</v>
      </c>
      <c r="M16" s="106">
        <f>I16-K16-L16</f>
        <v>4642.9312500000005</v>
      </c>
      <c r="N16" s="101">
        <f>+'1'!N16+'2'!N16+'4'!N16+'3'!N16+'5'!N16+'6'!N16+'7'!N16+'8'!N16+'9'!N16+'10'!N16</f>
        <v>854.29934999999989</v>
      </c>
      <c r="O16" s="101">
        <f>+'1'!O16+'2'!O16+'4'!O16+'3'!O16+'5'!O16+'6'!O16+'7'!O16+'8'!O16+'9'!O16+'10'!O16</f>
        <v>27.486152999999998</v>
      </c>
      <c r="P16" s="105">
        <f t="shared" ref="P16:P24" si="0">M16+N16+O16</f>
        <v>5524.7167530000006</v>
      </c>
      <c r="Q16" s="108"/>
      <c r="T16" s="163" t="str">
        <f>+'3'!A5</f>
        <v xml:space="preserve">Customer Name : Bilal Store </v>
      </c>
      <c r="U16" s="164">
        <f>+'3'!P35</f>
        <v>762.37241759999995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55.085625000000007</v>
      </c>
      <c r="L17" s="175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250.71828749999997</v>
      </c>
      <c r="O17" s="101">
        <f>+'1'!O17+'2'!O17+'4'!O17+'3'!O17+'5'!O17+'6'!O17+'7'!O17+'8'!O17+'9'!O17+'10'!O17</f>
        <v>8.2179883124999993</v>
      </c>
      <c r="P17" s="120">
        <f t="shared" si="0"/>
        <v>1651.8156508124998</v>
      </c>
      <c r="S17" s="64"/>
      <c r="T17" s="163" t="str">
        <f>+'4'!A5</f>
        <v>Customer Name : 786 Store</v>
      </c>
      <c r="U17" s="164">
        <f>+'4'!P35</f>
        <v>16772.6924511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Groccer Mart </v>
      </c>
      <c r="U18" s="164">
        <f>+'5'!P35</f>
        <v>4553.1228173250001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45</v>
      </c>
      <c r="I19" s="1">
        <f t="shared" si="1"/>
        <v>3268.8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114.40800000000002</v>
      </c>
      <c r="L19" s="175">
        <f>+'1'!L19+'2'!L19+'4'!L19+'3'!L19+'5'!L19+'6'!L19+'7'!L19+'8'!L19+'9'!L19+'10'!L19</f>
        <v>261.50400000000002</v>
      </c>
      <c r="M19" s="118">
        <f t="shared" si="2"/>
        <v>2892.8880000000004</v>
      </c>
      <c r="N19" s="101">
        <f>+'1'!N19+'2'!N19+'4'!N19+'3'!N19+'5'!N19+'6'!N19+'7'!N19+'8'!N19+'9'!N19+'10'!N19</f>
        <v>559.29168000000004</v>
      </c>
      <c r="O19" s="101">
        <f>+'1'!O19+'2'!O19+'4'!O19+'3'!O19+'5'!O19+'6'!O19+'7'!O19+'8'!O19+'9'!O19+'10'!O19</f>
        <v>40.789720799999998</v>
      </c>
      <c r="P19" s="120">
        <f t="shared" si="0"/>
        <v>3492.9694008000001</v>
      </c>
      <c r="T19" s="163" t="str">
        <f>+'6'!A5</f>
        <v>Customer Name : Bin Hadi Store</v>
      </c>
      <c r="U19" s="164">
        <f>+'6'!P35</f>
        <v>2625.9552690750002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152.54400000000001</v>
      </c>
      <c r="L20" s="175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720.00767999999994</v>
      </c>
      <c r="O20" s="101">
        <f>+'1'!O20+'2'!O20+'4'!O20+'3'!O20+'5'!O20+'6'!O20+'7'!O20+'8'!O20+'9'!O20+'10'!O20</f>
        <v>38.571840000000002</v>
      </c>
      <c r="P20" s="120">
        <f t="shared" si="0"/>
        <v>4615.7635199999995</v>
      </c>
      <c r="T20" s="163" t="str">
        <f>+'7'!A5</f>
        <v xml:space="preserve">Customer Name : Besta Mart 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155</v>
      </c>
      <c r="I21" s="1">
        <f t="shared" si="1"/>
        <v>11259.2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394.072</v>
      </c>
      <c r="L21" s="175">
        <f>+'1'!L21+'2'!L21+'4'!L21+'3'!L21+'5'!L21+'6'!L21+'7'!L21+'8'!L21+'9'!L21+'10'!L21</f>
        <v>900.73599999999988</v>
      </c>
      <c r="M21" s="118">
        <f t="shared" si="2"/>
        <v>9964.3919999999998</v>
      </c>
      <c r="N21" s="101">
        <f>+'1'!N21+'2'!N21+'4'!N21+'3'!N21+'5'!N21+'6'!N21+'7'!N21+'8'!N21+'9'!N21+'10'!N21</f>
        <v>1832.1623999999997</v>
      </c>
      <c r="O21" s="101">
        <f>+'1'!O21+'2'!O21+'4'!O21+'3'!O21+'5'!O21+'6'!O21+'7'!O21+'8'!O21+'9'!O21+'10'!O21</f>
        <v>82.511594400000021</v>
      </c>
      <c r="P21" s="120">
        <f t="shared" si="0"/>
        <v>11879.0659944</v>
      </c>
      <c r="T21" s="163" t="str">
        <f>+'8'!A5</f>
        <v xml:space="preserve">Customer Name : K S Mart </v>
      </c>
      <c r="U21" s="164">
        <f>+'8'!P35</f>
        <v>762.37241759999995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100</v>
      </c>
      <c r="I22" s="1">
        <f t="shared" si="1"/>
        <v>3923.0000000000005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137.30500000000004</v>
      </c>
      <c r="L22" s="175">
        <f>+'1'!L22+'2'!L22+'4'!L22+'3'!L22+'5'!L22+'6'!L22+'7'!L22+'8'!L22+'9'!L22+'10'!L22</f>
        <v>392.30000000000013</v>
      </c>
      <c r="M22" s="118">
        <f t="shared" si="2"/>
        <v>3393.3950000000004</v>
      </c>
      <c r="N22" s="101">
        <f>+'1'!N22+'2'!N22+'4'!N22+'3'!N22+'5'!N22+'6'!N22+'7'!N22+'8'!N22+'9'!N22+'10'!N22</f>
        <v>624.38468</v>
      </c>
      <c r="O22" s="101">
        <f>+'1'!O22+'2'!O22+'4'!O22+'3'!O22+'5'!O22+'6'!O22+'7'!O22+'8'!O22+'9'!O22+'10'!O22</f>
        <v>20.088898400000005</v>
      </c>
      <c r="P22" s="120">
        <f t="shared" si="0"/>
        <v>4037.8685784000004</v>
      </c>
      <c r="T22" s="163" t="str">
        <f>+'9'!A5</f>
        <v>Customer Name : Hafiz Store</v>
      </c>
      <c r="U22" s="164">
        <f>+'9'!P35</f>
        <v>3215.605728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0" t="s">
        <v>84</v>
      </c>
      <c r="B25" s="221"/>
      <c r="C25" s="222">
        <f>H25/40</f>
        <v>12.25</v>
      </c>
      <c r="D25" s="216"/>
      <c r="E25" s="216"/>
      <c r="F25" s="216"/>
      <c r="G25" s="176">
        <f t="shared" ref="G25:M25" si="3">SUM(G16:G24)</f>
        <v>0</v>
      </c>
      <c r="H25" s="177">
        <f t="shared" si="3"/>
        <v>490</v>
      </c>
      <c r="I25" s="178">
        <f t="shared" si="3"/>
        <v>29629.525000000001</v>
      </c>
      <c r="J25" s="177">
        <f t="shared" si="3"/>
        <v>0</v>
      </c>
      <c r="K25" s="178">
        <f t="shared" si="3"/>
        <v>1037.033375</v>
      </c>
      <c r="L25" s="179">
        <f t="shared" si="3"/>
        <v>2448.8220000000001</v>
      </c>
      <c r="M25" s="141">
        <f t="shared" si="3"/>
        <v>26143.669624999999</v>
      </c>
      <c r="N25" s="142">
        <f>SUM(N16:N24)</f>
        <v>4840.8640774999994</v>
      </c>
      <c r="O25" s="143">
        <f>SUM(O16:O24)</f>
        <v>217.66619491250003</v>
      </c>
      <c r="P25" s="144">
        <f>SUM(P16:P24)</f>
        <v>31202.199897412502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31202.199897412498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3" t="s">
        <v>85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5"/>
      <c r="N36" s="232" t="s">
        <v>86</v>
      </c>
      <c r="O36" s="233"/>
      <c r="P36" s="152">
        <f>I25</f>
        <v>29629.525000000001</v>
      </c>
    </row>
    <row r="37" spans="1:21" ht="15" customHeight="1" x14ac:dyDescent="0.35">
      <c r="B37" s="226"/>
      <c r="C37" s="227"/>
      <c r="D37" s="227"/>
      <c r="E37" s="227"/>
      <c r="F37" s="227"/>
      <c r="G37" s="227"/>
      <c r="H37" s="227"/>
      <c r="I37" s="227"/>
      <c r="J37" s="227"/>
      <c r="K37" s="227"/>
      <c r="L37" s="228"/>
      <c r="N37" s="234" t="s">
        <v>87</v>
      </c>
      <c r="O37" s="235"/>
      <c r="P37" s="153">
        <f>L25</f>
        <v>2448.8220000000001</v>
      </c>
    </row>
    <row r="38" spans="1:21" ht="15" customHeight="1" x14ac:dyDescent="0.35">
      <c r="B38" s="226"/>
      <c r="C38" s="227"/>
      <c r="D38" s="227"/>
      <c r="E38" s="227"/>
      <c r="F38" s="227"/>
      <c r="G38" s="227"/>
      <c r="H38" s="227"/>
      <c r="I38" s="227"/>
      <c r="J38" s="227"/>
      <c r="K38" s="227"/>
      <c r="L38" s="228"/>
      <c r="N38" s="234" t="s">
        <v>4</v>
      </c>
      <c r="O38" s="235"/>
      <c r="P38" s="154">
        <f>K25</f>
        <v>1037.033375</v>
      </c>
    </row>
    <row r="39" spans="1:21" ht="15" customHeight="1" x14ac:dyDescent="0.35">
      <c r="B39" s="226"/>
      <c r="C39" s="227"/>
      <c r="D39" s="227"/>
      <c r="E39" s="227"/>
      <c r="F39" s="227"/>
      <c r="G39" s="227"/>
      <c r="H39" s="227"/>
      <c r="I39" s="227"/>
      <c r="J39" s="227"/>
      <c r="K39" s="227"/>
      <c r="L39" s="228"/>
      <c r="M39" s="2"/>
      <c r="N39" s="234" t="s">
        <v>88</v>
      </c>
      <c r="O39" s="235"/>
      <c r="P39" s="153">
        <f>P36-P37-P38</f>
        <v>26143.669625000002</v>
      </c>
    </row>
    <row r="40" spans="1:21" ht="15" customHeight="1" x14ac:dyDescent="0.35">
      <c r="B40" s="226"/>
      <c r="C40" s="227"/>
      <c r="D40" s="227"/>
      <c r="E40" s="227"/>
      <c r="F40" s="227"/>
      <c r="G40" s="227"/>
      <c r="H40" s="227"/>
      <c r="I40" s="227"/>
      <c r="J40" s="227"/>
      <c r="K40" s="227"/>
      <c r="L40" s="228"/>
      <c r="M40" s="2"/>
      <c r="N40" s="155" t="s">
        <v>89</v>
      </c>
      <c r="O40" s="156">
        <f>IF(B12="Registered",18%,22%)</f>
        <v>0.22</v>
      </c>
      <c r="P40" s="153">
        <f>N25</f>
        <v>4840.8640774999994</v>
      </c>
    </row>
    <row r="41" spans="1:21" ht="15" customHeight="1" x14ac:dyDescent="0.35">
      <c r="B41" s="226"/>
      <c r="C41" s="227"/>
      <c r="D41" s="227"/>
      <c r="E41" s="227"/>
      <c r="F41" s="227"/>
      <c r="G41" s="227"/>
      <c r="H41" s="227"/>
      <c r="I41" s="227"/>
      <c r="J41" s="227"/>
      <c r="K41" s="227"/>
      <c r="L41" s="228"/>
      <c r="M41" s="2"/>
      <c r="N41" s="236" t="s">
        <v>90</v>
      </c>
      <c r="O41" s="237"/>
      <c r="P41" s="153">
        <f>P39+P40</f>
        <v>30984.533702500001</v>
      </c>
    </row>
    <row r="42" spans="1:21" ht="15" customHeight="1" thickBot="1" x14ac:dyDescent="0.4">
      <c r="B42" s="229"/>
      <c r="C42" s="230"/>
      <c r="D42" s="230"/>
      <c r="E42" s="230"/>
      <c r="F42" s="230"/>
      <c r="G42" s="230"/>
      <c r="H42" s="230"/>
      <c r="I42" s="230"/>
      <c r="J42" s="230"/>
      <c r="K42" s="230"/>
      <c r="L42" s="231"/>
      <c r="M42" s="157"/>
      <c r="N42" s="158" t="s">
        <v>91</v>
      </c>
      <c r="O42" s="159">
        <f>IF(B11="Filer",0.5%,2.5%)</f>
        <v>2.5000000000000001E-2</v>
      </c>
      <c r="P42" s="153">
        <f>O42*P41</f>
        <v>774.61334256250007</v>
      </c>
    </row>
    <row r="43" spans="1:21" ht="15.75" customHeight="1" thickBot="1" x14ac:dyDescent="0.4">
      <c r="N43" s="214" t="s">
        <v>92</v>
      </c>
      <c r="O43" s="215"/>
      <c r="P43" s="160">
        <f>P41+P42</f>
        <v>31759.147045062502</v>
      </c>
    </row>
    <row r="44" spans="1:21" ht="15" thickBot="1" x14ac:dyDescent="0.4">
      <c r="B44" s="161" t="s">
        <v>93</v>
      </c>
      <c r="C44" s="216"/>
      <c r="D44" s="216"/>
      <c r="E44" s="216"/>
      <c r="F44" s="216"/>
      <c r="G44" s="216"/>
      <c r="H44" s="216"/>
      <c r="I44" s="217"/>
      <c r="J44" s="218"/>
      <c r="K44" s="219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6" t="s">
        <v>45</v>
      </c>
      <c r="B2" s="256"/>
      <c r="C2" s="256"/>
    </row>
    <row r="3" spans="1:26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7" t="s">
        <v>122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26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6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6 16383:16384" x14ac:dyDescent="0.35">
      <c r="A10" s="238" t="s">
        <v>95</v>
      </c>
      <c r="B10" s="75" t="s">
        <v>124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6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6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26 16383:16384" ht="15" thickBot="1" x14ac:dyDescent="0.4">
      <c r="A13" s="239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S14" s="257" t="s">
        <v>117</v>
      </c>
      <c r="T14" s="257"/>
      <c r="U14" s="257"/>
      <c r="V14" s="257"/>
      <c r="W14" s="258" t="s">
        <v>119</v>
      </c>
      <c r="X14" s="258"/>
      <c r="Y14" s="258"/>
      <c r="Z14" s="258"/>
      <c r="XFD14" t="s">
        <v>75</v>
      </c>
    </row>
    <row r="15" spans="1:26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 t="shared" ref="O16:O24" si="1">(N16+M16)*$O$15</f>
        <v>2.8321880625000002</v>
      </c>
      <c r="P16" s="105">
        <f t="shared" ref="P16:P24" si="2">M16+N16+O16</f>
        <v>569.2698005625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9" t="s">
        <v>118</v>
      </c>
      <c r="T19" s="259"/>
      <c r="U19" s="259"/>
      <c r="V19" s="259"/>
      <c r="W19" s="260" t="s">
        <v>116</v>
      </c>
      <c r="X19" s="260"/>
      <c r="Y19" s="260"/>
      <c r="Z19" s="260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6"/>
        <v>339.33950000000004</v>
      </c>
      <c r="N22" s="118">
        <f t="shared" si="0"/>
        <v>74.654690000000016</v>
      </c>
      <c r="O22" s="119">
        <f t="shared" si="1"/>
        <v>2.0699709500000005</v>
      </c>
      <c r="P22" s="120">
        <f t="shared" si="2"/>
        <v>416.06416095000009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13">SUM(G16:G24)</f>
        <v>0</v>
      </c>
      <c r="H25" s="136">
        <f t="shared" si="13"/>
        <v>20</v>
      </c>
      <c r="I25" s="137">
        <f t="shared" si="13"/>
        <v>916.92500000000007</v>
      </c>
      <c r="J25" s="138"/>
      <c r="K25" s="139">
        <f t="shared" si="13"/>
        <v>32.092375000000004</v>
      </c>
      <c r="L25" s="140">
        <f t="shared" si="13"/>
        <v>81.200000000000017</v>
      </c>
      <c r="M25" s="141">
        <f t="shared" si="13"/>
        <v>803.63262500000008</v>
      </c>
      <c r="N25" s="142">
        <f>SUM(N16:N24)</f>
        <v>176.79917750000004</v>
      </c>
      <c r="O25" s="143">
        <f>SUM(O16:O24)</f>
        <v>4.9021590125000003</v>
      </c>
      <c r="P25" s="144">
        <f>SUM(P16:P24)</f>
        <v>985.33396151250008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916.92500000000007</v>
      </c>
    </row>
    <row r="29" spans="1:26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81.200000000000017</v>
      </c>
    </row>
    <row r="30" spans="1:26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32.092375000000004</v>
      </c>
    </row>
    <row r="31" spans="1:26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803.63262499999996</v>
      </c>
    </row>
    <row r="32" spans="1:26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176.79917750000004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980.4318025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4.9021590125000003</v>
      </c>
    </row>
    <row r="35" spans="2:16" ht="15.75" customHeight="1" thickBot="1" x14ac:dyDescent="0.4">
      <c r="N35" s="214" t="s">
        <v>92</v>
      </c>
      <c r="O35" s="215"/>
      <c r="P35" s="160">
        <f>P33+P34</f>
        <v>985.33396151249997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2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125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126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168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726.4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58.112000000000002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25.424000000000003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642.86400000000003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758.57952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4" t="s">
        <v>92</v>
      </c>
      <c r="O35" s="215"/>
      <c r="P35" s="160">
        <f>P33+P34</f>
        <v>762.37241759999995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4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127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128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126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169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726.4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58.112000000000002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25.424000000000003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642.86400000000003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758.57952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4" t="s">
        <v>92</v>
      </c>
      <c r="O35" s="215"/>
      <c r="P35" s="160">
        <f>P33+P34</f>
        <v>762.37241759999995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3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129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130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131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3520138776599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21.914635499999999</v>
      </c>
      <c r="P16" s="105">
        <f t="shared" ref="P16:P24" si="1">M16+N16+O16</f>
        <v>4404.8417355000001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488.64888000000002</v>
      </c>
      <c r="O22" s="119">
        <f t="shared" si="6"/>
        <v>16.016824400000004</v>
      </c>
      <c r="P22" s="120">
        <f t="shared" si="1"/>
        <v>3219.3817044000007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561.82700000000011</v>
      </c>
      <c r="L25" s="140">
        <f t="shared" si="9"/>
        <v>1346.9440000000002</v>
      </c>
      <c r="M25" s="141">
        <f t="shared" si="9"/>
        <v>14143.429</v>
      </c>
      <c r="N25" s="142">
        <f>SUM(N16:N24)</f>
        <v>2545.8172200000004</v>
      </c>
      <c r="O25" s="143">
        <f>SUM(O16:O24)</f>
        <v>83.446231100000006</v>
      </c>
      <c r="P25" s="144">
        <f>SUM(P16:P24)</f>
        <v>16772.692451100003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16052.2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1346.9440000000002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561.82700000000011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14143.429000000002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2545.8172200000004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16689.246220000001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83.446231100000006</v>
      </c>
    </row>
    <row r="35" spans="2:16" ht="15.75" customHeight="1" thickBot="1" x14ac:dyDescent="0.4">
      <c r="N35" s="214" t="s">
        <v>92</v>
      </c>
      <c r="O35" s="215"/>
      <c r="P35" s="160">
        <f>P33+P34</f>
        <v>16772.6924511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activeCell="A2" sqref="A2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5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132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>
        <v>1881146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8110112801763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61.081110000000002</v>
      </c>
      <c r="O22" s="119">
        <f t="shared" si="6"/>
        <v>2.0021030500000006</v>
      </c>
      <c r="P22" s="120">
        <f t="shared" si="1"/>
        <v>402.42271305000008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70</v>
      </c>
      <c r="I25" s="137">
        <f t="shared" si="9"/>
        <v>4347.1500000000005</v>
      </c>
      <c r="J25" s="138"/>
      <c r="K25" s="139">
        <f t="shared" si="9"/>
        <v>152.15025000000003</v>
      </c>
      <c r="L25" s="140">
        <f t="shared" si="9"/>
        <v>355.61800000000005</v>
      </c>
      <c r="M25" s="141">
        <f t="shared" si="9"/>
        <v>3839.3817500000005</v>
      </c>
      <c r="N25" s="142">
        <f>SUM(N16:N24)</f>
        <v>691.08871499999987</v>
      </c>
      <c r="O25" s="143">
        <f>SUM(O16:O24)</f>
        <v>22.652352325000003</v>
      </c>
      <c r="P25" s="144">
        <f>SUM(P16:P24)</f>
        <v>4553.1228173250001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4347.1500000000005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355.61800000000005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152.15025000000003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3839.3817500000005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691.08871499999987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4530.4704650000003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22.652352325000003</v>
      </c>
    </row>
    <row r="35" spans="2:16" ht="15.75" customHeight="1" thickBot="1" x14ac:dyDescent="0.4">
      <c r="N35" s="214" t="s">
        <v>92</v>
      </c>
      <c r="O35" s="215"/>
      <c r="P35" s="160">
        <f>P33+P34</f>
        <v>4553.1228173250001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6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133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134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4050167740405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  <c r="R18" s="193"/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87.571750000000009</v>
      </c>
      <c r="L25" s="140">
        <f t="shared" si="9"/>
        <v>200.16399999999999</v>
      </c>
      <c r="M25" s="141">
        <f t="shared" si="9"/>
        <v>2214.3142500000004</v>
      </c>
      <c r="N25" s="142">
        <f>SUM(N16:N24)</f>
        <v>398.57656499999996</v>
      </c>
      <c r="O25" s="143">
        <f>SUM(O16:O24)</f>
        <v>13.064454075</v>
      </c>
      <c r="P25" s="144">
        <f>SUM(P16:P24)</f>
        <v>2625.9552690750002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2502.0500000000002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200.16399999999999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87.571750000000009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2214.3142500000004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398.57656499999996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2612.8908150000002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13.064454075</v>
      </c>
    </row>
    <row r="35" spans="2:16" ht="15.75" customHeight="1" thickBot="1" x14ac:dyDescent="0.4">
      <c r="N35" s="214" t="s">
        <v>92</v>
      </c>
      <c r="O35" s="215"/>
      <c r="P35" s="160">
        <f>P33+P34</f>
        <v>2625.9552690750002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7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135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136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137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726.4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58.112000000000002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25.424000000000003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642.86400000000003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758.57952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4" t="s">
        <v>92</v>
      </c>
      <c r="O35" s="215"/>
      <c r="P35" s="160">
        <f>P33+P34</f>
        <v>762.37241759999995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8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138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56788995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3520114977654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726.4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58.112000000000002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25.424000000000003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642.86400000000003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758.57952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4" t="s">
        <v>92</v>
      </c>
      <c r="O35" s="215"/>
      <c r="P35" s="160">
        <f>P33+P34</f>
        <v>762.37241759999995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9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139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123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7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2905.6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232.44799999999998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101.696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2571.4560000000001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3137.17632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4" t="s">
        <v>92</v>
      </c>
      <c r="O35" s="215"/>
      <c r="P35" s="160">
        <f>P33+P34</f>
        <v>3215.605728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80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46206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102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46205</v>
      </c>
      <c r="O5" s="241"/>
      <c r="P5" s="241"/>
      <c r="R5" s="70"/>
      <c r="S5" s="71"/>
    </row>
    <row r="6" spans="1:19 16383:16384" ht="15" customHeight="1" x14ac:dyDescent="0.35">
      <c r="A6" s="240" t="s">
        <v>103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>
        <v>0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2026-07-03T13:16:07Z</dcterms:modified>
</cp:coreProperties>
</file>