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697227F-F91C-4F4A-ABAF-16F59AC571D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7" l="1"/>
  <c r="K21" i="17"/>
  <c r="K18" i="19"/>
  <c r="K19" i="19"/>
  <c r="K20" i="19"/>
  <c r="K21" i="19"/>
  <c r="K17" i="18"/>
  <c r="K18" i="18"/>
  <c r="K19" i="18"/>
  <c r="K20" i="18"/>
  <c r="K21" i="18"/>
  <c r="K17" i="20"/>
  <c r="K18" i="21"/>
  <c r="K17" i="22"/>
  <c r="K18" i="22"/>
  <c r="K20" i="22"/>
  <c r="K18" i="23"/>
  <c r="K19" i="23"/>
  <c r="K20" i="23"/>
  <c r="K21" i="23"/>
  <c r="K17" i="24"/>
  <c r="K17" i="25"/>
  <c r="K18" i="25"/>
  <c r="K17" i="26"/>
  <c r="K18" i="27"/>
  <c r="K18" i="28"/>
  <c r="K17" i="29"/>
  <c r="K18" i="29"/>
  <c r="K17" i="30"/>
  <c r="K18" i="30"/>
  <c r="K17" i="31"/>
  <c r="K18" i="31"/>
  <c r="K17" i="32"/>
  <c r="K18" i="32"/>
  <c r="K17" i="33"/>
  <c r="K18" i="33"/>
  <c r="K19" i="33"/>
  <c r="K20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21" i="16"/>
  <c r="K16" i="18"/>
  <c r="K16" i="20"/>
  <c r="K16" i="22"/>
  <c r="K16" i="24"/>
  <c r="K16" i="25"/>
  <c r="K16" i="26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I20" i="33"/>
  <c r="I16" i="30"/>
  <c r="I17" i="30"/>
  <c r="I18" i="30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I17" i="32"/>
  <c r="I18" i="32"/>
  <c r="I19" i="32"/>
  <c r="K19" i="32" s="1"/>
  <c r="I20" i="32"/>
  <c r="K20" i="32" s="1"/>
  <c r="I21" i="32"/>
  <c r="K21" i="32" s="1"/>
  <c r="I16" i="33"/>
  <c r="L16" i="33" s="1"/>
  <c r="I16" i="31"/>
  <c r="I17" i="31"/>
  <c r="I18" i="31"/>
  <c r="L18" i="31" s="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21" i="32"/>
  <c r="K23" i="32"/>
  <c r="L23" i="32"/>
  <c r="M23" i="32" s="1"/>
  <c r="L17" i="31"/>
  <c r="M17" i="31" s="1"/>
  <c r="K24" i="31"/>
  <c r="L24" i="31"/>
  <c r="L16" i="31"/>
  <c r="L23" i="31"/>
  <c r="L21" i="30"/>
  <c r="M21" i="30" s="1"/>
  <c r="L23" i="30"/>
  <c r="L16" i="30"/>
  <c r="L17" i="30"/>
  <c r="K24" i="30"/>
  <c r="L24" i="30"/>
  <c r="L16" i="29"/>
  <c r="K24" i="29"/>
  <c r="M24" i="29" s="1"/>
  <c r="L24" i="29"/>
  <c r="L17" i="29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I25" i="32" l="1"/>
  <c r="P28" i="32" s="1"/>
  <c r="L20" i="32"/>
  <c r="L19" i="32"/>
  <c r="L20" i="31"/>
  <c r="L21" i="31"/>
  <c r="L20" i="30"/>
  <c r="L21" i="29"/>
  <c r="L20" i="29"/>
  <c r="L17" i="28"/>
  <c r="M17" i="28" s="1"/>
  <c r="L16" i="28"/>
  <c r="I25" i="28"/>
  <c r="P28" i="28" s="1"/>
  <c r="M22" i="35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M23" i="33" s="1"/>
  <c r="N23" i="33" s="1"/>
  <c r="O23" i="33" s="1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M24" i="33"/>
  <c r="M23" i="35"/>
  <c r="I16" i="26"/>
  <c r="I17" i="26"/>
  <c r="I18" i="26"/>
  <c r="K18" i="26" s="1"/>
  <c r="I19" i="26"/>
  <c r="K19" i="26" s="1"/>
  <c r="I20" i="26"/>
  <c r="I21" i="26"/>
  <c r="K21" i="26" s="1"/>
  <c r="I22" i="26"/>
  <c r="I23" i="26"/>
  <c r="I24" i="26"/>
  <c r="L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4" i="31"/>
  <c r="O24" i="31" s="1"/>
  <c r="P24" i="31"/>
  <c r="N17" i="31"/>
  <c r="O17" i="31" s="1"/>
  <c r="M16" i="3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4" i="29"/>
  <c r="O24" i="29" s="1"/>
  <c r="P24" i="29" s="1"/>
  <c r="N24" i="28"/>
  <c r="O24" i="28" s="1"/>
  <c r="P24" i="28" s="1"/>
  <c r="N23" i="28"/>
  <c r="O23" i="28" s="1"/>
  <c r="P23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K25" i="33" l="1"/>
  <c r="P30" i="33" s="1"/>
  <c r="M24" i="26"/>
  <c r="L21" i="26"/>
  <c r="L25" i="31"/>
  <c r="P29" i="31" s="1"/>
  <c r="L20" i="26"/>
  <c r="K20" i="26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P31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M20" i="26"/>
  <c r="N20" i="26" s="1"/>
  <c r="O20" i="26" s="1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K19" i="25" s="1"/>
  <c r="I20" i="25"/>
  <c r="K20" i="25" s="1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K19" i="20" s="1"/>
  <c r="I21" i="20"/>
  <c r="I23" i="20"/>
  <c r="L23" i="20" s="1"/>
  <c r="M25" i="27"/>
  <c r="P24" i="27"/>
  <c r="I16" i="24"/>
  <c r="L16" i="24" s="1"/>
  <c r="I17" i="24"/>
  <c r="L17" i="24" s="1"/>
  <c r="I18" i="24"/>
  <c r="K18" i="24" s="1"/>
  <c r="I19" i="24"/>
  <c r="I20" i="24"/>
  <c r="K20" i="24" s="1"/>
  <c r="I21" i="24"/>
  <c r="I22" i="24"/>
  <c r="I21" i="23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I19" i="23"/>
  <c r="I23" i="22"/>
  <c r="K23" i="22" s="1"/>
  <c r="I24" i="22"/>
  <c r="L24" i="22" s="1"/>
  <c r="I23" i="21"/>
  <c r="K23" i="21" s="1"/>
  <c r="I16" i="23"/>
  <c r="I18" i="23"/>
  <c r="L18" i="23" s="1"/>
  <c r="I20" i="23"/>
  <c r="L20" i="23" s="1"/>
  <c r="I22" i="23"/>
  <c r="I24" i="23"/>
  <c r="L24" i="23" s="1"/>
  <c r="I16" i="20"/>
  <c r="L16" i="20" s="1"/>
  <c r="I18" i="20"/>
  <c r="K18" i="20" s="1"/>
  <c r="I20" i="20"/>
  <c r="I22" i="20"/>
  <c r="I24" i="20"/>
  <c r="K24" i="20" s="1"/>
  <c r="I16" i="21"/>
  <c r="I18" i="21"/>
  <c r="I20" i="21"/>
  <c r="K20" i="21" s="1"/>
  <c r="I22" i="2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I23" i="17"/>
  <c r="K23" i="17" s="1"/>
  <c r="I24" i="17"/>
  <c r="K24" i="17" s="1"/>
  <c r="I19" i="18"/>
  <c r="I23" i="18"/>
  <c r="L23" i="18" s="1"/>
  <c r="L18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25" l="1"/>
  <c r="L21" i="25"/>
  <c r="K21" i="25"/>
  <c r="L21" i="24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M18" i="18"/>
  <c r="N18" i="18" s="1"/>
  <c r="O18" i="18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K19" i="16" s="1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4" l="1"/>
  <c r="N22" i="24" s="1"/>
  <c r="O22" i="24" s="1"/>
  <c r="M20" i="20"/>
  <c r="N20" i="20" s="1"/>
  <c r="O20" i="20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24" l="1"/>
  <c r="P22" i="21"/>
  <c r="M21" i="15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<sst xmlns="http://schemas.openxmlformats.org/spreadsheetml/2006/main" count="1640" uniqueCount="162">
  <si>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</si>
  <si>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</si>
  <si>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</si>
  <si>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</si>
  <si>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</si>
  <si>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</si>
  <si>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</si>
  <si>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</si>
  <si>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</si>
  <si>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</si>
  <si>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</si>
  <si>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</si>
  <si>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</si>
  <si>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</si>
  <si>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</si>
  <si>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</si>
  <si>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</si>
  <si>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</si>
  <si>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</si>
  <si>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</si>
  <si>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</si>
  <si>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</si>
  <si>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</si>
  <si>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</si>
  <si>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</si>
  <si>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</si>
  <si>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</si>
  <si>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</si>
  <si>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</si>
  <si>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</si>
  <si>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</si>
  <si>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</si>
  <si>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</si>
  <si>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</si>
  <si>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</si>
  <si>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</si>
  <si>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</si>
  <si>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</si>
  <si>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</si>
  <si>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</si>
  <si>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</si>
  <si>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</si>
  <si>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</si>
  <si>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</si>
  <si>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</si>
  <si>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</si>
  <si>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</si>
  <si>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</si>
  <si>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</si>
  <si>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</si>
  <si>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</si>
  <si>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</si>
  <si>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</si>
  <si>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</si>
  <si>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</si>
  <si>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</si>
  <si>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</si>
  <si>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</si>
  <si>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</si>
  <si>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</si>
  <si>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</si>
  <si>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</si>
  <si>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</si>
  <si>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</si>
  <si>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</si>
  <si>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</si>
  <si>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</si>
  <si>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</si>
  <si>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</si>
  <si>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</si>
  <si>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</si>
  <si>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</si>
  <si>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</si>
  <si>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</si>
  <si>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</si>
  <si>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</si>
  <si>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</si>
  <si>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</si>
  <si>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</si>
  <si>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</si>
  <si>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</si>
  <si>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</si>
  <si>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</si>
  <si>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</si>
  <si>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</si>
  <si>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</si>
  <si>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</si>
  <si>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</si>
  <si>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</si>
  <si>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</si>
  <si>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</si>
  <si>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</si>
  <si>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</si>
  <si>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</si>
  <si>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</si>
  <si>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</si>
  <si>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</si>
  <si>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</si>
  <si>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</si>
  <si>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</si>
  <si>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</si>
  <si>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</si>
  <si>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</si>
  <si>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</si>
  <si>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</si>
  <si>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</si>
  <si>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</si>
  <si>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</si>
  <si>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</si>
  <si>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</si>
  <si>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</si>
  <si>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</si>
  <si>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</si>
  <si>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</si>
  <si>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</si>
  <si>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</si>
  <si>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</si>
  <si>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</si>
  <si>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</si>
  <si>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</si>
  <si>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Customer Name : Mughal Store</t>
  </si>
  <si>
    <t>Address: Seven Street</t>
  </si>
  <si>
    <t>Customer Name : Aashiyana Store</t>
  </si>
  <si>
    <t>Customer Name : Al Fateh Store</t>
  </si>
  <si>
    <t>Address: Cavelry Ground</t>
  </si>
  <si>
    <t xml:space="preserve">Customer Name : Imtyaz Mart </t>
  </si>
  <si>
    <t>Address: Rifal Range Road</t>
  </si>
  <si>
    <t>Customer Name : Hiker Mart</t>
  </si>
  <si>
    <t>2993126-6</t>
  </si>
  <si>
    <t xml:space="preserve">Customer Name : Shamza Bakers </t>
  </si>
  <si>
    <t>2321652-2</t>
  </si>
  <si>
    <t xml:space="preserve">Customer Name : Hamza Mart </t>
  </si>
  <si>
    <t>Address: Walton Road</t>
  </si>
  <si>
    <t>7164181-1</t>
  </si>
  <si>
    <t xml:space="preserve">Customer Name : Adil Sweets </t>
  </si>
  <si>
    <t>Address: Tajpura Road</t>
  </si>
  <si>
    <t>Customer Name : Fisal Store</t>
  </si>
  <si>
    <t>B831347-8</t>
  </si>
  <si>
    <t xml:space="preserve">Address: Tajpura A Block </t>
  </si>
  <si>
    <t>Customer Name : Kashmir Store</t>
  </si>
  <si>
    <t xml:space="preserve">Address: Tajpura C Block </t>
  </si>
  <si>
    <t>F554559-6</t>
  </si>
  <si>
    <t>Customer Name : 786 GS</t>
  </si>
  <si>
    <t xml:space="preserve">Address: Dubai Chowk Tajpura </t>
  </si>
  <si>
    <t>Customer Name : Basic Store</t>
  </si>
  <si>
    <t xml:space="preserve">Address: Upper Mall </t>
  </si>
  <si>
    <t xml:space="preserve">Customer Name : MG Mart </t>
  </si>
  <si>
    <t>Address: Tajpura Butt Chowk</t>
  </si>
  <si>
    <t xml:space="preserve">Customer Name : Baba G Welfair </t>
  </si>
  <si>
    <t>Address: Ghaziaabad Road</t>
  </si>
  <si>
    <t>Customer Name : Food Rite</t>
  </si>
  <si>
    <t xml:space="preserve">Address: Dharampura </t>
  </si>
  <si>
    <t>4031762-5</t>
  </si>
  <si>
    <t>Customer Name : Bhai Bhai Medical Store</t>
  </si>
  <si>
    <t>Address: Dharampura Road</t>
  </si>
  <si>
    <t>0159676-4</t>
  </si>
  <si>
    <t xml:space="preserve">Customer Name :Express Mart </t>
  </si>
  <si>
    <t>Address: Basti Saidan Shah</t>
  </si>
  <si>
    <t xml:space="preserve">Customer Name : Shera Mart </t>
  </si>
  <si>
    <t xml:space="preserve">Address: Nabipura </t>
  </si>
  <si>
    <t>Salman</t>
  </si>
  <si>
    <t>Shop Bill Summary(Salman)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</si>
</sst>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18" sqref="H1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zoomScale="70" zoomScaleNormal="70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160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161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Mughal Store</v>
      </c>
      <c r="U14" s="164">
        <f>+'1'!P35</f>
        <v>2102.9511003524999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Aashiyana Store</v>
      </c>
      <c r="U15" s="164">
        <f>+'2'!P35</f>
        <v>2127.682215459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82</v>
      </c>
      <c r="I16" s="1">
        <f>(G16*D16)*F16+H16*F16</f>
        <v>4301.9250000000002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95.481750000000005</v>
      </c>
      <c r="L16" s="174">
        <f>+'1'!L16+'2'!L16+'4'!L16+'3'!L16+'5'!L16+'6'!L16+'7'!L16+'8'!L16+'9'!L16+'10'!L16</f>
        <v>218.244</v>
      </c>
      <c r="M16" s="106">
        <f>I16-K16-L16</f>
        <v>3988.1992500000001</v>
      </c>
      <c r="N16" s="101">
        <f>+'1'!N16+'2'!N16+'4'!N16+'3'!N16+'5'!N16+'6'!N16+'7'!N16+'8'!N16+'9'!N16+'10'!N16</f>
        <v>531.15133500000002</v>
      </c>
      <c r="O16" s="101">
        <f>+'1'!O16+'2'!O16+'4'!O16+'3'!O16+'5'!O16+'6'!O16+'7'!O16+'8'!O16+'9'!O16+'10'!O16</f>
        <v>63.441012600000008</v>
      </c>
      <c r="P16" s="105">
        <f t="shared" ref="P16:P24" si="0">M16+N16+O16</f>
        <v>4582.7915976000004</v>
      </c>
      <c r="Q16" s="108"/>
      <c r="T16" s="163" t="str">
        <f>+'3'!A5</f>
        <v>Customer Name : Al Fateh Store</v>
      </c>
      <c r="U16" s="164">
        <f>+'3'!P35</f>
        <v>2008.904052825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82</v>
      </c>
      <c r="I17" s="1">
        <f t="shared" ref="I17:I23" si="1">(G17*D17)*F17+H17*F17</f>
        <v>4301.9250000000002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95.481750000000005</v>
      </c>
      <c r="L17" s="174">
        <f>+'1'!L17+'2'!L17+'4'!L17+'3'!L17+'5'!L17+'6'!L17+'7'!L17+'8'!L17+'9'!L17+'10'!L17</f>
        <v>218.244</v>
      </c>
      <c r="M17" s="118">
        <f t="shared" ref="M17:M23" si="2">I17-K17-L17</f>
        <v>3988.1992500000001</v>
      </c>
      <c r="N17" s="101">
        <f>+'1'!N17+'2'!N17+'4'!N17+'3'!N17+'5'!N17+'6'!N17+'7'!N17+'8'!N17+'9'!N17+'10'!N17</f>
        <v>531.15133500000002</v>
      </c>
      <c r="O17" s="101">
        <f>+'1'!O17+'2'!O17+'4'!O17+'3'!O17+'5'!O17+'6'!O17+'7'!O17+'8'!O17+'9'!O17+'10'!O17</f>
        <v>63.441012600000008</v>
      </c>
      <c r="P17" s="120">
        <f t="shared" si="0"/>
        <v>4582.7915976000004</v>
      </c>
      <c r="S17" s="64"/>
      <c r="T17" s="163" t="str">
        <f>+'4'!A5</f>
        <v xml:space="preserve">Customer Name : Imtyaz Mart </v>
      </c>
      <c r="U17" s="164">
        <f>+'4'!P35</f>
        <v>602.93622672000004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Hiker Mart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138</v>
      </c>
      <c r="I19" s="1">
        <f t="shared" si="1"/>
        <v>10024.32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144.91680000000002</v>
      </c>
      <c r="L19" s="174">
        <f>+'1'!L19+'2'!L19+'4'!L19+'3'!L19+'5'!L19+'6'!L19+'7'!L19+'8'!L19+'9'!L19+'10'!L19</f>
        <v>331.23840000000001</v>
      </c>
      <c r="M19" s="118">
        <f t="shared" si="2"/>
        <v>9548.1647999999986</v>
      </c>
      <c r="N19" s="101">
        <f>+'1'!N19+'2'!N19+'4'!N19+'3'!N19+'5'!N19+'6'!N19+'7'!N19+'8'!N19+'9'!N19+'10'!N19</f>
        <v>703.29321599999992</v>
      </c>
      <c r="O19" s="101">
        <f>+'1'!O19+'2'!O19+'4'!O19+'3'!O19+'5'!O19+'6'!O19+'7'!O19+'8'!O19+'9'!O19+'10'!O19</f>
        <v>21.838090080000001</v>
      </c>
      <c r="P19" s="120">
        <f t="shared" si="0"/>
        <v>10273.296106079999</v>
      </c>
      <c r="T19" s="163" t="str">
        <f>+'6'!A5</f>
        <v xml:space="preserve">Customer Name : Shamza Bakers </v>
      </c>
      <c r="U19" s="164">
        <f>+'6'!P35</f>
        <v>1175.6308242734999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83</v>
      </c>
      <c r="I20" s="1">
        <f t="shared" si="1"/>
        <v>6029.12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43.220800000000004</v>
      </c>
      <c r="L20" s="174">
        <f>+'1'!L20+'2'!L20+'4'!L20+'3'!L20+'5'!L20+'6'!L20+'7'!L20+'8'!L20+'9'!L20+'10'!L20</f>
        <v>98.790400000000005</v>
      </c>
      <c r="M20" s="118">
        <f t="shared" si="2"/>
        <v>5887.1088</v>
      </c>
      <c r="N20" s="101">
        <f>+'1'!N20+'2'!N20+'4'!N20+'3'!N20+'5'!N20+'6'!N20+'7'!N20+'8'!N20+'9'!N20+'10'!N20</f>
        <v>240.43113600000004</v>
      </c>
      <c r="O20" s="101">
        <f>+'1'!O20+'2'!O20+'4'!O20+'3'!O20+'5'!O20+'6'!O20+'7'!O20+'8'!O20+'9'!O20+'10'!O20</f>
        <v>6.6664996800000003</v>
      </c>
      <c r="P20" s="120">
        <f t="shared" si="0"/>
        <v>6134.2064356800001</v>
      </c>
      <c r="T20" s="163" t="str">
        <f>+'7'!A5</f>
        <v xml:space="preserve">Customer Name : Hamza Mart </v>
      </c>
      <c r="U20" s="164">
        <f>+'7'!P35</f>
        <v>9148.4690111999989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190</v>
      </c>
      <c r="I21" s="1">
        <f t="shared" si="1"/>
        <v>13801.6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272.03680000000003</v>
      </c>
      <c r="L21" s="174">
        <f>+'1'!L21+'2'!L21+'4'!L21+'3'!L21+'5'!L21+'6'!L21+'7'!L21+'8'!L21+'9'!L21+'10'!L21</f>
        <v>621.79840000000002</v>
      </c>
      <c r="M21" s="118">
        <f t="shared" si="2"/>
        <v>12907.764800000001</v>
      </c>
      <c r="N21" s="101">
        <f>+'1'!N21+'2'!N21+'4'!N21+'3'!N21+'5'!N21+'6'!N21+'7'!N21+'8'!N21+'9'!N21+'10'!N21</f>
        <v>1307.585376</v>
      </c>
      <c r="O21" s="101">
        <f>+'1'!O21+'2'!O21+'4'!O21+'3'!O21+'5'!O21+'6'!O21+'7'!O21+'8'!O21+'9'!O21+'10'!O21</f>
        <v>40.931150879999997</v>
      </c>
      <c r="P21" s="120">
        <f t="shared" si="0"/>
        <v>14256.28132688</v>
      </c>
      <c r="T21" s="163" t="str">
        <f>+'8'!A5</f>
        <v xml:space="preserve">Customer Name : Adil Sweets </v>
      </c>
      <c r="U21" s="164">
        <f>+'8'!P35</f>
        <v>2322.3942112499999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124</v>
      </c>
      <c r="I22" s="1">
        <f t="shared" si="1"/>
        <v>4864.5200000000004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215.92191999999997</v>
      </c>
      <c r="L22" s="174">
        <f>+'1'!L22+'2'!L22+'4'!L22+'3'!L22+'5'!L22+'6'!L22+'7'!L22+'8'!L22+'9'!L22+'10'!L22</f>
        <v>125.53600000000003</v>
      </c>
      <c r="M22" s="118">
        <f t="shared" si="2"/>
        <v>4523.0620800000006</v>
      </c>
      <c r="N22" s="101">
        <f>+'1'!N22+'2'!N22+'4'!N22+'3'!N22+'5'!N22+'6'!N22+'7'!N22+'8'!N22+'9'!N22+'10'!N22</f>
        <v>456.90082560000002</v>
      </c>
      <c r="O22" s="101">
        <f>+'1'!O22+'2'!O22+'4'!O22+'3'!O22+'5'!O22+'6'!O22+'7'!O22+'8'!O22+'9'!O22+'10'!O22</f>
        <v>41.249874240000011</v>
      </c>
      <c r="P22" s="120">
        <f t="shared" si="0"/>
        <v>5021.2127798400006</v>
      </c>
      <c r="T22" s="163" t="str">
        <f>+'9'!A5</f>
        <v>Customer Name : Fisal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Kashmir Store</v>
      </c>
      <c r="U23" s="164">
        <f>+'10'!P35</f>
        <v>3152.8622016000004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786 GS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17.475000000000001</v>
      </c>
      <c r="D25" s="230"/>
      <c r="E25" s="230"/>
      <c r="F25" s="230"/>
      <c r="G25" s="175">
        <f t="shared" ref="G25:M25" si="3">SUM(G16:G24)</f>
        <v>0</v>
      </c>
      <c r="H25" s="176">
        <f t="shared" si="3"/>
        <v>699</v>
      </c>
      <c r="I25" s="177">
        <f t="shared" si="3"/>
        <v>43323.41</v>
      </c>
      <c r="J25" s="176">
        <f t="shared" si="3"/>
        <v>0</v>
      </c>
      <c r="K25" s="177">
        <f t="shared" si="3"/>
        <v>867.05982000000006</v>
      </c>
      <c r="L25" s="178">
        <f t="shared" si="3"/>
        <v>1613.8512000000001</v>
      </c>
      <c r="M25" s="141">
        <f t="shared" si="3"/>
        <v>40842.498980000004</v>
      </c>
      <c r="N25" s="142">
        <f>SUM(N16:N24)</f>
        <v>3770.5132236000004</v>
      </c>
      <c r="O25" s="143">
        <f>SUM(O16:O24)</f>
        <v>237.56764007999999</v>
      </c>
      <c r="P25" s="144">
        <f>SUM(P16:P24)</f>
        <v>44850.579843680003</v>
      </c>
      <c r="T25" s="163" t="str">
        <f>+'12'!A5</f>
        <v>Customer Name : Basic Store</v>
      </c>
      <c r="U25" s="164">
        <f>+'12'!P35</f>
        <v>7837.5388284900009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MG Mart </v>
      </c>
      <c r="U26" s="164">
        <f>+'13'!P35</f>
        <v>5165.5189000050013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Baba G Welfair </v>
      </c>
      <c r="U27" s="164">
        <f>+'14'!P35</f>
        <v>3152.8622015999999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Food Rite</v>
      </c>
      <c r="U28" s="180">
        <f>+'15'!P35</f>
        <v>3049.4896703999998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>Customer Name : Bhai Bhai Medical Store</v>
      </c>
      <c r="U29" s="180">
        <f>+'16'!P35</f>
        <v>1576.4311008000002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:Express Mart </v>
      </c>
      <c r="U30" s="180">
        <f>+'17'!P35</f>
        <v>3215.605728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Shera Mart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46639.276272975003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43323.41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1613.8512000000001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867.05982000000006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40842.498980000004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3770.5132236000004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44613.012203600003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1115.32530509</v>
      </c>
    </row>
    <row r="43" spans="1:21" ht="15.75" customHeight="1" thickBot="1" x14ac:dyDescent="0.4">
      <c r="N43" s="228" t="s">
        <v>92</v>
      </c>
      <c r="O43" s="229"/>
      <c r="P43" s="160">
        <f>P41+P42</f>
        <v>45728.337508690005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26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13</v>
      </c>
      <c r="I16" s="102">
        <f>(G16*D16)*F16+H16*F16</f>
        <v>682.01249999999993</v>
      </c>
      <c r="J16" s="103"/>
      <c r="K16" s="104">
        <f>I16*3.5%</f>
        <v>23.870437500000001</v>
      </c>
      <c r="L16" s="105">
        <f>I16*8%</f>
        <v>54.560999999999993</v>
      </c>
      <c r="M16" s="106">
        <f>I16-K16-L16</f>
        <v>603.58106249999992</v>
      </c>
      <c r="N16" s="106">
        <f t="shared" ref="N16:N24" si="0">(M16*$N$15)+(J16*F16)*$N$15</f>
        <v>132.78783374999998</v>
      </c>
      <c r="O16" s="107">
        <f t="shared" ref="O16:O24" si="1">(N16+M16)*$O$15</f>
        <v>18.409222406249999</v>
      </c>
      <c r="P16" s="105">
        <f t="shared" ref="P16:P24" si="2">M16+N16+O16</f>
        <v>754.77811865624994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13</v>
      </c>
      <c r="I17" s="116">
        <f t="shared" ref="I17:I23" si="3">(G17*D17)*F17+H17*F17</f>
        <v>682.01249999999993</v>
      </c>
      <c r="J17" s="117"/>
      <c r="K17" s="104">
        <f t="shared" ref="K17:K21" si="4">I17*3.5%</f>
        <v>23.870437500000001</v>
      </c>
      <c r="L17" s="105">
        <f t="shared" ref="L17:L21" si="5">I17*8%</f>
        <v>54.560999999999993</v>
      </c>
      <c r="M17" s="118">
        <f t="shared" ref="M17:M23" si="6">I17-K17-L17</f>
        <v>603.58106249999992</v>
      </c>
      <c r="N17" s="118">
        <f t="shared" si="0"/>
        <v>132.78783374999998</v>
      </c>
      <c r="O17" s="119">
        <f t="shared" si="1"/>
        <v>18.409222406249999</v>
      </c>
      <c r="P17" s="120">
        <f t="shared" si="2"/>
        <v>754.77811865624994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14</v>
      </c>
      <c r="I22" s="116">
        <f t="shared" si="3"/>
        <v>549.22</v>
      </c>
      <c r="J22" s="117"/>
      <c r="K22" s="104">
        <f>I22*8.6%</f>
        <v>47.23292</v>
      </c>
      <c r="L22" s="120">
        <f>I22*5%</f>
        <v>27.461000000000002</v>
      </c>
      <c r="M22" s="118">
        <f t="shared" si="6"/>
        <v>474.52608000000004</v>
      </c>
      <c r="N22" s="118">
        <f t="shared" si="0"/>
        <v>104.3957376</v>
      </c>
      <c r="O22" s="119">
        <f t="shared" si="1"/>
        <v>14.473045440000002</v>
      </c>
      <c r="P22" s="120">
        <f t="shared" si="2"/>
        <v>593.39486304000002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40</v>
      </c>
      <c r="I25" s="137">
        <f t="shared" si="13"/>
        <v>1913.2449999999999</v>
      </c>
      <c r="J25" s="138"/>
      <c r="K25" s="139">
        <f t="shared" si="13"/>
        <v>94.973794999999996</v>
      </c>
      <c r="L25" s="140">
        <f t="shared" si="13"/>
        <v>136.583</v>
      </c>
      <c r="M25" s="141">
        <f t="shared" si="13"/>
        <v>1681.6882049999999</v>
      </c>
      <c r="N25" s="142">
        <f>SUM(N16:N24)</f>
        <v>369.97140509999997</v>
      </c>
      <c r="O25" s="143">
        <f>SUM(O16:O24)</f>
        <v>51.291490252499997</v>
      </c>
      <c r="P25" s="144">
        <f>SUM(P16:P24)</f>
        <v>2102.9511003524999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1913.2449999999999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136.583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94.973794999999996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1681.6882049999999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369.97140509999997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2051.6596101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51.291490252500004</v>
      </c>
    </row>
    <row r="35" spans="2:16" ht="15.75" customHeight="1" thickBot="1" x14ac:dyDescent="0.4">
      <c r="N35" s="228" t="s">
        <v>92</v>
      </c>
      <c r="O35" s="229"/>
      <c r="P35" s="160">
        <f>P33+P34</f>
        <v>2102.9511003524999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3520133034223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>(N16+M16)*$O$15</f>
        <v>1.6993128374999997</v>
      </c>
      <c r="P16" s="105">
        <f t="shared" ref="P16:P24" si="1">M16+N16+O16</f>
        <v>341.56188033749993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61.286692499999987</v>
      </c>
      <c r="O17" s="119">
        <f t="shared" ref="O17:O24" si="6">(N17+M17)*$O$15</f>
        <v>1.6993128374999997</v>
      </c>
      <c r="P17" s="120">
        <f t="shared" si="1"/>
        <v>341.56188033749993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2.35288224</v>
      </c>
      <c r="P19" s="120">
        <f t="shared" si="1"/>
        <v>472.92933024000001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84.858048000000011</v>
      </c>
      <c r="O20" s="119">
        <f t="shared" si="6"/>
        <v>2.35288224</v>
      </c>
      <c r="P20" s="120">
        <f t="shared" si="1"/>
        <v>472.92933024000001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2.4810935039999999</v>
      </c>
      <c r="P22" s="120">
        <f t="shared" si="1"/>
        <v>498.69979430400002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36</v>
      </c>
      <c r="I25" s="137">
        <f t="shared" si="9"/>
        <v>1971.99</v>
      </c>
      <c r="J25" s="138"/>
      <c r="K25" s="139">
        <f t="shared" si="9"/>
        <v>93.028410000000008</v>
      </c>
      <c r="L25" s="140">
        <f t="shared" si="9"/>
        <v>143.63640000000001</v>
      </c>
      <c r="M25" s="141">
        <f t="shared" si="9"/>
        <v>1735.32519</v>
      </c>
      <c r="N25" s="142">
        <f>SUM(N16:N24)</f>
        <v>381.77154179999997</v>
      </c>
      <c r="O25" s="143">
        <f>SUM(O16:O24)</f>
        <v>10.585483658999999</v>
      </c>
      <c r="P25" s="144">
        <f>SUM(P16:P24)</f>
        <v>2127.682215459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1971.99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143.63640000000001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93.028410000000008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1735.32519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381.77154179999997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2117.0967317999998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10.585483658999999</v>
      </c>
    </row>
    <row r="35" spans="2:16" ht="15.75" customHeight="1" thickBot="1" x14ac:dyDescent="0.4">
      <c r="N35" s="228" t="s">
        <v>92</v>
      </c>
      <c r="O35" s="229"/>
      <c r="P35" s="160">
        <f>P33+P34</f>
        <v>2127.682215459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124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>
        <v>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14.160940312500001</v>
      </c>
      <c r="P16" s="105">
        <f t="shared" ref="P16:P24" si="1">M16+N16+O16</f>
        <v>580.59855281249997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14.160940312500001</v>
      </c>
      <c r="P17" s="120">
        <f t="shared" si="1"/>
        <v>580.59855281249997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149.13676800000002</v>
      </c>
      <c r="O22" s="119">
        <f t="shared" si="6"/>
        <v>20.675779200000008</v>
      </c>
      <c r="P22" s="120">
        <f t="shared" si="1"/>
        <v>847.70694720000017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1833.8500000000001</v>
      </c>
      <c r="J25" s="138"/>
      <c r="K25" s="139">
        <f t="shared" si="9"/>
        <v>104.19935000000001</v>
      </c>
      <c r="L25" s="140">
        <f t="shared" si="9"/>
        <v>123.17000000000002</v>
      </c>
      <c r="M25" s="141">
        <f t="shared" si="9"/>
        <v>1606.4806500000002</v>
      </c>
      <c r="N25" s="142">
        <f>SUM(N16:N24)</f>
        <v>353.42574300000001</v>
      </c>
      <c r="O25" s="143">
        <f>SUM(O16:O24)</f>
        <v>48.997659825000014</v>
      </c>
      <c r="P25" s="144">
        <f>SUM(P16:P24)</f>
        <v>2008.9040528250002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1833.8500000000001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123.17000000000002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104.19935000000001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1606.48065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353.42574300000001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1959.906393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48.997659825</v>
      </c>
    </row>
    <row r="35" spans="2:16" ht="15.75" customHeight="1" thickBot="1" x14ac:dyDescent="0.4">
      <c r="N35" s="228" t="s">
        <v>92</v>
      </c>
      <c r="O35" s="229"/>
      <c r="P35" s="160">
        <f>P33+P34</f>
        <v>2008.904052825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126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355010584820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>
        <v>355010584820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15</v>
      </c>
      <c r="I22" s="116">
        <f t="shared" si="2"/>
        <v>588.45000000000005</v>
      </c>
      <c r="J22" s="117"/>
      <c r="K22" s="104">
        <f>I22*8.6%</f>
        <v>50.606699999999996</v>
      </c>
      <c r="L22" s="120">
        <f>I22*5%</f>
        <v>29.422500000000003</v>
      </c>
      <c r="M22" s="118">
        <f t="shared" si="5"/>
        <v>508.42079999999999</v>
      </c>
      <c r="N22" s="118">
        <f t="shared" si="0"/>
        <v>91.515743999999998</v>
      </c>
      <c r="O22" s="119">
        <f t="shared" si="6"/>
        <v>2.99968272</v>
      </c>
      <c r="P22" s="120">
        <f t="shared" si="1"/>
        <v>602.93622672000004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15</v>
      </c>
      <c r="I25" s="137">
        <f t="shared" si="9"/>
        <v>588.45000000000005</v>
      </c>
      <c r="J25" s="138"/>
      <c r="K25" s="139">
        <f t="shared" si="9"/>
        <v>50.606699999999996</v>
      </c>
      <c r="L25" s="140">
        <f t="shared" si="9"/>
        <v>29.422500000000003</v>
      </c>
      <c r="M25" s="141">
        <f t="shared" si="9"/>
        <v>508.42079999999999</v>
      </c>
      <c r="N25" s="142">
        <f>SUM(N16:N24)</f>
        <v>91.515743999999998</v>
      </c>
      <c r="O25" s="143">
        <f>SUM(O16:O24)</f>
        <v>2.99968272</v>
      </c>
      <c r="P25" s="144">
        <f>SUM(P16:P24)</f>
        <v>602.93622672000004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588.45000000000005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29.422500000000003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50.606699999999996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508.42080000000004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91.515743999999998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599.93654400000003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2.99968272</v>
      </c>
    </row>
    <row r="35" spans="2:16" ht="15.75" customHeight="1" thickBot="1" x14ac:dyDescent="0.4">
      <c r="N35" s="228" t="s">
        <v>92</v>
      </c>
      <c r="O35" s="229"/>
      <c r="P35" s="160">
        <f>P33+P34</f>
        <v>602.93622672000004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3" workbookViewId="0">
      <selection activeCell="H18" sqref="H18: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126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128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126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3</v>
      </c>
      <c r="I16" s="102">
        <f>(G16*D16)*F16+H16*F16</f>
        <v>157.38749999999999</v>
      </c>
      <c r="J16" s="103"/>
      <c r="K16" s="104">
        <f>I16*3.5%</f>
        <v>5.5085625</v>
      </c>
      <c r="L16" s="105">
        <f>I16*8%</f>
        <v>12.590999999999999</v>
      </c>
      <c r="M16" s="106">
        <f>I16-K16-L16</f>
        <v>139.28793749999997</v>
      </c>
      <c r="N16" s="106">
        <f t="shared" ref="N16:N24" si="0">(M16*$N$15)+(J16*F16)*$N$15</f>
        <v>30.643346249999993</v>
      </c>
      <c r="O16" s="107">
        <f>(N16+M16)*$O$15</f>
        <v>0.84965641874999986</v>
      </c>
      <c r="P16" s="105">
        <f t="shared" ref="P16:P24" si="1">M16+N16+O16</f>
        <v>170.78094016874996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3</v>
      </c>
      <c r="I17" s="116">
        <f t="shared" ref="I17:I23" si="2">(G17*D17)*F17+H17*F17</f>
        <v>157.38749999999999</v>
      </c>
      <c r="J17" s="117"/>
      <c r="K17" s="104">
        <f t="shared" ref="K17:K21" si="3">I17*3.5%</f>
        <v>5.5085625</v>
      </c>
      <c r="L17" s="105">
        <f t="shared" ref="L17:L21" si="4">I17*8%</f>
        <v>12.590999999999999</v>
      </c>
      <c r="M17" s="118">
        <f t="shared" ref="M17:M23" si="5">I17-K17-L17</f>
        <v>139.28793749999997</v>
      </c>
      <c r="N17" s="118">
        <f t="shared" si="0"/>
        <v>30.643346249999993</v>
      </c>
      <c r="O17" s="119">
        <f t="shared" ref="O17:O24" si="6">(N17+M17)*$O$15</f>
        <v>0.84965641874999986</v>
      </c>
      <c r="P17" s="120">
        <f t="shared" si="1"/>
        <v>170.78094016874996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</v>
      </c>
      <c r="I19" s="116">
        <f t="shared" si="2"/>
        <v>217.92000000000002</v>
      </c>
      <c r="J19" s="117"/>
      <c r="K19" s="104">
        <f t="shared" si="3"/>
        <v>7.6272000000000011</v>
      </c>
      <c r="L19" s="105">
        <f t="shared" si="4"/>
        <v>17.433600000000002</v>
      </c>
      <c r="M19" s="118">
        <f t="shared" si="5"/>
        <v>192.85920000000002</v>
      </c>
      <c r="N19" s="118">
        <f t="shared" si="0"/>
        <v>42.429024000000005</v>
      </c>
      <c r="O19" s="119">
        <f t="shared" si="6"/>
        <v>1.17644112</v>
      </c>
      <c r="P19" s="120">
        <f t="shared" si="1"/>
        <v>236.46466512000001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3</v>
      </c>
      <c r="I20" s="116">
        <f t="shared" si="2"/>
        <v>217.92000000000002</v>
      </c>
      <c r="J20" s="117"/>
      <c r="K20" s="104">
        <f t="shared" si="3"/>
        <v>7.6272000000000011</v>
      </c>
      <c r="L20" s="105">
        <f t="shared" si="4"/>
        <v>17.433600000000002</v>
      </c>
      <c r="M20" s="118">
        <f t="shared" si="5"/>
        <v>192.85920000000002</v>
      </c>
      <c r="N20" s="118">
        <f t="shared" si="0"/>
        <v>42.429024000000005</v>
      </c>
      <c r="O20" s="119">
        <f t="shared" si="6"/>
        <v>1.17644112</v>
      </c>
      <c r="P20" s="120">
        <f t="shared" si="1"/>
        <v>236.46466512000001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</v>
      </c>
      <c r="I21" s="116">
        <f t="shared" si="2"/>
        <v>217.92000000000002</v>
      </c>
      <c r="J21" s="117"/>
      <c r="K21" s="104">
        <f t="shared" si="3"/>
        <v>7.6272000000000011</v>
      </c>
      <c r="L21" s="105">
        <f t="shared" si="4"/>
        <v>17.433600000000002</v>
      </c>
      <c r="M21" s="118">
        <f t="shared" si="5"/>
        <v>192.85920000000002</v>
      </c>
      <c r="N21" s="118">
        <f t="shared" si="0"/>
        <v>42.429024000000005</v>
      </c>
      <c r="O21" s="119">
        <f t="shared" si="6"/>
        <v>1.17644112</v>
      </c>
      <c r="P21" s="120">
        <f t="shared" si="1"/>
        <v>236.46466512000001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3</v>
      </c>
      <c r="I22" s="116">
        <f t="shared" si="2"/>
        <v>117.69000000000001</v>
      </c>
      <c r="J22" s="117"/>
      <c r="K22" s="104">
        <f>I22*8.6%</f>
        <v>10.12134</v>
      </c>
      <c r="L22" s="120">
        <f>I22*5%</f>
        <v>5.884500000000001</v>
      </c>
      <c r="M22" s="118">
        <f t="shared" si="5"/>
        <v>101.68416000000001</v>
      </c>
      <c r="N22" s="118">
        <f t="shared" si="0"/>
        <v>22.3705152</v>
      </c>
      <c r="O22" s="119">
        <f t="shared" si="6"/>
        <v>0.62027337599999999</v>
      </c>
      <c r="P22" s="120">
        <f t="shared" si="1"/>
        <v>124.67494857600001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18</v>
      </c>
      <c r="I25" s="137">
        <f t="shared" si="9"/>
        <v>1086.2250000000001</v>
      </c>
      <c r="J25" s="138"/>
      <c r="K25" s="139">
        <f t="shared" si="9"/>
        <v>44.020065000000002</v>
      </c>
      <c r="L25" s="140">
        <f t="shared" si="9"/>
        <v>83.3673</v>
      </c>
      <c r="M25" s="141">
        <f t="shared" si="9"/>
        <v>958.83763499999998</v>
      </c>
      <c r="N25" s="142">
        <f>SUM(N16:N24)</f>
        <v>210.94427969999998</v>
      </c>
      <c r="O25" s="143">
        <f>SUM(O16:O24)</f>
        <v>5.8489095734999994</v>
      </c>
      <c r="P25" s="144">
        <f>SUM(P16:P24)</f>
        <v>1175.6308242734999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1086.2250000000001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83.3673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44.020065000000002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958.83763500000009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210.94427969999998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1169.7819147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5.8489095735000003</v>
      </c>
    </row>
    <row r="35" spans="2:16" ht="15.75" customHeight="1" thickBot="1" x14ac:dyDescent="0.4">
      <c r="N35" s="228" t="s">
        <v>92</v>
      </c>
      <c r="O35" s="229"/>
      <c r="P35" s="160">
        <f>P33+P34</f>
        <v>1175.6308242734999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132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133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 t="s">
        <v>133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925.72415999999998</v>
      </c>
      <c r="O21" s="119">
        <f t="shared" si="6"/>
        <v>30.343180799999999</v>
      </c>
      <c r="P21" s="120">
        <f t="shared" si="1"/>
        <v>6098.9793407999996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8716.7999999999993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697.34400000000005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305.08800000000002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7714.3679999999995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9102.9542399999991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45.514771199999998</v>
      </c>
    </row>
    <row r="35" spans="2:16" ht="15.75" customHeight="1" thickBot="1" x14ac:dyDescent="0.4">
      <c r="N35" s="228" t="s">
        <v>92</v>
      </c>
      <c r="O35" s="229"/>
      <c r="P35" s="160">
        <f>P33+P34</f>
        <v>9148.4690111999989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135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>
        <v>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28.321880625000002</v>
      </c>
      <c r="P16" s="105">
        <f t="shared" ref="P16:P24" si="1">M16+N16+O16</f>
        <v>1161.1971056249999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28.321880625000002</v>
      </c>
      <c r="P17" s="120">
        <f t="shared" si="1"/>
        <v>1161.1971056249999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56.643761250000004</v>
      </c>
      <c r="P25" s="144">
        <f>SUM(P16:P24)</f>
        <v>2322.3942112499999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2098.5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167.88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73.447500000000005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1857.1724999999999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2265.75045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56.643761250000004</v>
      </c>
    </row>
    <row r="35" spans="2:16" ht="15.75" customHeight="1" thickBot="1" x14ac:dyDescent="0.4">
      <c r="N35" s="228" t="s">
        <v>92</v>
      </c>
      <c r="O35" s="229"/>
      <c r="P35" s="160">
        <f>P33+P34</f>
        <v>2322.3942112499999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9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138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140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141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/>
      <c r="K19" s="104">
        <f t="shared" si="3"/>
        <v>20.339200000000002</v>
      </c>
      <c r="L19" s="105">
        <f t="shared" si="4"/>
        <v>46.489600000000003</v>
      </c>
      <c r="M19" s="118">
        <f t="shared" si="5"/>
        <v>514.2912</v>
      </c>
      <c r="N19" s="118">
        <f t="shared" si="0"/>
        <v>113.144064</v>
      </c>
      <c r="O19" s="119">
        <f t="shared" si="6"/>
        <v>3.13717632</v>
      </c>
      <c r="P19" s="120">
        <f t="shared" si="1"/>
        <v>630.57244031999994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</v>
      </c>
      <c r="I20" s="116">
        <f t="shared" si="2"/>
        <v>581.12</v>
      </c>
      <c r="J20" s="117"/>
      <c r="K20" s="104">
        <f t="shared" si="3"/>
        <v>20.339200000000002</v>
      </c>
      <c r="L20" s="105">
        <f t="shared" si="4"/>
        <v>46.489600000000003</v>
      </c>
      <c r="M20" s="118">
        <f t="shared" si="5"/>
        <v>514.2912</v>
      </c>
      <c r="N20" s="118">
        <f t="shared" si="0"/>
        <v>113.144064</v>
      </c>
      <c r="O20" s="119">
        <f t="shared" si="6"/>
        <v>3.13717632</v>
      </c>
      <c r="P20" s="120">
        <f t="shared" si="1"/>
        <v>630.57244031999994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</v>
      </c>
      <c r="I21" s="116">
        <f t="shared" si="2"/>
        <v>1743.3600000000001</v>
      </c>
      <c r="J21" s="117"/>
      <c r="K21" s="104">
        <f t="shared" si="3"/>
        <v>61.017600000000009</v>
      </c>
      <c r="L21" s="105">
        <f t="shared" si="4"/>
        <v>139.46880000000002</v>
      </c>
      <c r="M21" s="118">
        <f t="shared" si="5"/>
        <v>1542.8736000000001</v>
      </c>
      <c r="N21" s="118">
        <f t="shared" si="0"/>
        <v>339.43219200000004</v>
      </c>
      <c r="O21" s="119">
        <f t="shared" si="6"/>
        <v>9.4115289600000001</v>
      </c>
      <c r="P21" s="120">
        <f t="shared" si="1"/>
        <v>1891.7173209600001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101.69600000000001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2905.6000000000004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232.44800000000004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101.69600000000001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2571.4560000000006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3137.1763200000005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15.685881600000004</v>
      </c>
    </row>
    <row r="35" spans="2:16" ht="15.75" customHeight="1" thickBot="1" x14ac:dyDescent="0.4">
      <c r="N35" s="228" t="s">
        <v>92</v>
      </c>
      <c r="O35" s="229"/>
      <c r="P35" s="160">
        <f>P33+P34</f>
        <v>3152.8622016000004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0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143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35201179992061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145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3520114555018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7.8429408</v>
      </c>
      <c r="P19" s="120">
        <f t="shared" si="1"/>
        <v>1576.4311008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149.13676800000002</v>
      </c>
      <c r="O22" s="119">
        <f t="shared" si="6"/>
        <v>4.1351558400000012</v>
      </c>
      <c r="P22" s="120">
        <f t="shared" si="1"/>
        <v>831.16632384000025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120</v>
      </c>
      <c r="I25" s="137">
        <f t="shared" si="9"/>
        <v>7241.5000000000009</v>
      </c>
      <c r="J25" s="138"/>
      <c r="K25" s="139">
        <f t="shared" si="9"/>
        <v>293.46710000000002</v>
      </c>
      <c r="L25" s="140">
        <f t="shared" si="9"/>
        <v>555.78200000000004</v>
      </c>
      <c r="M25" s="141">
        <f t="shared" si="9"/>
        <v>6392.2509000000009</v>
      </c>
      <c r="N25" s="142">
        <f>SUM(N16:N24)</f>
        <v>1406.295198</v>
      </c>
      <c r="O25" s="143">
        <f>SUM(O16:O24)</f>
        <v>38.992730490000007</v>
      </c>
      <c r="P25" s="144">
        <f>SUM(P16:P24)</f>
        <v>7837.5388284900009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7241.5000000000009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555.78200000000004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293.46710000000002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6392.2509000000009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1406.295198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7798.5460980000007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38.992730490000007</v>
      </c>
    </row>
    <row r="35" spans="2:16" ht="15.75" customHeight="1" thickBot="1" x14ac:dyDescent="0.4">
      <c r="N35" s="228" t="s">
        <v>92</v>
      </c>
      <c r="O35" s="229"/>
      <c r="P35" s="160">
        <f>P33+P34</f>
        <v>7837.5388284900009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147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3520114495049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2.8321880625000002</v>
      </c>
      <c r="P17" s="120">
        <f t="shared" si="1"/>
        <v>569.2698005625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90</v>
      </c>
      <c r="I25" s="137">
        <f t="shared" si="9"/>
        <v>4797.6500000000005</v>
      </c>
      <c r="J25" s="138"/>
      <c r="K25" s="139">
        <f t="shared" si="9"/>
        <v>247.94695000000002</v>
      </c>
      <c r="L25" s="140">
        <f t="shared" si="9"/>
        <v>336.73600000000005</v>
      </c>
      <c r="M25" s="141">
        <f t="shared" si="9"/>
        <v>4212.9670500000011</v>
      </c>
      <c r="N25" s="142">
        <f>SUM(N16:N24)</f>
        <v>926.85275100000001</v>
      </c>
      <c r="O25" s="143">
        <f>SUM(O16:O24)</f>
        <v>25.699099005000004</v>
      </c>
      <c r="P25" s="144">
        <f>SUM(P16:P24)</f>
        <v>5165.5189000050004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4797.6500000000005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336.73600000000005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247.94695000000002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4212.9670500000011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926.85275100000001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5139.8198010000015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25.699099005000008</v>
      </c>
    </row>
    <row r="35" spans="2:16" ht="15.75" customHeight="1" thickBot="1" x14ac:dyDescent="0.4">
      <c r="N35" s="228" t="s">
        <v>92</v>
      </c>
      <c r="O35" s="229"/>
      <c r="P35" s="160">
        <f>P33+P34</f>
        <v>5165.5189000050013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149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3520129259503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5.8822055999999998</v>
      </c>
      <c r="P19" s="120">
        <f t="shared" si="1"/>
        <v>1182.3233255999999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5.8822055999999998</v>
      </c>
      <c r="P21" s="120">
        <f t="shared" si="1"/>
        <v>1182.3233255999999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565.72032000000002</v>
      </c>
      <c r="O25" s="143">
        <f>SUM(O16:O24)</f>
        <v>15.685881599999998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232.44799999999998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3137.17632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8" t="s">
        <v>92</v>
      </c>
      <c r="O35" s="229"/>
      <c r="P35" s="160">
        <f>P33+P34</f>
        <v>3152.8622015999999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150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151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152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>
        <v>3520168333533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232.44799999999998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153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154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155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2.35288224</v>
      </c>
      <c r="P19" s="120">
        <f t="shared" si="1"/>
        <v>472.92933024000001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84.858048000000011</v>
      </c>
      <c r="O20" s="119">
        <f t="shared" si="6"/>
        <v>2.35288224</v>
      </c>
      <c r="P20" s="120">
        <f t="shared" si="1"/>
        <v>472.92933024000001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04">
        <f t="shared" si="3"/>
        <v>20.339200000000002</v>
      </c>
      <c r="L21" s="105">
        <f t="shared" si="4"/>
        <v>46.489600000000003</v>
      </c>
      <c r="M21" s="118">
        <f t="shared" si="5"/>
        <v>514.2912</v>
      </c>
      <c r="N21" s="118">
        <f t="shared" si="0"/>
        <v>113.144064</v>
      </c>
      <c r="O21" s="119">
        <f t="shared" si="6"/>
        <v>3.13717632</v>
      </c>
      <c r="P21" s="120">
        <f t="shared" si="1"/>
        <v>630.57244031999994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50.848000000000006</v>
      </c>
      <c r="L25" s="140">
        <f t="shared" si="9"/>
        <v>116.22400000000002</v>
      </c>
      <c r="M25" s="141">
        <f t="shared" si="9"/>
        <v>1285.7280000000001</v>
      </c>
      <c r="N25" s="142">
        <f>SUM(N16:N24)</f>
        <v>282.86016000000001</v>
      </c>
      <c r="O25" s="143">
        <f>SUM(O16:O24)</f>
        <v>7.8429408</v>
      </c>
      <c r="P25" s="144">
        <f>SUM(P16:P24)</f>
        <v>1576.4311008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1452.8000000000002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116.22400000000002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50.848000000000006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1285.7280000000003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1568.5881600000002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7.8429408000000018</v>
      </c>
    </row>
    <row r="35" spans="2:16" ht="15.75" customHeight="1" thickBot="1" x14ac:dyDescent="0.4">
      <c r="N35" s="228" t="s">
        <v>92</v>
      </c>
      <c r="O35" s="229"/>
      <c r="P35" s="160">
        <f>P33+P34</f>
        <v>1576.4311008000002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156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157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>
        <v>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29.411028000000002</v>
      </c>
      <c r="P19" s="120">
        <f t="shared" si="1"/>
        <v>1205.8521479999999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19.607352000000002</v>
      </c>
      <c r="P20" s="120">
        <f t="shared" si="1"/>
        <v>803.901432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29.411028000000002</v>
      </c>
      <c r="P21" s="120">
        <f t="shared" si="1"/>
        <v>1205.8521479999999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232.44799999999998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3137.17632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78.429408000000009</v>
      </c>
    </row>
    <row r="35" spans="2:16" ht="15.75" customHeight="1" thickBot="1" x14ac:dyDescent="0.4">
      <c r="N35" s="228" t="s">
        <v>92</v>
      </c>
      <c r="O35" s="229"/>
      <c r="P35" s="160">
        <f>P33+P34</f>
        <v>3215.605728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topLeftCell="A1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158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159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>
        <v>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20" workbookViewId="0">
      <selection activeCell="N37" sqref="N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>
        <v>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R28" sqref="R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>
        <v>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2026-07-13T09:17:03Z</dcterms:modified>
</cp:coreProperties>
</file>