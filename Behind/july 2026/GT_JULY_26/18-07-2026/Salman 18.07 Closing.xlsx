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8E368D6-009E-41E0-A264-0186064DA49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C12" i="33" s="1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1" i="33"/>
  <c r="N4" i="33"/>
  <c r="N5" i="33" s="1"/>
  <c r="O34" i="32"/>
  <c r="C11" i="32" s="1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N4" i="32"/>
  <c r="N5" i="32" s="1"/>
  <c r="O34" i="31"/>
  <c r="C11" i="31" s="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8" i="35" l="1"/>
  <c r="K18" i="35" s="1"/>
  <c r="I21" i="35"/>
  <c r="K21" i="35" s="1"/>
  <c r="I24" i="35"/>
  <c r="I17" i="33"/>
  <c r="K17" i="33" s="1"/>
  <c r="I21" i="33"/>
  <c r="K21" i="33" s="1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K24" i="31" s="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K23" i="34" s="1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L24" i="29" s="1"/>
  <c r="I24" i="32"/>
  <c r="K24" i="32" s="1"/>
  <c r="I19" i="33"/>
  <c r="I23" i="33"/>
  <c r="L23" i="33" s="1"/>
  <c r="L17" i="33"/>
  <c r="M17" i="33" s="1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K24" i="33"/>
  <c r="L24" i="33"/>
  <c r="L21" i="32"/>
  <c r="K23" i="32"/>
  <c r="L23" i="32"/>
  <c r="K24" i="30"/>
  <c r="L24" i="30"/>
  <c r="K24" i="29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6" i="30" l="1"/>
  <c r="L23" i="31"/>
  <c r="L21" i="33"/>
  <c r="L16" i="31"/>
  <c r="L17" i="34"/>
  <c r="M23" i="32"/>
  <c r="L19" i="28"/>
  <c r="M19" i="28" s="1"/>
  <c r="N19" i="28" s="1"/>
  <c r="O19" i="28" s="1"/>
  <c r="L20" i="28"/>
  <c r="L24" i="32"/>
  <c r="L24" i="31"/>
  <c r="L16" i="29"/>
  <c r="M16" i="29" s="1"/>
  <c r="N16" i="29" s="1"/>
  <c r="I17" i="27"/>
  <c r="K17" i="27" s="1"/>
  <c r="I20" i="27"/>
  <c r="K20" i="27" s="1"/>
  <c r="I23" i="27"/>
  <c r="L23" i="30"/>
  <c r="M23" i="30" s="1"/>
  <c r="N23" i="30" s="1"/>
  <c r="O23" i="30" s="1"/>
  <c r="I18" i="27"/>
  <c r="K18" i="27" s="1"/>
  <c r="I24" i="27"/>
  <c r="M24" i="29"/>
  <c r="N24" i="29" s="1"/>
  <c r="O24" i="29" s="1"/>
  <c r="P24" i="29" s="1"/>
  <c r="L17" i="32"/>
  <c r="M17" i="32" s="1"/>
  <c r="N17" i="32" s="1"/>
  <c r="O17" i="32" s="1"/>
  <c r="I16" i="27"/>
  <c r="K16" i="27" s="1"/>
  <c r="I19" i="27"/>
  <c r="K19" i="27" s="1"/>
  <c r="I22" i="27"/>
  <c r="K22" i="27" s="1"/>
  <c r="L21" i="28"/>
  <c r="M21" i="28" s="1"/>
  <c r="N21" i="28" s="1"/>
  <c r="O21" i="28" s="1"/>
  <c r="L21" i="30"/>
  <c r="M21" i="30" s="1"/>
  <c r="N21" i="30" s="1"/>
  <c r="O21" i="30" s="1"/>
  <c r="L21" i="34"/>
  <c r="L20" i="33"/>
  <c r="M20" i="33" s="1"/>
  <c r="N20" i="33" s="1"/>
  <c r="O20" i="33" s="1"/>
  <c r="L19" i="33"/>
  <c r="K19" i="33"/>
  <c r="L18" i="34"/>
  <c r="L18" i="31"/>
  <c r="K18" i="31"/>
  <c r="K25" i="31" s="1"/>
  <c r="P30" i="31" s="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M21" i="29" s="1"/>
  <c r="N21" i="29" s="1"/>
  <c r="O21" i="29" s="1"/>
  <c r="L20" i="29"/>
  <c r="M20" i="29" s="1"/>
  <c r="N20" i="29" s="1"/>
  <c r="O20" i="29" s="1"/>
  <c r="L17" i="28"/>
  <c r="M17" i="28" s="1"/>
  <c r="N17" i="28" s="1"/>
  <c r="O17" i="28" s="1"/>
  <c r="L16" i="28"/>
  <c r="I25" i="28"/>
  <c r="P28" i="28" s="1"/>
  <c r="M22" i="35"/>
  <c r="K22" i="34"/>
  <c r="L22" i="34"/>
  <c r="L22" i="32"/>
  <c r="K22" i="32"/>
  <c r="K25" i="32" s="1"/>
  <c r="P30" i="32" s="1"/>
  <c r="K22" i="29"/>
  <c r="K25" i="29" s="1"/>
  <c r="P30" i="29" s="1"/>
  <c r="L22" i="29"/>
  <c r="K22" i="33"/>
  <c r="L22" i="33"/>
  <c r="K22" i="31"/>
  <c r="L22" i="31"/>
  <c r="K22" i="30"/>
  <c r="L22" i="30"/>
  <c r="K22" i="28"/>
  <c r="L22" i="28"/>
  <c r="K23" i="28"/>
  <c r="M23" i="28" s="1"/>
  <c r="K23" i="29"/>
  <c r="L19" i="30"/>
  <c r="M19" i="30" s="1"/>
  <c r="N19" i="30" s="1"/>
  <c r="O19" i="30" s="1"/>
  <c r="P19" i="30" s="1"/>
  <c r="L19" i="31"/>
  <c r="M19" i="31" s="1"/>
  <c r="N19" i="31" s="1"/>
  <c r="O19" i="31" s="1"/>
  <c r="K24" i="34"/>
  <c r="M24" i="34" s="1"/>
  <c r="L20" i="34"/>
  <c r="M20" i="34" s="1"/>
  <c r="N20" i="34" s="1"/>
  <c r="O20" i="34" s="1"/>
  <c r="M21" i="35"/>
  <c r="I25" i="34"/>
  <c r="P28" i="34" s="1"/>
  <c r="M24" i="28"/>
  <c r="N24" i="28" s="1"/>
  <c r="O24" i="28" s="1"/>
  <c r="P24" i="28" s="1"/>
  <c r="L18" i="28"/>
  <c r="M18" i="28" s="1"/>
  <c r="N18" i="28" s="1"/>
  <c r="O18" i="28" s="1"/>
  <c r="P18" i="28" s="1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M23" i="33" s="1"/>
  <c r="N23" i="33" s="1"/>
  <c r="O23" i="33" s="1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M24" i="33"/>
  <c r="M23" i="35"/>
  <c r="N23" i="35" s="1"/>
  <c r="O23" i="35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I21" i="27"/>
  <c r="K21" i="27" s="1"/>
  <c r="M23" i="31"/>
  <c r="N23" i="31" s="1"/>
  <c r="O23" i="31" s="1"/>
  <c r="I25" i="31"/>
  <c r="P28" i="31" s="1"/>
  <c r="M16" i="34"/>
  <c r="N16" i="34" s="1"/>
  <c r="I25" i="33"/>
  <c r="P28" i="33" s="1"/>
  <c r="L19" i="29"/>
  <c r="M19" i="29" s="1"/>
  <c r="N19" i="29" s="1"/>
  <c r="O19" i="29" s="1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2" i="34"/>
  <c r="N22" i="34" s="1"/>
  <c r="O22" i="34" s="1"/>
  <c r="M18" i="30"/>
  <c r="N18" i="30" s="1"/>
  <c r="O18" i="30" s="1"/>
  <c r="P18" i="30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L25" i="35"/>
  <c r="P29" i="35" s="1"/>
  <c r="M16" i="35"/>
  <c r="N24" i="33"/>
  <c r="O24" i="33" s="1"/>
  <c r="N18" i="33"/>
  <c r="O18" i="33" s="1"/>
  <c r="N17" i="33"/>
  <c r="O17" i="33" s="1"/>
  <c r="N23" i="32"/>
  <c r="O23" i="32" s="1"/>
  <c r="N24" i="31"/>
  <c r="O24" i="31" s="1"/>
  <c r="P24" i="31"/>
  <c r="M16" i="31"/>
  <c r="N24" i="30"/>
  <c r="O24" i="30" s="1"/>
  <c r="P24" i="30" s="1"/>
  <c r="N23" i="28"/>
  <c r="O23" i="28" s="1"/>
  <c r="P23" i="28" s="1"/>
  <c r="M16" i="28"/>
  <c r="J25" i="15"/>
  <c r="L20" i="27"/>
  <c r="K23" i="27"/>
  <c r="L23" i="27"/>
  <c r="K24" i="27"/>
  <c r="L24" i="27"/>
  <c r="L18" i="27"/>
  <c r="K23" i="26"/>
  <c r="L23" i="26"/>
  <c r="L18" i="26"/>
  <c r="T23" i="15"/>
  <c r="T22" i="15"/>
  <c r="T21" i="15"/>
  <c r="T20" i="15"/>
  <c r="T19" i="15"/>
  <c r="T18" i="15"/>
  <c r="T15" i="15"/>
  <c r="T14" i="15"/>
  <c r="K25" i="33" l="1"/>
  <c r="P30" i="33" s="1"/>
  <c r="L17" i="27"/>
  <c r="L16" i="27"/>
  <c r="K24" i="26"/>
  <c r="M16" i="33"/>
  <c r="M18" i="31"/>
  <c r="N18" i="31" s="1"/>
  <c r="O18" i="31" s="1"/>
  <c r="L22" i="27"/>
  <c r="L19" i="27"/>
  <c r="L25" i="27" s="1"/>
  <c r="P29" i="27" s="1"/>
  <c r="M24" i="26"/>
  <c r="K25" i="28"/>
  <c r="P30" i="28" s="1"/>
  <c r="L17" i="26"/>
  <c r="M17" i="26" s="1"/>
  <c r="N17" i="26" s="1"/>
  <c r="O17" i="26" s="1"/>
  <c r="P17" i="26" s="1"/>
  <c r="L16" i="26"/>
  <c r="M16" i="26" s="1"/>
  <c r="L25" i="33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M19" i="26" s="1"/>
  <c r="N19" i="26" s="1"/>
  <c r="O19" i="26" s="1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N16" i="33"/>
  <c r="P21" i="33"/>
  <c r="P24" i="33"/>
  <c r="P23" i="33"/>
  <c r="N25" i="32"/>
  <c r="P32" i="32" s="1"/>
  <c r="O16" i="32"/>
  <c r="O25" i="32" s="1"/>
  <c r="P20" i="32"/>
  <c r="P18" i="32"/>
  <c r="P21" i="32"/>
  <c r="P19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20" i="27"/>
  <c r="N20" i="27" s="1"/>
  <c r="O20" i="27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K25" i="27"/>
  <c r="P30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9" i="27" l="1"/>
  <c r="N19" i="27" s="1"/>
  <c r="O19" i="27" s="1"/>
  <c r="P22" i="33"/>
  <c r="M25" i="33"/>
  <c r="M25" i="31"/>
  <c r="L25" i="26"/>
  <c r="P29" i="26" s="1"/>
  <c r="P31" i="34"/>
  <c r="M25" i="28"/>
  <c r="M22" i="26"/>
  <c r="N22" i="26" s="1"/>
  <c r="O22" i="26" s="1"/>
  <c r="P22" i="26" s="1"/>
  <c r="K25" i="26"/>
  <c r="P30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L23" i="25" s="1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L24" i="19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23" i="23"/>
  <c r="K23" i="23"/>
  <c r="L16" i="22"/>
  <c r="L18" i="22"/>
  <c r="L20" i="22"/>
  <c r="L17" i="22"/>
  <c r="L19" i="22"/>
  <c r="L21" i="22"/>
  <c r="K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31" i="26" l="1"/>
  <c r="K23" i="25"/>
  <c r="L18" i="25"/>
  <c r="L24" i="20"/>
  <c r="L21" i="18"/>
  <c r="K23" i="20"/>
  <c r="K24" i="25"/>
  <c r="M25" i="26"/>
  <c r="L21" i="17"/>
  <c r="K21" i="17"/>
  <c r="L21" i="19"/>
  <c r="K21" i="19"/>
  <c r="L20" i="23"/>
  <c r="K20" i="23"/>
  <c r="M20" i="23" s="1"/>
  <c r="N20" i="23" s="1"/>
  <c r="O20" i="23" s="1"/>
  <c r="L20" i="19"/>
  <c r="M20" i="19" s="1"/>
  <c r="N20" i="19" s="1"/>
  <c r="O20" i="19" s="1"/>
  <c r="L20" i="18"/>
  <c r="M20" i="18" s="1"/>
  <c r="N20" i="18" s="1"/>
  <c r="O20" i="18" s="1"/>
  <c r="K20" i="18"/>
  <c r="P33" i="34"/>
  <c r="P34" i="34" s="1"/>
  <c r="P35" i="34" s="1"/>
  <c r="U32" i="15" s="1"/>
  <c r="L19" i="19"/>
  <c r="K19" i="19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M16" i="25" s="1"/>
  <c r="L16" i="18"/>
  <c r="K16" i="18"/>
  <c r="L16" i="24"/>
  <c r="K16" i="24"/>
  <c r="L20" i="25"/>
  <c r="M20" i="25" s="1"/>
  <c r="N20" i="25" s="1"/>
  <c r="O20" i="25" s="1"/>
  <c r="L21" i="25"/>
  <c r="M21" i="25" s="1"/>
  <c r="N21" i="25" s="1"/>
  <c r="O21" i="25" s="1"/>
  <c r="P21" i="25" s="1"/>
  <c r="K21" i="25"/>
  <c r="L21" i="24"/>
  <c r="K21" i="24"/>
  <c r="L19" i="24"/>
  <c r="K19" i="24"/>
  <c r="L17" i="23"/>
  <c r="K17" i="23"/>
  <c r="M17" i="23" s="1"/>
  <c r="N17" i="23" s="1"/>
  <c r="O17" i="23" s="1"/>
  <c r="L16" i="23"/>
  <c r="M16" i="23" s="1"/>
  <c r="N16" i="23" s="1"/>
  <c r="K16" i="23"/>
  <c r="L17" i="21"/>
  <c r="K17" i="21"/>
  <c r="L16" i="21"/>
  <c r="K16" i="21"/>
  <c r="L20" i="20"/>
  <c r="K20" i="20"/>
  <c r="L21" i="20"/>
  <c r="K21" i="20"/>
  <c r="L17" i="19"/>
  <c r="K17" i="19"/>
  <c r="L16" i="19"/>
  <c r="K16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M22" i="18" s="1"/>
  <c r="N22" i="18" s="1"/>
  <c r="O22" i="18" s="1"/>
  <c r="K22" i="25"/>
  <c r="K25" i="25" s="1"/>
  <c r="P30" i="25" s="1"/>
  <c r="L22" i="25"/>
  <c r="L24" i="17"/>
  <c r="K23" i="24"/>
  <c r="M23" i="24" s="1"/>
  <c r="N23" i="24" s="1"/>
  <c r="O23" i="24" s="1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L24" i="21"/>
  <c r="M24" i="21" s="1"/>
  <c r="N24" i="21" s="1"/>
  <c r="O24" i="21" s="1"/>
  <c r="P24" i="21" s="1"/>
  <c r="L17" i="20"/>
  <c r="M17" i="20" s="1"/>
  <c r="N17" i="20" s="1"/>
  <c r="O17" i="20" s="1"/>
  <c r="L16" i="17"/>
  <c r="M16" i="17" s="1"/>
  <c r="L17" i="17"/>
  <c r="M17" i="17" s="1"/>
  <c r="N17" i="17" s="1"/>
  <c r="O17" i="17" s="1"/>
  <c r="L19" i="20"/>
  <c r="M19" i="20" s="1"/>
  <c r="N19" i="20" s="1"/>
  <c r="O19" i="20" s="1"/>
  <c r="L24" i="24"/>
  <c r="L18" i="24"/>
  <c r="M18" i="24" s="1"/>
  <c r="N18" i="24" s="1"/>
  <c r="O18" i="24" s="1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M23" i="18" s="1"/>
  <c r="N23" i="18" s="1"/>
  <c r="O23" i="18" s="1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4" i="24"/>
  <c r="N24" i="24" s="1"/>
  <c r="O24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K25" i="22"/>
  <c r="P30" i="22" s="1"/>
  <c r="M16" i="22"/>
  <c r="N24" i="18"/>
  <c r="O24" i="18" s="1"/>
  <c r="I23" i="15"/>
  <c r="M17" i="19" l="1"/>
  <c r="N17" i="19" s="1"/>
  <c r="O17" i="19" s="1"/>
  <c r="M16" i="24"/>
  <c r="N16" i="24" s="1"/>
  <c r="M22" i="24"/>
  <c r="N22" i="24" s="1"/>
  <c r="O22" i="24" s="1"/>
  <c r="M21" i="20"/>
  <c r="N21" i="20" s="1"/>
  <c r="O21" i="20" s="1"/>
  <c r="M19" i="24"/>
  <c r="N19" i="24" s="1"/>
  <c r="O19" i="24" s="1"/>
  <c r="P19" i="24" s="1"/>
  <c r="M17" i="21"/>
  <c r="N17" i="21" s="1"/>
  <c r="O17" i="21" s="1"/>
  <c r="P17" i="21" s="1"/>
  <c r="M21" i="24"/>
  <c r="N21" i="24" s="1"/>
  <c r="O21" i="24" s="1"/>
  <c r="M17" i="24"/>
  <c r="N17" i="24" s="1"/>
  <c r="O17" i="24" s="1"/>
  <c r="M17" i="18"/>
  <c r="N17" i="18" s="1"/>
  <c r="O17" i="18" s="1"/>
  <c r="M22" i="25"/>
  <c r="N22" i="25" s="1"/>
  <c r="O22" i="25" s="1"/>
  <c r="M22" i="17"/>
  <c r="N22" i="17" s="1"/>
  <c r="O22" i="17" s="1"/>
  <c r="M16" i="21"/>
  <c r="N16" i="21" s="1"/>
  <c r="O16" i="21" s="1"/>
  <c r="M19" i="19"/>
  <c r="N19" i="19" s="1"/>
  <c r="O19" i="19" s="1"/>
  <c r="M21" i="19"/>
  <c r="N21" i="19" s="1"/>
  <c r="O21" i="19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L17" i="15" s="1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P18" i="22"/>
  <c r="P21" i="24"/>
  <c r="P31" i="25"/>
  <c r="P24" i="25"/>
  <c r="P20" i="25"/>
  <c r="M25" i="25"/>
  <c r="N16" i="25"/>
  <c r="P18" i="25"/>
  <c r="P17" i="25"/>
  <c r="P19" i="25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N16" i="22"/>
  <c r="P22" i="22"/>
  <c r="P20" i="22"/>
  <c r="P17" i="22"/>
  <c r="P19" i="22"/>
  <c r="P19" i="21"/>
  <c r="P18" i="21"/>
  <c r="P20" i="21"/>
  <c r="P21" i="20"/>
  <c r="P17" i="20"/>
  <c r="P19" i="20"/>
  <c r="P23" i="20"/>
  <c r="O16" i="20"/>
  <c r="P17" i="19"/>
  <c r="P18" i="19"/>
  <c r="P20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7" i="24" l="1"/>
  <c r="M25" i="24"/>
  <c r="N25" i="24"/>
  <c r="P32" i="24" s="1"/>
  <c r="M25" i="22"/>
  <c r="P19" i="19"/>
  <c r="P22" i="25"/>
  <c r="M24" i="16"/>
  <c r="N24" i="16" s="1"/>
  <c r="P20" i="20"/>
  <c r="P22" i="2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P33" i="23" l="1"/>
  <c r="P34" i="23" s="1"/>
  <c r="P35" i="23" s="1"/>
  <c r="U21" i="15" s="1"/>
  <c r="N25" i="18"/>
  <c r="P32" i="18" s="1"/>
  <c r="P33" i="19"/>
  <c r="P34" i="19" s="1"/>
  <c r="P35" i="19" s="1"/>
  <c r="U16" i="15" s="1"/>
  <c r="P33" i="21"/>
  <c r="P34" i="21" s="1"/>
  <c r="P35" i="21" s="1"/>
  <c r="U19" i="15" s="1"/>
  <c r="P33" i="18"/>
  <c r="P34" i="18" s="1"/>
  <c r="P35" i="18" s="1"/>
  <c r="U17" i="15" s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6" l="1"/>
  <c r="P16" i="15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<sst xmlns="http://schemas.openxmlformats.org/spreadsheetml/2006/main" count="1632" uniqueCount="131">
  <si>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</si>
  <si>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</si>
  <si>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</si>
  <si>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</si>
  <si>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</si>
  <si>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</si>
  <si>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</si>
  <si>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</si>
  <si>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</si>
  <si>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</si>
  <si>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</si>
  <si>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</si>
  <si>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</si>
  <si>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</si>
  <si>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</si>
  <si>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</si>
  <si>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</si>
  <si>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</si>
  <si>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</si>
  <si>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</si>
  <si>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</si>
  <si>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</si>
  <si>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</si>
  <si>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</si>
  <si>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</si>
  <si>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</si>
  <si>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</si>
  <si>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</si>
  <si>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</si>
  <si>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</si>
  <si>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</si>
  <si>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</si>
  <si>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</si>
  <si>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</si>
  <si>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</si>
  <si>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</si>
  <si>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</si>
  <si>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</si>
  <si>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</si>
  <si>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</si>
  <si>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</si>
  <si>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</si>
  <si>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</si>
  <si>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</si>
  <si>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</si>
  <si>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</si>
  <si>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</si>
  <si>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</si>
  <si>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</si>
  <si>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</si>
  <si>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</si>
  <si>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</si>
  <si>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</si>
  <si>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</si>
  <si>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</si>
  <si>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</si>
  <si>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</si>
  <si>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</si>
  <si>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</si>
  <si>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</si>
  <si>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</si>
  <si>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</si>
  <si>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</si>
  <si>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</si>
  <si>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</si>
  <si>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</si>
  <si>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</si>
  <si>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</si>
  <si>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</si>
  <si>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</si>
  <si>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</si>
  <si>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</si>
  <si>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</si>
  <si>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</si>
  <si>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</si>
  <si>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</si>
  <si>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</si>
  <si>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</si>
  <si>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</si>
  <si>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</si>
  <si>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</si>
  <si>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</si>
  <si>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</si>
  <si>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</si>
  <si>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</si>
  <si>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</si>
  <si>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</si>
  <si>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</si>
  <si>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</si>
  <si>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</si>
  <si>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</si>
  <si>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</si>
  <si>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</si>
  <si>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</si>
  <si>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</si>
  <si>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</si>
  <si>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</si>
  <si>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</si>
  <si>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</si>
  <si>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</si>
  <si>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</si>
  <si>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</si>
  <si>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</si>
  <si>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</si>
  <si>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</si>
  <si>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</si>
  <si>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</si>
  <si>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</si>
  <si>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</si>
  <si>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</si>
  <si>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</si>
  <si>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</si>
  <si>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</si>
  <si>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</si>
  <si>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</si>
  <si>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</si>
  <si>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</si>
  <si>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</si>
  <si>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</si>
  <si>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</si>
  <si>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</si>
  <si>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</si>
  <si>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Wali Super Store</t>
  </si>
  <si>
    <t>Address: Street 10</t>
  </si>
  <si>
    <t>Customer Name : Umer Khan Zada Store</t>
  </si>
  <si>
    <t>Address: Mandi Stop</t>
  </si>
  <si>
    <t>Customer Name : Aashiyana Store</t>
  </si>
  <si>
    <t>Address: Seven Street</t>
  </si>
  <si>
    <t>Customer Name : Al Shreef GS</t>
  </si>
  <si>
    <t xml:space="preserve">Address: Seven Street </t>
  </si>
  <si>
    <t>Customer Name : Al Sheikh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</si>
</sst>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Wali Super Store</v>
      </c>
      <c r="U14" s="164">
        <f>+'1'!P35</f>
        <v>1607.8299379200002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Umer Khan Zada Store</v>
      </c>
      <c r="U15" s="164">
        <f>+'2'!P35</f>
        <v>12364.12888704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20</v>
      </c>
      <c r="I16" s="1">
        <f>(G16*D16)*F16+H16*F16</f>
        <v>1049.25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36.723750000000003</v>
      </c>
      <c r="L16" s="174">
        <f>+'1'!L16+'2'!L16+'4'!L16+'3'!L16+'5'!L16+'6'!L16+'7'!L16+'8'!L16+'9'!L16+'10'!L16</f>
        <v>83.94</v>
      </c>
      <c r="M16" s="106">
        <f>I16-K16-L16</f>
        <v>928.58625000000006</v>
      </c>
      <c r="N16" s="101">
        <f>+'1'!N16+'2'!N16+'4'!N16+'3'!N16+'5'!N16+'6'!N16+'7'!N16+'8'!N16+'9'!N16+'10'!N16</f>
        <v>167.14552499999999</v>
      </c>
      <c r="O16" s="101">
        <f>+'1'!O16+'2'!O16+'4'!O16+'3'!O16+'5'!O16+'6'!O16+'7'!O16+'8'!O16+'9'!O16+'10'!O16</f>
        <v>5.4786588749999998</v>
      </c>
      <c r="P16" s="105">
        <f t="shared" ref="P16:P24" si="0">M16+N16+O16</f>
        <v>1101.210433875</v>
      </c>
      <c r="Q16" s="108"/>
      <c r="T16" s="163" t="str">
        <f>+'3'!A5</f>
        <v>Customer Name : Aashiyana Store</v>
      </c>
      <c r="U16" s="164">
        <f>+'3'!P35</f>
        <v>1312.9776345375001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55.085625000000007</v>
      </c>
      <c r="L17" s="174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250.71828749999997</v>
      </c>
      <c r="O17" s="101">
        <f>+'1'!O17+'2'!O17+'4'!O17+'3'!O17+'5'!O17+'6'!O17+'7'!O17+'8'!O17+'9'!O17+'10'!O17</f>
        <v>8.2179883124999993</v>
      </c>
      <c r="P17" s="120">
        <f t="shared" si="0"/>
        <v>1651.8156508124998</v>
      </c>
      <c r="S17" s="64"/>
      <c r="T17" s="163" t="str">
        <f>+'4'!A5</f>
        <v>Customer Name : Al Shreef GS</v>
      </c>
      <c r="U17" s="164">
        <f>+'4'!P35</f>
        <v>3006.3358367100004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Sheikh Store</v>
      </c>
      <c r="U18" s="164">
        <f>+'5'!P35</f>
        <v>1746.49485312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65</v>
      </c>
      <c r="I19" s="1">
        <f t="shared" si="1"/>
        <v>4721.6000000000004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165.25600000000003</v>
      </c>
      <c r="L19" s="174">
        <f>+'1'!L19+'2'!L19+'4'!L19+'3'!L19+'5'!L19+'6'!L19+'7'!L19+'8'!L19+'9'!L19+'10'!L19</f>
        <v>377.72800000000001</v>
      </c>
      <c r="M19" s="118">
        <f t="shared" si="2"/>
        <v>4178.616</v>
      </c>
      <c r="N19" s="101">
        <f>+'1'!N19+'2'!N19+'4'!N19+'3'!N19+'5'!N19+'6'!N19+'7'!N19+'8'!N19+'9'!N19+'10'!N19</f>
        <v>752.15087999999992</v>
      </c>
      <c r="O19" s="101">
        <f>+'1'!O19+'2'!O19+'4'!O19+'3'!O19+'5'!O19+'6'!O19+'7'!O19+'8'!O19+'9'!O19+'10'!O19</f>
        <v>24.653834400000001</v>
      </c>
      <c r="P19" s="120">
        <f t="shared" si="0"/>
        <v>4955.4207144000002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464.89600000000002</v>
      </c>
      <c r="M21" s="118">
        <f t="shared" si="2"/>
        <v>5142.9120000000003</v>
      </c>
      <c r="N21" s="101">
        <f>+'1'!N21+'2'!N21+'4'!N21+'3'!N21+'5'!N21+'6'!N21+'7'!N21+'8'!N21+'9'!N21+'10'!N21</f>
        <v>925.72415999999998</v>
      </c>
      <c r="O21" s="101">
        <f>+'1'!O21+'2'!O21+'4'!O21+'3'!O21+'5'!O21+'6'!O21+'7'!O21+'8'!O21+'9'!O21+'10'!O21</f>
        <v>30.343180799999999</v>
      </c>
      <c r="P21" s="120">
        <f t="shared" si="0"/>
        <v>6098.9793407999996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155</v>
      </c>
      <c r="I22" s="1">
        <f t="shared" si="1"/>
        <v>6080.6500000000005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522.93590000000006</v>
      </c>
      <c r="L22" s="174">
        <f>+'1'!L22+'2'!L22+'4'!L22+'3'!L22+'5'!L22+'6'!L22+'7'!L22+'8'!L22+'9'!L22+'10'!L22</f>
        <v>304.03250000000008</v>
      </c>
      <c r="M22" s="118">
        <f t="shared" si="2"/>
        <v>5253.6815999999999</v>
      </c>
      <c r="N22" s="101">
        <f>+'1'!N22+'2'!N22+'4'!N22+'3'!N22+'5'!N22+'6'!N22+'7'!N22+'8'!N22+'9'!N22+'10'!N22</f>
        <v>945.66268800000012</v>
      </c>
      <c r="O22" s="101">
        <f>+'1'!O22+'2'!O22+'4'!O22+'3'!O22+'5'!O22+'6'!O22+'7'!O22+'8'!O22+'9'!O22+'10'!O22</f>
        <v>30.996721440000005</v>
      </c>
      <c r="P22" s="120">
        <f t="shared" si="0"/>
        <v>6230.3410094400006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8.75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350</v>
      </c>
      <c r="I25" s="177">
        <f t="shared" si="3"/>
        <v>19236.575000000001</v>
      </c>
      <c r="J25" s="176">
        <f t="shared" si="3"/>
        <v>0</v>
      </c>
      <c r="K25" s="177">
        <f t="shared" si="3"/>
        <v>983.39327500000013</v>
      </c>
      <c r="L25" s="178">
        <f t="shared" si="3"/>
        <v>1356.5065</v>
      </c>
      <c r="M25" s="141">
        <f t="shared" si="3"/>
        <v>16896.675224999999</v>
      </c>
      <c r="N25" s="142">
        <f>SUM(N16:N24)</f>
        <v>3041.4015405</v>
      </c>
      <c r="O25" s="143">
        <f>SUM(O16:O24)</f>
        <v>99.6903838275</v>
      </c>
      <c r="P25" s="144">
        <f>SUM(P16:P24)</f>
        <v>20037.767149327497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20037.767149327497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19236.575000000001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1356.5065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983.39327500000013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16896.675225000003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3041.4015405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19938.076765500002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498.45191913750006</v>
      </c>
    </row>
    <row r="43" spans="1:21" ht="15.75" customHeight="1" thickBot="1" x14ac:dyDescent="0.4">
      <c r="N43" s="212" t="s">
        <v>92</v>
      </c>
      <c r="O43" s="213"/>
      <c r="P43" s="160">
        <f>P41+P42</f>
        <v>20436.528684637502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1561561651561650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1569.2000000000003</v>
      </c>
      <c r="J25" s="138"/>
      <c r="K25" s="139">
        <f t="shared" si="13"/>
        <v>134.9512</v>
      </c>
      <c r="L25" s="140">
        <f t="shared" si="13"/>
        <v>78.460000000000022</v>
      </c>
      <c r="M25" s="141">
        <f t="shared" si="13"/>
        <v>1355.7888000000003</v>
      </c>
      <c r="N25" s="142">
        <f>SUM(N16:N24)</f>
        <v>244.04198400000004</v>
      </c>
      <c r="O25" s="143">
        <f>SUM(O16:O24)</f>
        <v>7.9991539200000012</v>
      </c>
      <c r="P25" s="144">
        <f>SUM(P16:P24)</f>
        <v>1607.8299379200002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7.9991539200000012</v>
      </c>
    </row>
    <row r="35" spans="2:16" ht="15.75" customHeight="1" thickBot="1" x14ac:dyDescent="0.4">
      <c r="N35" s="212" t="s">
        <v>92</v>
      </c>
      <c r="O35" s="213"/>
      <c r="P35" s="160">
        <f>P33+P34</f>
        <v>1607.8299379200002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3520296393577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04">
        <f>I22*8.6%</f>
        <v>269.9024</v>
      </c>
      <c r="L22" s="120">
        <f>I22*5%</f>
        <v>156.92000000000004</v>
      </c>
      <c r="M22" s="118">
        <f t="shared" si="5"/>
        <v>2711.5776000000005</v>
      </c>
      <c r="N22" s="118">
        <f t="shared" si="0"/>
        <v>488.08396800000008</v>
      </c>
      <c r="O22" s="119">
        <f t="shared" si="6"/>
        <v>15.998307840000002</v>
      </c>
      <c r="P22" s="120">
        <f t="shared" si="1"/>
        <v>3215.6598758400005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200</v>
      </c>
      <c r="I25" s="137">
        <f t="shared" si="9"/>
        <v>11855.2</v>
      </c>
      <c r="J25" s="138"/>
      <c r="K25" s="139">
        <f t="shared" si="9"/>
        <v>574.99040000000002</v>
      </c>
      <c r="L25" s="140">
        <f t="shared" si="9"/>
        <v>854.26400000000012</v>
      </c>
      <c r="M25" s="141">
        <f t="shared" si="9"/>
        <v>10425.945600000001</v>
      </c>
      <c r="N25" s="142">
        <f>SUM(N16:N24)</f>
        <v>1876.6702080000002</v>
      </c>
      <c r="O25" s="143">
        <f>SUM(O16:O24)</f>
        <v>61.513079040000001</v>
      </c>
      <c r="P25" s="144">
        <f>SUM(P16:P24)</f>
        <v>12364.128887039999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11855.2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854.26400000000012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574.99040000000002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10425.945600000001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1876.6702080000002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12302.615808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61.513079040000001</v>
      </c>
    </row>
    <row r="35" spans="2:16" ht="15.75" customHeight="1" thickBot="1" x14ac:dyDescent="0.4">
      <c r="N35" s="212" t="s">
        <v>92</v>
      </c>
      <c r="O35" s="213"/>
      <c r="P35" s="160">
        <f>P33+P34</f>
        <v>12364.12888704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3520133034223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1251.0250000000001</v>
      </c>
      <c r="J25" s="138"/>
      <c r="K25" s="139">
        <f t="shared" si="9"/>
        <v>43.785875000000004</v>
      </c>
      <c r="L25" s="140">
        <f t="shared" si="9"/>
        <v>100.08199999999999</v>
      </c>
      <c r="M25" s="141">
        <f t="shared" si="9"/>
        <v>1107.1571250000002</v>
      </c>
      <c r="N25" s="142">
        <f>SUM(N16:N24)</f>
        <v>199.28828249999998</v>
      </c>
      <c r="O25" s="143">
        <f>SUM(O16:O24)</f>
        <v>6.5322270375000002</v>
      </c>
      <c r="P25" s="144">
        <f>SUM(P16:P24)</f>
        <v>1312.9776345374999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1251.0250000000001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100.08199999999999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43.785875000000004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1107.1571250000002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199.28828249999998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1306.4454075000001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6.5322270375000002</v>
      </c>
    </row>
    <row r="35" spans="2:16" ht="15.75" customHeight="1" thickBot="1" x14ac:dyDescent="0.4">
      <c r="N35" s="212" t="s">
        <v>92</v>
      </c>
      <c r="O35" s="213"/>
      <c r="P35" s="160">
        <f>P33+P34</f>
        <v>1312.9776345375001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5465156651561560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60</v>
      </c>
      <c r="I25" s="137">
        <f t="shared" si="9"/>
        <v>2883.1000000000004</v>
      </c>
      <c r="J25" s="138"/>
      <c r="K25" s="139">
        <f t="shared" si="9"/>
        <v>140.92310000000001</v>
      </c>
      <c r="L25" s="140">
        <f t="shared" si="9"/>
        <v>207.11</v>
      </c>
      <c r="M25" s="141">
        <f t="shared" si="9"/>
        <v>2535.0669000000003</v>
      </c>
      <c r="N25" s="142">
        <f>SUM(N16:N24)</f>
        <v>456.31204200000002</v>
      </c>
      <c r="O25" s="143">
        <f>SUM(O16:O24)</f>
        <v>14.95689471</v>
      </c>
      <c r="P25" s="144">
        <f>SUM(P16:P24)</f>
        <v>3006.33583671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2883.1000000000004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207.11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140.92310000000001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2535.0669000000003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456.31204200000002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2991.3789420000003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14.956894710000002</v>
      </c>
    </row>
    <row r="35" spans="2:16" ht="15.75" customHeight="1" thickBot="1" x14ac:dyDescent="0.4">
      <c r="N35" s="212" t="s">
        <v>92</v>
      </c>
      <c r="O35" s="213"/>
      <c r="P35" s="160">
        <f>P33+P34</f>
        <v>3006.3358367100004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E37" sqref="E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127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1.5615615615615601E+18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173.57327999999998</v>
      </c>
      <c r="O19" s="119">
        <f t="shared" si="6"/>
        <v>5.6893463999999998</v>
      </c>
      <c r="P19" s="120">
        <f t="shared" si="1"/>
        <v>1143.5586263999999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15</v>
      </c>
      <c r="I22" s="116">
        <f t="shared" si="2"/>
        <v>588.45000000000005</v>
      </c>
      <c r="J22" s="117"/>
      <c r="K22" s="104">
        <f>I22*8.6%</f>
        <v>50.606699999999996</v>
      </c>
      <c r="L22" s="120">
        <f>I22*5%</f>
        <v>29.422500000000003</v>
      </c>
      <c r="M22" s="118">
        <f t="shared" si="5"/>
        <v>508.42079999999999</v>
      </c>
      <c r="N22" s="118">
        <f t="shared" si="0"/>
        <v>91.515743999999998</v>
      </c>
      <c r="O22" s="119">
        <f t="shared" si="6"/>
        <v>2.99968272</v>
      </c>
      <c r="P22" s="120">
        <f t="shared" si="1"/>
        <v>602.93622672000004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30</v>
      </c>
      <c r="I25" s="137">
        <f t="shared" si="9"/>
        <v>1678.05</v>
      </c>
      <c r="J25" s="138"/>
      <c r="K25" s="139">
        <f t="shared" si="9"/>
        <v>88.742699999999999</v>
      </c>
      <c r="L25" s="140">
        <f t="shared" si="9"/>
        <v>116.59049999999999</v>
      </c>
      <c r="M25" s="141">
        <f t="shared" si="9"/>
        <v>1472.7167999999999</v>
      </c>
      <c r="N25" s="142">
        <f>SUM(N16:N24)</f>
        <v>265.08902399999999</v>
      </c>
      <c r="O25" s="143">
        <f>SUM(O16:O24)</f>
        <v>8.6890291200000007</v>
      </c>
      <c r="P25" s="144">
        <f>SUM(P16:P24)</f>
        <v>1746.4948531199998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1678.05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116.59049999999999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88.742699999999999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1472.7167999999999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265.08902399999999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1737.805824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8.6890291200000007</v>
      </c>
    </row>
    <row r="35" spans="2:16" ht="15.75" customHeight="1" thickBot="1" x14ac:dyDescent="0.4">
      <c r="N35" s="212" t="s">
        <v>92</v>
      </c>
      <c r="O35" s="213"/>
      <c r="P35" s="160">
        <f>P33+P34</f>
        <v>1746.49485312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2026-07-20T04:43:06Z</dcterms:modified>
</cp:coreProperties>
</file>