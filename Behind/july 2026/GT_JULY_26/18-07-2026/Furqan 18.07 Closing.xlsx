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24226"/>
  <xr:revisionPtr revIDLastSave="0" documentId="13_ncr:1_{C53DDC4B-62E5-405A-A5EB-8EBC381B9534}" xr6:coauthVersionLast="47" xr6:coauthVersionMax="47" xr10:uidLastSave="{00000000-0000-0000-0000-000000000000}"/>
  <bookViews>
    <workbookView xWindow="-110" yWindow="-110" windowWidth="19420" windowHeight="1056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C11" i="34" s="1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N4" i="34"/>
  <c r="N5" i="34" s="1"/>
  <c r="O34" i="33"/>
  <c r="O32" i="33"/>
  <c r="C12" i="33" s="1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C11" i="29" s="1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K21" i="33" s="1"/>
  <c r="I22" i="35"/>
  <c r="K22" i="35" s="1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L23" i="32" s="1"/>
  <c r="M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7" i="34"/>
  <c r="K23" i="34"/>
  <c r="L21" i="33"/>
  <c r="K24" i="33"/>
  <c r="L24" i="33"/>
  <c r="M17" i="33"/>
  <c r="K24" i="32"/>
  <c r="L24" i="32"/>
  <c r="L17" i="32"/>
  <c r="K23" i="32"/>
  <c r="K24" i="31"/>
  <c r="L24" i="31"/>
  <c r="L16" i="31"/>
  <c r="L16" i="30"/>
  <c r="K24" i="30"/>
  <c r="L24" i="30"/>
  <c r="L16" i="29"/>
  <c r="K24" i="29"/>
  <c r="L24" i="29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3" i="30" l="1"/>
  <c r="I17" i="27"/>
  <c r="K17" i="27" s="1"/>
  <c r="I20" i="27"/>
  <c r="K20" i="27" s="1"/>
  <c r="I23" i="27"/>
  <c r="L23" i="31"/>
  <c r="L19" i="28"/>
  <c r="L16" i="34"/>
  <c r="L22" i="35"/>
  <c r="L25" i="35" s="1"/>
  <c r="P29" i="35" s="1"/>
  <c r="M24" i="29"/>
  <c r="L21" i="32"/>
  <c r="M23" i="30"/>
  <c r="N23" i="30" s="1"/>
  <c r="O23" i="30" s="1"/>
  <c r="I16" i="27"/>
  <c r="K16" i="27" s="1"/>
  <c r="I19" i="27"/>
  <c r="K19" i="27" s="1"/>
  <c r="I22" i="27"/>
  <c r="L21" i="28"/>
  <c r="L21" i="30"/>
  <c r="M21" i="30" s="1"/>
  <c r="L21" i="34"/>
  <c r="L20" i="33"/>
  <c r="M20" i="33" s="1"/>
  <c r="N20" i="33" s="1"/>
  <c r="O20" i="33" s="1"/>
  <c r="L19" i="33"/>
  <c r="K19" i="33"/>
  <c r="M19" i="33" s="1"/>
  <c r="N19" i="33" s="1"/>
  <c r="O19" i="33" s="1"/>
  <c r="L18" i="34"/>
  <c r="L18" i="31"/>
  <c r="K18" i="31"/>
  <c r="M18" i="31" s="1"/>
  <c r="N18" i="31" s="1"/>
  <c r="O18" i="31" s="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M20" i="30" s="1"/>
  <c r="N20" i="30" s="1"/>
  <c r="O20" i="30" s="1"/>
  <c r="L21" i="29"/>
  <c r="M21" i="29" s="1"/>
  <c r="N21" i="29" s="1"/>
  <c r="O21" i="29" s="1"/>
  <c r="L20" i="29"/>
  <c r="L17" i="28"/>
  <c r="M17" i="28" s="1"/>
  <c r="L16" i="28"/>
  <c r="I25" i="28"/>
  <c r="P28" i="28" s="1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L22" i="28"/>
  <c r="K23" i="28"/>
  <c r="M23" i="28" s="1"/>
  <c r="K23" i="29"/>
  <c r="M23" i="29" s="1"/>
  <c r="N23" i="29" s="1"/>
  <c r="O23" i="29" s="1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M18" i="30" s="1"/>
  <c r="N18" i="30" s="1"/>
  <c r="O18" i="30" s="1"/>
  <c r="P18" i="30" s="1"/>
  <c r="L18" i="32"/>
  <c r="M18" i="32" s="1"/>
  <c r="N18" i="32" s="1"/>
  <c r="O18" i="32" s="1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N23" i="35" s="1"/>
  <c r="O23" i="35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M19" i="29" s="1"/>
  <c r="N19" i="29" s="1"/>
  <c r="O19" i="29" s="1"/>
  <c r="I25" i="29"/>
  <c r="P28" i="29" s="1"/>
  <c r="M21" i="33"/>
  <c r="N21" i="33" s="1"/>
  <c r="O21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9" i="35"/>
  <c r="N19" i="35" s="1"/>
  <c r="O19" i="35" s="1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8" i="34"/>
  <c r="N18" i="34" s="1"/>
  <c r="O18" i="34" s="1"/>
  <c r="P18" i="34" s="1"/>
  <c r="M16" i="30"/>
  <c r="N16" i="30" s="1"/>
  <c r="M20" i="28"/>
  <c r="N20" i="28" s="1"/>
  <c r="O20" i="28" s="1"/>
  <c r="P20" i="28" s="1"/>
  <c r="N18" i="35"/>
  <c r="O18" i="35" s="1"/>
  <c r="N21" i="35"/>
  <c r="O21" i="35" s="1"/>
  <c r="N17" i="35"/>
  <c r="O17" i="35" s="1"/>
  <c r="K25" i="35"/>
  <c r="P30" i="35" s="1"/>
  <c r="M16" i="35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M16" i="31"/>
  <c r="N21" i="30"/>
  <c r="O21" i="30" s="1"/>
  <c r="N24" i="30"/>
  <c r="O24" i="30" s="1"/>
  <c r="P24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7" i="27"/>
  <c r="L20" i="27"/>
  <c r="K23" i="27"/>
  <c r="L23" i="27"/>
  <c r="K24" i="27"/>
  <c r="L24" i="27"/>
  <c r="L19" i="27"/>
  <c r="L18" i="27"/>
  <c r="K23" i="26"/>
  <c r="L23" i="26"/>
  <c r="L18" i="26"/>
  <c r="T23" i="15"/>
  <c r="T22" i="15"/>
  <c r="T21" i="15"/>
  <c r="T20" i="15"/>
  <c r="T19" i="15"/>
  <c r="T18" i="15"/>
  <c r="T15" i="15"/>
  <c r="T14" i="15"/>
  <c r="L17" i="26" l="1"/>
  <c r="K25" i="33"/>
  <c r="P30" i="33" s="1"/>
  <c r="M22" i="35"/>
  <c r="N22" i="35" s="1"/>
  <c r="O22" i="35" s="1"/>
  <c r="K25" i="28"/>
  <c r="P30" i="28" s="1"/>
  <c r="L16" i="26"/>
  <c r="K25" i="31"/>
  <c r="P30" i="31" s="1"/>
  <c r="K24" i="26"/>
  <c r="M24" i="26" s="1"/>
  <c r="N24" i="26" s="1"/>
  <c r="O24" i="26" s="1"/>
  <c r="L16" i="27"/>
  <c r="P24" i="31"/>
  <c r="L25" i="33"/>
  <c r="P29" i="33" s="1"/>
  <c r="P31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M19" i="26" s="1"/>
  <c r="N19" i="26" s="1"/>
  <c r="O19" i="26" s="1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L25" i="27"/>
  <c r="P29" i="27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I18" i="22"/>
  <c r="K18" i="22" s="1"/>
  <c r="I21" i="22"/>
  <c r="K21" i="22" s="1"/>
  <c r="P22" i="33"/>
  <c r="P31" i="30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K24" i="19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9" l="1"/>
  <c r="K23" i="20"/>
  <c r="P33" i="30"/>
  <c r="P34" i="30" s="1"/>
  <c r="P35" i="30" s="1"/>
  <c r="U28" i="15" s="1"/>
  <c r="L21" i="18"/>
  <c r="M21" i="18" s="1"/>
  <c r="N21" i="18" s="1"/>
  <c r="O21" i="18" s="1"/>
  <c r="M25" i="26"/>
  <c r="L21" i="17"/>
  <c r="K21" i="17"/>
  <c r="L21" i="19"/>
  <c r="K21" i="19"/>
  <c r="L20" i="23"/>
  <c r="K20" i="23"/>
  <c r="M20" i="23" s="1"/>
  <c r="N20" i="23" s="1"/>
  <c r="O20" i="23" s="1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M16" i="24" s="1"/>
  <c r="N16" i="24" s="1"/>
  <c r="L20" i="25"/>
  <c r="M20" i="25" s="1"/>
  <c r="N20" i="25" s="1"/>
  <c r="O20" i="25" s="1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M17" i="23" s="1"/>
  <c r="N17" i="23" s="1"/>
  <c r="O17" i="23" s="1"/>
  <c r="L16" i="23"/>
  <c r="K16" i="23"/>
  <c r="M16" i="23" s="1"/>
  <c r="N16" i="23" s="1"/>
  <c r="L17" i="21"/>
  <c r="K17" i="21"/>
  <c r="L16" i="21"/>
  <c r="K16" i="21"/>
  <c r="L20" i="20"/>
  <c r="K20" i="20"/>
  <c r="L21" i="20"/>
  <c r="K21" i="20"/>
  <c r="L17" i="19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M24" i="21" s="1"/>
  <c r="N24" i="21" s="1"/>
  <c r="O24" i="21" s="1"/>
  <c r="P24" i="21" s="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L24" i="24"/>
  <c r="M24" i="24" s="1"/>
  <c r="N24" i="24" s="1"/>
  <c r="O24" i="24" s="1"/>
  <c r="L18" i="24"/>
  <c r="M18" i="24" s="1"/>
  <c r="N18" i="24" s="1"/>
  <c r="O18" i="24" s="1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M23" i="18" s="1"/>
  <c r="N23" i="18" s="1"/>
  <c r="O23" i="18" s="1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K25" i="22"/>
  <c r="P30" i="22" s="1"/>
  <c r="K25" i="25"/>
  <c r="P30" i="25" s="1"/>
  <c r="M16" i="25"/>
  <c r="N23" i="25"/>
  <c r="O23" i="25" s="1"/>
  <c r="P23" i="25" s="1"/>
  <c r="M16" i="22"/>
  <c r="N24" i="19"/>
  <c r="O24" i="19" s="1"/>
  <c r="N24" i="18"/>
  <c r="O24" i="18" s="1"/>
  <c r="I23" i="15"/>
  <c r="M18" i="19" l="1"/>
  <c r="N18" i="19" s="1"/>
  <c r="O18" i="19" s="1"/>
  <c r="M21" i="19"/>
  <c r="M17" i="19"/>
  <c r="N17" i="19" s="1"/>
  <c r="O17" i="19" s="1"/>
  <c r="M21" i="20"/>
  <c r="N21" i="20" s="1"/>
  <c r="O21" i="20" s="1"/>
  <c r="M19" i="19"/>
  <c r="N19" i="19" s="1"/>
  <c r="O19" i="19" s="1"/>
  <c r="M17" i="21"/>
  <c r="N17" i="21" s="1"/>
  <c r="O17" i="21" s="1"/>
  <c r="P17" i="21" s="1"/>
  <c r="M22" i="17"/>
  <c r="N22" i="17" s="1"/>
  <c r="O22" i="17" s="1"/>
  <c r="M16" i="21"/>
  <c r="N16" i="21" s="1"/>
  <c r="M22" i="18"/>
  <c r="N22" i="18" s="1"/>
  <c r="O22" i="18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L17" i="15" s="1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M24" i="15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N25" i="18" l="1"/>
  <c r="P32" i="18" s="1"/>
  <c r="P33" i="23"/>
  <c r="P34" i="23" s="1"/>
  <c r="P35" i="23" s="1"/>
  <c r="U21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<sst xmlns="http://schemas.openxmlformats.org/spreadsheetml/2006/main" count="1632" uniqueCount="131">
  <si>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</si>
  <si>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</si>
  <si>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</si>
  <si>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</si>
  <si>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</si>
  <si>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</si>
  <si>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</si>
  <si>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</si>
  <si>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</si>
  <si>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</si>
  <si>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</si>
  <si>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</si>
  <si>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</si>
  <si>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</si>
  <si>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</si>
  <si>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</si>
  <si>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</si>
  <si>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</si>
  <si>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</si>
  <si>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</si>
  <si>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</si>
  <si>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</si>
  <si>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</si>
  <si>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</si>
  <si>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</si>
  <si>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</si>
  <si>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</si>
  <si>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</si>
  <si>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</si>
  <si>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</si>
  <si>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</si>
  <si>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</si>
  <si>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</si>
  <si>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</si>
  <si>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</si>
  <si>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</si>
  <si>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</si>
  <si>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</si>
  <si>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</si>
  <si>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</si>
  <si>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</si>
  <si>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</si>
  <si>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</si>
  <si>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</si>
  <si>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</si>
  <si>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</si>
  <si>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</si>
  <si>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</si>
  <si>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</si>
  <si>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</si>
  <si>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</si>
  <si>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</si>
  <si>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</si>
  <si>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</si>
  <si>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</si>
  <si>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</si>
  <si>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</si>
  <si>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</si>
  <si>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</si>
  <si>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</si>
  <si>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</si>
  <si>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</si>
  <si>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</si>
  <si>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</si>
  <si>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</si>
  <si>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</si>
  <si>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</si>
  <si>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</si>
  <si>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</si>
  <si>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</si>
  <si>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</si>
  <si>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</si>
  <si>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</si>
  <si>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</si>
  <si>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</si>
  <si>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</si>
  <si>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</si>
  <si>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</si>
  <si>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</si>
  <si>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</si>
  <si>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</si>
  <si>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</si>
  <si>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</si>
  <si>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</si>
  <si>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</si>
  <si>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</si>
  <si>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</si>
  <si>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</si>
  <si>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</si>
  <si>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</si>
  <si>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</si>
  <si>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</si>
  <si>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</si>
  <si>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</si>
  <si>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</si>
  <si>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</si>
  <si>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</si>
  <si>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</si>
  <si>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</si>
  <si>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</si>
  <si>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</si>
  <si>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</si>
  <si>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</si>
  <si>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</si>
  <si>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</si>
  <si>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</si>
  <si>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</si>
  <si>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</si>
  <si>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</si>
  <si>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</si>
  <si>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</si>
  <si>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</si>
  <si>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</si>
  <si>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</si>
  <si>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</si>
  <si>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</si>
  <si>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</si>
  <si>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</si>
  <si>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</si>
  <si>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</si>
  <si>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</si>
  <si>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Khan Store</t>
  </si>
  <si>
    <t>Address: Academy Road</t>
  </si>
  <si>
    <t>Customer Name : Haji Store</t>
  </si>
  <si>
    <t>Address: Railway Officer Colony</t>
  </si>
  <si>
    <t>Customer Name : Chistiyan Sabriya Store</t>
  </si>
  <si>
    <t>Address: Academic Road</t>
  </si>
  <si>
    <t xml:space="preserve">Customer Name : K Mart </t>
  </si>
  <si>
    <t xml:space="preserve">Address: Shifa Street </t>
  </si>
  <si>
    <t>Customer Name : Lala Jee Store</t>
  </si>
  <si>
    <t xml:space="preserve">Address: Falcon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</si>
</sst>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39"/>
      <c r="B3" s="239"/>
      <c r="C3" s="239"/>
      <c r="D3" s="239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</row>
    <row r="4" spans="1:29" x14ac:dyDescent="0.35">
      <c r="A4" s="241" t="s">
        <v>6</v>
      </c>
      <c r="B4" s="5" t="s">
        <v>7</v>
      </c>
      <c r="C4" s="5"/>
      <c r="D4" s="243" t="s">
        <v>8</v>
      </c>
      <c r="E4" s="245" t="s">
        <v>9</v>
      </c>
      <c r="F4" s="247" t="s">
        <v>3</v>
      </c>
      <c r="G4" s="247"/>
      <c r="H4" s="248" t="s">
        <v>10</v>
      </c>
      <c r="I4" s="248"/>
      <c r="J4" s="249" t="s">
        <v>11</v>
      </c>
      <c r="K4" s="250"/>
      <c r="L4" s="249" t="s">
        <v>12</v>
      </c>
      <c r="M4" s="250"/>
      <c r="N4" s="251" t="s">
        <v>13</v>
      </c>
      <c r="O4" s="251"/>
      <c r="P4" s="249" t="s">
        <v>4</v>
      </c>
      <c r="Q4" s="250"/>
      <c r="R4" s="249" t="s">
        <v>14</v>
      </c>
      <c r="S4" s="250"/>
      <c r="T4" s="252" t="s">
        <v>15</v>
      </c>
      <c r="U4" s="252"/>
      <c r="V4" s="253" t="s">
        <v>16</v>
      </c>
      <c r="W4" s="254"/>
      <c r="X4" s="253" t="s">
        <v>17</v>
      </c>
      <c r="Y4" s="254"/>
    </row>
    <row r="5" spans="1:29" ht="26.25" customHeight="1" thickBot="1" x14ac:dyDescent="0.4">
      <c r="A5" s="242"/>
      <c r="B5" s="7" t="s">
        <v>18</v>
      </c>
      <c r="C5" s="7" t="s">
        <v>8</v>
      </c>
      <c r="D5" s="244"/>
      <c r="E5" s="246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6"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2" t="s">
        <v>45</v>
      </c>
      <c r="B2" s="192"/>
      <c r="C2" s="192"/>
    </row>
    <row r="3" spans="1:21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197" t="s">
        <v>96</v>
      </c>
      <c r="B5" s="197"/>
      <c r="C5" s="197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21 16383:16384" ht="15" customHeight="1" x14ac:dyDescent="0.35">
      <c r="A6" s="197"/>
      <c r="B6" s="197"/>
      <c r="C6" s="197"/>
      <c r="F6" s="70"/>
      <c r="G6" s="74"/>
      <c r="K6" s="194" t="s">
        <v>52</v>
      </c>
      <c r="L6" s="194"/>
      <c r="M6" s="194"/>
      <c r="N6" s="196" t="s">
        <v>42</v>
      </c>
      <c r="O6" s="196"/>
      <c r="P6" s="19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21 16383:16384" hidden="1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21 16383:16384" x14ac:dyDescent="0.35">
      <c r="A10" s="199"/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21 16383:16384" ht="15" thickBot="1" x14ac:dyDescent="0.4">
      <c r="A11" s="199"/>
      <c r="B11" s="76"/>
      <c r="C11" s="77"/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21 16383:16384" ht="14.65" customHeight="1" x14ac:dyDescent="0.35">
      <c r="A12" s="199"/>
      <c r="B12" s="76"/>
      <c r="C12" s="77"/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6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02" t="s">
        <v>68</v>
      </c>
      <c r="H14" s="203"/>
      <c r="I14" s="203" t="s">
        <v>69</v>
      </c>
      <c r="J14" s="203" t="s">
        <v>70</v>
      </c>
      <c r="K14" s="203"/>
      <c r="L14" s="205"/>
      <c r="M14" s="20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Khan Store</v>
      </c>
      <c r="U14" s="164">
        <f>+'1'!P35</f>
        <v>582.91150385249989</v>
      </c>
      <c r="XFD14" t="s">
        <v>75</v>
      </c>
    </row>
    <row r="15" spans="1:21 16383:16384" ht="29.25" customHeight="1" thickBot="1" x14ac:dyDescent="0.65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04"/>
      <c r="J15" s="170" t="s">
        <v>78</v>
      </c>
      <c r="K15" s="170" t="s">
        <v>79</v>
      </c>
      <c r="L15" s="173" t="s">
        <v>80</v>
      </c>
      <c r="M15" s="20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Haji Store</v>
      </c>
      <c r="U15" s="164">
        <f>+'2'!P35</f>
        <v>1179.0267926399999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26</v>
      </c>
      <c r="I16" s="1">
        <f>(G16*D16)*F16+H16*F16</f>
        <v>1364.0249999999999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47.740875000000003</v>
      </c>
      <c r="L16" s="174">
        <f>+'1'!L16+'2'!L16+'4'!L16+'3'!L16+'5'!L16+'6'!L16+'7'!L16+'8'!L16+'9'!L16+'10'!L16</f>
        <v>109.122</v>
      </c>
      <c r="M16" s="106">
        <f>I16-K16-L16</f>
        <v>1207.1621249999998</v>
      </c>
      <c r="N16" s="101">
        <f>+'1'!N16+'2'!N16+'4'!N16+'3'!N16+'5'!N16+'6'!N16+'7'!N16+'8'!N16+'9'!N16+'10'!N16</f>
        <v>217.28918249999998</v>
      </c>
      <c r="O16" s="101">
        <f>+'1'!O16+'2'!O16+'4'!O16+'3'!O16+'5'!O16+'6'!O16+'7'!O16+'8'!O16+'9'!O16+'10'!O16</f>
        <v>13.696647187499998</v>
      </c>
      <c r="P16" s="105">
        <f t="shared" ref="P16:P24" si="0">M16+N16+O16</f>
        <v>1438.1479546874998</v>
      </c>
      <c r="Q16" s="108"/>
      <c r="T16" s="163" t="str">
        <f>+'3'!A5</f>
        <v>Customer Name : Chistiyan Sabriya Store</v>
      </c>
      <c r="U16" s="164">
        <f>+'3'!P35</f>
        <v>964.69796275200008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36.723750000000003</v>
      </c>
      <c r="L17" s="174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 xml:space="preserve">Customer Name : K Mart </v>
      </c>
      <c r="U17" s="164">
        <f>+'4'!P35</f>
        <v>6859.740476070001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Lala Jee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26</v>
      </c>
      <c r="I19" s="1">
        <f t="shared" si="1"/>
        <v>1888.64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66.102400000000003</v>
      </c>
      <c r="L19" s="174">
        <f>+'1'!L19+'2'!L19+'4'!L19+'3'!L19+'5'!L19+'6'!L19+'7'!L19+'8'!L19+'9'!L19+'10'!L19</f>
        <v>151.09120000000001</v>
      </c>
      <c r="M19" s="118">
        <f t="shared" si="2"/>
        <v>1671.4464</v>
      </c>
      <c r="N19" s="101">
        <f>+'1'!N19+'2'!N19+'4'!N19+'3'!N19+'5'!N19+'6'!N19+'7'!N19+'8'!N19+'9'!N19+'10'!N19</f>
        <v>300.86035199999998</v>
      </c>
      <c r="O19" s="101">
        <f>+'1'!O19+'2'!O19+'4'!O19+'3'!O19+'5'!O19+'6'!O19+'7'!O19+'8'!O19+'9'!O19+'10'!O19</f>
        <v>18.964488000000003</v>
      </c>
      <c r="P19" s="120">
        <f t="shared" si="0"/>
        <v>1991.27124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26</v>
      </c>
      <c r="I21" s="1">
        <f t="shared" si="1"/>
        <v>1888.64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66.102400000000003</v>
      </c>
      <c r="L21" s="174">
        <f>+'1'!L21+'2'!L21+'4'!L21+'3'!L21+'5'!L21+'6'!L21+'7'!L21+'8'!L21+'9'!L21+'10'!L21</f>
        <v>151.09120000000001</v>
      </c>
      <c r="M21" s="118">
        <f t="shared" si="2"/>
        <v>1671.4464</v>
      </c>
      <c r="N21" s="101">
        <f>+'1'!N21+'2'!N21+'4'!N21+'3'!N21+'5'!N21+'6'!N21+'7'!N21+'8'!N21+'9'!N21+'10'!N21</f>
        <v>300.86035199999998</v>
      </c>
      <c r="O21" s="101">
        <f>+'1'!O21+'2'!O21+'4'!O21+'3'!O21+'5'!O21+'6'!O21+'7'!O21+'8'!O21+'9'!O21+'10'!O21</f>
        <v>18.964488000000003</v>
      </c>
      <c r="P21" s="120">
        <f t="shared" si="0"/>
        <v>1991.27124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76</v>
      </c>
      <c r="I22" s="1">
        <f t="shared" si="1"/>
        <v>2981.4800000000005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256.40728000000001</v>
      </c>
      <c r="L22" s="174">
        <f>+'1'!L22+'2'!L22+'4'!L22+'3'!L22+'5'!L22+'6'!L22+'7'!L22+'8'!L22+'9'!L22+'10'!L22</f>
        <v>149.07400000000001</v>
      </c>
      <c r="M22" s="118">
        <f t="shared" si="2"/>
        <v>2575.9987200000005</v>
      </c>
      <c r="N22" s="101">
        <f>+'1'!N22+'2'!N22+'4'!N22+'3'!N22+'5'!N22+'6'!N22+'7'!N22+'8'!N22+'9'!N22+'10'!N22</f>
        <v>463.67976959999999</v>
      </c>
      <c r="O22" s="101">
        <f>+'1'!O22+'2'!O22+'4'!O22+'3'!O22+'5'!O22+'6'!O22+'7'!O22+'8'!O22+'9'!O22+'10'!O22</f>
        <v>24.797377152000003</v>
      </c>
      <c r="P22" s="120">
        <f t="shared" si="0"/>
        <v>3064.4758667520005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4.3499999999999996</v>
      </c>
      <c r="D25" s="214"/>
      <c r="E25" s="214"/>
      <c r="F25" s="214"/>
      <c r="G25" s="175">
        <f t="shared" ref="G25:M25" si="3">SUM(G16:G24)</f>
        <v>0</v>
      </c>
      <c r="H25" s="176">
        <f t="shared" si="3"/>
        <v>174</v>
      </c>
      <c r="I25" s="177">
        <f t="shared" si="3"/>
        <v>9172.0349999999999</v>
      </c>
      <c r="J25" s="176">
        <f t="shared" si="3"/>
        <v>0</v>
      </c>
      <c r="K25" s="177">
        <f t="shared" si="3"/>
        <v>473.076705</v>
      </c>
      <c r="L25" s="178">
        <f t="shared" si="3"/>
        <v>644.31840000000011</v>
      </c>
      <c r="M25" s="141">
        <f t="shared" si="3"/>
        <v>8054.6398950000003</v>
      </c>
      <c r="N25" s="142">
        <f>SUM(N16:N24)</f>
        <v>1449.8351810999998</v>
      </c>
      <c r="O25" s="143">
        <f>SUM(O16:O24)</f>
        <v>81.9016592145</v>
      </c>
      <c r="P25" s="144">
        <f>SUM(P16:P24)</f>
        <v>9586.3767353144995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9586.3767353145013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9172.0349999999999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644.31840000000011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473.076705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8054.6398949999993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1449.8351810999998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9504.4750760999996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237.6118769025</v>
      </c>
    </row>
    <row r="43" spans="1:21" ht="15.75" customHeight="1" thickBot="1" x14ac:dyDescent="0.4">
      <c r="N43" s="212" t="s">
        <v>92</v>
      </c>
      <c r="O43" s="213"/>
      <c r="P43" s="160">
        <f>P41+P42</f>
        <v>9742.0869530024993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192" t="s">
        <v>45</v>
      </c>
      <c r="B2" s="192"/>
      <c r="C2" s="192"/>
    </row>
    <row r="3" spans="1:26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121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26 16383:16384" ht="15" customHeight="1" x14ac:dyDescent="0.35">
      <c r="A6" s="194" t="s">
        <v>122</v>
      </c>
      <c r="B6" s="194"/>
      <c r="C6" s="194"/>
      <c r="F6" s="70"/>
      <c r="G6" s="74"/>
      <c r="K6" s="194" t="s">
        <v>52</v>
      </c>
      <c r="L6" s="194"/>
      <c r="M6" s="194"/>
      <c r="N6" s="196" t="s">
        <v>96</v>
      </c>
      <c r="O6" s="196"/>
      <c r="P6" s="196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26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26 16383:16384" x14ac:dyDescent="0.35">
      <c r="A10" s="199" t="s">
        <v>95</v>
      </c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26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26 16383:16384" ht="14.65" customHeight="1" x14ac:dyDescent="0.35">
      <c r="A12" s="199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26 16383:16384" ht="15" thickBot="1" x14ac:dyDescent="0.4">
      <c r="A13" s="236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 t="shared" ref="O16:O24" si="1">(N16+M16)*$O$15</f>
        <v>8.2179883124999975</v>
      </c>
      <c r="P16" s="105">
        <f t="shared" ref="P16:P24" si="2">M16+N16+O16</f>
        <v>336.93752081249988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6"/>
        <v>203.36832000000001</v>
      </c>
      <c r="N22" s="118">
        <f t="shared" si="0"/>
        <v>36.606297599999998</v>
      </c>
      <c r="O22" s="119">
        <f t="shared" si="1"/>
        <v>5.9993654400000009</v>
      </c>
      <c r="P22" s="120">
        <f t="shared" si="2"/>
        <v>245.97398304000001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13">SUM(G16:G24)</f>
        <v>0</v>
      </c>
      <c r="H25" s="136">
        <f t="shared" si="13"/>
        <v>12</v>
      </c>
      <c r="I25" s="137">
        <f t="shared" si="13"/>
        <v>550.15499999999997</v>
      </c>
      <c r="J25" s="138"/>
      <c r="K25" s="139">
        <f t="shared" si="13"/>
        <v>31.259805</v>
      </c>
      <c r="L25" s="140">
        <f t="shared" si="13"/>
        <v>36.951000000000001</v>
      </c>
      <c r="M25" s="141">
        <f t="shared" si="13"/>
        <v>481.94419499999992</v>
      </c>
      <c r="N25" s="142">
        <f>SUM(N16:N24)</f>
        <v>86.749955099999994</v>
      </c>
      <c r="O25" s="143">
        <f>SUM(O16:O24)</f>
        <v>14.217353752499999</v>
      </c>
      <c r="P25" s="144">
        <f>SUM(P16:P24)</f>
        <v>582.91150385249989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550.15499999999997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36.951000000000001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31.259805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481.94419499999992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86.749955099999994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568.69415009999989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14.217353752499998</v>
      </c>
    </row>
    <row r="35" spans="2:16" ht="15.75" customHeight="1" thickBot="1" x14ac:dyDescent="0.4">
      <c r="N35" s="212" t="s">
        <v>92</v>
      </c>
      <c r="O35" s="213"/>
      <c r="P35" s="160">
        <f>P33+P34</f>
        <v>582.91150385249989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2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124</v>
      </c>
      <c r="B6" s="194"/>
      <c r="C6" s="194"/>
      <c r="F6" s="70"/>
      <c r="G6" s="74"/>
      <c r="K6" s="194" t="s">
        <v>52</v>
      </c>
      <c r="L6" s="194"/>
      <c r="M6" s="194"/>
      <c r="N6" s="196" t="s">
        <v>96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11.378692800000001</v>
      </c>
      <c r="P19" s="120">
        <f t="shared" si="1"/>
        <v>466.52640480000002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11.378692800000001</v>
      </c>
      <c r="P21" s="120">
        <f t="shared" si="1"/>
        <v>466.52640480000002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18</v>
      </c>
      <c r="I25" s="137">
        <f t="shared" si="9"/>
        <v>1107.0600000000002</v>
      </c>
      <c r="J25" s="138"/>
      <c r="K25" s="139">
        <f t="shared" si="9"/>
        <v>50.751480000000001</v>
      </c>
      <c r="L25" s="140">
        <f t="shared" si="9"/>
        <v>81.503400000000013</v>
      </c>
      <c r="M25" s="141">
        <f t="shared" si="9"/>
        <v>974.8051200000001</v>
      </c>
      <c r="N25" s="142">
        <f>SUM(N16:N24)</f>
        <v>175.4649216</v>
      </c>
      <c r="O25" s="143">
        <f>SUM(O16:O24)</f>
        <v>28.756751040000005</v>
      </c>
      <c r="P25" s="144">
        <f>SUM(P16:P24)</f>
        <v>1179.0267926400002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1107.0600000000002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81.503400000000013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50.751480000000001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974.8051200000001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175.4649216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1150.2700416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28.756751040000001</v>
      </c>
    </row>
    <row r="35" spans="2:16" ht="15.75" customHeight="1" thickBot="1" x14ac:dyDescent="0.4">
      <c r="N35" s="212" t="s">
        <v>92</v>
      </c>
      <c r="O35" s="213"/>
      <c r="P35" s="160">
        <f>P33+P34</f>
        <v>1179.0267926399999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4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126</v>
      </c>
      <c r="B6" s="194"/>
      <c r="C6" s="194"/>
      <c r="F6" s="70"/>
      <c r="G6" s="74"/>
      <c r="K6" s="194" t="s">
        <v>52</v>
      </c>
      <c r="L6" s="194"/>
      <c r="M6" s="194"/>
      <c r="N6" s="196" t="s">
        <v>96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x14ac:dyDescent="0.35">
      <c r="A10" s="199" t="s">
        <v>95</v>
      </c>
      <c r="B10" s="168">
        <v>3660173975043</v>
      </c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4.7994923520000006</v>
      </c>
      <c r="P25" s="144">
        <f>SUM(P16:P24)</f>
        <v>964.69796275200008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4.7994923520000006</v>
      </c>
    </row>
    <row r="35" spans="2:16" ht="15.75" customHeight="1" thickBot="1" x14ac:dyDescent="0.4">
      <c r="N35" s="212" t="s">
        <v>92</v>
      </c>
      <c r="O35" s="213"/>
      <c r="P35" s="160">
        <f>P33+P34</f>
        <v>964.69796275200008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3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128</v>
      </c>
      <c r="B6" s="194"/>
      <c r="C6" s="194"/>
      <c r="F6" s="70"/>
      <c r="G6" s="74"/>
      <c r="K6" s="194" t="s">
        <v>52</v>
      </c>
      <c r="L6" s="194"/>
      <c r="M6" s="194"/>
      <c r="N6" s="196" t="s">
        <v>96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>
        <v>561561651651651</v>
      </c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310.09469999999999</v>
      </c>
      <c r="L25" s="140">
        <f t="shared" si="9"/>
        <v>478.78800000000001</v>
      </c>
      <c r="M25" s="141">
        <f t="shared" si="9"/>
        <v>5784.417300000001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6859.740476070001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6573.3000000000011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478.78800000000001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310.09469999999999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5784.417300000001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6825.6124140000011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12" t="s">
        <v>92</v>
      </c>
      <c r="O35" s="213"/>
      <c r="P35" s="160">
        <f>P33+P34</f>
        <v>6859.740476070001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11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5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130</v>
      </c>
      <c r="B6" s="194"/>
      <c r="C6" s="194"/>
      <c r="F6" s="70"/>
      <c r="G6" s="74"/>
      <c r="K6" s="194" t="s">
        <v>52</v>
      </c>
      <c r="L6" s="194"/>
      <c r="M6" s="194"/>
      <c r="N6" s="196" t="s">
        <v>96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6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7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8" thickBot="1" x14ac:dyDescent="0.4">
      <c r="A13" s="236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8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x14ac:dyDescent="0.35">
      <c r="A10" s="199" t="s">
        <v>95</v>
      </c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9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8" thickBot="1" x14ac:dyDescent="0.4">
      <c r="A13" s="236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ht="17.5" x14ac:dyDescent="0.35">
      <c r="A10" s="199" t="s">
        <v>95</v>
      </c>
      <c r="B10" s="191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48</v>
      </c>
      <c r="C11" s="77" t="str">
        <f>IF($O34&gt;2.49%,"No","Yes")</f>
        <v>Yes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x14ac:dyDescent="0.35">
      <c r="A10" s="199" t="s">
        <v>95</v>
      </c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98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x14ac:dyDescent="0.35">
      <c r="A10" s="199" t="s">
        <v>95</v>
      </c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97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x14ac:dyDescent="0.35">
      <c r="A10" s="199" t="s">
        <v>95</v>
      </c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2" t="s">
        <v>45</v>
      </c>
      <c r="B2" s="192"/>
      <c r="C2" s="192"/>
    </row>
    <row r="3" spans="1:19 16383:16384" ht="15" customHeight="1" x14ac:dyDescent="0.35">
      <c r="A3" s="193" t="s">
        <v>46</v>
      </c>
      <c r="B3" s="193"/>
      <c r="C3" s="193"/>
      <c r="F3" s="70"/>
      <c r="G3" s="71"/>
      <c r="K3" s="194" t="s">
        <v>47</v>
      </c>
      <c r="L3" s="194"/>
      <c r="M3" s="194"/>
      <c r="N3" s="193">
        <v>10</v>
      </c>
      <c r="O3" s="193"/>
      <c r="P3" s="193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3" t="s">
        <v>94</v>
      </c>
      <c r="B4" s="193"/>
      <c r="C4" s="193"/>
      <c r="F4" s="70"/>
      <c r="G4" s="71"/>
      <c r="K4" s="194" t="s">
        <v>49</v>
      </c>
      <c r="L4" s="194"/>
      <c r="M4" s="194"/>
      <c r="N4" s="195">
        <f ca="1">TODAY()</f>
        <v>46221</v>
      </c>
      <c r="O4" s="195"/>
      <c r="P4" s="19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194" t="s">
        <v>51</v>
      </c>
      <c r="L5" s="194"/>
      <c r="M5" s="194"/>
      <c r="N5" s="195">
        <f ca="1">N4-1</f>
        <v>46220</v>
      </c>
      <c r="O5" s="193"/>
      <c r="P5" s="193"/>
      <c r="R5" s="70"/>
      <c r="S5" s="71"/>
    </row>
    <row r="6" spans="1:19 16383:16384" ht="15" customHeight="1" x14ac:dyDescent="0.35">
      <c r="A6" s="194" t="s">
        <v>103</v>
      </c>
      <c r="B6" s="194"/>
      <c r="C6" s="194"/>
      <c r="F6" s="70"/>
      <c r="G6" s="74"/>
      <c r="K6" s="194" t="s">
        <v>52</v>
      </c>
      <c r="L6" s="194"/>
      <c r="M6" s="194"/>
      <c r="N6" s="196" t="s">
        <v>97</v>
      </c>
      <c r="O6" s="196"/>
      <c r="P6" s="19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4"/>
      <c r="B7" s="194"/>
      <c r="C7" s="194"/>
      <c r="F7" s="70"/>
      <c r="G7" s="74"/>
      <c r="K7" s="194"/>
      <c r="L7" s="194"/>
      <c r="M7" s="194"/>
      <c r="N7" s="196"/>
      <c r="O7" s="196"/>
      <c r="P7" s="19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198"/>
      <c r="B8" s="198"/>
      <c r="C8" s="198"/>
      <c r="F8" s="70"/>
      <c r="G8" s="74"/>
      <c r="K8" s="194"/>
      <c r="L8" s="194"/>
      <c r="M8" s="194"/>
      <c r="N8" s="196"/>
      <c r="O8" s="196"/>
      <c r="P8" s="196"/>
      <c r="R8" s="70"/>
      <c r="S8" s="74"/>
    </row>
    <row r="9" spans="1:19 16383:16384" x14ac:dyDescent="0.35">
      <c r="A9" s="198"/>
      <c r="B9" s="198"/>
      <c r="C9" s="198"/>
      <c r="F9" s="70"/>
      <c r="G9" s="74"/>
      <c r="K9" s="194"/>
      <c r="L9" s="194"/>
      <c r="M9" s="194"/>
      <c r="N9" s="196"/>
      <c r="O9" s="196"/>
      <c r="P9" s="196"/>
      <c r="R9" s="70"/>
      <c r="S9" s="74"/>
      <c r="XFD9" t="s">
        <v>55</v>
      </c>
    </row>
    <row r="10" spans="1:19 16383:16384" x14ac:dyDescent="0.35">
      <c r="A10" s="199" t="s">
        <v>95</v>
      </c>
      <c r="B10" s="75"/>
      <c r="C10" s="75"/>
      <c r="F10" s="70"/>
      <c r="G10" s="71"/>
      <c r="K10" s="194" t="s">
        <v>56</v>
      </c>
      <c r="L10" s="194"/>
      <c r="M10" s="194"/>
      <c r="N10" s="193" t="s">
        <v>57</v>
      </c>
      <c r="O10" s="193"/>
      <c r="P10" s="193"/>
      <c r="R10" s="70"/>
      <c r="S10" s="71"/>
      <c r="XFD10" t="s">
        <v>58</v>
      </c>
    </row>
    <row r="11" spans="1:19 16383:16384" x14ac:dyDescent="0.35">
      <c r="A11" s="199"/>
      <c r="B11" s="76" t="s">
        <v>50</v>
      </c>
      <c r="C11" s="77" t="str">
        <f>IF($O34&gt;2.49%,"No","Yes")</f>
        <v>No</v>
      </c>
      <c r="F11" s="70"/>
      <c r="G11" s="71"/>
      <c r="K11" s="194" t="s">
        <v>59</v>
      </c>
      <c r="L11" s="194"/>
      <c r="M11" s="194"/>
      <c r="N11" s="193" t="s">
        <v>55</v>
      </c>
      <c r="O11" s="193"/>
      <c r="P11" s="193"/>
      <c r="R11" s="70"/>
      <c r="S11" s="71"/>
    </row>
    <row r="12" spans="1:19 16383:16384" ht="14.65" customHeight="1" x14ac:dyDescent="0.35">
      <c r="A12" s="199" t="s">
        <v>60</v>
      </c>
      <c r="B12" s="76" t="s">
        <v>54</v>
      </c>
      <c r="C12" s="77" t="str">
        <f>IF($O32&gt;21.99%,"No","Yes")</f>
        <v>No</v>
      </c>
      <c r="F12" s="70"/>
      <c r="G12" s="71"/>
      <c r="K12" s="194" t="s">
        <v>61</v>
      </c>
      <c r="L12" s="194"/>
      <c r="M12" s="194"/>
      <c r="N12" s="193"/>
      <c r="O12" s="193"/>
      <c r="P12" s="193"/>
      <c r="R12" s="70"/>
      <c r="S12" s="71"/>
      <c r="XFD12" t="s">
        <v>62</v>
      </c>
    </row>
    <row r="13" spans="1:19 16383:16384" ht="15" thickBot="1" x14ac:dyDescent="0.4">
      <c r="A13" s="236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7" t="s">
        <v>64</v>
      </c>
      <c r="B14" s="206"/>
      <c r="C14" s="200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07"/>
      <c r="C15" s="20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2026-07-18T10:21:40Z</dcterms:modified>
</cp:coreProperties>
</file>