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1C49B77-D552-41CA-81B0-F4E7CAADD56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<sst xmlns="http://schemas.openxmlformats.org/spreadsheetml/2006/main" count="1632" uniqueCount="122">
  <si>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</si>
  <si>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</si>
  <si>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</si>
  <si>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</si>
  <si>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</si>
  <si>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</si>
  <si>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</si>
  <si>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</si>
  <si>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</si>
  <si>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</si>
  <si>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</si>
  <si>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</si>
  <si>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</si>
  <si>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</si>
  <si>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</si>
  <si>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</si>
  <si>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</si>
  <si>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</si>
  <si>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</si>
  <si>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</si>
  <si>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</si>
  <si>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</si>
  <si>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</si>
  <si>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</si>
  <si>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</si>
  <si>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</si>
  <si>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</si>
  <si>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</si>
  <si>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</si>
  <si>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</si>
  <si>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</si>
  <si>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</si>
  <si>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</si>
  <si>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</si>
  <si>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</si>
  <si>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</si>
  <si>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</si>
  <si>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</si>
  <si>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</si>
  <si>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</si>
  <si>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</si>
  <si>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</si>
  <si>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</si>
  <si>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</si>
  <si>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</si>
  <si>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</si>
  <si>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</si>
  <si>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</si>
  <si>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</si>
  <si>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</si>
  <si>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</si>
  <si>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</si>
  <si>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</si>
  <si>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</si>
  <si>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</si>
  <si>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</si>
  <si>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</si>
  <si>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</si>
  <si>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</si>
  <si>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</si>
  <si>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</si>
  <si>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</si>
  <si>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</si>
  <si>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</si>
  <si>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</si>
  <si>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</si>
  <si>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</si>
  <si>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</si>
  <si>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</si>
  <si>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</si>
  <si>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</si>
  <si>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</si>
  <si>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</si>
  <si>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</si>
  <si>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</si>
  <si>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</si>
  <si>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</si>
  <si>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</si>
  <si>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</si>
  <si>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</si>
  <si>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</si>
  <si>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</si>
  <si>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</si>
  <si>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</si>
  <si>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</si>
  <si>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</si>
  <si>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</si>
  <si>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</si>
  <si>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</si>
  <si>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</si>
  <si>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</si>
  <si>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</si>
  <si>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</si>
  <si>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</si>
  <si>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</si>
  <si>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</si>
  <si>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</si>
  <si>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</si>
  <si>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</si>
  <si>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</si>
  <si>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</si>
  <si>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</si>
  <si>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</si>
  <si>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</si>
  <si>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</si>
  <si>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</si>
  <si>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</si>
  <si>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</si>
  <si>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</si>
  <si>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</si>
  <si>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</si>
  <si>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</si>
  <si>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</si>
  <si>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</si>
  <si>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</si>
  <si>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</si>
  <si>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</si>
  <si>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</si>
  <si>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</si>
  <si>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</si>
  <si>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Summary()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</si>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</sst>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121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171.49351190175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1</v>
      </c>
      <c r="I16" s="1">
        <f>(G16*D16)*F16+H16*F16</f>
        <v>52.462499999999999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1.8361875000000001</v>
      </c>
      <c r="L16" s="174">
        <f>+'1'!L16+'2'!L16+'4'!L16+'3'!L16+'5'!L16+'6'!L16+'7'!L16+'8'!L16+'9'!L16+'10'!L16</f>
        <v>4.1970000000000001</v>
      </c>
      <c r="M16" s="106">
        <f>I16-K16-L16</f>
        <v>46.429312499999995</v>
      </c>
      <c r="N16" s="101">
        <f>+'1'!N16+'2'!N16+'4'!N16+'3'!N16+'5'!N16+'6'!N16+'7'!N16+'8'!N16+'9'!N16+'10'!N16</f>
        <v>8.3572762499999982</v>
      </c>
      <c r="O16" s="101">
        <f>+'1'!O16+'2'!O16+'4'!O16+'3'!O16+'5'!O16+'6'!O16+'7'!O16+'8'!O16+'9'!O16+'10'!O16</f>
        <v>0.27393294374999999</v>
      </c>
      <c r="P16" s="105">
        <f t="shared" ref="P16:P24" si="0">M16+N16+O16</f>
        <v>55.06052169374999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1</v>
      </c>
      <c r="I19" s="1">
        <f t="shared" si="1"/>
        <v>72.64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2.5424000000000002</v>
      </c>
      <c r="L19" s="174">
        <f>+'1'!L19+'2'!L19+'4'!L19+'3'!L19+'5'!L19+'6'!L19+'7'!L19+'8'!L19+'9'!L19+'10'!L19</f>
        <v>5.8112000000000004</v>
      </c>
      <c r="M19" s="118">
        <f t="shared" si="2"/>
        <v>64.2864</v>
      </c>
      <c r="N19" s="101">
        <f>+'1'!N19+'2'!N19+'4'!N19+'3'!N19+'5'!N19+'6'!N19+'7'!N19+'8'!N19+'9'!N19+'10'!N19</f>
        <v>11.571552000000001</v>
      </c>
      <c r="O19" s="101">
        <f>+'1'!O19+'2'!O19+'4'!O19+'3'!O19+'5'!O19+'6'!O19+'7'!O19+'8'!O19+'9'!O19+'10'!O19</f>
        <v>0.37928975999999998</v>
      </c>
      <c r="P19" s="120">
        <f t="shared" si="0"/>
        <v>76.237241760000003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</v>
      </c>
      <c r="I22" s="1">
        <f t="shared" si="1"/>
        <v>39.230000000000004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3.37378</v>
      </c>
      <c r="L22" s="174">
        <f>+'1'!L22+'2'!L22+'4'!L22+'3'!L22+'5'!L22+'6'!L22+'7'!L22+'8'!L22+'9'!L22+'10'!L22</f>
        <v>1.9615000000000002</v>
      </c>
      <c r="M22" s="118">
        <f t="shared" si="2"/>
        <v>33.894720000000007</v>
      </c>
      <c r="N22" s="101">
        <f>+'1'!N22+'2'!N22+'4'!N22+'3'!N22+'5'!N22+'6'!N22+'7'!N22+'8'!N22+'9'!N22+'10'!N22</f>
        <v>6.1010496000000014</v>
      </c>
      <c r="O22" s="101">
        <f>+'1'!O22+'2'!O22+'4'!O22+'3'!O22+'5'!O22+'6'!O22+'7'!O22+'8'!O22+'9'!O22+'10'!O22</f>
        <v>0.19997884800000004</v>
      </c>
      <c r="P22" s="120">
        <f t="shared" si="0"/>
        <v>40.19574844800001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7.4999999999999997E-2</v>
      </c>
      <c r="D25" s="230"/>
      <c r="E25" s="230"/>
      <c r="F25" s="230"/>
      <c r="G25" s="175">
        <f t="shared" ref="G25:M25" si="3">SUM(G16:G24)</f>
        <v>0</v>
      </c>
      <c r="H25" s="176">
        <f t="shared" si="3"/>
        <v>3</v>
      </c>
      <c r="I25" s="177">
        <f t="shared" si="3"/>
        <v>164.33249999999998</v>
      </c>
      <c r="J25" s="176">
        <f t="shared" si="3"/>
        <v>0</v>
      </c>
      <c r="K25" s="177">
        <f t="shared" si="3"/>
        <v>7.7523675000000001</v>
      </c>
      <c r="L25" s="178">
        <f t="shared" si="3"/>
        <v>11.969700000000001</v>
      </c>
      <c r="M25" s="141">
        <f t="shared" si="3"/>
        <v>144.6104325</v>
      </c>
      <c r="N25" s="142">
        <f>SUM(N16:N24)</f>
        <v>26.029877849999998</v>
      </c>
      <c r="O25" s="143">
        <f>SUM(O16:O24)</f>
        <v>0.85320155175000001</v>
      </c>
      <c r="P25" s="144">
        <f>SUM(P16:P24)</f>
        <v>171.49351190175003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171.49351190175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164.33249999999998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11.969700000000001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7.7523675000000001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144.6104325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26.029877849999998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170.64031034999999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4.2660077587499998</v>
      </c>
    </row>
    <row r="43" spans="1:21" ht="15.75" customHeight="1" thickBot="1" x14ac:dyDescent="0.4">
      <c r="N43" s="228" t="s">
        <v>92</v>
      </c>
      <c r="O43" s="229"/>
      <c r="P43" s="160">
        <f>P41+P42</f>
        <v>174.90631810874999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26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</v>
      </c>
      <c r="I16" s="102">
        <f>(G16*D16)*F16+H16*F16</f>
        <v>52.462499999999999</v>
      </c>
      <c r="J16" s="103"/>
      <c r="K16" s="104">
        <f>I16*3.5%</f>
        <v>1.8361875000000001</v>
      </c>
      <c r="L16" s="105">
        <f>I16*8%</f>
        <v>4.1970000000000001</v>
      </c>
      <c r="M16" s="106">
        <f>I16-K16-L16</f>
        <v>46.429312499999995</v>
      </c>
      <c r="N16" s="106">
        <f t="shared" ref="N16:N24" si="0">(M16*$N$15)+(J16*F16)*$N$15</f>
        <v>8.3572762499999982</v>
      </c>
      <c r="O16" s="107">
        <f t="shared" ref="O16:O24" si="1">(N16+M16)*$O$15</f>
        <v>0.27393294374999999</v>
      </c>
      <c r="P16" s="105">
        <f t="shared" ref="P16:P24" si="2">M16+N16+O16</f>
        <v>55.06052169374999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</v>
      </c>
      <c r="I19" s="116">
        <f t="shared" si="3"/>
        <v>72.64</v>
      </c>
      <c r="J19" s="117"/>
      <c r="K19" s="104">
        <f t="shared" si="4"/>
        <v>2.5424000000000002</v>
      </c>
      <c r="L19" s="105">
        <f t="shared" si="5"/>
        <v>5.8112000000000004</v>
      </c>
      <c r="M19" s="118">
        <f t="shared" si="6"/>
        <v>64.2864</v>
      </c>
      <c r="N19" s="118">
        <f t="shared" si="0"/>
        <v>11.571552000000001</v>
      </c>
      <c r="O19" s="119">
        <f t="shared" si="1"/>
        <v>0.37928975999999998</v>
      </c>
      <c r="P19" s="120">
        <f t="shared" si="2"/>
        <v>76.237241760000003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</v>
      </c>
      <c r="I22" s="116">
        <f t="shared" si="3"/>
        <v>39.230000000000004</v>
      </c>
      <c r="J22" s="117"/>
      <c r="K22" s="104">
        <f>I22*8.6%</f>
        <v>3.37378</v>
      </c>
      <c r="L22" s="120">
        <f>I22*5%</f>
        <v>1.9615000000000002</v>
      </c>
      <c r="M22" s="118">
        <f t="shared" si="6"/>
        <v>33.894720000000007</v>
      </c>
      <c r="N22" s="118">
        <f t="shared" si="0"/>
        <v>6.1010496000000014</v>
      </c>
      <c r="O22" s="119">
        <f t="shared" si="1"/>
        <v>0.19997884800000004</v>
      </c>
      <c r="P22" s="120">
        <f t="shared" si="2"/>
        <v>40.19574844800001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3</v>
      </c>
      <c r="I25" s="137">
        <f t="shared" si="13"/>
        <v>164.33249999999998</v>
      </c>
      <c r="J25" s="138"/>
      <c r="K25" s="139">
        <f t="shared" si="13"/>
        <v>7.7523675000000001</v>
      </c>
      <c r="L25" s="140">
        <f t="shared" si="13"/>
        <v>11.969700000000001</v>
      </c>
      <c r="M25" s="141">
        <f t="shared" si="13"/>
        <v>144.6104325</v>
      </c>
      <c r="N25" s="142">
        <f>SUM(N16:N24)</f>
        <v>26.029877849999998</v>
      </c>
      <c r="O25" s="143">
        <f>SUM(O16:O24)</f>
        <v>0.85320155175000001</v>
      </c>
      <c r="P25" s="144">
        <f>SUM(P16:P24)</f>
        <v>171.49351190175003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164.33249999999998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11.969700000000001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7.7523675000000001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144.6104325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26.029877849999998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170.64031034999999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0.85320155175000001</v>
      </c>
    </row>
    <row r="35" spans="2:16" ht="15.75" customHeight="1" thickBot="1" x14ac:dyDescent="0.4">
      <c r="N35" s="228" t="s">
        <v>92</v>
      </c>
      <c r="O35" s="229"/>
      <c r="P35" s="160">
        <f>P33+P34</f>
        <v>171.49351190175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46227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46226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2026-07-24T10:09:21Z</dcterms:modified>
</cp:coreProperties>
</file>