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761ADEF0-8597-47B5-9B2C-DC5B6E0EA36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8" i="2"/>
  <c r="H10" i="2" l="1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<sst xmlns="http://schemas.openxmlformats.org/spreadsheetml/2006/main" count="370" uniqueCount="76">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</sst>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0" borderId="34" xfId="0" applyNumberFormat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H6" sqref="H6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46231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workbookViewId="0">
      <selection activeCell="K14" sqref="K14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27</v>
      </c>
      <c r="C2" s="63">
        <f>+B2/A2</f>
        <v>1</v>
      </c>
      <c r="D2" s="62">
        <f>+A2-B2</f>
        <v>0</v>
      </c>
      <c r="F2" s="94">
        <v>46234</v>
      </c>
      <c r="G2" s="108" t="s">
        <v>40</v>
      </c>
      <c r="H2" s="109"/>
      <c r="I2" s="109"/>
      <c r="J2" s="105" t="s">
        <v>61</v>
      </c>
      <c r="K2" s="106"/>
      <c r="L2" s="106"/>
      <c r="M2" s="106"/>
      <c r="N2" s="107"/>
      <c r="O2" s="111" t="s">
        <v>41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v>325</v>
      </c>
      <c r="I4" s="68">
        <f t="shared" ref="I4:I31" si="0">H4/G4</f>
        <v>0.54166666666666663</v>
      </c>
      <c r="J4" s="30">
        <v>575</v>
      </c>
      <c r="K4" s="8">
        <v>335</v>
      </c>
      <c r="L4" s="87">
        <f t="shared" ref="L4:L29" si="1">K4/J4</f>
        <v>0.58260869565217388</v>
      </c>
      <c r="M4" s="8">
        <f t="shared" ref="M4:M6" si="2">J4-K4</f>
        <v>240</v>
      </c>
      <c r="N4" s="10" t="e">
        <f t="shared" ref="N4:N6" si="3">M4/$D$2</f>
        <v>#DIV/0!</v>
      </c>
      <c r="O4" s="69">
        <f t="shared" ref="O4:P12" si="4">K4/H4</f>
        <v>1.0307692307692307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4+8+7+17+7+3+2+5+7+14+20+10+18+15+12+1+6+8+8+15</f>
        <v>187</v>
      </c>
      <c r="I5" s="70">
        <f t="shared" si="0"/>
        <v>0.31166666666666665</v>
      </c>
      <c r="J5" s="11">
        <v>550</v>
      </c>
      <c r="K5" s="12">
        <v>181.4</v>
      </c>
      <c r="L5" s="71">
        <f t="shared" si="1"/>
        <v>0.32981818181818184</v>
      </c>
      <c r="M5" s="12">
        <f t="shared" si="2"/>
        <v>368.6</v>
      </c>
      <c r="N5" s="14" t="e">
        <f t="shared" si="3"/>
        <v>#DIV/0!</v>
      </c>
      <c r="O5" s="72">
        <f t="shared" si="4"/>
        <v>0.97005347593582891</v>
      </c>
      <c r="P5" s="14">
        <f t="shared" si="4"/>
        <v>1.058240155566359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45</v>
      </c>
      <c r="L6" s="71">
        <f t="shared" si="1"/>
        <v>8.1818181818181818E-2</v>
      </c>
      <c r="M6" s="12">
        <f t="shared" si="2"/>
        <v>505</v>
      </c>
      <c r="N6" s="14" t="e">
        <f t="shared" si="3"/>
        <v>#DIV/0!</v>
      </c>
      <c r="O6" s="72">
        <f t="shared" si="4"/>
        <v>1.6071428571428572</v>
      </c>
      <c r="P6" s="14">
        <f t="shared" si="4"/>
        <v>1.7532467532467531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 t="e">
        <f t="shared" ref="N7:N31" si="6">M7/$D$2</f>
        <v>#DIV/0!</v>
      </c>
      <c r="O7" s="72">
        <f t="shared" si="4"/>
        <v>1.3137254901960784</v>
      </c>
      <c r="P7" s="14">
        <f t="shared" si="4"/>
        <v>1.4331550802139035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10+10+0+14+6+10+11+11+8+7+9+24+14+13+12+16+12+14+18+15+18</f>
        <v>252</v>
      </c>
      <c r="I8" s="70">
        <f t="shared" si="0"/>
        <v>0.42</v>
      </c>
      <c r="J8" s="11">
        <v>575</v>
      </c>
      <c r="K8" s="12">
        <v>365.9</v>
      </c>
      <c r="L8" s="71">
        <f t="shared" si="1"/>
        <v>0.6363478260869565</v>
      </c>
      <c r="M8" s="12">
        <f t="shared" si="5"/>
        <v>209.10000000000002</v>
      </c>
      <c r="N8" s="14" t="e">
        <f t="shared" si="6"/>
        <v>#DIV/0!</v>
      </c>
      <c r="O8" s="72">
        <f t="shared" si="4"/>
        <v>1.4519841269841269</v>
      </c>
      <c r="P8" s="14">
        <f t="shared" si="4"/>
        <v>1.5151138716356107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 t="e">
        <f t="shared" si="6"/>
        <v>#DIV/0!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2100</v>
      </c>
      <c r="L10" s="71">
        <f t="shared" si="1"/>
        <v>0.45454545454545453</v>
      </c>
      <c r="M10" s="12">
        <f t="shared" si="5"/>
        <v>2520</v>
      </c>
      <c r="N10" s="14" t="e">
        <f t="shared" si="6"/>
        <v>#DIV/0!</v>
      </c>
      <c r="O10" s="72">
        <f t="shared" si="4"/>
        <v>21.428571428571427</v>
      </c>
      <c r="P10" s="14">
        <f t="shared" si="4"/>
        <v>0.92764378478664189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v>225</v>
      </c>
      <c r="I11" s="70">
        <f t="shared" si="0"/>
        <v>0.375</v>
      </c>
      <c r="J11" s="11">
        <v>650</v>
      </c>
      <c r="K11" s="12">
        <v>501</v>
      </c>
      <c r="L11" s="71">
        <f t="shared" si="1"/>
        <v>0.77076923076923076</v>
      </c>
      <c r="M11" s="12">
        <f t="shared" si="5"/>
        <v>149</v>
      </c>
      <c r="N11" s="14" t="e">
        <f t="shared" si="6"/>
        <v>#DIV/0!</v>
      </c>
      <c r="O11" s="72">
        <f t="shared" si="4"/>
        <v>2.2266666666666666</v>
      </c>
      <c r="P11" s="14">
        <f t="shared" si="4"/>
        <v>2.0553846153846154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115</v>
      </c>
      <c r="I12" s="70">
        <f t="shared" si="0"/>
        <v>0.19166666666666668</v>
      </c>
      <c r="J12" s="11">
        <v>550</v>
      </c>
      <c r="K12" s="12">
        <v>151</v>
      </c>
      <c r="L12" s="71">
        <f t="shared" si="1"/>
        <v>0.27454545454545454</v>
      </c>
      <c r="M12" s="12">
        <f t="shared" si="5"/>
        <v>399</v>
      </c>
      <c r="N12" s="14" t="e">
        <f t="shared" si="6"/>
        <v>#DIV/0!</v>
      </c>
      <c r="O12" s="72">
        <f t="shared" si="4"/>
        <v>1.3130434782608695</v>
      </c>
      <c r="P12" s="14">
        <f t="shared" si="4"/>
        <v>1.4324110671936758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 t="e">
        <f t="shared" ref="N13:N15" si="9">M13/$D$2</f>
        <v>#DIV/0!</v>
      </c>
      <c r="O13" s="72" t="e">
        <f t="shared" ref="O13:O16" si="10">K13/H13</f>
        <v>#DIV/0!</v>
      </c>
      <c r="P13" s="14" t="e">
        <f t="shared" ref="P13:P16" si="11">L13/I13</f>
        <v>#DIV/0!</v>
      </c>
      <c r="Q13" s="98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 t="e">
        <f t="shared" si="9"/>
        <v>#DIV/0!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 t="e">
        <f t="shared" si="9"/>
        <v>#DIV/0!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3</v>
      </c>
      <c r="I16" s="70" t="e">
        <f t="shared" ref="I16" si="12">H16/G16</f>
        <v>#DIV/0!</v>
      </c>
      <c r="J16" s="11">
        <v>1500</v>
      </c>
      <c r="K16" s="12">
        <v>950</v>
      </c>
      <c r="L16" s="71">
        <f t="shared" si="8"/>
        <v>0.6333333333333333</v>
      </c>
      <c r="M16" s="12">
        <f t="shared" si="5"/>
        <v>550</v>
      </c>
      <c r="N16" s="14" t="e">
        <f t="shared" si="6"/>
        <v>#DIV/0!</v>
      </c>
      <c r="O16" s="72">
        <f t="shared" si="10"/>
        <v>316.66666666666669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 t="e">
        <f t="shared" si="6"/>
        <v>#DIV/0!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 t="e">
        <f t="shared" si="6"/>
        <v>#DIV/0!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5000</v>
      </c>
      <c r="H19" s="40">
        <f>SUM(H4:H18)</f>
        <v>1284</v>
      </c>
      <c r="I19" s="79">
        <f t="shared" si="0"/>
        <v>0.25679999999999997</v>
      </c>
      <c r="J19" s="80">
        <f>SUM(J4:J18)</f>
        <v>10670</v>
      </c>
      <c r="K19" s="80">
        <f>SUM(K4:K18)</f>
        <v>4696.3</v>
      </c>
      <c r="L19" s="82">
        <f>K19/J19</f>
        <v>0.44014058106841614</v>
      </c>
      <c r="M19" s="81">
        <f t="shared" si="5"/>
        <v>5973.7</v>
      </c>
      <c r="N19" s="83" t="e">
        <f t="shared" si="6"/>
        <v>#DIV/0!</v>
      </c>
      <c r="O19" s="84">
        <f>K19/H19</f>
        <v>3.6575545171339567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 t="e">
        <f t="shared" si="6"/>
        <v>#DIV/0!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 t="e">
        <f t="shared" si="6"/>
        <v>#DIV/0!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 t="e">
        <f t="shared" si="6"/>
        <v>#DIV/0!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 t="e">
        <f t="shared" si="6"/>
        <v>#DIV/0!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 t="e">
        <f t="shared" si="6"/>
        <v>#DIV/0!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 t="e">
        <f t="shared" si="6"/>
        <v>#DIV/0!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 t="e">
        <f t="shared" si="6"/>
        <v>#DIV/0!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 t="e">
        <f t="shared" si="6"/>
        <v>#DIV/0!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 t="e">
        <f t="shared" si="6"/>
        <v>#DIV/0!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 t="e">
        <f t="shared" si="6"/>
        <v>#DIV/0!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 t="e">
        <f t="shared" si="6"/>
        <v>#DIV/0!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1485</v>
      </c>
      <c r="I31" s="88">
        <f t="shared" si="0"/>
        <v>0.27247706422018347</v>
      </c>
      <c r="J31" s="89">
        <f t="shared" si="17"/>
        <v>15670</v>
      </c>
      <c r="K31" s="90">
        <f t="shared" si="17"/>
        <v>4975.3</v>
      </c>
      <c r="L31" s="91">
        <f>K31/J31</f>
        <v>0.31750478621569878</v>
      </c>
      <c r="M31" s="90">
        <f t="shared" si="5"/>
        <v>10694.7</v>
      </c>
      <c r="N31" s="92" t="e">
        <f t="shared" si="6"/>
        <v>#DIV/0!</v>
      </c>
      <c r="O31" s="93">
        <f>K31/H31</f>
        <v>3.3503703703703707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2026-08-07T06:55:53Z</dcterms:modified>
</cp:coreProperties>
</file>