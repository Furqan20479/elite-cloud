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84EDB673-1313-4139-8C7B-49FC0A9B9AF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2" l="1"/>
  <c r="H5" i="2"/>
  <c r="H4" i="2"/>
  <c r="H10" i="2" l="1"/>
  <c r="H7" i="2" l="1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<sst xmlns="http://schemas.openxmlformats.org/spreadsheetml/2006/main" count="370" uniqueCount="76">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</sst>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1" fontId="0" fillId="0" borderId="34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activeCell="H6" sqref="H6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46231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15</v>
      </c>
      <c r="I4" s="32">
        <f t="shared" ref="I4:I31" si="0">H4/G4</f>
        <v>0.3</v>
      </c>
      <c r="J4" s="30">
        <v>40</v>
      </c>
      <c r="K4" s="31">
        <v>11</v>
      </c>
      <c r="L4" s="32">
        <f t="shared" ref="L4:L12" si="1">K4/J4</f>
        <v>0.27500000000000002</v>
      </c>
      <c r="M4" s="30">
        <f t="shared" ref="M4:N12" si="2">K4/H4</f>
        <v>0.73333333333333328</v>
      </c>
      <c r="N4" s="33">
        <f t="shared" si="2"/>
        <v>0.91666666666666674</v>
      </c>
      <c r="O4" s="30">
        <v>6</v>
      </c>
      <c r="P4" s="96">
        <v>6</v>
      </c>
      <c r="Q4" s="32">
        <f t="shared" ref="Q4:Q12" si="3">P4/O4</f>
        <v>1</v>
      </c>
      <c r="R4" s="30">
        <v>12</v>
      </c>
      <c r="S4" s="96">
        <v>12</v>
      </c>
      <c r="T4" s="32">
        <f t="shared" ref="T4:T12" si="4">S4/R4</f>
        <v>1</v>
      </c>
      <c r="U4" s="30">
        <f t="shared" ref="U4:V12" si="5">S4/P4</f>
        <v>2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9</v>
      </c>
      <c r="L5" s="13">
        <f t="shared" si="1"/>
        <v>0.3</v>
      </c>
      <c r="M5" s="11">
        <f t="shared" si="2"/>
        <v>1.125</v>
      </c>
      <c r="N5" s="14">
        <f t="shared" si="2"/>
        <v>1.875</v>
      </c>
      <c r="O5" s="30">
        <v>4</v>
      </c>
      <c r="P5" s="97">
        <v>4</v>
      </c>
      <c r="Q5" s="13">
        <f t="shared" si="3"/>
        <v>1</v>
      </c>
      <c r="R5" s="30">
        <v>9</v>
      </c>
      <c r="S5" s="97">
        <v>9</v>
      </c>
      <c r="T5" s="13">
        <f t="shared" si="4"/>
        <v>1</v>
      </c>
      <c r="U5" s="11">
        <f t="shared" si="5"/>
        <v>2.25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5</v>
      </c>
      <c r="I8" s="13">
        <f t="shared" si="0"/>
        <v>0.1</v>
      </c>
      <c r="J8" s="30">
        <v>20</v>
      </c>
      <c r="K8" s="12">
        <v>15.7</v>
      </c>
      <c r="L8" s="13">
        <f t="shared" si="1"/>
        <v>0.78499999999999992</v>
      </c>
      <c r="M8" s="11">
        <f t="shared" si="2"/>
        <v>3.1399999999999997</v>
      </c>
      <c r="N8" s="14">
        <f t="shared" si="2"/>
        <v>7.8499999999999988</v>
      </c>
      <c r="O8" s="30">
        <v>5</v>
      </c>
      <c r="P8" s="97">
        <v>4</v>
      </c>
      <c r="Q8" s="13">
        <f t="shared" si="3"/>
        <v>0.8</v>
      </c>
      <c r="R8" s="30">
        <v>13</v>
      </c>
      <c r="S8" s="97">
        <v>12.8</v>
      </c>
      <c r="T8" s="13">
        <f t="shared" si="4"/>
        <v>0.98461538461538467</v>
      </c>
      <c r="U8" s="11">
        <f t="shared" si="5"/>
        <v>3.2</v>
      </c>
      <c r="V8" s="14">
        <f t="shared" si="5"/>
        <v>1.2307692307692308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5</v>
      </c>
      <c r="I10" s="13">
        <f t="shared" si="0"/>
        <v>0.2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54</v>
      </c>
      <c r="S10" s="97">
        <v>54</v>
      </c>
      <c r="T10" s="13">
        <f t="shared" si="4"/>
        <v>1</v>
      </c>
      <c r="U10" s="11">
        <f t="shared" si="5"/>
        <v>13.5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85.7</v>
      </c>
      <c r="L19" s="42">
        <f t="shared" ref="L19" si="6">K19/J19</f>
        <v>0.2225974025974026</v>
      </c>
      <c r="M19" s="40">
        <f>K19/H19</f>
        <v>2.5969696969696972</v>
      </c>
      <c r="N19" s="43" t="e">
        <f>AVERAGE(N4:N18)</f>
        <v>#DIV/0!</v>
      </c>
      <c r="O19" s="40">
        <f>SUM(O4:O18)</f>
        <v>19</v>
      </c>
      <c r="P19" s="41">
        <f>SUM(P4:P18)</f>
        <v>18</v>
      </c>
      <c r="Q19" s="42">
        <f t="shared" ref="Q19" si="7">P19/O19</f>
        <v>0.94736842105263153</v>
      </c>
      <c r="R19" s="40">
        <f>SUM(R4:R18)</f>
        <v>88</v>
      </c>
      <c r="S19" s="41">
        <f>SUM(S4:S18)</f>
        <v>87.8</v>
      </c>
      <c r="T19" s="42">
        <f t="shared" ref="T19" si="8">S19/R19</f>
        <v>0.99772727272727268</v>
      </c>
      <c r="U19" s="40">
        <f>S19/P19</f>
        <v>4.8777777777777773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5">+K30+K25+K19</f>
        <v>252.7</v>
      </c>
      <c r="L31" s="22">
        <f t="shared" si="9"/>
        <v>9.7756286266924564E-2</v>
      </c>
      <c r="M31" s="20">
        <f>K31/H31</f>
        <v>1.4777777777777776</v>
      </c>
      <c r="N31" s="23" t="e">
        <f>AVERAGE(N30,N19,N25)</f>
        <v>#DIV/0!</v>
      </c>
      <c r="O31" s="20">
        <f>+O30+O25+O19</f>
        <v>168</v>
      </c>
      <c r="P31" s="21">
        <f t="shared" ref="P31" si="26">+P30+P25+P19</f>
        <v>131</v>
      </c>
      <c r="Q31" s="22">
        <f t="shared" si="11"/>
        <v>0.77976190476190477</v>
      </c>
      <c r="R31" s="20">
        <f>+R30+R25+R19</f>
        <v>327</v>
      </c>
      <c r="S31" s="21">
        <f t="shared" ref="S31" si="27">+S30+S25+S19</f>
        <v>217.8</v>
      </c>
      <c r="T31" s="22">
        <f t="shared" si="12"/>
        <v>0.66605504587155961</v>
      </c>
      <c r="U31" s="20">
        <f>S31/P31</f>
        <v>1.6625954198473283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13" workbookViewId="0">
      <selection activeCell="H16" sqref="H16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27</v>
      </c>
      <c r="C2" s="63">
        <f>+B2/A2</f>
        <v>1</v>
      </c>
      <c r="D2" s="62">
        <f>+A2-B2</f>
        <v>0</v>
      </c>
      <c r="F2" s="94">
        <v>46234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5+9+9+11+10+9+11+8+11+8+16+14+16+20+15+10+10+16+12+20</f>
        <v>240</v>
      </c>
      <c r="I4" s="68">
        <f t="shared" ref="I4:I31" si="0">H4/G4</f>
        <v>0.4</v>
      </c>
      <c r="J4" s="30">
        <v>575</v>
      </c>
      <c r="K4" s="8">
        <v>335</v>
      </c>
      <c r="L4" s="87">
        <f t="shared" ref="L4:L29" si="1">K4/J4</f>
        <v>0.58260869565217388</v>
      </c>
      <c r="M4" s="8">
        <f t="shared" ref="M4:M6" si="2">J4-K4</f>
        <v>240</v>
      </c>
      <c r="N4" s="10" t="e">
        <f t="shared" ref="N4:N6" si="3">M4/$D$2</f>
        <v>#DIV/0!</v>
      </c>
      <c r="O4" s="69">
        <f t="shared" ref="O4:P12" si="4">K4/H4</f>
        <v>1.3958333333333333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4+8+7+17+7+3+2+5+7+14+20+10+18+15+12+1+6+8+8+15</f>
        <v>187</v>
      </c>
      <c r="I5" s="70">
        <f t="shared" si="0"/>
        <v>0.31166666666666665</v>
      </c>
      <c r="J5" s="11">
        <v>550</v>
      </c>
      <c r="K5" s="12">
        <v>181.4</v>
      </c>
      <c r="L5" s="71">
        <f t="shared" si="1"/>
        <v>0.32981818181818184</v>
      </c>
      <c r="M5" s="12">
        <f t="shared" si="2"/>
        <v>368.6</v>
      </c>
      <c r="N5" s="14" t="e">
        <f t="shared" si="3"/>
        <v>#DIV/0!</v>
      </c>
      <c r="O5" s="72">
        <f t="shared" si="4"/>
        <v>0.97005347593582891</v>
      </c>
      <c r="P5" s="14">
        <f t="shared" si="4"/>
        <v>1.058240155566359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45</v>
      </c>
      <c r="L6" s="71">
        <f t="shared" si="1"/>
        <v>8.1818181818181818E-2</v>
      </c>
      <c r="M6" s="12">
        <f t="shared" si="2"/>
        <v>505</v>
      </c>
      <c r="N6" s="14" t="e">
        <f t="shared" si="3"/>
        <v>#DIV/0!</v>
      </c>
      <c r="O6" s="72">
        <f t="shared" si="4"/>
        <v>1.6071428571428572</v>
      </c>
      <c r="P6" s="14">
        <f t="shared" si="4"/>
        <v>1.7532467532467531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 t="e">
        <f t="shared" ref="N7:N31" si="6">M7/$D$2</f>
        <v>#DIV/0!</v>
      </c>
      <c r="O7" s="72">
        <f t="shared" si="4"/>
        <v>1.3137254901960784</v>
      </c>
      <c r="P7" s="14">
        <f t="shared" si="4"/>
        <v>1.4331550802139035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10+10+0+14+6+10+11+11+8+7+9+24+14+13+12+16+12+14+18+15+18</f>
        <v>252</v>
      </c>
      <c r="I8" s="70">
        <f t="shared" si="0"/>
        <v>0.42</v>
      </c>
      <c r="J8" s="11">
        <v>575</v>
      </c>
      <c r="K8" s="12">
        <v>365.9</v>
      </c>
      <c r="L8" s="71">
        <f t="shared" si="1"/>
        <v>0.6363478260869565</v>
      </c>
      <c r="M8" s="12">
        <f t="shared" si="5"/>
        <v>209.10000000000002</v>
      </c>
      <c r="N8" s="14" t="e">
        <f t="shared" si="6"/>
        <v>#DIV/0!</v>
      </c>
      <c r="O8" s="72">
        <f t="shared" si="4"/>
        <v>1.4519841269841269</v>
      </c>
      <c r="P8" s="14">
        <f t="shared" si="4"/>
        <v>1.5151138716356107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 t="e">
        <f t="shared" si="6"/>
        <v>#DIV/0!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4+7+3+3+3+6+5+6+6+7+2+8+16+7+3+4+8</f>
        <v>98</v>
      </c>
      <c r="I10" s="70">
        <f t="shared" si="0"/>
        <v>0.49</v>
      </c>
      <c r="J10" s="11">
        <v>4620</v>
      </c>
      <c r="K10" s="12">
        <v>2100</v>
      </c>
      <c r="L10" s="71">
        <f t="shared" si="1"/>
        <v>0.45454545454545453</v>
      </c>
      <c r="M10" s="12">
        <f t="shared" si="5"/>
        <v>2520</v>
      </c>
      <c r="N10" s="14" t="e">
        <f t="shared" si="6"/>
        <v>#DIV/0!</v>
      </c>
      <c r="O10" s="72">
        <f t="shared" si="4"/>
        <v>21.428571428571427</v>
      </c>
      <c r="P10" s="14">
        <f t="shared" si="4"/>
        <v>0.92764378478664189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v>0</v>
      </c>
      <c r="L11" s="71">
        <f t="shared" si="1"/>
        <v>0</v>
      </c>
      <c r="M11" s="12">
        <f t="shared" si="5"/>
        <v>650</v>
      </c>
      <c r="N11" s="14" t="e">
        <f t="shared" si="6"/>
        <v>#DIV/0!</v>
      </c>
      <c r="O11" s="72">
        <f t="shared" si="4"/>
        <v>0</v>
      </c>
      <c r="P11" s="14">
        <f t="shared" si="4"/>
        <v>0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0</v>
      </c>
      <c r="L12" s="71">
        <f t="shared" si="1"/>
        <v>0</v>
      </c>
      <c r="M12" s="12">
        <f t="shared" si="5"/>
        <v>550</v>
      </c>
      <c r="N12" s="14" t="e">
        <f t="shared" si="6"/>
        <v>#DIV/0!</v>
      </c>
      <c r="O12" s="72">
        <f t="shared" si="4"/>
        <v>0</v>
      </c>
      <c r="P12" s="14">
        <f t="shared" si="4"/>
        <v>0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 t="e">
        <f t="shared" ref="N13:N15" si="9">M13/$D$2</f>
        <v>#DIV/0!</v>
      </c>
      <c r="O13" s="72" t="e">
        <f t="shared" ref="O13:O16" si="10">K13/H13</f>
        <v>#DIV/0!</v>
      </c>
      <c r="P13" s="14" t="e">
        <f t="shared" ref="P13:P16" si="11">L13/I13</f>
        <v>#DIV/0!</v>
      </c>
      <c r="Q13" s="112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 t="e">
        <f t="shared" si="9"/>
        <v>#DIV/0!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 t="e">
        <f t="shared" si="9"/>
        <v>#DIV/0!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3</v>
      </c>
      <c r="I16" s="70" t="e">
        <f t="shared" ref="I16" si="12">H16/G16</f>
        <v>#DIV/0!</v>
      </c>
      <c r="J16" s="11">
        <v>1500</v>
      </c>
      <c r="K16" s="12">
        <v>950</v>
      </c>
      <c r="L16" s="71">
        <f t="shared" si="8"/>
        <v>0.6333333333333333</v>
      </c>
      <c r="M16" s="12">
        <f t="shared" si="5"/>
        <v>550</v>
      </c>
      <c r="N16" s="14" t="e">
        <f t="shared" si="6"/>
        <v>#DIV/0!</v>
      </c>
      <c r="O16" s="72">
        <f t="shared" si="10"/>
        <v>316.66666666666669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 t="e">
        <f t="shared" si="6"/>
        <v>#DIV/0!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 t="e">
        <f t="shared" si="6"/>
        <v>#DIV/0!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899</v>
      </c>
      <c r="I19" s="79">
        <f t="shared" si="0"/>
        <v>0.17979999999999999</v>
      </c>
      <c r="J19" s="80">
        <f>SUM(J4:J18)</f>
        <v>10670</v>
      </c>
      <c r="K19" s="80">
        <f>SUM(K4:K18)</f>
        <v>4044.3</v>
      </c>
      <c r="L19" s="82">
        <f>K19/J19</f>
        <v>0.37903467666354268</v>
      </c>
      <c r="M19" s="81">
        <f t="shared" si="5"/>
        <v>6625.7</v>
      </c>
      <c r="N19" s="83" t="e">
        <f t="shared" si="6"/>
        <v>#DIV/0!</v>
      </c>
      <c r="O19" s="84">
        <f>K19/H19</f>
        <v>4.4986651835372635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 t="e">
        <f t="shared" si="6"/>
        <v>#DIV/0!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 t="e">
        <f t="shared" si="6"/>
        <v>#DIV/0!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 t="e">
        <f t="shared" si="6"/>
        <v>#DIV/0!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 t="e">
        <f t="shared" si="6"/>
        <v>#DIV/0!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 t="e">
        <f t="shared" si="6"/>
        <v>#DIV/0!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 t="e">
        <f t="shared" si="6"/>
        <v>#DIV/0!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 t="e">
        <f t="shared" si="6"/>
        <v>#DIV/0!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 t="e">
        <f t="shared" si="6"/>
        <v>#DIV/0!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 t="e">
        <f t="shared" si="6"/>
        <v>#DIV/0!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 t="e">
        <f t="shared" si="6"/>
        <v>#DIV/0!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 t="e">
        <f t="shared" si="6"/>
        <v>#DIV/0!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1100</v>
      </c>
      <c r="I31" s="88">
        <f t="shared" si="0"/>
        <v>0.20183486238532111</v>
      </c>
      <c r="J31" s="89">
        <f t="shared" si="17"/>
        <v>15670</v>
      </c>
      <c r="K31" s="90">
        <f t="shared" si="17"/>
        <v>4323.3</v>
      </c>
      <c r="L31" s="91">
        <f>K31/J31</f>
        <v>0.27589661774090618</v>
      </c>
      <c r="M31" s="90">
        <f t="shared" si="5"/>
        <v>11346.7</v>
      </c>
      <c r="N31" s="92" t="e">
        <f t="shared" si="6"/>
        <v>#DIV/0!</v>
      </c>
      <c r="O31" s="93">
        <f>K31/H31</f>
        <v>3.9302727272727274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2026-08-04T10:31:38Z</dcterms:modified>
</cp:coreProperties>
</file>