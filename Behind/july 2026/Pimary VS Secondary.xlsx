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86\Desktop\Elite-Git\july 2026\"/>
    </mc:Choice>
  </mc:AlternateContent>
  <xr:revisionPtr revIDLastSave="0" documentId="13_ncr:1_{FFB19693-90CD-4B14-BB4B-EF3C4A4E5C61}" xr6:coauthVersionLast="47" xr6:coauthVersionMax="47" xr10:uidLastSave="{00000000-0000-0000-0000-000000000000}"/>
  <bookViews>
    <workbookView xWindow="-110" yWindow="-110" windowWidth="19420" windowHeight="10420" xr2:uid="{B13BB3DE-45F3-4A08-8C5B-C8EF34D541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8" i="1" l="1"/>
  <c r="N9" i="1"/>
  <c r="N10" i="1"/>
  <c r="N11" i="1"/>
  <c r="N12" i="1"/>
  <c r="N13" i="1"/>
  <c r="N7" i="1"/>
  <c r="O14" i="1"/>
  <c r="I14" i="1"/>
  <c r="J14" i="1"/>
  <c r="K14" i="1"/>
  <c r="L14" i="1"/>
  <c r="M14" i="1"/>
  <c r="H14" i="1"/>
  <c r="N14" i="1" l="1"/>
  <c r="F14" i="1"/>
  <c r="G14" i="1" s="1"/>
  <c r="G8" i="1"/>
  <c r="G9" i="1"/>
  <c r="G10" i="1"/>
  <c r="G11" i="1"/>
  <c r="G12" i="1"/>
  <c r="G13" i="1"/>
  <c r="G7" i="1"/>
  <c r="J7" i="1" s="1"/>
  <c r="J9" i="1" l="1"/>
  <c r="L9" i="1" s="1"/>
  <c r="J8" i="1"/>
  <c r="J11" i="1"/>
  <c r="L11" i="1" s="1"/>
  <c r="J13" i="1"/>
  <c r="L13" i="1" s="1"/>
  <c r="J12" i="1"/>
  <c r="L12" i="1" s="1"/>
  <c r="J10" i="1"/>
  <c r="L10" i="1" s="1"/>
  <c r="L7" i="1"/>
  <c r="L8" i="1" l="1"/>
</calcChain>
</file>

<file path=xl/sharedStrings.xml><?xml version="1.0" encoding="utf-8"?>
<sst xmlns="http://schemas.openxmlformats.org/spreadsheetml/2006/main" count="20" uniqueCount="20">
  <si>
    <t>Stock In Hand (Primary)</t>
  </si>
  <si>
    <t>PRODUCT</t>
  </si>
  <si>
    <t>GM</t>
  </si>
  <si>
    <t xml:space="preserve">MTD Sale </t>
  </si>
  <si>
    <t xml:space="preserve">Meat Masala </t>
  </si>
  <si>
    <t>Lemon Tarka</t>
  </si>
  <si>
    <t>Chicken Chatkhara</t>
  </si>
  <si>
    <t>Meat Masala (Jumbo)</t>
  </si>
  <si>
    <t>Lemon Tarka (Jumbo)</t>
  </si>
  <si>
    <t>Chicken Chatkhara (Jumbo)</t>
  </si>
  <si>
    <t>Chicken Chatkhara  (ECO)</t>
  </si>
  <si>
    <t>Total</t>
  </si>
  <si>
    <t>Opening</t>
  </si>
  <si>
    <t>Opening (Ctn)</t>
  </si>
  <si>
    <t>Total Warehouse</t>
  </si>
  <si>
    <t>18/07/26</t>
  </si>
  <si>
    <t xml:space="preserve">Expired </t>
  </si>
  <si>
    <t>Stock In Hand</t>
  </si>
  <si>
    <t>Warehouse</t>
  </si>
  <si>
    <t>Diffrence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</si>
</sst>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4" fillId="0" borderId="1" xfId="0" applyFont="1" applyBorder="1"/>
    <xf numFmtId="0" fontId="0" fillId="0" borderId="1" xfId="0" applyBorder="1"/>
    <xf numFmtId="164" fontId="0" fillId="0" borderId="0" xfId="0" applyNumberFormat="1"/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0" fillId="4" borderId="1" xfId="0" applyFill="1" applyBorder="1"/>
    <xf numFmtId="0" fontId="7" fillId="0" borderId="1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5" fontId="1" fillId="5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897FB-F3E4-4933-BDE3-BEDB17D2ED6F}">
  <dimension ref="C5:O17"/>
  <sheetViews>
    <sheetView tabSelected="1" topLeftCell="F2" workbookViewId="0">
      <selection activeCell="N7" sqref="N7"/>
    </sheetView>
  </sheetViews>
  <sheetFormatPr defaultRowHeight="14.5" x14ac:dyDescent="0.35"/>
  <cols>
    <col min="4" max="4" width="38.6328125" bestFit="1" customWidth="1"/>
    <col min="5" max="5" width="6.08984375" bestFit="1" customWidth="1"/>
    <col min="6" max="6" width="12.54296875" bestFit="1" customWidth="1"/>
    <col min="7" max="7" width="20" bestFit="1" customWidth="1"/>
    <col min="8" max="9" width="13.81640625" bestFit="1" customWidth="1"/>
    <col min="10" max="10" width="24.6328125" bestFit="1" customWidth="1"/>
    <col min="11" max="11" width="14.90625" bestFit="1" customWidth="1"/>
    <col min="12" max="12" width="19.90625" bestFit="1" customWidth="1"/>
    <col min="13" max="13" width="16.81640625" bestFit="1" customWidth="1"/>
    <col min="14" max="14" width="13.7265625" bestFit="1" customWidth="1"/>
    <col min="15" max="15" width="12.1796875" bestFit="1" customWidth="1"/>
  </cols>
  <sheetData>
    <row r="5" spans="3:15" ht="19" thickBot="1" x14ac:dyDescent="0.4">
      <c r="D5" s="20" t="s">
        <v>0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</row>
    <row r="6" spans="3:15" ht="23.5" x14ac:dyDescent="0.55000000000000004">
      <c r="C6" s="13"/>
      <c r="D6" s="14" t="s">
        <v>1</v>
      </c>
      <c r="E6" s="14" t="s">
        <v>2</v>
      </c>
      <c r="F6" s="14" t="s">
        <v>12</v>
      </c>
      <c r="G6" s="14" t="s">
        <v>13</v>
      </c>
      <c r="H6" s="15">
        <v>46029</v>
      </c>
      <c r="I6" s="14" t="s">
        <v>15</v>
      </c>
      <c r="J6" s="14" t="s">
        <v>14</v>
      </c>
      <c r="K6" s="14" t="s">
        <v>3</v>
      </c>
      <c r="L6" s="14" t="s">
        <v>17</v>
      </c>
      <c r="M6" s="14" t="s">
        <v>18</v>
      </c>
      <c r="N6" s="14" t="s">
        <v>19</v>
      </c>
      <c r="O6" s="14" t="s">
        <v>16</v>
      </c>
    </row>
    <row r="7" spans="3:15" ht="23.5" x14ac:dyDescent="0.55000000000000004">
      <c r="D7" s="1" t="s">
        <v>4</v>
      </c>
      <c r="E7" s="4">
        <v>70</v>
      </c>
      <c r="F7" s="7">
        <v>9586</v>
      </c>
      <c r="G7" s="6">
        <f>F7/40</f>
        <v>239.65</v>
      </c>
      <c r="H7" s="8"/>
      <c r="I7" s="8">
        <v>300</v>
      </c>
      <c r="J7" s="9">
        <f t="shared" ref="J7:J13" si="0">G7+H7+I7</f>
        <v>539.65</v>
      </c>
      <c r="K7" s="11">
        <v>284.625</v>
      </c>
      <c r="L7" s="10">
        <f t="shared" ref="L7:L13" si="1">J7-K7</f>
        <v>255.02499999999998</v>
      </c>
      <c r="M7" s="16"/>
      <c r="N7" s="19">
        <f>L7-M7</f>
        <v>255.02499999999998</v>
      </c>
      <c r="O7" s="17">
        <v>280</v>
      </c>
    </row>
    <row r="8" spans="3:15" ht="23.5" x14ac:dyDescent="0.55000000000000004">
      <c r="D8" s="1" t="s">
        <v>5</v>
      </c>
      <c r="E8" s="4">
        <v>70</v>
      </c>
      <c r="F8" s="7">
        <v>10668</v>
      </c>
      <c r="G8" s="6">
        <f t="shared" ref="G8:G14" si="2">F8/40</f>
        <v>266.7</v>
      </c>
      <c r="H8" s="8"/>
      <c r="I8" s="8">
        <v>200</v>
      </c>
      <c r="J8" s="9">
        <f t="shared" si="0"/>
        <v>466.7</v>
      </c>
      <c r="K8" s="11">
        <v>284.35000000000002</v>
      </c>
      <c r="L8" s="10">
        <f t="shared" si="1"/>
        <v>182.34999999999997</v>
      </c>
      <c r="M8" s="16"/>
      <c r="N8" s="19">
        <f t="shared" ref="N8:N13" si="3">L8-M8</f>
        <v>182.34999999999997</v>
      </c>
      <c r="O8" s="17">
        <v>226</v>
      </c>
    </row>
    <row r="9" spans="3:15" ht="23.5" x14ac:dyDescent="0.55000000000000004">
      <c r="D9" s="1" t="s">
        <v>6</v>
      </c>
      <c r="E9" s="4">
        <v>70</v>
      </c>
      <c r="F9" s="7"/>
      <c r="G9" s="6">
        <f t="shared" si="2"/>
        <v>0</v>
      </c>
      <c r="H9" s="8"/>
      <c r="I9" s="8"/>
      <c r="J9" s="9">
        <f t="shared" si="0"/>
        <v>0</v>
      </c>
      <c r="K9" s="11">
        <v>0</v>
      </c>
      <c r="L9" s="10">
        <f t="shared" si="1"/>
        <v>0</v>
      </c>
      <c r="M9" s="16"/>
      <c r="N9" s="19">
        <f t="shared" si="3"/>
        <v>0</v>
      </c>
      <c r="O9" s="17">
        <v>41</v>
      </c>
    </row>
    <row r="10" spans="3:15" ht="23.5" x14ac:dyDescent="0.55000000000000004">
      <c r="D10" s="1" t="s">
        <v>7</v>
      </c>
      <c r="E10" s="4">
        <v>120</v>
      </c>
      <c r="F10" s="7">
        <v>10905</v>
      </c>
      <c r="G10" s="6">
        <f t="shared" si="2"/>
        <v>272.625</v>
      </c>
      <c r="H10" s="8">
        <v>750</v>
      </c>
      <c r="I10" s="8"/>
      <c r="J10" s="9">
        <f t="shared" si="0"/>
        <v>1022.625</v>
      </c>
      <c r="K10" s="11">
        <v>548.25</v>
      </c>
      <c r="L10" s="10">
        <f t="shared" si="1"/>
        <v>474.375</v>
      </c>
      <c r="M10" s="16"/>
      <c r="N10" s="19">
        <f t="shared" si="3"/>
        <v>474.375</v>
      </c>
      <c r="O10" s="17">
        <v>64</v>
      </c>
    </row>
    <row r="11" spans="3:15" ht="23.5" x14ac:dyDescent="0.55000000000000004">
      <c r="D11" s="1" t="s">
        <v>8</v>
      </c>
      <c r="E11" s="4">
        <v>120</v>
      </c>
      <c r="F11" s="7">
        <v>5595</v>
      </c>
      <c r="G11" s="6">
        <f t="shared" si="2"/>
        <v>139.875</v>
      </c>
      <c r="H11" s="8">
        <v>203</v>
      </c>
      <c r="I11" s="8"/>
      <c r="J11" s="9">
        <f t="shared" si="0"/>
        <v>342.875</v>
      </c>
      <c r="K11" s="11">
        <v>405.40000000000003</v>
      </c>
      <c r="L11" s="10">
        <f t="shared" si="1"/>
        <v>-62.525000000000034</v>
      </c>
      <c r="M11" s="16"/>
      <c r="N11" s="19">
        <f t="shared" si="3"/>
        <v>-62.525000000000034</v>
      </c>
      <c r="O11" s="17">
        <v>139</v>
      </c>
    </row>
    <row r="12" spans="3:15" ht="23.5" x14ac:dyDescent="0.55000000000000004">
      <c r="D12" s="1" t="s">
        <v>9</v>
      </c>
      <c r="E12" s="4">
        <v>120</v>
      </c>
      <c r="F12" s="7">
        <v>7110</v>
      </c>
      <c r="G12" s="6">
        <f t="shared" si="2"/>
        <v>177.75</v>
      </c>
      <c r="H12" s="8">
        <v>1047</v>
      </c>
      <c r="I12" s="8">
        <v>400</v>
      </c>
      <c r="J12" s="9">
        <f t="shared" si="0"/>
        <v>1624.75</v>
      </c>
      <c r="K12" s="11">
        <v>647.43500000000006</v>
      </c>
      <c r="L12" s="10">
        <f t="shared" si="1"/>
        <v>977.31499999999994</v>
      </c>
      <c r="M12" s="16"/>
      <c r="N12" s="19">
        <f t="shared" si="3"/>
        <v>977.31499999999994</v>
      </c>
      <c r="O12" s="17">
        <v>18</v>
      </c>
    </row>
    <row r="13" spans="3:15" ht="23.5" x14ac:dyDescent="0.55000000000000004">
      <c r="D13" s="1" t="s">
        <v>10</v>
      </c>
      <c r="E13" s="4">
        <v>60</v>
      </c>
      <c r="F13" s="7">
        <v>66124</v>
      </c>
      <c r="G13" s="6">
        <f t="shared" si="2"/>
        <v>1653.1</v>
      </c>
      <c r="H13" s="8"/>
      <c r="I13" s="8"/>
      <c r="J13" s="9">
        <f t="shared" si="0"/>
        <v>1653.1</v>
      </c>
      <c r="K13" s="11">
        <v>444.37999999999994</v>
      </c>
      <c r="L13" s="10">
        <f t="shared" si="1"/>
        <v>1208.72</v>
      </c>
      <c r="M13" s="16"/>
      <c r="N13" s="19">
        <f t="shared" si="3"/>
        <v>1208.72</v>
      </c>
      <c r="O13" s="17">
        <v>23</v>
      </c>
    </row>
    <row r="14" spans="3:15" ht="29.5" customHeight="1" x14ac:dyDescent="0.55000000000000004">
      <c r="D14" s="1" t="s">
        <v>11</v>
      </c>
      <c r="E14" s="2"/>
      <c r="F14" s="5">
        <f>SUM(F7:F13)</f>
        <v>109988</v>
      </c>
      <c r="G14" s="5">
        <f t="shared" si="2"/>
        <v>2749.7</v>
      </c>
      <c r="H14" s="12">
        <f>SUM(H7:H13)</f>
        <v>2000</v>
      </c>
      <c r="I14" s="12">
        <f t="shared" ref="I14:O14" si="4">SUM(I7:I13)</f>
        <v>900</v>
      </c>
      <c r="J14" s="12">
        <f t="shared" si="4"/>
        <v>5649.7</v>
      </c>
      <c r="K14" s="12">
        <f t="shared" si="4"/>
        <v>2614.44</v>
      </c>
      <c r="L14" s="12">
        <f t="shared" si="4"/>
        <v>3035.26</v>
      </c>
      <c r="M14" s="12">
        <f t="shared" si="4"/>
        <v>0</v>
      </c>
      <c r="N14" s="12">
        <f t="shared" si="4"/>
        <v>3035.26</v>
      </c>
      <c r="O14" s="12">
        <f t="shared" si="4"/>
        <v>791</v>
      </c>
    </row>
    <row r="15" spans="3:15" x14ac:dyDescent="0.35">
      <c r="K15" s="18"/>
    </row>
    <row r="16" spans="3:15" x14ac:dyDescent="0.35">
      <c r="K16" s="18"/>
    </row>
    <row r="17" spans="11:11" x14ac:dyDescent="0.35">
      <c r="K17" s="3"/>
    </row>
  </sheetData>
  <mergeCells count="1">
    <mergeCell ref="D5:O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786</dc:creator>
  <cp:lastModifiedBy>786</cp:lastModifiedBy>
  <dcterms:created xsi:type="dcterms:W3CDTF">2026-07-22T08:22:54Z</dcterms:created>
  <dcterms:modified xsi:type="dcterms:W3CDTF">2026-07-22T09:10:46Z</dcterms:modified>
</cp:coreProperties>
</file>