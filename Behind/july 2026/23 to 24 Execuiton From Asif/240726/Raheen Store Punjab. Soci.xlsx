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6975AD9-1ECB-4F96-9767-9E8EDDD228AF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<sst xmlns="http://schemas.openxmlformats.org/spreadsheetml/2006/main" count="3913" uniqueCount="515">
  <si>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</si>
  <si>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</si>
  <si>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</si>
  <si>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</si>
  <si>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</si>
  <si>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</si>
  <si>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</si>
  <si>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</si>
  <si>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</si>
  <si>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</si>
  <si>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</si>
  <si>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</si>
  <si>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</si>
  <si>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</si>
  <si>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</si>
  <si>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</si>
  <si>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</si>
  <si>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</si>
  <si>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</si>
  <si>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</si>
  <si>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</si>
  <si>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</si>
  <si>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</si>
  <si>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</si>
  <si>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</si>
  <si>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</si>
  <si>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</si>
  <si>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</si>
  <si>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</si>
  <si>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</si>
  <si>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</si>
  <si>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</si>
  <si>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</si>
  <si>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</si>
  <si>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</si>
  <si>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</si>
  <si>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</si>
  <si>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</si>
  <si>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</si>
  <si>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</si>
  <si>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</si>
  <si>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</si>
  <si>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</si>
  <si>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</si>
  <si>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</si>
  <si>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</si>
  <si>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</si>
  <si>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</si>
  <si>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</si>
  <si>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</si>
  <si>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</si>
  <si>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</si>
  <si>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</si>
  <si>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</si>
  <si>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</si>
  <si>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</si>
  <si>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</si>
  <si>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</si>
  <si>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</si>
  <si>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</si>
  <si>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</si>
  <si>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</si>
  <si>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</si>
  <si>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</si>
  <si>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</si>
  <si>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</si>
  <si>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</si>
  <si>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</si>
  <si>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</si>
  <si>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</si>
  <si>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</si>
  <si>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</si>
  <si>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</si>
  <si>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</si>
  <si>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</si>
  <si>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</si>
  <si>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</si>
  <si>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</si>
  <si>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</si>
  <si>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</si>
  <si>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</si>
  <si>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</si>
  <si>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</si>
  <si>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</si>
  <si>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</si>
  <si>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</si>
  <si>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</si>
  <si>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</si>
  <si>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</si>
  <si>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</si>
  <si>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</si>
  <si>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</si>
  <si>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</si>
  <si>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</si>
  <si>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</si>
  <si>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</si>
  <si>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</si>
  <si>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</si>
  <si>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</si>
  <si>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</si>
  <si>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</si>
  <si>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</si>
  <si>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</si>
  <si>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</si>
  <si>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</si>
  <si>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</si>
  <si>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</si>
  <si>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</si>
  <si>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</si>
  <si>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</si>
  <si>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</si>
  <si>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</si>
  <si>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</si>
  <si>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</si>
  <si>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</si>
  <si>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</si>
  <si>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</si>
  <si>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</si>
  <si>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</si>
  <si>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</si>
  <si>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</si>
  <si>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</si>
  <si>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</si>
  <si>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</si>
  <si>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</si>
  <si>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</si>
  <si>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</si>
  <si>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</si>
  <si>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</si>
  <si>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</si>
  <si>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</si>
  <si>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</si>
  <si>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</si>
  <si>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</si>
  <si>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</si>
  <si>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</si>
  <si>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</si>
  <si>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</si>
  <si>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</si>
  <si>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</si>
  <si>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</si>
  <si>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</si>
  <si>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</si>
  <si>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</si>
  <si>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</si>
  <si>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</si>
  <si>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</si>
  <si>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</si>
  <si>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</si>
  <si>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</si>
  <si>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</si>
  <si>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</si>
  <si>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</si>
  <si>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</si>
  <si>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</si>
  <si>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</si>
  <si>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</si>
  <si>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</si>
  <si>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</si>
  <si>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</si>
  <si>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</si>
  <si>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</si>
  <si>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</si>
  <si>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</si>
  <si>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</si>
  <si>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</si>
  <si>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</si>
  <si>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</si>
  <si>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</si>
  <si>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</si>
  <si>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</si>
  <si>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</si>
  <si>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</si>
  <si>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</si>
  <si>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</si>
  <si>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</si>
  <si>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</si>
  <si>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</si>
  <si>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</si>
  <si>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</si>
  <si>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</si>
  <si>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</si>
  <si>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</si>
  <si>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</si>
  <si>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</si>
  <si>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</si>
  <si>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</si>
  <si>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</si>
  <si>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</si>
  <si>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</si>
  <si>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</si>
  <si>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</si>
  <si>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</si>
  <si>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</si>
  <si>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</si>
  <si>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</si>
  <si>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</si>
  <si>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</si>
  <si>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</si>
  <si>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</si>
  <si>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</si>
  <si>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</si>
  <si>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</si>
  <si>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</si>
  <si>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</si>
  <si>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</si>
  <si>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</si>
  <si>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</si>
  <si>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</si>
  <si>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</si>
  <si>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</si>
  <si>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</si>
  <si>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</si>
  <si>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</si>
  <si>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</si>
  <si>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</si>
  <si>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</si>
  <si>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</si>
  <si>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</si>
  <si>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</si>
  <si>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</si>
  <si>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</si>
  <si>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</si>
  <si>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</si>
  <si>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</si>
  <si>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</si>
  <si>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</si>
  <si>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</si>
  <si>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</si>
  <si>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</si>
  <si>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</si>
  <si>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</si>
  <si>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</si>
  <si>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</si>
  <si>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</si>
  <si>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</si>
  <si>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</si>
  <si>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</si>
  <si>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</si>
  <si>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</si>
  <si>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</si>
  <si>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</si>
  <si>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</si>
  <si>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</si>
  <si>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</si>
  <si>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</si>
  <si>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</si>
  <si>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</si>
  <si>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</si>
  <si>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</si>
  <si>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</si>
  <si>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</si>
  <si>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</si>
  <si>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</si>
  <si>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</si>
  <si>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</si>
  <si>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</si>
  <si>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</si>
  <si>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</si>
  <si>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</si>
  <si>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</si>
  <si>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</si>
  <si>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</si>
  <si>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</si>
  <si>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</si>
  <si>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</si>
  <si>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</si>
  <si>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</si>
  <si>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</si>
  <si>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</si>
  <si>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</si>
  <si>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</si>
  <si>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</si>
  <si>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</si>
  <si>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</si>
  <si>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</si>
  <si>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</si>
  <si>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</si>
  <si>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</si>
  <si>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</si>
  <si>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</si>
  <si>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</si>
  <si>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</si>
  <si>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</si>
  <si>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</si>
  <si>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</si>
  <si>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</si>
  <si>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</si>
  <si>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</si>
  <si>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</si>
  <si>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</si>
  <si>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</si>
  <si>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</si>
  <si>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</si>
  <si>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</si>
  <si>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</si>
  <si>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</si>
  <si>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</si>
  <si>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</si>
  <si>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</si>
  <si>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</si>
  <si>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</si>
  <si>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</si>
  <si>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</si>
  <si>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</si>
  <si>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</si>
  <si>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</si>
  <si>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</si>
  <si>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</si>
  <si>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</si>
  <si>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</si>
  <si>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</si>
  <si>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</si>
  <si>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</si>
  <si>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</si>
  <si>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</si>
  <si>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</si>
  <si>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</si>
  <si>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</si>
  <si>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</si>
  <si>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</si>
  <si>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</si>
  <si>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</si>
  <si>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</si>
  <si>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</si>
  <si>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</si>
  <si>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</si>
  <si>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</si>
  <si>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</si>
  <si>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</si>
  <si>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</si>
  <si>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</si>
  <si>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</si>
  <si>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</si>
  <si>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</si>
  <si>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</si>
  <si>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</si>
  <si>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</si>
  <si>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</si>
  <si>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</si>
  <si>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</si>
  <si>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</si>
  <si>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</si>
  <si>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</si>
  <si>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</si>
  <si>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</si>
  <si>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</si>
  <si>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</si>
  <si>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</si>
  <si>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</si>
  <si>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</si>
  <si>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</si>
  <si>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</si>
  <si>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</si>
  <si>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</si>
  <si>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</si>
  <si>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</si>
  <si>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</si>
  <si>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</si>
  <si>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</si>
  <si>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</si>
  <si>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</si>
  <si>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</si>
  <si>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</si>
  <si>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</si>
  <si>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</si>
  <si>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</si>
  <si>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</si>
  <si>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</si>
  <si>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</si>
  <si>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</si>
  <si>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</si>
  <si>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</si>
  <si>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</si>
  <si>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</si>
  <si>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</si>
  <si>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</si>
  <si>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</si>
  <si>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</si>
  <si>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</si>
  <si>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</si>
  <si>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</si>
  <si>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</si>
  <si>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</si>
  <si>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</si>
  <si>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</si>
  <si>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</si>
  <si>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</si>
  <si>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</si>
  <si>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</si>
  <si>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</si>
  <si>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</si>
  <si>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</si>
  <si>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</si>
  <si>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</si>
  <si>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</si>
  <si>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</si>
  <si>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</si>
  <si>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</si>
  <si>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</si>
  <si>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</si>
  <si>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</si>
  <si>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</si>
  <si>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</si>
  <si>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</si>
  <si>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</si>
  <si>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</si>
  <si>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</si>
  <si>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</si>
  <si>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</si>
  <si>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</si>
  <si>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</si>
  <si>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</si>
  <si>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</si>
  <si>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</si>
  <si>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</si>
  <si>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</si>
  <si>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</si>
  <si>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</si>
  <si>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</si>
  <si>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</si>
  <si>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</si>
  <si>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</si>
  <si>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</si>
  <si>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</si>
  <si>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</si>
  <si>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</si>
  <si>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</si>
  <si>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</si>
  <si>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</si>
  <si>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</si>
  <si>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</si>
  <si>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</si>
  <si>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</si>
  <si>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</si>
  <si>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</si>
  <si>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</si>
  <si>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</si>
  <si>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</si>
  <si>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</si>
  <si>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</si>
  <si>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</si>
  <si>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</si>
  <si>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</si>
  <si>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</si>
  <si>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</si>
  <si>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</si>
  <si>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</si>
  <si>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</si>
  <si>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</si>
  <si>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</si>
  <si>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</si>
  <si>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</si>
  <si>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</si>
  <si>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</si>
  <si>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</si>
  <si>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</si>
  <si>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</si>
  <si>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</si>
  <si>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</si>
  <si>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</si>
  <si>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</si>
  <si>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</si>
  <si>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</si>
  <si>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</si>
  <si>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</si>
  <si>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</si>
  <si>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</si>
  <si>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</si>
  <si>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</si>
  <si>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</si>
  <si>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</si>
  <si>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</si>
  <si>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</si>
  <si>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</si>
  <si>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</si>
  <si>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</si>
  <si>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</si>
  <si>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</si>
  <si>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</si>
  <si>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</si>
  <si>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</si>
  <si>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</si>
  <si>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</si>
  <si>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</si>
  <si>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</si>
  <si>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</si>
  <si>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</si>
  <si>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</si>
  <si>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</si>
  <si>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</si>
  <si>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</si>
  <si>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</si>
  <si>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</si>
  <si>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</si>
  <si>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</si>
  <si>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</si>
  <si>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</si>
  <si>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</si>
  <si>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</si>
  <si>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</si>
  <si>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</si>
  <si>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</si>
  <si>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</si>
  <si>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</si>
  <si>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</si>
  <si>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</si>
  <si>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</si>
  <si>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</si>
  <si>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</si>
  <si>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</si>
  <si>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</si>
  <si>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Raheem Store Punjab Society</t>
  </si>
  <si>
    <t>Shakoor</t>
  </si>
  <si>
    <t>Shop Summary 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</si>
</sst>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R3" sqref="R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0.726562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3" t="s">
        <v>91</v>
      </c>
      <c r="B2" s="353"/>
      <c r="C2" s="353"/>
      <c r="E2" s="341" t="s">
        <v>498</v>
      </c>
      <c r="F2" s="339"/>
      <c r="G2" s="339"/>
      <c r="H2" s="339" t="s">
        <v>513</v>
      </c>
      <c r="I2" s="339"/>
      <c r="J2" s="340"/>
      <c r="R2" s="336" t="s">
        <v>514</v>
      </c>
      <c r="S2" s="337"/>
      <c r="T2" s="338"/>
    </row>
    <row r="3" spans="1:20 16377:16378" ht="21.75" customHeight="1" thickBot="1" x14ac:dyDescent="0.4">
      <c r="A3" s="354" t="s">
        <v>92</v>
      </c>
      <c r="B3" s="354"/>
      <c r="C3" s="354"/>
      <c r="E3" s="344" t="s">
        <v>499</v>
      </c>
      <c r="F3" s="345"/>
      <c r="G3" s="345"/>
      <c r="H3" s="342">
        <f ca="1">+'1'!N4:N4</f>
        <v>46228</v>
      </c>
      <c r="I3" s="342"/>
      <c r="J3" s="343"/>
      <c r="K3" s="355" t="s">
        <v>43</v>
      </c>
      <c r="L3" s="355"/>
      <c r="M3" s="355"/>
      <c r="N3" s="354"/>
      <c r="O3" s="354"/>
      <c r="P3" s="354"/>
      <c r="R3" s="299">
        <v>1</v>
      </c>
      <c r="S3" s="300" t="str">
        <f>+'1'!A6:A6</f>
        <v>Raheem Store Punjab Society</v>
      </c>
      <c r="T3" s="301">
        <f>+'1'!P35</f>
        <v>65800.178904661007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74" t="s">
        <v>51</v>
      </c>
      <c r="B5" s="346"/>
      <c r="C5" s="376" t="s">
        <v>90</v>
      </c>
      <c r="D5" s="115" t="s">
        <v>52</v>
      </c>
      <c r="E5" s="378" t="s">
        <v>58</v>
      </c>
      <c r="F5" s="379"/>
      <c r="G5" s="351" t="s">
        <v>54</v>
      </c>
      <c r="H5" s="352"/>
      <c r="I5" s="380" t="s">
        <v>77</v>
      </c>
      <c r="J5" s="350" t="s">
        <v>55</v>
      </c>
      <c r="K5" s="351"/>
      <c r="L5" s="352"/>
      <c r="M5" s="346" t="s">
        <v>84</v>
      </c>
      <c r="N5" s="348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75"/>
      <c r="B6" s="347"/>
      <c r="C6" s="37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9"/>
      <c r="J6" s="143" t="s">
        <v>59</v>
      </c>
      <c r="K6" s="144" t="s">
        <v>39</v>
      </c>
      <c r="L6" s="145" t="s">
        <v>493</v>
      </c>
      <c r="M6" s="347"/>
      <c r="N6" s="349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1468.95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8656.3125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53.196816737288138</v>
      </c>
      <c r="P7" s="118">
        <f>M7+N7+O7</f>
        <v>10692.560164194916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1468.95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8656.3125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53.196816737288138</v>
      </c>
      <c r="P8" s="119">
        <f t="shared" ref="P8:P15" si="2">M8+N8+O8</f>
        <v>10692.560164194916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2033.9200000000003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11985.599999999999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73.656813559322032</v>
      </c>
      <c r="P10" s="119">
        <f t="shared" si="2"/>
        <v>14805.019525423728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2033.9200000000003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11985.599999999999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73.656813559322032</v>
      </c>
      <c r="P11" s="119">
        <f t="shared" si="2"/>
        <v>14805.019525423728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11985.599999999999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73.656813559322032</v>
      </c>
      <c r="P12" s="119">
        <f t="shared" si="2"/>
        <v>14805.019525423728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56">
        <f>COUNT(A7:A15)</f>
        <v>0</v>
      </c>
      <c r="B16" s="357"/>
      <c r="C16" s="357" t="s">
        <v>40</v>
      </c>
      <c r="D16" s="357"/>
      <c r="E16" s="357"/>
      <c r="F16" s="358"/>
      <c r="G16" s="117">
        <f t="shared" ref="G16:M16" si="3">SUM(G7:G15)</f>
        <v>0</v>
      </c>
      <c r="H16" s="113">
        <f t="shared" si="3"/>
        <v>1000</v>
      </c>
      <c r="I16" s="114">
        <f t="shared" si="3"/>
        <v>64569</v>
      </c>
      <c r="J16" s="274">
        <f>SUM(J7:J15)</f>
        <v>9039.6600000000017</v>
      </c>
      <c r="K16" s="275">
        <f t="shared" si="3"/>
        <v>2259.9150000000004</v>
      </c>
      <c r="L16" s="276">
        <f t="shared" si="3"/>
        <v>0</v>
      </c>
      <c r="M16" s="232">
        <f t="shared" si="3"/>
        <v>53269.424999999996</v>
      </c>
      <c r="N16" s="233">
        <f>SUM(N7:N15)</f>
        <v>12203.389830508473</v>
      </c>
      <c r="O16" s="101">
        <f>SUM(O7:O15)</f>
        <v>327.36407415254234</v>
      </c>
      <c r="P16" s="234">
        <f>SUM(P7:P15)</f>
        <v>65800.178904661021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64569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9039.6600000000017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2259.9150000000004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53269.424999999996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12203.389830508473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65472.814830508469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327.36407415254234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0" t="s">
        <v>88</v>
      </c>
      <c r="O26" s="331"/>
      <c r="P26" s="297">
        <f>+P24+P25</f>
        <v>65800.178904661007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2"/>
      <c r="D27" s="332"/>
      <c r="E27" s="332"/>
      <c r="F27" s="332"/>
      <c r="G27" s="332"/>
      <c r="H27" s="332"/>
      <c r="I27" s="333"/>
      <c r="J27" s="334"/>
      <c r="K27" s="335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65800.178904661007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7.25" customHeight="1" x14ac:dyDescent="0.4">
      <c r="A6" s="383" t="s">
        <v>512</v>
      </c>
      <c r="B6" s="383"/>
      <c r="C6" s="383"/>
      <c r="F6" s="85"/>
      <c r="G6" s="86"/>
      <c r="K6" s="355" t="s">
        <v>69</v>
      </c>
      <c r="L6" s="355"/>
      <c r="M6" s="355"/>
      <c r="N6" s="384" t="s">
        <v>506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1468.95</v>
      </c>
      <c r="K16" s="127">
        <f>$I16*T16</f>
        <v>367.23750000000001</v>
      </c>
      <c r="L16" s="118">
        <f>$I16*U16</f>
        <v>0</v>
      </c>
      <c r="M16" s="229">
        <f>I16-SUM(J16:L16)</f>
        <v>8656.3125</v>
      </c>
      <c r="N16" s="248">
        <f>+(G16*D16+H16)*V16</f>
        <v>1983.0508474576263</v>
      </c>
      <c r="O16" s="238">
        <f>(N16+M16)*$O$15</f>
        <v>53.196816737288138</v>
      </c>
      <c r="P16" s="118">
        <f>M16+N16+O16</f>
        <v>10692.560164194916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200</v>
      </c>
      <c r="I17" s="236">
        <f t="shared" ref="I17:I23" si="0">(G17*D17)*F17+H17*F17</f>
        <v>10492.5</v>
      </c>
      <c r="J17" s="272">
        <f t="shared" ref="J17:L24" si="1">$I17*S17</f>
        <v>1468.95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8656.3125</v>
      </c>
      <c r="N17" s="277">
        <f t="shared" ref="N17:N24" si="3">+(G17*D17+H17)*V17</f>
        <v>1983.0508474576263</v>
      </c>
      <c r="O17" s="239">
        <f t="shared" ref="O17:O24" si="4">(N17+M17)*$O$15</f>
        <v>53.196816737288138</v>
      </c>
      <c r="P17" s="119">
        <f t="shared" ref="P17:P24" si="5">M17+N17+O17</f>
        <v>10692.560164194916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7"/>
        <v>14528</v>
      </c>
      <c r="J19" s="272">
        <f t="shared" si="1"/>
        <v>2033.9200000000003</v>
      </c>
      <c r="K19" s="128">
        <f t="shared" si="1"/>
        <v>508.48000000000008</v>
      </c>
      <c r="L19" s="119">
        <f t="shared" si="1"/>
        <v>0</v>
      </c>
      <c r="M19" s="230">
        <f t="shared" si="2"/>
        <v>11985.599999999999</v>
      </c>
      <c r="N19" s="277">
        <f t="shared" si="3"/>
        <v>2745.7627118644068</v>
      </c>
      <c r="O19" s="239">
        <f t="shared" si="4"/>
        <v>73.656813559322032</v>
      </c>
      <c r="P19" s="119">
        <f t="shared" si="5"/>
        <v>14805.019525423728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2033.9200000000003</v>
      </c>
      <c r="K20" s="128">
        <f t="shared" si="1"/>
        <v>508.48000000000008</v>
      </c>
      <c r="L20" s="119">
        <f t="shared" si="1"/>
        <v>0</v>
      </c>
      <c r="M20" s="230">
        <f t="shared" si="2"/>
        <v>11985.599999999999</v>
      </c>
      <c r="N20" s="277">
        <f t="shared" si="3"/>
        <v>2745.7627118644068</v>
      </c>
      <c r="O20" s="239">
        <f t="shared" si="4"/>
        <v>73.656813559322032</v>
      </c>
      <c r="P20" s="119">
        <f t="shared" si="5"/>
        <v>14805.019525423728</v>
      </c>
      <c r="R20">
        <f>P20/21</f>
        <v>705.00092978208227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119">
        <f t="shared" si="5"/>
        <v>14805.019525423728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1000</v>
      </c>
      <c r="I25" s="114">
        <f t="shared" ref="I25:M25" si="10">SUM(I16:I24)</f>
        <v>64569</v>
      </c>
      <c r="J25" s="274">
        <f>SUM(J16:J24)</f>
        <v>9039.6600000000017</v>
      </c>
      <c r="K25" s="275">
        <f t="shared" si="10"/>
        <v>2259.9150000000004</v>
      </c>
      <c r="L25" s="276">
        <f t="shared" si="10"/>
        <v>0</v>
      </c>
      <c r="M25" s="232">
        <f t="shared" si="10"/>
        <v>53269.424999999996</v>
      </c>
      <c r="N25" s="233">
        <f>SUM(N16:N24)</f>
        <v>12203.389830508473</v>
      </c>
      <c r="O25" s="101">
        <f>SUM(O16:O24)</f>
        <v>327.36407415254234</v>
      </c>
      <c r="P25" s="234">
        <f>SUM(P16:P24)</f>
        <v>65800.178904661021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64569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9039.6600000000017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2259.9150000000004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53269.424999999996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12203.389830508473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65472.814830508469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327.36407415254234</v>
      </c>
    </row>
    <row r="35" spans="2:16" ht="15.75" customHeight="1" thickBot="1" x14ac:dyDescent="0.4">
      <c r="N35" s="330" t="s">
        <v>88</v>
      </c>
      <c r="O35" s="331"/>
      <c r="P35" s="297">
        <f>+P33+P34</f>
        <v>65800.178904661007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508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8.75" customHeight="1" x14ac:dyDescent="0.4">
      <c r="A6" s="383" t="s">
        <v>500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501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502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503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8.75" customHeight="1" x14ac:dyDescent="0.4">
      <c r="A6" s="383" t="s">
        <v>504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3" t="s">
        <v>91</v>
      </c>
      <c r="B2" s="353"/>
      <c r="C2" s="353"/>
    </row>
    <row r="3" spans="1:22 16383:16384" ht="15" customHeight="1" x14ac:dyDescent="0.35">
      <c r="A3" s="354" t="s">
        <v>92</v>
      </c>
      <c r="B3" s="354"/>
      <c r="C3" s="354"/>
      <c r="F3" s="85"/>
      <c r="G3" s="1"/>
      <c r="K3" s="355" t="s">
        <v>43</v>
      </c>
      <c r="L3" s="355"/>
      <c r="M3" s="355"/>
      <c r="N3" s="354"/>
      <c r="O3" s="354"/>
      <c r="P3" s="35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4" t="s">
        <v>505</v>
      </c>
      <c r="B4" s="354"/>
      <c r="C4" s="354"/>
      <c r="F4" s="85"/>
      <c r="G4" s="1"/>
      <c r="K4" s="355" t="s">
        <v>44</v>
      </c>
      <c r="L4" s="355"/>
      <c r="M4" s="355"/>
      <c r="N4" s="385">
        <f ca="1">TODAY()+1</f>
        <v>46228</v>
      </c>
      <c r="O4" s="385"/>
      <c r="P4" s="38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2" t="s">
        <v>492</v>
      </c>
      <c r="B5" s="382"/>
      <c r="C5" s="382"/>
      <c r="F5" s="85"/>
      <c r="G5" s="1"/>
      <c r="K5" s="355" t="s">
        <v>45</v>
      </c>
      <c r="L5" s="355"/>
      <c r="M5" s="355"/>
      <c r="N5" s="385">
        <f ca="1">N4-1</f>
        <v>46227</v>
      </c>
      <c r="O5" s="354"/>
      <c r="P5" s="354"/>
      <c r="R5" s="85"/>
      <c r="S5" s="266"/>
    </row>
    <row r="6" spans="1:22 16383:16384" ht="15" customHeight="1" x14ac:dyDescent="0.4">
      <c r="A6" s="383" t="s">
        <v>496</v>
      </c>
      <c r="B6" s="383"/>
      <c r="C6" s="383"/>
      <c r="F6" s="85"/>
      <c r="G6" s="86"/>
      <c r="K6" s="355" t="s">
        <v>69</v>
      </c>
      <c r="L6" s="355"/>
      <c r="M6" s="355"/>
      <c r="N6" s="384" t="s">
        <v>62</v>
      </c>
      <c r="O6" s="384"/>
      <c r="P6" s="38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55" t="s">
        <v>73</v>
      </c>
      <c r="B7" s="355"/>
      <c r="C7" s="355"/>
      <c r="F7" s="85"/>
      <c r="G7" s="86"/>
      <c r="K7" s="355" t="s">
        <v>66</v>
      </c>
      <c r="L7" s="355"/>
      <c r="M7" s="355"/>
      <c r="N7" s="384" t="s">
        <v>511</v>
      </c>
      <c r="O7" s="384"/>
      <c r="P7" s="38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1" t="s">
        <v>95</v>
      </c>
      <c r="B8" s="381"/>
      <c r="C8" s="381"/>
      <c r="F8" s="85"/>
      <c r="G8" s="86"/>
      <c r="K8" s="355" t="s">
        <v>67</v>
      </c>
      <c r="L8" s="355"/>
      <c r="M8" s="355"/>
      <c r="N8" s="384" t="s">
        <v>511</v>
      </c>
      <c r="O8" s="384"/>
      <c r="P8" s="384"/>
      <c r="R8" s="85"/>
      <c r="S8" s="267"/>
    </row>
    <row r="9" spans="1:22 16383:16384" x14ac:dyDescent="0.35">
      <c r="A9" s="381" t="s">
        <v>96</v>
      </c>
      <c r="B9" s="381"/>
      <c r="C9" s="381"/>
      <c r="F9" s="85"/>
      <c r="G9" s="86"/>
      <c r="K9" s="355" t="s">
        <v>68</v>
      </c>
      <c r="L9" s="355"/>
      <c r="M9" s="355"/>
      <c r="N9" s="384" t="s">
        <v>104</v>
      </c>
      <c r="O9" s="384"/>
      <c r="P9" s="384"/>
      <c r="R9" s="85"/>
      <c r="S9" s="267"/>
      <c r="XFD9" t="s">
        <v>49</v>
      </c>
    </row>
    <row r="10" spans="1:22 16383:16384" x14ac:dyDescent="0.35">
      <c r="A10" s="381" t="s">
        <v>97</v>
      </c>
      <c r="B10" s="381"/>
      <c r="C10" s="381"/>
      <c r="F10" s="85"/>
      <c r="G10" s="1"/>
      <c r="K10" s="355" t="s">
        <v>46</v>
      </c>
      <c r="L10" s="355"/>
      <c r="M10" s="355"/>
      <c r="N10" s="354" t="s">
        <v>47</v>
      </c>
      <c r="O10" s="354"/>
      <c r="P10" s="35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55" t="s">
        <v>48</v>
      </c>
      <c r="L11" s="355"/>
      <c r="M11" s="355"/>
      <c r="N11" s="384" t="s">
        <v>49</v>
      </c>
      <c r="O11" s="384"/>
      <c r="P11" s="38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55" t="s">
        <v>50</v>
      </c>
      <c r="L12" s="355"/>
      <c r="M12" s="355"/>
      <c r="N12" s="354"/>
      <c r="O12" s="354"/>
      <c r="P12" s="35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4" t="s">
        <v>51</v>
      </c>
      <c r="B14" s="346"/>
      <c r="C14" s="376" t="s">
        <v>90</v>
      </c>
      <c r="D14" s="115" t="s">
        <v>52</v>
      </c>
      <c r="E14" s="378" t="s">
        <v>58</v>
      </c>
      <c r="F14" s="379"/>
      <c r="G14" s="351" t="s">
        <v>54</v>
      </c>
      <c r="H14" s="352"/>
      <c r="I14" s="380" t="s">
        <v>77</v>
      </c>
      <c r="J14" s="350" t="s">
        <v>55</v>
      </c>
      <c r="K14" s="351"/>
      <c r="L14" s="352"/>
      <c r="M14" s="346" t="s">
        <v>84</v>
      </c>
      <c r="N14" s="348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75"/>
      <c r="B15" s="347"/>
      <c r="C15" s="37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9"/>
      <c r="J15" s="143" t="s">
        <v>59</v>
      </c>
      <c r="K15" s="144" t="s">
        <v>39</v>
      </c>
      <c r="L15" s="145" t="s">
        <v>493</v>
      </c>
      <c r="M15" s="347"/>
      <c r="N15" s="349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0" t="s">
        <v>88</v>
      </c>
      <c r="O35" s="331"/>
      <c r="P35" s="297">
        <f>+P33+P34</f>
        <v>0</v>
      </c>
    </row>
    <row r="36" spans="2:16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334"/>
      <c r="K36" s="33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3" t="s">
        <v>91</v>
      </c>
      <c r="B2" s="353"/>
      <c r="C2" s="353"/>
    </row>
    <row r="3" spans="1:18 16382:16383" ht="15" customHeight="1" x14ac:dyDescent="0.35">
      <c r="A3" s="354" t="s">
        <v>92</v>
      </c>
      <c r="B3" s="354"/>
      <c r="C3" s="354"/>
      <c r="F3" s="85"/>
      <c r="G3" s="1"/>
      <c r="J3" s="355" t="s">
        <v>43</v>
      </c>
      <c r="K3" s="355"/>
      <c r="L3" s="355"/>
      <c r="M3" s="354"/>
      <c r="N3" s="354"/>
      <c r="O3" s="35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4" t="s">
        <v>65</v>
      </c>
      <c r="B4" s="354"/>
      <c r="C4" s="354"/>
      <c r="F4" s="85"/>
      <c r="G4" s="1"/>
      <c r="J4" s="355" t="s">
        <v>44</v>
      </c>
      <c r="K4" s="355"/>
      <c r="L4" s="355"/>
      <c r="M4" s="385">
        <f ca="1">TODAY()+1</f>
        <v>46228</v>
      </c>
      <c r="N4" s="385"/>
      <c r="O4" s="38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2" t="s">
        <v>93</v>
      </c>
      <c r="B5" s="382"/>
      <c r="C5" s="382"/>
      <c r="F5" s="85"/>
      <c r="G5" s="1"/>
      <c r="J5" s="355" t="s">
        <v>45</v>
      </c>
      <c r="K5" s="355"/>
      <c r="L5" s="355"/>
      <c r="M5" s="385">
        <f ca="1">M4-1</f>
        <v>46227</v>
      </c>
      <c r="N5" s="354"/>
      <c r="O5" s="354"/>
      <c r="Q5" s="85"/>
      <c r="R5" s="1"/>
    </row>
    <row r="6" spans="1:18 16382:16383" ht="15" customHeight="1" x14ac:dyDescent="0.35">
      <c r="A6" s="355" t="s">
        <v>94</v>
      </c>
      <c r="B6" s="355"/>
      <c r="C6" s="355"/>
      <c r="F6" s="85"/>
      <c r="G6" s="86"/>
      <c r="J6" s="355" t="s">
        <v>69</v>
      </c>
      <c r="K6" s="355"/>
      <c r="L6" s="355"/>
      <c r="M6" s="384" t="s">
        <v>62</v>
      </c>
      <c r="N6" s="384"/>
      <c r="O6" s="38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55" t="s">
        <v>73</v>
      </c>
      <c r="B7" s="355"/>
      <c r="C7" s="355"/>
      <c r="F7" s="85"/>
      <c r="G7" s="86"/>
      <c r="J7" s="355" t="s">
        <v>66</v>
      </c>
      <c r="K7" s="355"/>
      <c r="L7" s="355"/>
      <c r="M7" s="384" t="s">
        <v>70</v>
      </c>
      <c r="N7" s="384"/>
      <c r="O7" s="38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1" t="s">
        <v>95</v>
      </c>
      <c r="B8" s="381"/>
      <c r="C8" s="381"/>
      <c r="F8" s="85"/>
      <c r="G8" s="86"/>
      <c r="J8" s="355" t="s">
        <v>67</v>
      </c>
      <c r="K8" s="355"/>
      <c r="L8" s="355"/>
      <c r="M8" s="384" t="s">
        <v>71</v>
      </c>
      <c r="N8" s="384"/>
      <c r="O8" s="384"/>
      <c r="Q8" s="85"/>
      <c r="R8" s="86"/>
    </row>
    <row r="9" spans="1:18 16382:16383" x14ac:dyDescent="0.35">
      <c r="A9" s="381" t="s">
        <v>96</v>
      </c>
      <c r="B9" s="381"/>
      <c r="C9" s="381"/>
      <c r="F9" s="85"/>
      <c r="G9" s="86"/>
      <c r="J9" s="355" t="s">
        <v>68</v>
      </c>
      <c r="K9" s="355"/>
      <c r="L9" s="355"/>
      <c r="M9" s="384" t="s">
        <v>104</v>
      </c>
      <c r="N9" s="384"/>
      <c r="O9" s="384"/>
      <c r="Q9" s="85"/>
      <c r="R9" s="86"/>
      <c r="XFC9" t="s">
        <v>49</v>
      </c>
    </row>
    <row r="10" spans="1:18 16382:16383" x14ac:dyDescent="0.35">
      <c r="A10" s="381" t="s">
        <v>97</v>
      </c>
      <c r="B10" s="381"/>
      <c r="C10" s="381"/>
      <c r="F10" s="85"/>
      <c r="G10" s="1"/>
      <c r="J10" s="355" t="s">
        <v>46</v>
      </c>
      <c r="K10" s="355"/>
      <c r="L10" s="355"/>
      <c r="M10" s="354" t="s">
        <v>47</v>
      </c>
      <c r="N10" s="354"/>
      <c r="O10" s="35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55" t="s">
        <v>48</v>
      </c>
      <c r="K11" s="355"/>
      <c r="L11" s="355"/>
      <c r="M11" s="354" t="s">
        <v>49</v>
      </c>
      <c r="N11" s="354"/>
      <c r="O11" s="35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55" t="s">
        <v>50</v>
      </c>
      <c r="K12" s="355"/>
      <c r="L12" s="355"/>
      <c r="M12" s="354"/>
      <c r="N12" s="354"/>
      <c r="O12" s="35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4" t="s">
        <v>51</v>
      </c>
      <c r="B14" s="346"/>
      <c r="C14" s="376" t="s">
        <v>90</v>
      </c>
      <c r="D14" s="88" t="s">
        <v>52</v>
      </c>
      <c r="E14" s="95" t="s">
        <v>74</v>
      </c>
      <c r="F14" s="115" t="s">
        <v>53</v>
      </c>
      <c r="G14" s="350" t="s">
        <v>54</v>
      </c>
      <c r="H14" s="352"/>
      <c r="I14" s="380" t="s">
        <v>77</v>
      </c>
      <c r="J14" s="351" t="s">
        <v>55</v>
      </c>
      <c r="K14" s="352"/>
      <c r="L14" s="38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75"/>
      <c r="B15" s="347"/>
      <c r="C15" s="37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9"/>
      <c r="J15" s="144" t="s">
        <v>39</v>
      </c>
      <c r="K15" s="145" t="s">
        <v>59</v>
      </c>
      <c r="L15" s="34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5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0" t="s">
        <v>88</v>
      </c>
      <c r="N35" s="331"/>
      <c r="O35" s="141">
        <f>O28-O29+O31+O34</f>
        <v>2897.511536</v>
      </c>
    </row>
    <row r="36" spans="2:15" ht="15" thickBot="1" x14ac:dyDescent="0.4">
      <c r="B36" s="121" t="s">
        <v>63</v>
      </c>
      <c r="C36" s="332"/>
      <c r="D36" s="332"/>
      <c r="E36" s="332"/>
      <c r="F36" s="332"/>
      <c r="G36" s="332"/>
      <c r="H36" s="332"/>
      <c r="I36" s="333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8" t="s">
        <v>439</v>
      </c>
      <c r="E1" s="322" t="s">
        <v>58</v>
      </c>
      <c r="F1" s="322"/>
      <c r="G1" s="323" t="s">
        <v>440</v>
      </c>
      <c r="H1" s="323"/>
      <c r="I1" s="395" t="s">
        <v>441</v>
      </c>
      <c r="J1" s="395"/>
      <c r="K1" s="395" t="s">
        <v>442</v>
      </c>
      <c r="L1" s="395"/>
      <c r="M1" s="390" t="s">
        <v>484</v>
      </c>
      <c r="N1" s="391"/>
      <c r="O1" s="392"/>
    </row>
    <row r="2" spans="3:24" ht="29" x14ac:dyDescent="0.35">
      <c r="C2" s="322"/>
      <c r="D2" s="38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3" t="s">
        <v>476</v>
      </c>
      <c r="D6" s="393"/>
      <c r="E6" s="393"/>
      <c r="F6" s="393"/>
      <c r="G6" s="393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89" t="s">
        <v>58</v>
      </c>
      <c r="F7" s="389"/>
      <c r="G7" s="387" t="s">
        <v>440</v>
      </c>
      <c r="H7" s="323"/>
      <c r="I7" s="324" t="s">
        <v>441</v>
      </c>
      <c r="J7" s="325"/>
      <c r="K7" s="324" t="s">
        <v>442</v>
      </c>
      <c r="L7" s="325"/>
      <c r="M7" s="390" t="s">
        <v>484</v>
      </c>
      <c r="N7" s="391"/>
      <c r="O7" s="392"/>
      <c r="P7" s="256" t="s">
        <v>475</v>
      </c>
      <c r="Q7" s="242" t="s">
        <v>473</v>
      </c>
      <c r="R7" s="388" t="s">
        <v>475</v>
      </c>
      <c r="S7" s="388" t="s">
        <v>485</v>
      </c>
      <c r="T7" s="386" t="s">
        <v>486</v>
      </c>
      <c r="U7" s="386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8"/>
      <c r="S8" s="388"/>
      <c r="T8" s="387"/>
      <c r="U8" s="38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4" t="s">
        <v>477</v>
      </c>
      <c r="D12" s="394"/>
      <c r="E12" s="394"/>
      <c r="F12" s="394"/>
      <c r="G12" s="394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90" t="s">
        <v>484</v>
      </c>
      <c r="N13" s="391"/>
      <c r="O13" s="392"/>
      <c r="P13" s="256" t="s">
        <v>475</v>
      </c>
      <c r="Q13" s="242" t="s">
        <v>473</v>
      </c>
      <c r="R13" s="388" t="s">
        <v>475</v>
      </c>
      <c r="S13" s="388" t="s">
        <v>485</v>
      </c>
      <c r="T13" s="386" t="s">
        <v>486</v>
      </c>
      <c r="U13" s="386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8"/>
      <c r="S14" s="388"/>
      <c r="T14" s="387"/>
      <c r="U14" s="38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3" t="s">
        <v>478</v>
      </c>
      <c r="D19" s="393"/>
      <c r="E19" s="393"/>
      <c r="F19" s="393"/>
      <c r="G19" s="393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90" t="s">
        <v>484</v>
      </c>
      <c r="N20" s="391"/>
      <c r="O20" s="392"/>
      <c r="P20" s="256" t="s">
        <v>475</v>
      </c>
      <c r="Q20" s="242" t="s">
        <v>473</v>
      </c>
      <c r="R20" s="388" t="s">
        <v>475</v>
      </c>
      <c r="S20" s="388" t="s">
        <v>485</v>
      </c>
      <c r="T20" s="386" t="s">
        <v>486</v>
      </c>
      <c r="U20" s="386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8"/>
      <c r="S21" s="388"/>
      <c r="T21" s="387"/>
      <c r="U21" s="38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3" t="s">
        <v>479</v>
      </c>
      <c r="D26" s="393"/>
      <c r="E26" s="393"/>
      <c r="F26" s="393"/>
      <c r="G26" s="393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90" t="s">
        <v>484</v>
      </c>
      <c r="N27" s="391"/>
      <c r="O27" s="392"/>
      <c r="P27" s="256" t="s">
        <v>475</v>
      </c>
      <c r="Q27" s="242" t="s">
        <v>473</v>
      </c>
      <c r="R27" s="388" t="s">
        <v>475</v>
      </c>
      <c r="S27" s="388" t="s">
        <v>485</v>
      </c>
      <c r="T27" s="386" t="s">
        <v>486</v>
      </c>
      <c r="U27" s="386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8"/>
      <c r="S28" s="388"/>
      <c r="T28" s="387"/>
      <c r="U28" s="38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8" t="s">
        <v>439</v>
      </c>
      <c r="D1" s="322" t="s">
        <v>58</v>
      </c>
      <c r="E1" s="322"/>
      <c r="F1" s="323" t="s">
        <v>440</v>
      </c>
      <c r="G1" s="323"/>
      <c r="H1" s="395" t="s">
        <v>441</v>
      </c>
      <c r="I1" s="395"/>
      <c r="J1" s="395" t="s">
        <v>442</v>
      </c>
      <c r="K1" s="395"/>
      <c r="L1" s="390" t="s">
        <v>484</v>
      </c>
      <c r="M1" s="391"/>
      <c r="N1" s="392"/>
    </row>
    <row r="2" spans="2:17" ht="29" x14ac:dyDescent="0.35">
      <c r="B2" s="322"/>
      <c r="C2" s="38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8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7"/>
      <c r="G60" s="160" t="s">
        <v>195</v>
      </c>
      <c r="H60" s="161" t="s">
        <v>100</v>
      </c>
    </row>
    <row r="61" spans="5:8" x14ac:dyDescent="0.35">
      <c r="E61" s="159" t="s">
        <v>192</v>
      </c>
      <c r="F61" s="397"/>
      <c r="G61" s="160" t="s">
        <v>196</v>
      </c>
      <c r="H61" s="161" t="s">
        <v>98</v>
      </c>
    </row>
    <row r="62" spans="5:8" x14ac:dyDescent="0.35">
      <c r="E62" s="159" t="s">
        <v>192</v>
      </c>
      <c r="F62" s="397"/>
      <c r="G62" s="160" t="s">
        <v>197</v>
      </c>
      <c r="H62" s="161" t="s">
        <v>101</v>
      </c>
    </row>
    <row r="63" spans="5:8" x14ac:dyDescent="0.35">
      <c r="E63" s="159" t="s">
        <v>192</v>
      </c>
      <c r="F63" s="397"/>
      <c r="G63" s="160" t="s">
        <v>198</v>
      </c>
      <c r="H63" s="161" t="s">
        <v>102</v>
      </c>
    </row>
    <row r="64" spans="5:8" x14ac:dyDescent="0.35">
      <c r="E64" s="159" t="s">
        <v>192</v>
      </c>
      <c r="F64" s="397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7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7"/>
      <c r="G121" s="160" t="s">
        <v>273</v>
      </c>
      <c r="H121" s="161" t="s">
        <v>98</v>
      </c>
    </row>
    <row r="122" spans="5:8" x14ac:dyDescent="0.35">
      <c r="E122" s="159" t="s">
        <v>269</v>
      </c>
      <c r="F122" s="397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7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7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7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7"/>
      <c r="G241" s="160" t="s">
        <v>432</v>
      </c>
      <c r="H241" s="161" t="s">
        <v>98</v>
      </c>
    </row>
    <row r="242" spans="5:8" x14ac:dyDescent="0.35">
      <c r="E242" s="159" t="s">
        <v>428</v>
      </c>
      <c r="F242" s="397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7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7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2026-07-24T06:20:47Z</dcterms:modified>
</cp:coreProperties>
</file>