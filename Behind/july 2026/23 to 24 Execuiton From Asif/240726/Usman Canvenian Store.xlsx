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5180ADB-A2FB-4519-B732-44512731DC6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<sst xmlns="http://schemas.openxmlformats.org/spreadsheetml/2006/main" count="3913" uniqueCount="515">
  <si>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</si>
  <si>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</si>
  <si>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</si>
  <si>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</si>
  <si>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</si>
  <si>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</si>
  <si>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</si>
  <si>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</si>
  <si>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</si>
  <si>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</si>
  <si>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</si>
  <si>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</si>
  <si>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</si>
  <si>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</si>
  <si>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</si>
  <si>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</si>
  <si>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</si>
  <si>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</si>
  <si>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</si>
  <si>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</si>
  <si>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</si>
  <si>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</si>
  <si>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</si>
  <si>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</si>
  <si>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</si>
  <si>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</si>
  <si>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</si>
  <si>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</si>
  <si>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</si>
  <si>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</si>
  <si>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</si>
  <si>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</si>
  <si>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</si>
  <si>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</si>
  <si>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</si>
  <si>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</si>
  <si>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</si>
  <si>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</si>
  <si>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</si>
  <si>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</si>
  <si>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</si>
  <si>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</si>
  <si>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</si>
  <si>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</si>
  <si>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</si>
  <si>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</si>
  <si>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</si>
  <si>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</si>
  <si>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</si>
  <si>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</si>
  <si>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</si>
  <si>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</si>
  <si>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</si>
  <si>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</si>
  <si>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</si>
  <si>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</si>
  <si>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</si>
  <si>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</si>
  <si>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</si>
  <si>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</si>
  <si>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</si>
  <si>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</si>
  <si>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</si>
  <si>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</si>
  <si>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</si>
  <si>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</si>
  <si>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</si>
  <si>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</si>
  <si>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</si>
  <si>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</si>
  <si>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</si>
  <si>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</si>
  <si>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</si>
  <si>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</si>
  <si>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</si>
  <si>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</si>
  <si>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</si>
  <si>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</si>
  <si>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</si>
  <si>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</si>
  <si>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</si>
  <si>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</si>
  <si>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</si>
  <si>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</si>
  <si>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</si>
  <si>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</si>
  <si>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</si>
  <si>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</si>
  <si>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</si>
  <si>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</si>
  <si>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</si>
  <si>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</si>
  <si>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</si>
  <si>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</si>
  <si>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</si>
  <si>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</si>
  <si>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</si>
  <si>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</si>
  <si>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</si>
  <si>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</si>
  <si>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</si>
  <si>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</si>
  <si>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</si>
  <si>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</si>
  <si>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</si>
  <si>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</si>
  <si>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</si>
  <si>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</si>
  <si>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</si>
  <si>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</si>
  <si>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</si>
  <si>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</si>
  <si>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</si>
  <si>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</si>
  <si>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</si>
  <si>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</si>
  <si>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</si>
  <si>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</si>
  <si>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</si>
  <si>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</si>
  <si>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</si>
  <si>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</si>
  <si>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</si>
  <si>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</si>
  <si>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</si>
  <si>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</si>
  <si>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</si>
  <si>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</si>
  <si>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</si>
  <si>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</si>
  <si>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</si>
  <si>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</si>
  <si>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</si>
  <si>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</si>
  <si>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</si>
  <si>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</si>
  <si>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</si>
  <si>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</si>
  <si>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</si>
  <si>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</si>
  <si>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</si>
  <si>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</si>
  <si>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</si>
  <si>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</si>
  <si>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</si>
  <si>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</si>
  <si>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</si>
  <si>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</si>
  <si>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</si>
  <si>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</si>
  <si>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</si>
  <si>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</si>
  <si>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</si>
  <si>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</si>
  <si>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</si>
  <si>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</si>
  <si>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</si>
  <si>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</si>
  <si>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</si>
  <si>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</si>
  <si>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</si>
  <si>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</si>
  <si>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</si>
  <si>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</si>
  <si>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</si>
  <si>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</si>
  <si>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</si>
  <si>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</si>
  <si>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</si>
  <si>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</si>
  <si>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</si>
  <si>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</si>
  <si>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</si>
  <si>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</si>
  <si>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</si>
  <si>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</si>
  <si>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</si>
  <si>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</si>
  <si>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</si>
  <si>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</si>
  <si>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</si>
  <si>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</si>
  <si>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</si>
  <si>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</si>
  <si>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</si>
  <si>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</si>
  <si>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</si>
  <si>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</si>
  <si>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</si>
  <si>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</si>
  <si>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</si>
  <si>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</si>
  <si>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</si>
  <si>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</si>
  <si>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</si>
  <si>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</si>
  <si>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</si>
  <si>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</si>
  <si>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</si>
  <si>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</si>
  <si>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</si>
  <si>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</si>
  <si>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</si>
  <si>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</si>
  <si>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</si>
  <si>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</si>
  <si>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</si>
  <si>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</si>
  <si>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</si>
  <si>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</si>
  <si>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</si>
  <si>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</si>
  <si>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</si>
  <si>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</si>
  <si>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</si>
  <si>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</si>
  <si>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</si>
  <si>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</si>
  <si>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</si>
  <si>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</si>
  <si>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</si>
  <si>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</si>
  <si>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</si>
  <si>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</si>
  <si>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</si>
  <si>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</si>
  <si>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</si>
  <si>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</si>
  <si>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</si>
  <si>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</si>
  <si>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</si>
  <si>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</si>
  <si>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</si>
  <si>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</si>
  <si>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</si>
  <si>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</si>
  <si>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</si>
  <si>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</si>
  <si>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</si>
  <si>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</si>
  <si>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</si>
  <si>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</si>
  <si>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</si>
  <si>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</si>
  <si>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</si>
  <si>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</si>
  <si>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</si>
  <si>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</si>
  <si>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</si>
  <si>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</si>
  <si>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</si>
  <si>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</si>
  <si>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</si>
  <si>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</si>
  <si>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</si>
  <si>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</si>
  <si>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</si>
  <si>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</si>
  <si>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</si>
  <si>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</si>
  <si>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</si>
  <si>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</si>
  <si>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</si>
  <si>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</si>
  <si>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</si>
  <si>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</si>
  <si>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</si>
  <si>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</si>
  <si>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</si>
  <si>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</si>
  <si>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</si>
  <si>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</si>
  <si>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</si>
  <si>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</si>
  <si>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</si>
  <si>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</si>
  <si>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</si>
  <si>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</si>
  <si>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</si>
  <si>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</si>
  <si>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</si>
  <si>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</si>
  <si>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</si>
  <si>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</si>
  <si>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</si>
  <si>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</si>
  <si>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</si>
  <si>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</si>
  <si>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</si>
  <si>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</si>
  <si>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</si>
  <si>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</si>
  <si>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</si>
  <si>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</si>
  <si>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</si>
  <si>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</si>
  <si>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</si>
  <si>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</si>
  <si>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</si>
  <si>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</si>
  <si>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</si>
  <si>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</si>
  <si>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</si>
  <si>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</si>
  <si>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</si>
  <si>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</si>
  <si>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</si>
  <si>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</si>
  <si>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</si>
  <si>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</si>
  <si>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</si>
  <si>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</si>
  <si>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</si>
  <si>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</si>
  <si>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</si>
  <si>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</si>
  <si>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</si>
  <si>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</si>
  <si>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</si>
  <si>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</si>
  <si>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</si>
  <si>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</si>
  <si>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</si>
  <si>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</si>
  <si>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</si>
  <si>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</si>
  <si>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</si>
  <si>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</si>
  <si>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</si>
  <si>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</si>
  <si>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</si>
  <si>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</si>
  <si>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</si>
  <si>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</si>
  <si>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</si>
  <si>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</si>
  <si>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</si>
  <si>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</si>
  <si>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</si>
  <si>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</si>
  <si>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</si>
  <si>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</si>
  <si>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</si>
  <si>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</si>
  <si>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</si>
  <si>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</si>
  <si>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</si>
  <si>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</si>
  <si>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</si>
  <si>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</si>
  <si>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</si>
  <si>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</si>
  <si>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</si>
  <si>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</si>
  <si>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</si>
  <si>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</si>
  <si>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</si>
  <si>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</si>
  <si>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</si>
  <si>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</si>
  <si>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</si>
  <si>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</si>
  <si>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</si>
  <si>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</si>
  <si>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</si>
  <si>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</si>
  <si>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</si>
  <si>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</si>
  <si>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</si>
  <si>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</si>
  <si>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</si>
  <si>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</si>
  <si>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</si>
  <si>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</si>
  <si>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</si>
  <si>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</si>
  <si>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</si>
  <si>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</si>
  <si>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</si>
  <si>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</si>
  <si>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</si>
  <si>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</si>
  <si>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</si>
  <si>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</si>
  <si>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</si>
  <si>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</si>
  <si>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</si>
  <si>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</si>
  <si>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</si>
  <si>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</si>
  <si>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</si>
  <si>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</si>
  <si>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</si>
  <si>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</si>
  <si>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</si>
  <si>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</si>
  <si>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</si>
  <si>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</si>
  <si>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</si>
  <si>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</si>
  <si>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</si>
  <si>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</si>
  <si>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</si>
  <si>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</si>
  <si>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</si>
  <si>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</si>
  <si>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</si>
  <si>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</si>
  <si>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</si>
  <si>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</si>
  <si>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</si>
  <si>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</si>
  <si>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</si>
  <si>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</si>
  <si>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</si>
  <si>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</si>
  <si>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</si>
  <si>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</si>
  <si>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</si>
  <si>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</si>
  <si>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</si>
  <si>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</si>
  <si>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</si>
  <si>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</si>
  <si>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</si>
  <si>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</si>
  <si>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</si>
  <si>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</si>
  <si>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</si>
  <si>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</si>
  <si>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</si>
  <si>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</si>
  <si>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</si>
  <si>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</si>
  <si>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</si>
  <si>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</si>
  <si>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</si>
  <si>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</si>
  <si>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</si>
  <si>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</si>
  <si>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</si>
  <si>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</si>
  <si>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</si>
  <si>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</si>
  <si>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</si>
  <si>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</si>
  <si>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</si>
  <si>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</si>
  <si>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</si>
  <si>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</si>
  <si>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</si>
  <si>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</si>
  <si>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</si>
  <si>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</si>
  <si>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</si>
  <si>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</si>
  <si>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</si>
  <si>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</si>
  <si>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</si>
  <si>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</si>
  <si>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</si>
  <si>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</si>
  <si>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</si>
  <si>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</si>
  <si>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</si>
  <si>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</si>
  <si>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</si>
  <si>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</si>
  <si>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</si>
  <si>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</si>
  <si>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</si>
  <si>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</si>
  <si>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</si>
  <si>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</si>
  <si>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</si>
  <si>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</si>
  <si>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</si>
  <si>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</si>
  <si>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</si>
  <si>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</si>
  <si>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</si>
  <si>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</si>
  <si>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</si>
  <si>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</si>
  <si>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</si>
  <si>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</si>
  <si>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</si>
  <si>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</si>
  <si>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</si>
  <si>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</si>
  <si>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</si>
  <si>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</si>
  <si>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</si>
  <si>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</si>
  <si>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</si>
  <si>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</si>
  <si>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</si>
  <si>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</si>
  <si>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</si>
  <si>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</si>
  <si>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</si>
  <si>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</si>
  <si>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</si>
  <si>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</si>
  <si>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</si>
  <si>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</si>
  <si>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</si>
  <si>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</si>
  <si>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</si>
  <si>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</si>
  <si>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</si>
  <si>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</si>
  <si>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Usman Canvenian Store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</si>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</sst>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513</v>
      </c>
      <c r="I2" s="368"/>
      <c r="J2" s="369"/>
      <c r="R2" s="365" t="s">
        <v>514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4" t="str">
        <f>+'1'!A6:A6</f>
        <v>Usman Canvenian Store</v>
      </c>
      <c r="T3" s="300">
        <f>+'1'!P35</f>
        <v>13679.170540932206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4" t="str">
        <f>+'2'!A6:A6</f>
        <v>Fine Dedical Store</v>
      </c>
      <c r="T4" s="300">
        <f>+'2'!P35</f>
        <v>0</v>
      </c>
      <c r="XEX4" t="s">
        <v>105</v>
      </c>
    </row>
    <row r="5" spans="1:20 16377:16378" ht="34.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4" t="str">
        <f>+'3'!A6:A6</f>
        <v xml:space="preserve">Mart Cash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4" t="str">
        <f>+'4'!A6:A6</f>
        <v>Fine Dedical Store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118">
        <f>M7+N7+O7</f>
        <v>2222.8717328389826</v>
      </c>
      <c r="Q7" s="142"/>
      <c r="R7" s="299">
        <v>5</v>
      </c>
      <c r="S7" s="304" t="str">
        <f>+'5'!A6:A6</f>
        <v>Golden Cash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119">
        <f t="shared" ref="P8:P15" si="2">M8+N8+O8</f>
        <v>2222.8717328389826</v>
      </c>
      <c r="R8" s="299">
        <v>6</v>
      </c>
      <c r="S8" s="304" t="str">
        <f>+'6'!A6:A6</f>
        <v>Fine Dedical Store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4" t="str">
        <f>+'7'!A6:A6</f>
        <v>Fine Dedical Store</v>
      </c>
      <c r="T9" s="300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119">
        <f t="shared" si="2"/>
        <v>3077.8090250847458</v>
      </c>
      <c r="R10" s="299">
        <v>8</v>
      </c>
      <c r="S10" s="304" t="str">
        <f>+'8'!A6:A6</f>
        <v>Fine Dedical Store</v>
      </c>
      <c r="T10" s="300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119">
        <f t="shared" si="2"/>
        <v>3077.8090250847458</v>
      </c>
      <c r="R11" s="299">
        <v>9</v>
      </c>
      <c r="S11" s="304" t="str">
        <f>+'9'!A6:A6</f>
        <v>Fine Dedical Store</v>
      </c>
      <c r="T11" s="300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119">
        <f t="shared" si="2"/>
        <v>3077.8090250847458</v>
      </c>
      <c r="R12" s="299">
        <v>10</v>
      </c>
      <c r="S12" s="304" t="str">
        <f>+'10'!A6:A6</f>
        <v>Fine Dedical Store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4" t="str">
        <f>+'11'!A6:A6</f>
        <v>Fine Dedical Store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4" t="str">
        <f>+'12'!A6:A6</f>
        <v>Pak Madina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4" t="str">
        <f>+'13'!A6:A6</f>
        <v>Fine Dedical Store</v>
      </c>
      <c r="T15" s="300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200</v>
      </c>
      <c r="I16" s="114">
        <f t="shared" si="3"/>
        <v>12913.800000000001</v>
      </c>
      <c r="J16" s="274">
        <f>SUM(J7:J15)</f>
        <v>1291.3799999999999</v>
      </c>
      <c r="K16" s="275">
        <f t="shared" si="3"/>
        <v>451.98300000000006</v>
      </c>
      <c r="L16" s="276">
        <f t="shared" si="3"/>
        <v>0</v>
      </c>
      <c r="M16" s="232">
        <f t="shared" si="3"/>
        <v>11170.437000000002</v>
      </c>
      <c r="N16" s="233">
        <f>SUM(N7:N15)</f>
        <v>2440.6779661016944</v>
      </c>
      <c r="O16" s="101">
        <f>SUM(O7:O15)</f>
        <v>68.055574830508476</v>
      </c>
      <c r="P16" s="234">
        <f>SUM(P7:P15)</f>
        <v>13679.170540932202</v>
      </c>
      <c r="R16" s="299">
        <v>14</v>
      </c>
      <c r="S16" s="304" t="str">
        <f>+'14'!A6:A6</f>
        <v>Fine Dedical Store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4" t="str">
        <f>+'15'!A6:A6</f>
        <v>Fine Dedical Store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4" t="str">
        <f>+'16'!A6:A6</f>
        <v>Fine Dedical Store</v>
      </c>
      <c r="T18" s="300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12913.800000000001</v>
      </c>
      <c r="R19" s="299">
        <v>17</v>
      </c>
      <c r="S19" s="304" t="str">
        <f>+'17'!A6:A6</f>
        <v>Watto Store</v>
      </c>
      <c r="T19" s="300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1291.3799999999999</v>
      </c>
      <c r="R20" s="299">
        <v>18</v>
      </c>
      <c r="S20" s="304" t="str">
        <f>+'18'!A6:A6</f>
        <v>Fine Dedical Store</v>
      </c>
      <c r="T20" s="300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451.98300000000006</v>
      </c>
      <c r="R21" s="299">
        <v>19</v>
      </c>
      <c r="S21" s="304" t="str">
        <f>+'19'!A6:A6</f>
        <v>Fine Dedical Store</v>
      </c>
      <c r="T21" s="300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11170.437000000002</v>
      </c>
      <c r="R22" s="299">
        <v>20</v>
      </c>
      <c r="S22" s="304" t="str">
        <f>+'20'!A6:A6</f>
        <v>Faheem Store</v>
      </c>
      <c r="T22" s="300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4" t="str">
        <f>+'21'!A6:A6</f>
        <v>Fine Dedical Store</v>
      </c>
      <c r="T23" s="300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13611.114966101697</v>
      </c>
      <c r="R24" s="299">
        <v>22</v>
      </c>
      <c r="S24" s="304" t="str">
        <f>+'22'!A6:A6</f>
        <v>Fine Dedical Store</v>
      </c>
      <c r="T24" s="300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68.055574830508476</v>
      </c>
      <c r="R25" s="299">
        <v>23</v>
      </c>
      <c r="S25" s="304" t="str">
        <f>+'23'!A6:A6</f>
        <v>Fine Dedical Store</v>
      </c>
      <c r="T25" s="300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13679.170540932206</v>
      </c>
      <c r="R26" s="299">
        <v>24</v>
      </c>
      <c r="S26" s="304" t="str">
        <f>+'24'!A6:A6</f>
        <v>Fine Dedical Store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4" t="str">
        <f>+'25'!A6:A6</f>
        <v>Fine Dedical Store</v>
      </c>
      <c r="T27" s="300">
        <f>+'25'!P35</f>
        <v>0</v>
      </c>
    </row>
    <row r="28" spans="1:20" ht="21.75" customHeight="1" x14ac:dyDescent="0.35">
      <c r="R28" s="299">
        <v>26</v>
      </c>
      <c r="S28" s="304" t="str">
        <f>+'26'!A6:A6</f>
        <v>Fine Dedical Store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04" t="str">
        <f>+'27'!A6:A6</f>
        <v>Fine Dedical Store</v>
      </c>
      <c r="T29" s="300">
        <f>+'27'!P35</f>
        <v>0</v>
      </c>
    </row>
    <row r="30" spans="1:20" ht="21.75" customHeight="1" x14ac:dyDescent="0.35">
      <c r="R30" s="299">
        <v>28</v>
      </c>
      <c r="S30" s="304" t="str">
        <f>+'28'!A6:A6</f>
        <v>Fine Dedical Store</v>
      </c>
      <c r="T30" s="300">
        <f>+'28'!P35</f>
        <v>0</v>
      </c>
    </row>
    <row r="31" spans="1:20" ht="21.75" customHeight="1" x14ac:dyDescent="0.35">
      <c r="R31" s="299">
        <v>29</v>
      </c>
      <c r="S31" s="304" t="str">
        <f>+'29'!A6:A6</f>
        <v>Fine Dedical Store</v>
      </c>
      <c r="T31" s="300">
        <f>+'29'!P35</f>
        <v>0</v>
      </c>
    </row>
    <row r="32" spans="1:20" ht="21.75" customHeight="1" x14ac:dyDescent="0.35">
      <c r="R32" s="299">
        <v>30</v>
      </c>
      <c r="S32" s="304" t="str">
        <f>+'30'!A6:A6</f>
        <v>Fine Dedical Store</v>
      </c>
      <c r="T32" s="300">
        <f>+'30'!P35</f>
        <v>0</v>
      </c>
    </row>
    <row r="33" spans="2:20" ht="21.75" customHeight="1" thickBot="1" x14ac:dyDescent="0.6">
      <c r="R33" s="301"/>
      <c r="S33" s="305" t="s">
        <v>497</v>
      </c>
      <c r="T33" s="302">
        <f>SUM(T3:T32)</f>
        <v>13679.170540932206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R10" sqref="R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.54296875" customWidth="1"/>
    <col min="14" max="14" width="10.6328125" style="61" customWidth="1"/>
    <col min="15" max="15" width="9.54296875" customWidth="1"/>
    <col min="16" max="16" width="7.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512</v>
      </c>
      <c r="B6" s="384"/>
      <c r="C6" s="384"/>
      <c r="F6" s="85"/>
      <c r="G6" s="86"/>
      <c r="K6" s="379" t="s">
        <v>69</v>
      </c>
      <c r="L6" s="379"/>
      <c r="M6" s="379"/>
      <c r="N6" s="381" t="s">
        <v>506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142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1291.3799999999999</v>
      </c>
      <c r="K25" s="275">
        <f t="shared" si="10"/>
        <v>451.98300000000006</v>
      </c>
      <c r="L25" s="276">
        <f t="shared" si="10"/>
        <v>0</v>
      </c>
      <c r="M25" s="232">
        <f t="shared" si="10"/>
        <v>11170.437000000002</v>
      </c>
      <c r="N25" s="233">
        <f>SUM(N16:N24)</f>
        <v>2440.6779661016944</v>
      </c>
      <c r="O25" s="101">
        <f>SUM(O16:O24)</f>
        <v>68.055574830508476</v>
      </c>
      <c r="P25" s="234">
        <f>SUM(P16:P24)</f>
        <v>13679.170540932202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12913.800000000001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1291.3799999999999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451.98300000000006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11170.437000000002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13611.114966101697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68.05557483050849</v>
      </c>
    </row>
    <row r="35" spans="2:16" ht="15.75" customHeight="1" thickBot="1" x14ac:dyDescent="0.4">
      <c r="N35" s="359" t="s">
        <v>88</v>
      </c>
      <c r="O35" s="360"/>
      <c r="P35" s="297">
        <f>+P33+P34</f>
        <v>13679.170540932206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3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2026-07-24T06:21:46Z</dcterms:modified>
</cp:coreProperties>
</file>