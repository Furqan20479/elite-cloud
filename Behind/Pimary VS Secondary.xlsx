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Behind\"/>
    </mc:Choice>
  </mc:AlternateContent>
  <xr:revisionPtr revIDLastSave="0" documentId="13_ncr:1_{8660585B-A4AC-4E78-A605-643325DFC86A}" xr6:coauthVersionLast="47" xr6:coauthVersionMax="47" xr10:uidLastSave="{00000000-0000-0000-0000-000000000000}"/>
  <bookViews>
    <workbookView xWindow="-110" yWindow="-110" windowWidth="19420" windowHeight="10420" xr2:uid="{B13BB3DE-45F3-4A08-8C5B-C8EF34D5413B}"/>
  </bookViews>
  <sheets>
    <sheet name="July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8" i="1"/>
  <c r="H7" i="1"/>
  <c r="N9" i="1"/>
  <c r="K13" i="1"/>
  <c r="K12" i="1"/>
  <c r="K11" i="1"/>
  <c r="K10" i="1"/>
  <c r="K9" i="1"/>
  <c r="K8" i="1"/>
  <c r="K7" i="1"/>
  <c r="J8" i="1" l="1"/>
  <c r="J9" i="1"/>
  <c r="J10" i="1"/>
  <c r="J11" i="1"/>
  <c r="J12" i="1"/>
  <c r="J13" i="1"/>
  <c r="J7" i="1"/>
  <c r="I15" i="1"/>
  <c r="I14" i="1"/>
  <c r="I9" i="1"/>
  <c r="I12" i="1"/>
  <c r="L9" i="1" l="1"/>
  <c r="L13" i="1"/>
  <c r="N13" i="1" s="1"/>
  <c r="G12" i="1"/>
  <c r="G11" i="1"/>
  <c r="L11" i="1" s="1"/>
  <c r="N11" i="1" s="1"/>
  <c r="G10" i="1"/>
  <c r="L10" i="1" s="1"/>
  <c r="N10" i="1" s="1"/>
  <c r="L8" i="1"/>
  <c r="N8" i="1" s="1"/>
  <c r="L7" i="1"/>
  <c r="N7" i="1" s="1"/>
  <c r="O14" i="1"/>
  <c r="O15" i="1" s="1"/>
  <c r="K14" i="1"/>
  <c r="K15" i="1" s="1"/>
  <c r="M14" i="1"/>
  <c r="M15" i="1" s="1"/>
  <c r="L12" i="1" l="1"/>
  <c r="N12" i="1" s="1"/>
  <c r="H14" i="1"/>
  <c r="H15" i="1" s="1"/>
  <c r="G14" i="1"/>
  <c r="G15" i="1" s="1"/>
  <c r="F14" i="1"/>
  <c r="F15" i="1" s="1"/>
  <c r="J14" i="1" l="1"/>
  <c r="J15" i="1" s="1"/>
  <c r="N14" i="1" l="1"/>
  <c r="N15" i="1" s="1"/>
  <c r="L14" i="1"/>
  <c r="L15" i="1" s="1"/>
</calcChain>
</file>

<file path=xl/sharedStrings.xml><?xml version="1.0" encoding="utf-8"?>
<sst xmlns="http://schemas.openxmlformats.org/spreadsheetml/2006/main" count="27" uniqueCount="26">
  <si>
    <t>PRODUCT</t>
  </si>
  <si>
    <t>GM</t>
  </si>
  <si>
    <t xml:space="preserve">MTD Sale 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</si>
  <si>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</si>
  <si>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</si>
  <si>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</si>
  <si>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</si>
  <si>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</si>
  <si>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</si>
  <si>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</si>
  <si>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Opening</t>
  </si>
  <si>
    <t xml:space="preserve">Expired </t>
  </si>
  <si>
    <t>Diffrence</t>
  </si>
  <si>
    <t>Warehouse InHand</t>
  </si>
  <si>
    <t xml:space="preserve">Primary Stock </t>
  </si>
  <si>
    <t>In Hand</t>
  </si>
  <si>
    <t>Sale MTD</t>
  </si>
  <si>
    <t>EXP</t>
  </si>
  <si>
    <t>Total Pcs</t>
  </si>
  <si>
    <t>Ctn's</t>
  </si>
  <si>
    <t>Stock Expected</t>
  </si>
  <si>
    <t xml:space="preserve">Monthly Sales &amp; Inventory Report </t>
  </si>
  <si>
    <t>Total Primary WH</t>
  </si>
  <si>
    <t>18/7/26</t>
  </si>
  <si>
    <t>30/7/26</t>
  </si>
  <si>
    <t>Till 31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</si>
</sst>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Book Antiqua"/>
      <family val="1"/>
    </font>
    <font>
      <sz val="14"/>
      <color theme="1"/>
      <name val="Book Antiqua"/>
      <family val="1"/>
    </font>
    <font>
      <sz val="11"/>
      <color theme="1"/>
      <name val="Book Antiqua"/>
      <family val="1"/>
    </font>
    <font>
      <b/>
      <sz val="18"/>
      <color theme="1"/>
      <name val="Calibri"/>
      <family val="2"/>
    </font>
    <font>
      <u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97FB-F3E4-4933-BDE3-BEDB17D2ED6F}">
  <dimension ref="C5:O17"/>
  <sheetViews>
    <sheetView tabSelected="1" zoomScale="70" zoomScaleNormal="70" workbookViewId="0">
      <selection activeCell="I3" sqref="I3"/>
    </sheetView>
  </sheetViews>
  <sheetFormatPr defaultRowHeight="14.5" x14ac:dyDescent="0.35"/>
  <cols>
    <col min="4" max="4" width="44.54296875" bestFit="1" customWidth="1"/>
    <col min="5" max="5" width="7.26953125" bestFit="1" customWidth="1"/>
    <col min="6" max="6" width="14.7265625" bestFit="1" customWidth="1"/>
    <col min="7" max="7" width="14.54296875" bestFit="1" customWidth="1"/>
    <col min="8" max="9" width="12.81640625" bestFit="1" customWidth="1"/>
    <col min="10" max="10" width="29.54296875" bestFit="1" customWidth="1"/>
    <col min="11" max="11" width="17.81640625" bestFit="1" customWidth="1"/>
    <col min="12" max="12" width="24.54296875" customWidth="1"/>
    <col min="13" max="13" width="31.453125" bestFit="1" customWidth="1"/>
    <col min="14" max="14" width="15.90625" bestFit="1" customWidth="1"/>
    <col min="15" max="15" width="13.90625" bestFit="1" customWidth="1"/>
  </cols>
  <sheetData>
    <row r="5" spans="3:15" ht="18.5" x14ac:dyDescent="0.35">
      <c r="D5" s="23" t="s">
        <v>21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3:15" ht="30.5" customHeight="1" x14ac:dyDescent="0.55000000000000004">
      <c r="C6" s="9"/>
      <c r="D6" s="17" t="s">
        <v>0</v>
      </c>
      <c r="E6" s="17" t="s">
        <v>1</v>
      </c>
      <c r="F6" s="17" t="s">
        <v>10</v>
      </c>
      <c r="G6" s="18">
        <v>46029</v>
      </c>
      <c r="H6" s="17" t="s">
        <v>23</v>
      </c>
      <c r="I6" s="17" t="s">
        <v>24</v>
      </c>
      <c r="J6" s="17" t="s">
        <v>22</v>
      </c>
      <c r="K6" s="17" t="s">
        <v>2</v>
      </c>
      <c r="L6" s="17" t="s">
        <v>20</v>
      </c>
      <c r="M6" s="17" t="s">
        <v>13</v>
      </c>
      <c r="N6" s="17" t="s">
        <v>12</v>
      </c>
      <c r="O6" s="17" t="s">
        <v>11</v>
      </c>
    </row>
    <row r="7" spans="3:15" ht="23.5" x14ac:dyDescent="0.35">
      <c r="D7" s="10" t="s">
        <v>3</v>
      </c>
      <c r="E7" s="2">
        <v>70</v>
      </c>
      <c r="F7" s="4">
        <v>9586</v>
      </c>
      <c r="G7" s="13"/>
      <c r="H7" s="13">
        <f>300*40</f>
        <v>12000</v>
      </c>
      <c r="I7" s="13"/>
      <c r="J7" s="14">
        <f>F7+G7+H7+I7</f>
        <v>21586</v>
      </c>
      <c r="K7" s="5">
        <f>394.12*40</f>
        <v>15764.8</v>
      </c>
      <c r="L7" s="15">
        <f>J7-K7</f>
        <v>5821.2000000000007</v>
      </c>
      <c r="M7" s="16"/>
      <c r="N7" s="8">
        <f>L7-M7</f>
        <v>5821.2000000000007</v>
      </c>
      <c r="O7" s="7">
        <v>280</v>
      </c>
    </row>
    <row r="8" spans="3:15" ht="23.5" x14ac:dyDescent="0.35">
      <c r="D8" s="10" t="s">
        <v>4</v>
      </c>
      <c r="E8" s="2">
        <v>70</v>
      </c>
      <c r="F8" s="4">
        <v>10668</v>
      </c>
      <c r="G8" s="13"/>
      <c r="H8" s="13">
        <f>200*40</f>
        <v>8000</v>
      </c>
      <c r="I8" s="13"/>
      <c r="J8" s="14">
        <f t="shared" ref="J8:J13" si="0">F8+G8+H8+I8</f>
        <v>18668</v>
      </c>
      <c r="K8" s="5">
        <f>461.6*40</f>
        <v>18464</v>
      </c>
      <c r="L8" s="15">
        <f t="shared" ref="L8:L13" si="1">J8-K8</f>
        <v>204</v>
      </c>
      <c r="M8" s="16"/>
      <c r="N8" s="8">
        <f t="shared" ref="N8:N13" si="2">L8-M8</f>
        <v>204</v>
      </c>
      <c r="O8" s="7">
        <v>226</v>
      </c>
    </row>
    <row r="9" spans="3:15" ht="23.5" x14ac:dyDescent="0.35">
      <c r="D9" s="10" t="s">
        <v>5</v>
      </c>
      <c r="E9" s="2">
        <v>70</v>
      </c>
      <c r="F9" s="4"/>
      <c r="G9" s="13"/>
      <c r="H9" s="13"/>
      <c r="I9" s="13">
        <f>305*40</f>
        <v>12200</v>
      </c>
      <c r="J9" s="14">
        <f t="shared" si="0"/>
        <v>12200</v>
      </c>
      <c r="K9" s="5">
        <f>70*40</f>
        <v>2800</v>
      </c>
      <c r="L9" s="15">
        <f t="shared" si="1"/>
        <v>9400</v>
      </c>
      <c r="M9" s="16"/>
      <c r="N9" s="8">
        <f t="shared" si="2"/>
        <v>9400</v>
      </c>
      <c r="O9" s="7">
        <v>41</v>
      </c>
    </row>
    <row r="10" spans="3:15" ht="23.5" x14ac:dyDescent="0.35">
      <c r="D10" s="10" t="s">
        <v>6</v>
      </c>
      <c r="E10" s="2">
        <v>120</v>
      </c>
      <c r="F10" s="4">
        <v>10905</v>
      </c>
      <c r="G10" s="13">
        <f>750*40</f>
        <v>30000</v>
      </c>
      <c r="H10" s="13"/>
      <c r="I10" s="13">
        <v>2800</v>
      </c>
      <c r="J10" s="14">
        <f t="shared" si="0"/>
        <v>43705</v>
      </c>
      <c r="K10" s="5">
        <f>769.85*40</f>
        <v>30794</v>
      </c>
      <c r="L10" s="15">
        <f t="shared" si="1"/>
        <v>12911</v>
      </c>
      <c r="M10" s="16"/>
      <c r="N10" s="8">
        <f t="shared" si="2"/>
        <v>12911</v>
      </c>
      <c r="O10" s="7">
        <v>64</v>
      </c>
    </row>
    <row r="11" spans="3:15" ht="23.5" x14ac:dyDescent="0.35">
      <c r="D11" s="10" t="s">
        <v>7</v>
      </c>
      <c r="E11" s="2">
        <v>120</v>
      </c>
      <c r="F11" s="4">
        <v>5595</v>
      </c>
      <c r="G11" s="13">
        <f>203*40</f>
        <v>8120</v>
      </c>
      <c r="H11" s="13">
        <f>400*40</f>
        <v>16000</v>
      </c>
      <c r="I11" s="13"/>
      <c r="J11" s="14">
        <f t="shared" si="0"/>
        <v>29715</v>
      </c>
      <c r="K11" s="5">
        <f>634.5*40</f>
        <v>25380</v>
      </c>
      <c r="L11" s="15">
        <f t="shared" si="1"/>
        <v>4335</v>
      </c>
      <c r="M11" s="16"/>
      <c r="N11" s="8">
        <f t="shared" si="2"/>
        <v>4335</v>
      </c>
      <c r="O11" s="7">
        <v>139</v>
      </c>
    </row>
    <row r="12" spans="3:15" ht="23.5" x14ac:dyDescent="0.35">
      <c r="D12" s="10" t="s">
        <v>8</v>
      </c>
      <c r="E12" s="2">
        <v>120</v>
      </c>
      <c r="F12" s="4">
        <v>7110</v>
      </c>
      <c r="G12" s="13">
        <f>1047*40</f>
        <v>41880</v>
      </c>
      <c r="H12" s="13"/>
      <c r="I12" s="13">
        <f>70*40</f>
        <v>2800</v>
      </c>
      <c r="J12" s="14">
        <f t="shared" si="0"/>
        <v>51790</v>
      </c>
      <c r="K12" s="5">
        <f>913.5*40</f>
        <v>36540</v>
      </c>
      <c r="L12" s="15">
        <f t="shared" si="1"/>
        <v>15250</v>
      </c>
      <c r="M12" s="16"/>
      <c r="N12" s="8">
        <f t="shared" si="2"/>
        <v>15250</v>
      </c>
      <c r="O12" s="7">
        <v>18</v>
      </c>
    </row>
    <row r="13" spans="3:15" ht="23.5" x14ac:dyDescent="0.35">
      <c r="D13" s="10" t="s">
        <v>9</v>
      </c>
      <c r="E13" s="2">
        <v>60</v>
      </c>
      <c r="F13" s="4">
        <v>66124</v>
      </c>
      <c r="G13" s="13"/>
      <c r="H13" s="13"/>
      <c r="I13" s="13"/>
      <c r="J13" s="14">
        <f t="shared" si="0"/>
        <v>66124</v>
      </c>
      <c r="K13" s="5">
        <f>801.7*40</f>
        <v>32068</v>
      </c>
      <c r="L13" s="15">
        <f t="shared" si="1"/>
        <v>34056</v>
      </c>
      <c r="M13" s="16"/>
      <c r="N13" s="8">
        <f t="shared" si="2"/>
        <v>34056</v>
      </c>
      <c r="O13" s="7">
        <v>23</v>
      </c>
    </row>
    <row r="14" spans="3:15" ht="29.5" customHeight="1" x14ac:dyDescent="0.35">
      <c r="D14" s="10" t="s">
        <v>18</v>
      </c>
      <c r="E14" s="11"/>
      <c r="F14" s="3">
        <f>SUM(F7:F13)</f>
        <v>109988</v>
      </c>
      <c r="G14" s="6">
        <f>SUM(G7:G13)</f>
        <v>80000</v>
      </c>
      <c r="H14" s="6">
        <f t="shared" ref="H14:O14" si="3">SUM(H7:H13)</f>
        <v>36000</v>
      </c>
      <c r="I14" s="6">
        <f t="shared" si="3"/>
        <v>17800</v>
      </c>
      <c r="J14" s="6">
        <f t="shared" si="3"/>
        <v>243788</v>
      </c>
      <c r="K14" s="6">
        <f t="shared" si="3"/>
        <v>161810.79999999999</v>
      </c>
      <c r="L14" s="6">
        <f t="shared" si="3"/>
        <v>81977.2</v>
      </c>
      <c r="M14" s="6">
        <f t="shared" si="3"/>
        <v>0</v>
      </c>
      <c r="N14" s="6">
        <f t="shared" si="3"/>
        <v>81977.2</v>
      </c>
      <c r="O14" s="6">
        <f t="shared" si="3"/>
        <v>791</v>
      </c>
    </row>
    <row r="15" spans="3:15" ht="23" x14ac:dyDescent="0.35">
      <c r="D15" s="10" t="s">
        <v>19</v>
      </c>
      <c r="E15" s="11"/>
      <c r="F15" s="12">
        <f>F14/40</f>
        <v>2749.7</v>
      </c>
      <c r="G15" s="12">
        <f t="shared" ref="G15:O15" si="4">G14/40</f>
        <v>2000</v>
      </c>
      <c r="H15" s="12">
        <f t="shared" si="4"/>
        <v>900</v>
      </c>
      <c r="I15" s="12">
        <f t="shared" si="4"/>
        <v>445</v>
      </c>
      <c r="J15" s="12">
        <f t="shared" si="4"/>
        <v>6094.7</v>
      </c>
      <c r="K15" s="12">
        <f t="shared" si="4"/>
        <v>4045.2699999999995</v>
      </c>
      <c r="L15" s="12">
        <f t="shared" si="4"/>
        <v>2049.4299999999998</v>
      </c>
      <c r="M15" s="12">
        <f t="shared" si="4"/>
        <v>0</v>
      </c>
      <c r="N15" s="12">
        <f t="shared" si="4"/>
        <v>2049.4299999999998</v>
      </c>
      <c r="O15" s="12">
        <f t="shared" si="4"/>
        <v>19.774999999999999</v>
      </c>
    </row>
    <row r="16" spans="3:15" ht="30.5" customHeight="1" x14ac:dyDescent="0.35">
      <c r="D16" s="19" t="s">
        <v>25</v>
      </c>
      <c r="E16" s="20"/>
      <c r="F16" s="24" t="s">
        <v>14</v>
      </c>
      <c r="G16" s="24"/>
      <c r="H16" s="24"/>
      <c r="I16" s="24"/>
      <c r="J16" s="24"/>
      <c r="K16" s="21" t="s">
        <v>16</v>
      </c>
      <c r="L16" s="25" t="s">
        <v>15</v>
      </c>
      <c r="M16" s="25"/>
      <c r="N16" s="8" t="s">
        <v>12</v>
      </c>
      <c r="O16" s="22" t="s">
        <v>17</v>
      </c>
    </row>
    <row r="17" spans="11:11" x14ac:dyDescent="0.35">
      <c r="K17" s="1"/>
    </row>
  </sheetData>
  <mergeCells count="3">
    <mergeCell ref="D5:O5"/>
    <mergeCell ref="F16:J16"/>
    <mergeCell ref="L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2026-07-22T08:22:54Z</dcterms:created>
  <dcterms:modified xsi:type="dcterms:W3CDTF">2026-08-04T12:54:33Z</dcterms:modified>
</cp:coreProperties>
</file>