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139ADF16-FA23-48D8-82CA-ED96BFF04D59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C24" i="33"/>
  <c r="B24" i="33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I19" i="33" s="1"/>
  <c r="B19" i="33"/>
  <c r="C19" i="33" s="1"/>
  <c r="F18" i="33"/>
  <c r="E18" i="33"/>
  <c r="D18" i="33"/>
  <c r="I18" i="33" s="1"/>
  <c r="K18" i="33" s="1"/>
  <c r="B18" i="33"/>
  <c r="C18" i="33" s="1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C12" i="28"/>
  <c r="C11" i="28"/>
  <c r="N4" i="28"/>
  <c r="N5" i="28" s="1"/>
  <c r="I24" i="35" l="1"/>
  <c r="I22" i="32"/>
  <c r="I23" i="32"/>
  <c r="I17" i="33"/>
  <c r="I22" i="33"/>
  <c r="I23" i="33"/>
  <c r="I20" i="31"/>
  <c r="I21" i="31"/>
  <c r="I22" i="31"/>
  <c r="I23" i="31"/>
  <c r="I24" i="31"/>
  <c r="I16" i="34"/>
  <c r="I17" i="34"/>
  <c r="I18" i="34"/>
  <c r="I19" i="34"/>
  <c r="I20" i="34"/>
  <c r="I21" i="34"/>
  <c r="I22" i="34"/>
  <c r="I23" i="34"/>
  <c r="I24" i="34"/>
  <c r="K17" i="33"/>
  <c r="L17" i="33"/>
  <c r="I16" i="31"/>
  <c r="K16" i="31" s="1"/>
  <c r="I24" i="32"/>
  <c r="K24" i="32" s="1"/>
  <c r="L18" i="33"/>
  <c r="I24" i="33"/>
  <c r="I16" i="32"/>
  <c r="I17" i="32"/>
  <c r="L17" i="32" s="1"/>
  <c r="I18" i="32"/>
  <c r="I19" i="32"/>
  <c r="I20" i="32"/>
  <c r="K20" i="32" s="1"/>
  <c r="I21" i="32"/>
  <c r="L21" i="32" s="1"/>
  <c r="I21" i="33"/>
  <c r="I25" i="33" s="1"/>
  <c r="P28" i="33" s="1"/>
  <c r="I16" i="28"/>
  <c r="K16" i="28" s="1"/>
  <c r="I17" i="28"/>
  <c r="L17" i="28" s="1"/>
  <c r="I18" i="28"/>
  <c r="I19" i="28"/>
  <c r="I20" i="28"/>
  <c r="L20" i="28" s="1"/>
  <c r="I21" i="28"/>
  <c r="K21" i="28" s="1"/>
  <c r="I22" i="28"/>
  <c r="I23" i="28"/>
  <c r="I24" i="28"/>
  <c r="I16" i="30"/>
  <c r="L16" i="30" s="1"/>
  <c r="I17" i="30"/>
  <c r="I18" i="30"/>
  <c r="I19" i="30"/>
  <c r="L19" i="30" s="1"/>
  <c r="I20" i="30"/>
  <c r="L20" i="30" s="1"/>
  <c r="I21" i="30"/>
  <c r="I22" i="30"/>
  <c r="I23" i="30"/>
  <c r="L23" i="30" s="1"/>
  <c r="I24" i="30"/>
  <c r="K24" i="30" s="1"/>
  <c r="L16" i="33"/>
  <c r="I25" i="35"/>
  <c r="P28" i="35" s="1"/>
  <c r="K16" i="35"/>
  <c r="L16" i="35"/>
  <c r="K17" i="35"/>
  <c r="L17" i="35"/>
  <c r="M17" i="35" s="1"/>
  <c r="K18" i="35"/>
  <c r="L18" i="35"/>
  <c r="K19" i="35"/>
  <c r="L19" i="35"/>
  <c r="M19" i="35" s="1"/>
  <c r="K20" i="35"/>
  <c r="L20" i="35"/>
  <c r="K21" i="35"/>
  <c r="M21" i="35"/>
  <c r="L21" i="35"/>
  <c r="K22" i="35"/>
  <c r="L22" i="35"/>
  <c r="M22" i="35"/>
  <c r="K23" i="35"/>
  <c r="M23" i="35" s="1"/>
  <c r="L23" i="35"/>
  <c r="K24" i="35"/>
  <c r="M24" i="35" s="1"/>
  <c r="L24" i="35"/>
  <c r="I25" i="34"/>
  <c r="P28" i="34" s="1"/>
  <c r="K16" i="34"/>
  <c r="L16" i="34"/>
  <c r="K17" i="34"/>
  <c r="L17" i="34"/>
  <c r="K18" i="34"/>
  <c r="L18" i="34"/>
  <c r="K19" i="34"/>
  <c r="L19" i="34"/>
  <c r="K20" i="34"/>
  <c r="L20" i="34"/>
  <c r="K21" i="34"/>
  <c r="M21" i="34" s="1"/>
  <c r="L21" i="34"/>
  <c r="K22" i="34"/>
  <c r="L22" i="34"/>
  <c r="K23" i="34"/>
  <c r="M23" i="34" s="1"/>
  <c r="L23" i="34"/>
  <c r="K24" i="34"/>
  <c r="L24" i="34"/>
  <c r="M24" i="34" s="1"/>
  <c r="K21" i="33"/>
  <c r="M21" i="33" s="1"/>
  <c r="L21" i="33"/>
  <c r="K22" i="33"/>
  <c r="M22" i="33" s="1"/>
  <c r="L22" i="33"/>
  <c r="K19" i="33"/>
  <c r="L19" i="33"/>
  <c r="K23" i="33"/>
  <c r="L23" i="33"/>
  <c r="K20" i="33"/>
  <c r="L20" i="33"/>
  <c r="M20" i="33" s="1"/>
  <c r="K24" i="33"/>
  <c r="M24" i="33" s="1"/>
  <c r="L24" i="33"/>
  <c r="M17" i="33"/>
  <c r="M18" i="33"/>
  <c r="K16" i="33"/>
  <c r="L24" i="32"/>
  <c r="L16" i="32"/>
  <c r="K17" i="32"/>
  <c r="K18" i="32"/>
  <c r="L18" i="32"/>
  <c r="K19" i="32"/>
  <c r="L19" i="32"/>
  <c r="L20" i="32"/>
  <c r="K21" i="32"/>
  <c r="K23" i="32"/>
  <c r="L23" i="32"/>
  <c r="K22" i="32"/>
  <c r="M22" i="32" s="1"/>
  <c r="L22" i="32"/>
  <c r="K17" i="31"/>
  <c r="M17" i="31" s="1"/>
  <c r="L17" i="31"/>
  <c r="K19" i="31"/>
  <c r="M19" i="31" s="1"/>
  <c r="L19" i="31"/>
  <c r="K21" i="31"/>
  <c r="L21" i="31"/>
  <c r="K22" i="31"/>
  <c r="M22" i="31" s="1"/>
  <c r="L22" i="31"/>
  <c r="K24" i="31"/>
  <c r="L24" i="31"/>
  <c r="I25" i="31"/>
  <c r="P28" i="31" s="1"/>
  <c r="K18" i="31"/>
  <c r="L18" i="31"/>
  <c r="K20" i="31"/>
  <c r="L20" i="31"/>
  <c r="K23" i="31"/>
  <c r="L23" i="31"/>
  <c r="K18" i="30"/>
  <c r="L18" i="30"/>
  <c r="K20" i="30"/>
  <c r="K21" i="30"/>
  <c r="L21" i="30"/>
  <c r="M21" i="30" s="1"/>
  <c r="K23" i="30"/>
  <c r="K16" i="30"/>
  <c r="K17" i="30"/>
  <c r="L17" i="30"/>
  <c r="K19" i="30"/>
  <c r="K22" i="30"/>
  <c r="L22" i="30"/>
  <c r="M22" i="30" s="1"/>
  <c r="I25" i="29"/>
  <c r="P28" i="29" s="1"/>
  <c r="K16" i="29"/>
  <c r="L16" i="29"/>
  <c r="K19" i="29"/>
  <c r="L19" i="29"/>
  <c r="M19" i="29" s="1"/>
  <c r="K21" i="29"/>
  <c r="L21" i="29"/>
  <c r="K24" i="29"/>
  <c r="M24" i="29"/>
  <c r="L24" i="29"/>
  <c r="K17" i="29"/>
  <c r="L17" i="29"/>
  <c r="K20" i="29"/>
  <c r="L20" i="29"/>
  <c r="K22" i="29"/>
  <c r="L22" i="29"/>
  <c r="K18" i="29"/>
  <c r="M18" i="29" s="1"/>
  <c r="L18" i="29"/>
  <c r="K23" i="29"/>
  <c r="L23" i="29"/>
  <c r="I25" i="28"/>
  <c r="P28" i="28" s="1"/>
  <c r="K18" i="28"/>
  <c r="M18" i="28" s="1"/>
  <c r="L18" i="28"/>
  <c r="K19" i="28"/>
  <c r="L19" i="28"/>
  <c r="K20" i="28"/>
  <c r="L21" i="28"/>
  <c r="K22" i="28"/>
  <c r="L22" i="28"/>
  <c r="K23" i="28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3" i="31" l="1"/>
  <c r="M21" i="31"/>
  <c r="M18" i="34"/>
  <c r="M19" i="32"/>
  <c r="M22" i="28"/>
  <c r="L25" i="33"/>
  <c r="P29" i="33" s="1"/>
  <c r="M16" i="34"/>
  <c r="M23" i="28"/>
  <c r="M20" i="31"/>
  <c r="M24" i="31"/>
  <c r="M18" i="32"/>
  <c r="M19" i="34"/>
  <c r="M24" i="32"/>
  <c r="M16" i="29"/>
  <c r="M18" i="31"/>
  <c r="M20" i="32"/>
  <c r="I25" i="32"/>
  <c r="P28" i="32" s="1"/>
  <c r="M19" i="28"/>
  <c r="M23" i="32"/>
  <c r="M20" i="34"/>
  <c r="M19" i="30"/>
  <c r="M20" i="30"/>
  <c r="N20" i="30" s="1"/>
  <c r="O20" i="30" s="1"/>
  <c r="M17" i="32"/>
  <c r="N17" i="32" s="1"/>
  <c r="M20" i="28"/>
  <c r="M21" i="32"/>
  <c r="M24" i="28"/>
  <c r="N24" i="28" s="1"/>
  <c r="O24" i="28" s="1"/>
  <c r="M21" i="28"/>
  <c r="K17" i="28"/>
  <c r="M17" i="28" s="1"/>
  <c r="M24" i="30"/>
  <c r="I25" i="30"/>
  <c r="P28" i="30" s="1"/>
  <c r="M19" i="33"/>
  <c r="L16" i="28"/>
  <c r="M23" i="29"/>
  <c r="M22" i="29"/>
  <c r="N22" i="29" s="1"/>
  <c r="O22" i="29" s="1"/>
  <c r="M17" i="29"/>
  <c r="L24" i="30"/>
  <c r="L25" i="30" s="1"/>
  <c r="P29" i="30" s="1"/>
  <c r="M17" i="30"/>
  <c r="M23" i="30"/>
  <c r="M18" i="30"/>
  <c r="L16" i="31"/>
  <c r="L25" i="31" s="1"/>
  <c r="P29" i="31" s="1"/>
  <c r="K16" i="32"/>
  <c r="M16" i="32" s="1"/>
  <c r="K25" i="33"/>
  <c r="P30" i="33" s="1"/>
  <c r="P31" i="33" s="1"/>
  <c r="M22" i="34"/>
  <c r="M17" i="34"/>
  <c r="M16" i="30"/>
  <c r="M20" i="29"/>
  <c r="N20" i="29" s="1"/>
  <c r="O20" i="29" s="1"/>
  <c r="M21" i="29"/>
  <c r="M23" i="33"/>
  <c r="M20" i="35"/>
  <c r="N20" i="35" s="1"/>
  <c r="O20" i="35" s="1"/>
  <c r="P20" i="35" s="1"/>
  <c r="M18" i="35"/>
  <c r="N18" i="35" s="1"/>
  <c r="O18" i="35" s="1"/>
  <c r="N24" i="35"/>
  <c r="O24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17" i="34"/>
  <c r="O17" i="34" s="1"/>
  <c r="N24" i="34"/>
  <c r="O24" i="34" s="1"/>
  <c r="N18" i="34"/>
  <c r="O18" i="34" s="1"/>
  <c r="P18" i="34" s="1"/>
  <c r="N21" i="34"/>
  <c r="O21" i="34" s="1"/>
  <c r="L25" i="34"/>
  <c r="P29" i="34" s="1"/>
  <c r="P31" i="34" s="1"/>
  <c r="K25" i="34"/>
  <c r="P30" i="34" s="1"/>
  <c r="N23" i="34"/>
  <c r="O23" i="34" s="1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23" i="32"/>
  <c r="O23" i="32" s="1"/>
  <c r="P23" i="32"/>
  <c r="N18" i="32"/>
  <c r="O18" i="32" s="1"/>
  <c r="N24" i="32"/>
  <c r="O24" i="32" s="1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P21" i="31" s="1"/>
  <c r="N18" i="31"/>
  <c r="O18" i="31" s="1"/>
  <c r="N20" i="31"/>
  <c r="O20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P31" i="31" s="1"/>
  <c r="N22" i="31"/>
  <c r="O22" i="31" s="1"/>
  <c r="N19" i="30"/>
  <c r="O19" i="30" s="1"/>
  <c r="P19" i="30" s="1"/>
  <c r="N16" i="30"/>
  <c r="N21" i="30"/>
  <c r="O21" i="30" s="1"/>
  <c r="N17" i="30"/>
  <c r="O17" i="30" s="1"/>
  <c r="N18" i="30"/>
  <c r="O18" i="30" s="1"/>
  <c r="K25" i="30"/>
  <c r="P30" i="30" s="1"/>
  <c r="N24" i="30"/>
  <c r="O24" i="30" s="1"/>
  <c r="N22" i="30"/>
  <c r="O22" i="30" s="1"/>
  <c r="N23" i="30"/>
  <c r="O23" i="30" s="1"/>
  <c r="N21" i="29"/>
  <c r="O21" i="29" s="1"/>
  <c r="N23" i="29"/>
  <c r="O23" i="29" s="1"/>
  <c r="N17" i="29"/>
  <c r="O17" i="29" s="1"/>
  <c r="P17" i="29"/>
  <c r="N16" i="29"/>
  <c r="N18" i="29"/>
  <c r="O18" i="29" s="1"/>
  <c r="N19" i="29"/>
  <c r="O19" i="29" s="1"/>
  <c r="N24" i="29"/>
  <c r="O24" i="29" s="1"/>
  <c r="L25" i="29"/>
  <c r="P29" i="29" s="1"/>
  <c r="K25" i="29"/>
  <c r="P30" i="29" s="1"/>
  <c r="N20" i="28"/>
  <c r="O20" i="28" s="1"/>
  <c r="N22" i="28"/>
  <c r="O22" i="28" s="1"/>
  <c r="P22" i="28" s="1"/>
  <c r="K25" i="28"/>
  <c r="P30" i="28" s="1"/>
  <c r="N23" i="28"/>
  <c r="O23" i="28" s="1"/>
  <c r="N19" i="28"/>
  <c r="O19" i="28" s="1"/>
  <c r="L25" i="28"/>
  <c r="P29" i="28" s="1"/>
  <c r="M16" i="28"/>
  <c r="N21" i="28"/>
  <c r="O21" i="28" s="1"/>
  <c r="N18" i="28"/>
  <c r="O18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P18" i="29" l="1"/>
  <c r="P18" i="31"/>
  <c r="P22" i="32"/>
  <c r="P20" i="34"/>
  <c r="P24" i="35"/>
  <c r="P18" i="28"/>
  <c r="P22" i="35"/>
  <c r="M25" i="30"/>
  <c r="P24" i="30"/>
  <c r="P31" i="28"/>
  <c r="P20" i="28"/>
  <c r="P24" i="29"/>
  <c r="P22" i="30"/>
  <c r="P24" i="31"/>
  <c r="P31" i="35"/>
  <c r="P21" i="29"/>
  <c r="P17" i="31"/>
  <c r="P24" i="34"/>
  <c r="O17" i="32"/>
  <c r="P17" i="32" s="1"/>
  <c r="P31" i="29"/>
  <c r="M25" i="29"/>
  <c r="P31" i="30"/>
  <c r="M17" i="26"/>
  <c r="M23" i="27"/>
  <c r="P24" i="28"/>
  <c r="P21" i="30"/>
  <c r="P23" i="31"/>
  <c r="P20" i="31"/>
  <c r="M25" i="32"/>
  <c r="M24" i="26"/>
  <c r="P23" i="28"/>
  <c r="P18" i="30"/>
  <c r="P22" i="31"/>
  <c r="P31" i="32"/>
  <c r="P24" i="32"/>
  <c r="P23" i="34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H25" i="25"/>
  <c r="G25" i="25"/>
  <c r="F24" i="25"/>
  <c r="E24" i="25"/>
  <c r="D24" i="25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16" i="32"/>
  <c r="I16" i="22"/>
  <c r="I17" i="22"/>
  <c r="I18" i="22"/>
  <c r="I19" i="22"/>
  <c r="I20" i="22"/>
  <c r="I21" i="22"/>
  <c r="I22" i="22"/>
  <c r="I24" i="25"/>
  <c r="P25" i="32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17" i="24"/>
  <c r="K23" i="24"/>
  <c r="L21" i="21"/>
  <c r="M21" i="21" s="1"/>
  <c r="N21" i="21" s="1"/>
  <c r="K18" i="19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K19" i="24"/>
  <c r="L24" i="21"/>
  <c r="M24" i="21" s="1"/>
  <c r="N24" i="21" s="1"/>
  <c r="O24" i="21" s="1"/>
  <c r="P24" i="21" s="1"/>
  <c r="L17" i="20"/>
  <c r="K17" i="19"/>
  <c r="L16" i="17"/>
  <c r="M16" i="17" s="1"/>
  <c r="K20" i="18"/>
  <c r="M20" i="18" s="1"/>
  <c r="L17" i="17"/>
  <c r="L19" i="20"/>
  <c r="K16" i="23"/>
  <c r="M16" i="23" s="1"/>
  <c r="N16" i="23" s="1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N21" i="24" s="1"/>
  <c r="O21" i="24" s="1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17" i="24"/>
  <c r="O17" i="24" s="1"/>
  <c r="N18" i="24"/>
  <c r="O18" i="24" s="1"/>
  <c r="N16" i="24"/>
  <c r="K25" i="24"/>
  <c r="P30" i="24" s="1"/>
  <c r="N24" i="22"/>
  <c r="O24" i="22" s="1"/>
  <c r="P24" i="22" s="1"/>
  <c r="N18" i="22"/>
  <c r="O18" i="22" s="1"/>
  <c r="L25" i="22"/>
  <c r="P29" i="22" s="1"/>
  <c r="M16" i="22"/>
  <c r="N16" i="21"/>
  <c r="M19" i="20"/>
  <c r="N19" i="20" s="1"/>
  <c r="O19" i="20" s="1"/>
  <c r="M17" i="19"/>
  <c r="N17" i="19" s="1"/>
  <c r="O17" i="19" s="1"/>
  <c r="M21" i="19"/>
  <c r="N23" i="19"/>
  <c r="O23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L25" i="24" l="1"/>
  <c r="P29" i="24" s="1"/>
  <c r="L21" i="15"/>
  <c r="M24" i="24"/>
  <c r="N24" i="24" s="1"/>
  <c r="O24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M25" i="19" l="1"/>
  <c r="M24" i="16"/>
  <c r="N24" i="16" s="1"/>
  <c r="M17" i="15"/>
  <c r="M22" i="16"/>
  <c r="N22" i="16" s="1"/>
  <c r="N22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<sst xmlns="http://schemas.openxmlformats.org/spreadsheetml/2006/main" count="1599" uniqueCount="129">
  <si>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</si>
  <si>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</si>
  <si>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</si>
  <si>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</si>
  <si>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</si>
  <si>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</si>
  <si>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</si>
  <si>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</si>
  <si>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</si>
  <si>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</si>
  <si>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</si>
  <si>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</si>
  <si>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</si>
  <si>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</si>
  <si>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</si>
  <si>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</si>
  <si>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</si>
  <si>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</si>
  <si>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</si>
  <si>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</si>
  <si>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</si>
  <si>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</si>
  <si>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</si>
  <si>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</si>
  <si>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</si>
  <si>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</si>
  <si>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</si>
  <si>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</si>
  <si>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</si>
  <si>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</si>
  <si>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</si>
  <si>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</si>
  <si>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</si>
  <si>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</si>
  <si>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</si>
  <si>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</si>
  <si>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</si>
  <si>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</si>
  <si>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</si>
  <si>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</si>
  <si>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</si>
  <si>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</si>
  <si>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</si>
  <si>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</si>
  <si>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</si>
  <si>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</si>
  <si>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</si>
  <si>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</si>
  <si>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</si>
  <si>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</si>
  <si>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</si>
  <si>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</si>
  <si>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</si>
  <si>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</si>
  <si>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</si>
  <si>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</si>
  <si>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</si>
  <si>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</si>
  <si>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</si>
  <si>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</si>
  <si>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</si>
  <si>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</si>
  <si>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</si>
  <si>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</si>
  <si>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</si>
  <si>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</si>
  <si>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</si>
  <si>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</si>
  <si>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</si>
  <si>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</si>
  <si>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</si>
  <si>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</si>
  <si>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</si>
  <si>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</si>
  <si>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</si>
  <si>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</si>
  <si>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</si>
  <si>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</si>
  <si>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</si>
  <si>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</si>
  <si>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</si>
  <si>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</si>
  <si>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</si>
  <si>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</si>
  <si>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</si>
  <si>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</si>
  <si>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</si>
  <si>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</si>
  <si>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</si>
  <si>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</si>
  <si>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</si>
  <si>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</si>
  <si>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</si>
  <si>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</si>
  <si>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</si>
  <si>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</si>
  <si>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</si>
  <si>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</si>
  <si>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</si>
  <si>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</si>
  <si>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</si>
  <si>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</si>
  <si>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</si>
  <si>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</si>
  <si>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</si>
  <si>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</si>
  <si>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Address: Gawal Mandi</t>
  </si>
  <si>
    <t>Customer Name : Rehman Store</t>
  </si>
  <si>
    <t>Customer Name : Tuqeer Store</t>
  </si>
  <si>
    <t>Customer Name : Awan General Store</t>
  </si>
  <si>
    <t xml:space="preserve">Address: Lawrence Road </t>
  </si>
  <si>
    <t>G0858352</t>
  </si>
  <si>
    <t>Customer Name : Chaudhry G Store</t>
  </si>
  <si>
    <t>Address:  Lawrence Road</t>
  </si>
  <si>
    <t>Customer Name : Sohna Department Store</t>
  </si>
  <si>
    <t xml:space="preserve">Address:  Mason Road </t>
  </si>
  <si>
    <t>Customer Name : Shahid G Store</t>
  </si>
  <si>
    <t xml:space="preserve">Address: Temple Road </t>
  </si>
  <si>
    <t>Customer Name : Madina Store</t>
  </si>
  <si>
    <t xml:space="preserve">Address: Temple road chiragh din Road </t>
  </si>
  <si>
    <t>6399787-4</t>
  </si>
  <si>
    <t>Customer Name : Hashim Mart</t>
  </si>
  <si>
    <t>Address: Shamas Colony</t>
  </si>
  <si>
    <t>Customer Name :Shell Petrol Mart</t>
  </si>
  <si>
    <t>Address: China Chowk</t>
  </si>
  <si>
    <t xml:space="preserve">Customer Name : Shell Petrol Mart </t>
  </si>
  <si>
    <t xml:space="preserve">Address: Toilenten Market </t>
  </si>
  <si>
    <t>Shop Bill Summary (Furqan)</t>
  </si>
  <si>
    <t xml:space="preserve">Furqan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</si>
</sst>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3" fontId="14" fillId="4" borderId="1" xfId="0" applyNumberFormat="1" applyFont="1" applyFill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4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128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127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Awan General Store</v>
      </c>
      <c r="U14" s="164">
        <f>+'1'!P35</f>
        <v>880.2282249000001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Chaudhry G Store</v>
      </c>
      <c r="U15" s="164">
        <f>+'2'!P35</f>
        <v>1041.9731226000001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257">
        <f>+'1'!H16+'2'!H16+'4'!H16+'3'!H16+'5'!H16+'6'!H16+'7'!H16+'8'!H16+'9'!H16+'10'!H16+'11'!H16+'12'!H16</f>
        <v>55</v>
      </c>
      <c r="I16" s="1">
        <f>(G16*D16)*F16+H16*F16</f>
        <v>2885.4375</v>
      </c>
      <c r="J16" s="257">
        <f>+'1'!J16+'2'!J16+'4'!J16+'3'!J16+'5'!J16+'6'!J16+'7'!J16+'8'!J16+'9'!J16+'10'!J16+'11'!J16+'12'!J16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230.83499999999998</v>
      </c>
      <c r="M16" s="106">
        <f>I16-K16-L16</f>
        <v>2654.6025</v>
      </c>
      <c r="N16" s="101">
        <f>+'1'!N16+'2'!N16+'4'!N16+'3'!N16+'5'!N16+'6'!N16+'7'!N16+'8'!N16+'9'!N16+'10'!N16</f>
        <v>607.09604999999999</v>
      </c>
      <c r="O16" s="101">
        <f>+'1'!O16+'2'!O16+'4'!O16+'3'!O16+'5'!O16+'6'!O16+'7'!O16+'8'!O16+'9'!O16+'10'!O16</f>
        <v>81.542463749999996</v>
      </c>
      <c r="P16" s="105">
        <f t="shared" ref="P16:P24" si="0">M16+N16+O16</f>
        <v>3343.2410137500001</v>
      </c>
      <c r="Q16" s="108"/>
      <c r="T16" s="163" t="str">
        <f>+'4'!A5</f>
        <v>Customer Name : Shahid G Store</v>
      </c>
      <c r="U16" s="164">
        <f>+'4'!P35</f>
        <v>3375.5372160000002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257">
        <f>+'1'!H17+'2'!H17+'4'!H17+'3'!H17+'5'!H17+'6'!H17+'7'!H17+'8'!H17+'9'!H17+'10'!H17+'11'!H17+'12'!H17</f>
        <v>55</v>
      </c>
      <c r="I17" s="1">
        <f t="shared" ref="I17:I23" si="1">(G17*D17)*F17+H17*F17</f>
        <v>2885.4375</v>
      </c>
      <c r="J17" s="257">
        <f>+'1'!J17+'2'!J17+'4'!J17+'3'!J17+'5'!J17+'6'!J17+'7'!J17+'8'!J17+'9'!J17+'10'!J17+'11'!J17+'12'!J17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230.83499999999998</v>
      </c>
      <c r="M17" s="118">
        <f t="shared" ref="M17:M23" si="2">I17-K17-L17</f>
        <v>2654.6025</v>
      </c>
      <c r="N17" s="101">
        <f>+'1'!N17+'2'!N17+'4'!N17+'3'!N17+'5'!N17+'6'!N17+'7'!N17+'8'!N17+'9'!N17+'10'!N17</f>
        <v>630.17955000000006</v>
      </c>
      <c r="O17" s="101">
        <f>+'1'!O17+'2'!O17+'4'!O17+'3'!O17+'5'!O17+'6'!O17+'7'!O17+'8'!O17+'9'!O17+'10'!O17</f>
        <v>82.119551250000001</v>
      </c>
      <c r="P17" s="120">
        <f t="shared" si="0"/>
        <v>3366.9016012499997</v>
      </c>
      <c r="S17" s="64"/>
      <c r="T17" s="163" t="str">
        <f>+'3'!A5</f>
        <v>Customer Name : Sohna Department Store</v>
      </c>
      <c r="U17" s="164">
        <f>+'3'!P35</f>
        <v>3335.6461020000006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257">
        <f>+'1'!H18+'2'!H18+'4'!H18+'3'!H18+'5'!H18+'6'!H18+'7'!H18+'8'!H18+'9'!H18+'10'!H18+'11'!H18+'12'!H18</f>
        <v>10</v>
      </c>
      <c r="I18" s="1">
        <f t="shared" si="1"/>
        <v>524.625</v>
      </c>
      <c r="J18" s="257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41.97</v>
      </c>
      <c r="M18" s="118">
        <f t="shared" si="2"/>
        <v>482.65499999999997</v>
      </c>
      <c r="N18" s="101">
        <f>+'1'!N18+'2'!N18+'4'!N18+'3'!N18+'5'!N18+'6'!N18+'7'!N18+'8'!N18+'9'!N18+'10'!N18</f>
        <v>106.1841</v>
      </c>
      <c r="O18" s="101">
        <f>+'1'!O18+'2'!O18+'4'!O18+'3'!O18+'5'!O18+'6'!O18+'7'!O18+'8'!O18+'9'!O18+'10'!O18</f>
        <v>14.720977499999998</v>
      </c>
      <c r="P18" s="120">
        <f t="shared" si="0"/>
        <v>603.56007749999992</v>
      </c>
      <c r="T18" s="163" t="str">
        <f>+'5'!A5</f>
        <v>Customer Name : Madina Store</v>
      </c>
      <c r="U18" s="164">
        <f>+'5'!P35</f>
        <v>3309.6730752000003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257">
        <f>+'1'!H19+'2'!H19+'4'!H19+'3'!H19+'5'!H19+'6'!H19+'7'!H19+'8'!H19+'9'!H19+'10'!H19+'11'!H19+'12'!H19</f>
        <v>90</v>
      </c>
      <c r="I19" s="1">
        <f t="shared" si="1"/>
        <v>6537.6</v>
      </c>
      <c r="J19" s="257">
        <f>+'1'!J19+'2'!J19+'4'!J19+'3'!J19+'5'!J19+'6'!J19+'7'!J19+'8'!J19+'9'!J19+'10'!J19+'11'!J19+'12'!J19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523.00800000000004</v>
      </c>
      <c r="M19" s="118">
        <f t="shared" si="2"/>
        <v>6014.5920000000006</v>
      </c>
      <c r="N19" s="101">
        <f>+'1'!N19+'2'!N19+'4'!N19+'3'!N19+'5'!N19+'6'!N19+'7'!N19+'8'!N19+'9'!N19+'10'!N19</f>
        <v>1371.1526399999998</v>
      </c>
      <c r="O19" s="101">
        <f>+'1'!O19+'2'!O19+'4'!O19+'3'!O19+'5'!O19+'6'!O19+'7'!O19+'8'!O19+'9'!O19+'10'!O19</f>
        <v>160.1842752</v>
      </c>
      <c r="P19" s="120">
        <f t="shared" si="0"/>
        <v>7545.928915200001</v>
      </c>
      <c r="T19" s="163" t="str">
        <f>+'6'!A5</f>
        <v>Customer Name : Hashim Mart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257">
        <f>+'1'!H20+'2'!H20+'4'!H20+'3'!H20+'5'!H20+'6'!H20+'7'!H20+'8'!H20+'9'!H20+'10'!H20+'11'!H20+'12'!H20</f>
        <v>80</v>
      </c>
      <c r="I20" s="1">
        <f t="shared" si="1"/>
        <v>5811.2</v>
      </c>
      <c r="J20" s="257">
        <f>+'1'!J20+'2'!J20+'4'!J20+'3'!J20+'5'!J20+'6'!J20+'7'!J20+'8'!J20+'9'!J20+'10'!J20+'11'!J20+'12'!J20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1288.0524799999998</v>
      </c>
      <c r="O20" s="101">
        <f>+'1'!O20+'2'!O20+'4'!O20+'3'!O20+'5'!O20+'6'!O20+'7'!O20+'8'!O20+'9'!O20+'10'!O20</f>
        <v>148.91345280000002</v>
      </c>
      <c r="P20" s="120">
        <f t="shared" si="0"/>
        <v>6783.2699328000008</v>
      </c>
      <c r="T20" s="163" t="str">
        <f>+'7'!A5</f>
        <v>Customer Name :Shell Petrol Mart</v>
      </c>
      <c r="U20" s="164">
        <f>+'7'!P35</f>
        <v>15002.413443000003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257">
        <f>+'1'!H21+'2'!H21+'4'!H21+'3'!H21+'5'!H21+'6'!H21+'7'!H21+'8'!H21+'9'!H21+'10'!H21+'11'!H21+'12'!H21</f>
        <v>110</v>
      </c>
      <c r="I21" s="1">
        <f t="shared" si="1"/>
        <v>7990.4</v>
      </c>
      <c r="J21" s="257">
        <f>+'1'!J21+'2'!J21+'4'!J21+'3'!J21+'5'!J21+'6'!J21+'7'!J21+'8'!J21+'9'!J21+'10'!J21+'11'!J21+'12'!J21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639.23199999999997</v>
      </c>
      <c r="M21" s="118">
        <f t="shared" si="2"/>
        <v>7351.1679999999997</v>
      </c>
      <c r="N21" s="101">
        <f>+'1'!N21+'2'!N21+'4'!N21+'3'!N21+'5'!N21+'6'!N21+'7'!N21+'8'!N21+'9'!N21+'10'!N21</f>
        <v>1681.1801599999999</v>
      </c>
      <c r="O21" s="101">
        <f>+'1'!O21+'2'!O21+'4'!O21+'3'!O21+'5'!O21+'6'!O21+'7'!O21+'8'!O21+'9'!O21+'10'!O21</f>
        <v>201.34936320000003</v>
      </c>
      <c r="P21" s="120">
        <f t="shared" si="0"/>
        <v>9233.6975232000004</v>
      </c>
      <c r="T21" s="163" t="str">
        <f>+'8'!A5</f>
        <v xml:space="preserve">Customer Name : Shell Petrol Mart </v>
      </c>
      <c r="U21" s="164">
        <f>+'8'!P35</f>
        <v>6751.0744320000003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257">
        <f>+'1'!H22+'2'!H22+'4'!H22+'3'!H22+'5'!H22+'6'!H22+'7'!H22+'8'!H22+'9'!H22+'10'!H22+'11'!H22+'12'!H22</f>
        <v>64</v>
      </c>
      <c r="I22" s="1">
        <f t="shared" si="1"/>
        <v>2510.7200000000003</v>
      </c>
      <c r="J22" s="257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87.875200000000021</v>
      </c>
      <c r="L22" s="175">
        <f>+'1'!L22+'2'!L22+'4'!L22+'3'!L22+'5'!L22+'6'!L22+'7'!L22+'8'!L22+'9'!L22+'10'!L22</f>
        <v>125.53600000000003</v>
      </c>
      <c r="M22" s="118">
        <f t="shared" si="2"/>
        <v>2297.3088000000002</v>
      </c>
      <c r="N22" s="101">
        <f>+'1'!N22+'2'!N22+'4'!N22+'3'!N22+'5'!N22+'6'!N22+'7'!N22+'8'!N22+'9'!N22+'10'!N22</f>
        <v>470.94830400000001</v>
      </c>
      <c r="O22" s="101">
        <f>+'1'!O22+'2'!O22+'4'!O22+'3'!O22+'5'!O22+'6'!O22+'7'!O22+'8'!O22+'9'!O22+'10'!O22</f>
        <v>51.689448000000006</v>
      </c>
      <c r="P22" s="120">
        <f t="shared" si="0"/>
        <v>2819.9465520000003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>
        <f>H25/40</f>
        <v>11.6</v>
      </c>
      <c r="D25" s="225"/>
      <c r="E25" s="225"/>
      <c r="F25" s="225"/>
      <c r="G25" s="176">
        <f t="shared" ref="G25:M25" si="3">SUM(G16:G24)</f>
        <v>0</v>
      </c>
      <c r="H25" s="177">
        <f t="shared" si="3"/>
        <v>464</v>
      </c>
      <c r="I25" s="178">
        <f t="shared" si="3"/>
        <v>29145.42</v>
      </c>
      <c r="J25" s="177">
        <f t="shared" si="3"/>
        <v>20</v>
      </c>
      <c r="K25" s="178">
        <f t="shared" si="3"/>
        <v>87.875200000000021</v>
      </c>
      <c r="L25" s="179">
        <f t="shared" si="3"/>
        <v>2256.3119999999999</v>
      </c>
      <c r="M25" s="141">
        <f t="shared" si="3"/>
        <v>26801.232799999998</v>
      </c>
      <c r="N25" s="142">
        <f>SUM(N16:N24)</f>
        <v>6154.7932839999994</v>
      </c>
      <c r="O25" s="143">
        <f>SUM(O16:O24)</f>
        <v>740.51953170000002</v>
      </c>
      <c r="P25" s="144">
        <f>SUM(P16:P24)</f>
        <v>33696.545615700001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33696.545615700008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29145.42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2256.3119999999999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87.875200000000021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26801.232800000002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6154.7932839999994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32956.026083999997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823.9006521</v>
      </c>
    </row>
    <row r="35" spans="2:16" ht="15.75" customHeight="1" thickBot="1" x14ac:dyDescent="0.4">
      <c r="N35" s="223" t="s">
        <v>92</v>
      </c>
      <c r="O35" s="224"/>
      <c r="P35" s="160">
        <f>P33+P34</f>
        <v>33779.926736099995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111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157.93998000000002</v>
      </c>
      <c r="O22" s="119">
        <f t="shared" si="1"/>
        <v>4.3792449000000007</v>
      </c>
      <c r="P22" s="120">
        <f t="shared" si="2"/>
        <v>880.2282249000001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4.3792449000000007</v>
      </c>
      <c r="P25" s="144">
        <f>SUM(P16:P24)</f>
        <v>880.2282249000001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784.60000000000014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39.230000000000011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27.461000000000006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717.90900000000011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875.8489800000001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4.3792449000000007</v>
      </c>
    </row>
    <row r="35" spans="2:16" ht="15.75" customHeight="1" thickBot="1" x14ac:dyDescent="0.4">
      <c r="N35" s="223" t="s">
        <v>92</v>
      </c>
      <c r="O35" s="224"/>
      <c r="P35" s="160">
        <f>P33+P34</f>
        <v>880.2282249000001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E17" sqref="E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113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25.413978600000004</v>
      </c>
      <c r="P22" s="120">
        <f t="shared" si="1"/>
        <v>1041.9731226000001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155.068344</v>
      </c>
      <c r="O25" s="143">
        <f>SUM(O16:O24)</f>
        <v>25.413978600000004</v>
      </c>
      <c r="P25" s="144">
        <f>SUM(P16:P24)</f>
        <v>1041.9731226000001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941.5200000000001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47.076000000000008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32.95320000000001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861.49080000000004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155.068344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1016.5591440000001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25.413978600000004</v>
      </c>
    </row>
    <row r="35" spans="2:16" ht="15.75" customHeight="1" thickBot="1" x14ac:dyDescent="0.4">
      <c r="N35" s="223" t="s">
        <v>92</v>
      </c>
      <c r="O35" s="224"/>
      <c r="P35" s="160">
        <f>P33+P34</f>
        <v>1041.9731226000001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114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115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2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182.35964999999999</v>
      </c>
      <c r="O17" s="119">
        <f t="shared" ref="O17:O24" si="6">(N17+M17)*$O$15</f>
        <v>22.658553749999999</v>
      </c>
      <c r="P17" s="120">
        <f t="shared" si="1"/>
        <v>929.00070374999996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14.720977499999998</v>
      </c>
      <c r="P18" s="120">
        <f t="shared" si="1"/>
        <v>603.56007749999992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27.461000000000006</v>
      </c>
      <c r="L25" s="140">
        <f t="shared" si="9"/>
        <v>207.11</v>
      </c>
      <c r="M25" s="141">
        <f t="shared" si="9"/>
        <v>2648.529</v>
      </c>
      <c r="N25" s="142">
        <f>SUM(N16:N24)</f>
        <v>605.75988000000007</v>
      </c>
      <c r="O25" s="143">
        <f>SUM(O16:O24)</f>
        <v>81.357222000000007</v>
      </c>
      <c r="P25" s="144">
        <f>SUM(P16:P24)</f>
        <v>3335.6461019999997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2883.1000000000004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207.11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27.461000000000006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2648.5290000000005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605.75988000000007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3254.2888800000005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81.357222000000021</v>
      </c>
    </row>
    <row r="35" spans="2:16" ht="15.75" customHeight="1" thickBot="1" x14ac:dyDescent="0.4">
      <c r="N35" s="223" t="s">
        <v>92</v>
      </c>
      <c r="O35" s="224"/>
      <c r="P35" s="160">
        <f>P33+P34</f>
        <v>3335.6461020000006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116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117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2905.6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232.44799999999998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2673.152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3293.2070400000002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23" t="s">
        <v>92</v>
      </c>
      <c r="O35" s="224"/>
      <c r="P35" s="160">
        <f>P33+P34</f>
        <v>3375.5372160000002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120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2905.6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232.44799999999998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2673.152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3293.2070400000002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23" t="s">
        <v>92</v>
      </c>
      <c r="O35" s="224"/>
      <c r="P35" s="160">
        <f>P33+P34</f>
        <v>3309.6730752000003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B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122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22" sqref="B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124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2755.8049200000005</v>
      </c>
      <c r="O25" s="143">
        <f>SUM(O16:O24)</f>
        <v>365.91252300000002</v>
      </c>
      <c r="P25" s="144">
        <f>SUM(P16:P24)</f>
        <v>15002.413443000001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12913.800000000001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1033.104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11880.696000000002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2755.8049200000005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14636.500920000002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365.91252300000008</v>
      </c>
    </row>
    <row r="35" spans="2:16" ht="15.75" customHeight="1" thickBot="1" x14ac:dyDescent="0.4">
      <c r="N35" s="223" t="s">
        <v>92</v>
      </c>
      <c r="O35" s="224"/>
      <c r="P35" s="160">
        <f>P33+P34</f>
        <v>15002.413443000003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126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5811.2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464.89600000000002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5346.3040000000001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6586.4140800000005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23" t="s">
        <v>92</v>
      </c>
      <c r="O35" s="224"/>
      <c r="P35" s="160">
        <f>P33+P34</f>
        <v>6751.0744320000003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2026-06-11T05:15:44Z</dcterms:modified>
</cp:coreProperties>
</file>