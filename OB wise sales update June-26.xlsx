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A2E0AFC8-B811-493D-9D30-341AD288C6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6" i="1" l="1"/>
  <c r="J67" i="1"/>
  <c r="J68" i="1"/>
  <c r="J69" i="1"/>
  <c r="J70" i="1"/>
  <c r="J71" i="1"/>
  <c r="J72" i="1"/>
  <c r="J73" i="1"/>
  <c r="J74" i="1"/>
  <c r="J75" i="1"/>
  <c r="J76" i="1"/>
  <c r="J65" i="1" l="1"/>
  <c r="I98" i="1"/>
  <c r="I94" i="1"/>
  <c r="H98" i="1" l="1"/>
  <c r="H94" i="1"/>
  <c r="M74" i="1"/>
  <c r="M97" i="1" l="1"/>
  <c r="J97" i="1"/>
  <c r="M96" i="1"/>
  <c r="J96" i="1"/>
  <c r="M95" i="1"/>
  <c r="J95" i="1"/>
  <c r="M94" i="1"/>
  <c r="M93" i="1"/>
  <c r="J93" i="1"/>
  <c r="M92" i="1"/>
  <c r="J92" i="1"/>
  <c r="M91" i="1"/>
  <c r="J91" i="1"/>
  <c r="M90" i="1"/>
  <c r="J90" i="1"/>
  <c r="M89" i="1"/>
  <c r="M88" i="1"/>
  <c r="J88" i="1"/>
  <c r="M87" i="1"/>
  <c r="J87" i="1"/>
  <c r="M86" i="1"/>
  <c r="J86" i="1"/>
  <c r="M85" i="1"/>
  <c r="J85" i="1"/>
  <c r="M84" i="1"/>
  <c r="J84" i="1"/>
  <c r="M83" i="1"/>
  <c r="J83" i="1"/>
  <c r="M82" i="1"/>
  <c r="M81" i="1"/>
  <c r="J81" i="1"/>
  <c r="M80" i="1"/>
  <c r="J80" i="1"/>
  <c r="M79" i="1"/>
  <c r="J79" i="1"/>
  <c r="M78" i="1"/>
  <c r="J78" i="1"/>
  <c r="M77" i="1"/>
  <c r="J77" i="1"/>
  <c r="M76" i="1"/>
  <c r="M75" i="1"/>
  <c r="M73" i="1"/>
  <c r="M72" i="1"/>
  <c r="M71" i="1"/>
  <c r="M70" i="1"/>
  <c r="M69" i="1"/>
  <c r="M68" i="1"/>
  <c r="M67" i="1"/>
  <c r="M66" i="1"/>
  <c r="M65" i="1"/>
  <c r="P89" i="1"/>
  <c r="P94" i="1" s="1"/>
  <c r="P98" i="1" s="1"/>
  <c r="P99" i="1" s="1"/>
  <c r="O89" i="1"/>
  <c r="O94" i="1" s="1"/>
  <c r="O98" i="1" s="1"/>
  <c r="O99" i="1" s="1"/>
  <c r="N89" i="1"/>
  <c r="N94" i="1" s="1"/>
  <c r="N98" i="1" s="1"/>
  <c r="N99" i="1" s="1"/>
  <c r="P82" i="1"/>
  <c r="O82" i="1"/>
  <c r="N82" i="1"/>
  <c r="P76" i="1"/>
  <c r="O76" i="1"/>
  <c r="N76" i="1"/>
  <c r="P55" i="1"/>
  <c r="P59" i="1" s="1"/>
  <c r="O55" i="1"/>
  <c r="O59" i="1" s="1"/>
  <c r="N55" i="1"/>
  <c r="N59" i="1" s="1"/>
  <c r="N60" i="1" s="1"/>
  <c r="P50" i="1"/>
  <c r="O50" i="1"/>
  <c r="N50" i="1"/>
  <c r="P45" i="1"/>
  <c r="O45" i="1"/>
  <c r="N45" i="1"/>
  <c r="P39" i="1"/>
  <c r="O39" i="1"/>
  <c r="N39" i="1"/>
  <c r="P35" i="1"/>
  <c r="O35" i="1"/>
  <c r="N35" i="1"/>
  <c r="P27" i="1"/>
  <c r="O27" i="1"/>
  <c r="N27" i="1"/>
  <c r="P22" i="1"/>
  <c r="O22" i="1"/>
  <c r="N22" i="1"/>
  <c r="P19" i="1"/>
  <c r="O19" i="1"/>
  <c r="N19" i="1"/>
  <c r="P10" i="1"/>
  <c r="O10" i="1"/>
  <c r="N10" i="1"/>
  <c r="J94" i="1"/>
  <c r="I89" i="1"/>
  <c r="H89" i="1"/>
  <c r="I82" i="1"/>
  <c r="H82" i="1"/>
  <c r="I76" i="1"/>
  <c r="H76" i="1"/>
  <c r="L55" i="1"/>
  <c r="L59" i="1" s="1"/>
  <c r="L60" i="1" s="1"/>
  <c r="K55" i="1"/>
  <c r="K59" i="1" s="1"/>
  <c r="K60" i="1" s="1"/>
  <c r="I55" i="1"/>
  <c r="I59" i="1" s="1"/>
  <c r="I60" i="1" s="1"/>
  <c r="H55" i="1"/>
  <c r="H59" i="1" s="1"/>
  <c r="H60" i="1" s="1"/>
  <c r="L50" i="1"/>
  <c r="K50" i="1"/>
  <c r="I50" i="1"/>
  <c r="H50" i="1"/>
  <c r="L45" i="1"/>
  <c r="K45" i="1"/>
  <c r="I45" i="1"/>
  <c r="H45" i="1"/>
  <c r="L39" i="1"/>
  <c r="K39" i="1"/>
  <c r="I39" i="1"/>
  <c r="H39" i="1"/>
  <c r="L35" i="1"/>
  <c r="K35" i="1"/>
  <c r="I35" i="1"/>
  <c r="H35" i="1"/>
  <c r="L22" i="1"/>
  <c r="K22" i="1"/>
  <c r="I22" i="1"/>
  <c r="M26" i="1"/>
  <c r="M25" i="1"/>
  <c r="M24" i="1"/>
  <c r="J26" i="1"/>
  <c r="J25" i="1"/>
  <c r="J24" i="1"/>
  <c r="H27" i="1"/>
  <c r="L27" i="1"/>
  <c r="K27" i="1"/>
  <c r="I27" i="1"/>
  <c r="M21" i="1"/>
  <c r="M20" i="1"/>
  <c r="M18" i="1"/>
  <c r="M17" i="1"/>
  <c r="M16" i="1"/>
  <c r="M15" i="1"/>
  <c r="M14" i="1"/>
  <c r="M13" i="1"/>
  <c r="M12" i="1"/>
  <c r="M11" i="1"/>
  <c r="M9" i="1"/>
  <c r="M8" i="1"/>
  <c r="M7" i="1"/>
  <c r="M6" i="1"/>
  <c r="M5" i="1"/>
  <c r="M4" i="1"/>
  <c r="M3" i="1"/>
  <c r="J21" i="1"/>
  <c r="J20" i="1"/>
  <c r="J18" i="1"/>
  <c r="J17" i="1"/>
  <c r="J16" i="1"/>
  <c r="J15" i="1"/>
  <c r="J14" i="1"/>
  <c r="J13" i="1"/>
  <c r="J12" i="1"/>
  <c r="J11" i="1"/>
  <c r="J9" i="1"/>
  <c r="J8" i="1"/>
  <c r="J7" i="1"/>
  <c r="J6" i="1"/>
  <c r="J5" i="1"/>
  <c r="J4" i="1"/>
  <c r="L10" i="1"/>
  <c r="K10" i="1"/>
  <c r="I10" i="1"/>
  <c r="H10" i="1"/>
  <c r="L19" i="1"/>
  <c r="K19" i="1"/>
  <c r="I19" i="1"/>
  <c r="H19" i="1"/>
  <c r="H22" i="1"/>
  <c r="J3" i="1"/>
  <c r="B4" i="1"/>
  <c r="B5" i="1" s="1"/>
  <c r="B6" i="1" s="1"/>
  <c r="B7" i="1" s="1"/>
  <c r="B8" i="1" s="1"/>
  <c r="B9" i="1" s="1"/>
  <c r="B11" i="1" s="1"/>
  <c r="B12" i="1" s="1"/>
  <c r="B13" i="1" s="1"/>
  <c r="B14" i="1" s="1"/>
  <c r="B15" i="1" s="1"/>
  <c r="B16" i="1" s="1"/>
  <c r="B17" i="1" s="1"/>
  <c r="B18" i="1" s="1"/>
  <c r="B20" i="1" s="1"/>
  <c r="B21" i="1" s="1"/>
  <c r="B24" i="1" s="1"/>
  <c r="B25" i="1" s="1"/>
  <c r="B26" i="1" s="1"/>
  <c r="B29" i="1" s="1"/>
  <c r="B30" i="1" s="1"/>
  <c r="B31" i="1" s="1"/>
  <c r="B32" i="1" s="1"/>
  <c r="B33" i="1" s="1"/>
  <c r="B34" i="1" s="1"/>
  <c r="B36" i="1" s="1"/>
  <c r="B37" i="1" s="1"/>
  <c r="B38" i="1" s="1"/>
  <c r="B41" i="1" s="1"/>
  <c r="B42" i="1" s="1"/>
  <c r="B43" i="1" s="1"/>
  <c r="B46" i="1" s="1"/>
  <c r="B47" i="1" s="1"/>
  <c r="B48" i="1" s="1"/>
  <c r="B49" i="1" s="1"/>
  <c r="B51" i="1" s="1"/>
  <c r="B52" i="1" s="1"/>
  <c r="B53" i="1" s="1"/>
  <c r="B54" i="1" s="1"/>
  <c r="B56" i="1" s="1"/>
  <c r="B57" i="1" s="1"/>
  <c r="B58" i="1" s="1"/>
  <c r="B61" i="1" s="1"/>
  <c r="B62" i="1" s="1"/>
  <c r="B63" i="1" s="1"/>
  <c r="B65" i="1" s="1"/>
  <c r="B66" i="1" s="1"/>
  <c r="B67" i="1" s="1"/>
  <c r="M45" i="1" l="1"/>
  <c r="J89" i="1"/>
  <c r="J82" i="1"/>
  <c r="N23" i="1"/>
  <c r="N28" i="1" s="1"/>
  <c r="P40" i="1"/>
  <c r="H99" i="1"/>
  <c r="N40" i="1"/>
  <c r="O23" i="1"/>
  <c r="O28" i="1" s="1"/>
  <c r="P23" i="1"/>
  <c r="P28" i="1" s="1"/>
  <c r="O40" i="1"/>
  <c r="P60" i="1"/>
  <c r="P64" i="1" s="1"/>
  <c r="P101" i="1" s="1"/>
  <c r="O60" i="1"/>
  <c r="O64" i="1"/>
  <c r="N64" i="1"/>
  <c r="B68" i="1"/>
  <c r="B69" i="1" s="1"/>
  <c r="B70" i="1" s="1"/>
  <c r="B71" i="1" s="1"/>
  <c r="B72" i="1" s="1"/>
  <c r="B73" i="1" s="1"/>
  <c r="B75" i="1" s="1"/>
  <c r="L98" i="1"/>
  <c r="K98" i="1"/>
  <c r="K99" i="1" s="1"/>
  <c r="I99" i="1"/>
  <c r="J60" i="1"/>
  <c r="M60" i="1"/>
  <c r="H64" i="1"/>
  <c r="L64" i="1"/>
  <c r="K64" i="1"/>
  <c r="J59" i="1"/>
  <c r="M59" i="1"/>
  <c r="I64" i="1"/>
  <c r="J50" i="1"/>
  <c r="J55" i="1"/>
  <c r="M55" i="1"/>
  <c r="M50" i="1"/>
  <c r="J45" i="1"/>
  <c r="L40" i="1"/>
  <c r="I40" i="1"/>
  <c r="H40" i="1"/>
  <c r="K40" i="1"/>
  <c r="J19" i="1"/>
  <c r="M35" i="1"/>
  <c r="J39" i="1"/>
  <c r="M39" i="1"/>
  <c r="M27" i="1"/>
  <c r="M10" i="1"/>
  <c r="J27" i="1"/>
  <c r="J35" i="1"/>
  <c r="M19" i="1"/>
  <c r="J10" i="1"/>
  <c r="M22" i="1"/>
  <c r="J22" i="1"/>
  <c r="K23" i="1"/>
  <c r="K28" i="1" s="1"/>
  <c r="H23" i="1"/>
  <c r="H28" i="1" s="1"/>
  <c r="L23" i="1"/>
  <c r="I23" i="1"/>
  <c r="N101" i="1" l="1"/>
  <c r="J99" i="1"/>
  <c r="J98" i="1"/>
  <c r="B77" i="1"/>
  <c r="B78" i="1" s="1"/>
  <c r="B79" i="1" s="1"/>
  <c r="B80" i="1" s="1"/>
  <c r="B81" i="1" s="1"/>
  <c r="B83" i="1" s="1"/>
  <c r="B84" i="1" s="1"/>
  <c r="B85" i="1" s="1"/>
  <c r="B86" i="1" s="1"/>
  <c r="B87" i="1" s="1"/>
  <c r="B88" i="1" s="1"/>
  <c r="B91" i="1" s="1"/>
  <c r="B92" i="1" s="1"/>
  <c r="B93" i="1" s="1"/>
  <c r="B95" i="1" s="1"/>
  <c r="B96" i="1" s="1"/>
  <c r="B97" i="1" s="1"/>
  <c r="K101" i="1"/>
  <c r="H101" i="1"/>
  <c r="O101" i="1"/>
  <c r="I101" i="1"/>
  <c r="M98" i="1"/>
  <c r="L99" i="1"/>
  <c r="M99" i="1" s="1"/>
  <c r="J64" i="1"/>
  <c r="M64" i="1"/>
  <c r="J40" i="1"/>
  <c r="M40" i="1"/>
  <c r="L28" i="1"/>
  <c r="M28" i="1" s="1"/>
  <c r="M23" i="1"/>
  <c r="J23" i="1"/>
  <c r="I28" i="1"/>
  <c r="J28" i="1" s="1"/>
  <c r="J101" i="1" l="1"/>
  <c r="L101" i="1"/>
  <c r="M101" i="1" s="1"/>
</calcChain>
</file>

<file path=xl/sharedStrings.xml><?xml version="1.0" encoding="utf-8"?>
<sst xmlns="http://schemas.openxmlformats.org/spreadsheetml/2006/main" count="167" uniqueCount="145">
  <si>
    <t>S#</t>
  </si>
  <si>
    <t>Area</t>
  </si>
  <si>
    <t>ASM Name</t>
  </si>
  <si>
    <t>TSO Name</t>
  </si>
  <si>
    <t>Distribution Name</t>
  </si>
  <si>
    <t>OB Name</t>
  </si>
  <si>
    <t>KHI</t>
  </si>
  <si>
    <t>SAQIB</t>
  </si>
  <si>
    <t>Zafar Ullah Khan</t>
  </si>
  <si>
    <t>NNI</t>
  </si>
  <si>
    <t>Muhammad Usama</t>
  </si>
  <si>
    <t>Syed Muhammad Ali</t>
  </si>
  <si>
    <t>Ali Munawar</t>
  </si>
  <si>
    <t>Muhammad Aaqib</t>
  </si>
  <si>
    <t>Asif Khan</t>
  </si>
  <si>
    <t>Rizwan Shafiq</t>
  </si>
  <si>
    <t>Muhammad Ali Yousuf</t>
  </si>
  <si>
    <t>M Saqib Rathore</t>
  </si>
  <si>
    <t>Syed Zeeshan Ali</t>
  </si>
  <si>
    <t>Kashif Mughal</t>
  </si>
  <si>
    <t>M Nabeel Khan</t>
  </si>
  <si>
    <t>Arif Masood</t>
  </si>
  <si>
    <t>Abdullah Ibrahim</t>
  </si>
  <si>
    <t>Furqan Akber</t>
  </si>
  <si>
    <t>Kashif Qamar</t>
  </si>
  <si>
    <t>Zahid Muneer</t>
  </si>
  <si>
    <t>Adeel Ahmed Khan</t>
  </si>
  <si>
    <t>Syed Ali Raza Abidi</t>
  </si>
  <si>
    <t>HYD</t>
  </si>
  <si>
    <t xml:space="preserve">Abdul Karim </t>
  </si>
  <si>
    <t>HS TRADER &amp; SALMAN TARDER</t>
  </si>
  <si>
    <t>Junaid Khan</t>
  </si>
  <si>
    <t>Abdul Muqeet</t>
  </si>
  <si>
    <t>Asif Baig</t>
  </si>
  <si>
    <t>FSD</t>
  </si>
  <si>
    <t>SHAHBAZ</t>
  </si>
  <si>
    <t xml:space="preserve">VACANT </t>
  </si>
  <si>
    <t>FAHHAM TRADER</t>
  </si>
  <si>
    <t>Zohaib</t>
  </si>
  <si>
    <t xml:space="preserve">Islam </t>
  </si>
  <si>
    <t xml:space="preserve">Asim Malik </t>
  </si>
  <si>
    <t>Salman</t>
  </si>
  <si>
    <t>Umair</t>
  </si>
  <si>
    <t>Azeem</t>
  </si>
  <si>
    <t>SGD</t>
  </si>
  <si>
    <t xml:space="preserve">MUSTAFA JAMAL </t>
  </si>
  <si>
    <t xml:space="preserve">BIN ASIF </t>
  </si>
  <si>
    <t>Numan</t>
  </si>
  <si>
    <t>SYED SHARIF HUSSAIN</t>
  </si>
  <si>
    <t>Usama</t>
  </si>
  <si>
    <t>ISB-1</t>
  </si>
  <si>
    <t xml:space="preserve">ABU BAKKAR </t>
  </si>
  <si>
    <t xml:space="preserve">RAZA IMRAN </t>
  </si>
  <si>
    <t xml:space="preserve">ISLAMIA TRADER </t>
  </si>
  <si>
    <t>salman salamat</t>
  </si>
  <si>
    <t>Anjum</t>
  </si>
  <si>
    <t xml:space="preserve">Faisal Nawaz </t>
  </si>
  <si>
    <t>ISB-2</t>
  </si>
  <si>
    <t>AZHAR ABBASI</t>
  </si>
  <si>
    <t xml:space="preserve">MUHAMMDI TRADER </t>
  </si>
  <si>
    <t xml:space="preserve">Saqib </t>
  </si>
  <si>
    <t xml:space="preserve">Haroon </t>
  </si>
  <si>
    <t xml:space="preserve">Danish </t>
  </si>
  <si>
    <t>Shazad</t>
  </si>
  <si>
    <t>PESHAWAR</t>
  </si>
  <si>
    <t xml:space="preserve">WAZAHAT AZIZ </t>
  </si>
  <si>
    <t xml:space="preserve">AA TRADER </t>
  </si>
  <si>
    <t>Mudasser Qayyam</t>
  </si>
  <si>
    <t>Muhammad Shoaib</t>
  </si>
  <si>
    <t xml:space="preserve">Qasim </t>
  </si>
  <si>
    <t>Zukhraf Ayaz</t>
  </si>
  <si>
    <t>ABTTOBAD</t>
  </si>
  <si>
    <t>WALEED COORPORATION</t>
  </si>
  <si>
    <t>Saeed Iqbal</t>
  </si>
  <si>
    <t>MARDAN</t>
  </si>
  <si>
    <t xml:space="preserve">SA TRADER </t>
  </si>
  <si>
    <t xml:space="preserve">Arif Khan </t>
  </si>
  <si>
    <t>SAWAT</t>
  </si>
  <si>
    <t xml:space="preserve">SMZ TRADER </t>
  </si>
  <si>
    <t xml:space="preserve">Hamid Khan </t>
  </si>
  <si>
    <t>MUX-1</t>
  </si>
  <si>
    <t xml:space="preserve">MIQDAT </t>
  </si>
  <si>
    <t xml:space="preserve">FRIENDLY NETWORK </t>
  </si>
  <si>
    <t>Farhan Ahmed</t>
  </si>
  <si>
    <t>MUX-2</t>
  </si>
  <si>
    <t xml:space="preserve">JAVAED TRADER </t>
  </si>
  <si>
    <t>Shariq</t>
  </si>
  <si>
    <t xml:space="preserve">RYK </t>
  </si>
  <si>
    <t>LABAKE ENTERPRISE</t>
  </si>
  <si>
    <t>UMAR</t>
  </si>
  <si>
    <t>LHE</t>
  </si>
  <si>
    <t>FAHAD</t>
  </si>
  <si>
    <t>BILAL</t>
  </si>
  <si>
    <t>Zeehsan Mehrban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</si>
  <si>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</si>
  <si>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</si>
  <si>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</si>
  <si>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</si>
  <si>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</si>
  <si>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</si>
  <si>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</si>
  <si>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</si>
  <si>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 xml:space="preserve">Adil Bashir </t>
  </si>
  <si>
    <t xml:space="preserve">Shahzad Nayyar </t>
  </si>
  <si>
    <t>Zafer</t>
  </si>
  <si>
    <t>Muhammad Saleh</t>
  </si>
  <si>
    <t>GUJRANWALA</t>
  </si>
  <si>
    <t xml:space="preserve">SIKANDER BUTT TRADER </t>
  </si>
  <si>
    <t xml:space="preserve">Rizwan Ali </t>
  </si>
  <si>
    <t>Waheed</t>
  </si>
  <si>
    <t xml:space="preserve">Rao Umar </t>
  </si>
  <si>
    <t>GUJARAT</t>
  </si>
  <si>
    <t>AYYAN TRADERS</t>
  </si>
  <si>
    <t>Target</t>
  </si>
  <si>
    <t>Ach.</t>
  </si>
  <si>
    <t>%</t>
  </si>
  <si>
    <t>Unique Productivity</t>
  </si>
  <si>
    <t>Shakoor LMT</t>
  </si>
  <si>
    <t>Total</t>
  </si>
  <si>
    <t>Karachi Total</t>
  </si>
  <si>
    <t>AreaTotal</t>
  </si>
  <si>
    <t>Sohail Maher</t>
  </si>
  <si>
    <t>Lahore Total</t>
  </si>
  <si>
    <t>Area Total</t>
  </si>
  <si>
    <t>Gran Total</t>
  </si>
  <si>
    <t>60Gm</t>
  </si>
  <si>
    <t>70Gm</t>
  </si>
  <si>
    <t>120Gm</t>
  </si>
  <si>
    <t>Number of Bills</t>
  </si>
  <si>
    <t>Elites Marketing</t>
  </si>
  <si>
    <t>CTN.s</t>
  </si>
  <si>
    <t>Coverage</t>
  </si>
  <si>
    <t>Total Plan Shop</t>
  </si>
  <si>
    <t>Salman Butt</t>
  </si>
  <si>
    <t xml:space="preserve">Mobeen Ahmad </t>
  </si>
  <si>
    <t>Nouman Younus</t>
  </si>
  <si>
    <t xml:space="preserve">Muhammad Hassan </t>
  </si>
  <si>
    <t xml:space="preserve">Zohaib </t>
  </si>
  <si>
    <t xml:space="preserve">Furqan Ali </t>
  </si>
  <si>
    <t>Umair Rehman</t>
  </si>
  <si>
    <t>Aqeel {Nabeel SD}</t>
  </si>
  <si>
    <t>Salman Manzoor{Nabeel SD}</t>
  </si>
  <si>
    <t>Abdullah Traders</t>
  </si>
  <si>
    <t>Sohail Traders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</si>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</sst>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theme="1"/>
      <name val="Arial Unicode MS"/>
    </font>
    <font>
      <sz val="11"/>
      <color rgb="FFFF0000"/>
      <name val="Arial Unicode MS"/>
      <family val="2"/>
    </font>
    <font>
      <sz val="11"/>
      <color theme="2" tint="-0.89999084444715716"/>
      <name val="Arial Unicode M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3" fillId="3" borderId="24" xfId="0" applyFont="1" applyFill="1" applyBorder="1"/>
    <xf numFmtId="0" fontId="0" fillId="3" borderId="24" xfId="0" applyFill="1" applyBorder="1"/>
    <xf numFmtId="0" fontId="0" fillId="3" borderId="25" xfId="0" applyFill="1" applyBorder="1"/>
    <xf numFmtId="0" fontId="3" fillId="4" borderId="26" xfId="0" applyFont="1" applyFill="1" applyBorder="1"/>
    <xf numFmtId="0" fontId="3" fillId="4" borderId="27" xfId="0" applyFont="1" applyFill="1" applyBorder="1"/>
    <xf numFmtId="0" fontId="3" fillId="4" borderId="28" xfId="0" applyFont="1" applyFill="1" applyBorder="1"/>
    <xf numFmtId="0" fontId="3" fillId="5" borderId="26" xfId="0" applyFont="1" applyFill="1" applyBorder="1"/>
    <xf numFmtId="0" fontId="3" fillId="5" borderId="27" xfId="0" applyFont="1" applyFill="1" applyBorder="1"/>
    <xf numFmtId="0" fontId="3" fillId="5" borderId="28" xfId="0" applyFont="1" applyFill="1" applyBorder="1"/>
    <xf numFmtId="0" fontId="3" fillId="6" borderId="26" xfId="0" applyFont="1" applyFill="1" applyBorder="1"/>
    <xf numFmtId="0" fontId="4" fillId="6" borderId="27" xfId="0" applyFont="1" applyFill="1" applyBorder="1"/>
    <xf numFmtId="0" fontId="0" fillId="6" borderId="25" xfId="0" applyFill="1" applyBorder="1"/>
    <xf numFmtId="0" fontId="3" fillId="7" borderId="24" xfId="0" applyFont="1" applyFill="1" applyBorder="1"/>
    <xf numFmtId="0" fontId="4" fillId="7" borderId="24" xfId="0" applyFont="1" applyFill="1" applyBorder="1"/>
    <xf numFmtId="0" fontId="4" fillId="7" borderId="27" xfId="0" applyFont="1" applyFill="1" applyBorder="1"/>
    <xf numFmtId="0" fontId="4" fillId="7" borderId="28" xfId="0" applyFont="1" applyFill="1" applyBorder="1"/>
    <xf numFmtId="0" fontId="0" fillId="0" borderId="18" xfId="0" applyBorder="1" applyAlignment="1">
      <alignment horizont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5" fillId="8" borderId="24" xfId="0" applyFont="1" applyFill="1" applyBorder="1"/>
    <xf numFmtId="0" fontId="0" fillId="8" borderId="18" xfId="0" applyFill="1" applyBorder="1" applyAlignment="1">
      <alignment horizontal="center"/>
    </xf>
    <xf numFmtId="0" fontId="5" fillId="9" borderId="24" xfId="0" applyFont="1" applyFill="1" applyBorder="1"/>
    <xf numFmtId="0" fontId="0" fillId="9" borderId="18" xfId="0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5" fillId="9" borderId="31" xfId="0" applyFont="1" applyFill="1" applyBorder="1"/>
    <xf numFmtId="0" fontId="2" fillId="9" borderId="18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3" fillId="3" borderId="13" xfId="0" applyFont="1" applyFill="1" applyBorder="1"/>
    <xf numFmtId="0" fontId="0" fillId="0" borderId="10" xfId="0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9" fontId="0" fillId="0" borderId="38" xfId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9" xfId="0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39" xfId="0" applyFont="1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2" fillId="10" borderId="19" xfId="0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10" borderId="42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2" fillId="9" borderId="39" xfId="0" applyFont="1" applyFill="1" applyBorder="1" applyAlignment="1">
      <alignment horizontal="center"/>
    </xf>
    <xf numFmtId="0" fontId="2" fillId="10" borderId="43" xfId="0" applyFont="1" applyFill="1" applyBorder="1" applyAlignment="1">
      <alignment horizontal="center"/>
    </xf>
    <xf numFmtId="0" fontId="6" fillId="7" borderId="24" xfId="0" applyFont="1" applyFill="1" applyBorder="1"/>
    <xf numFmtId="164" fontId="0" fillId="0" borderId="39" xfId="1" applyNumberFormat="1" applyFont="1" applyBorder="1" applyAlignment="1">
      <alignment horizontal="center"/>
    </xf>
    <xf numFmtId="10" fontId="0" fillId="0" borderId="39" xfId="1" applyNumberFormat="1" applyFont="1" applyBorder="1" applyAlignment="1">
      <alignment horizontal="center"/>
    </xf>
    <xf numFmtId="164" fontId="0" fillId="8" borderId="39" xfId="1" applyNumberFormat="1" applyFont="1" applyFill="1" applyBorder="1" applyAlignment="1">
      <alignment horizontal="center"/>
    </xf>
    <xf numFmtId="164" fontId="0" fillId="9" borderId="39" xfId="1" applyNumberFormat="1" applyFont="1" applyFill="1" applyBorder="1" applyAlignment="1">
      <alignment horizontal="center"/>
    </xf>
    <xf numFmtId="164" fontId="2" fillId="10" borderId="42" xfId="1" applyNumberFormat="1" applyFont="1" applyFill="1" applyBorder="1" applyAlignment="1">
      <alignment horizontal="center"/>
    </xf>
    <xf numFmtId="0" fontId="5" fillId="9" borderId="44" xfId="0" applyFont="1" applyFill="1" applyBorder="1"/>
    <xf numFmtId="0" fontId="3" fillId="7" borderId="18" xfId="0" applyFont="1" applyFill="1" applyBorder="1"/>
    <xf numFmtId="0" fontId="7" fillId="7" borderId="18" xfId="0" applyFont="1" applyFill="1" applyBorder="1"/>
    <xf numFmtId="0" fontId="0" fillId="3" borderId="9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/>
    </xf>
    <xf numFmtId="0" fontId="2" fillId="10" borderId="27" xfId="0" applyFont="1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8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/>
    </xf>
    <xf numFmtId="0" fontId="5" fillId="9" borderId="24" xfId="0" applyFont="1" applyFill="1" applyBorder="1" applyAlignment="1">
      <alignment horizontal="center"/>
    </xf>
    <xf numFmtId="0" fontId="5" fillId="9" borderId="2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pane xSplit="7" ySplit="2" topLeftCell="H65" activePane="bottomRight" state="frozen"/>
      <selection pane="topRight" activeCell="H1" sqref="H1"/>
      <selection pane="bottomLeft" activeCell="A3" sqref="A3"/>
      <selection pane="bottomRight" activeCell="R66" activeCellId="1" sqref="L72 R66"/>
    </sheetView>
  </sheetViews>
  <sheetFormatPr defaultRowHeight="14.5" x14ac:dyDescent="0.35"/>
  <cols>
    <col min="1" max="1" width="2.1796875" customWidth="1"/>
    <col min="2" max="2" width="5.26953125" customWidth="1"/>
    <col min="3" max="3" width="22.7265625" hidden="1" customWidth="1"/>
    <col min="4" max="4" width="12.7265625" hidden="1" customWidth="1"/>
    <col min="5" max="5" width="18.26953125" bestFit="1" customWidth="1"/>
    <col min="6" max="6" width="28.26953125" bestFit="1" customWidth="1"/>
    <col min="7" max="7" width="26.81640625" bestFit="1" customWidth="1"/>
    <col min="8" max="8" width="6.54296875" bestFit="1" customWidth="1"/>
    <col min="9" max="9" width="4.81640625" bestFit="1" customWidth="1"/>
    <col min="10" max="10" width="7.7265625" bestFit="1" customWidth="1"/>
    <col min="11" max="11" width="5.453125" bestFit="1" customWidth="1"/>
    <col min="12" max="12" width="11.7265625" bestFit="1" customWidth="1"/>
    <col min="13" max="13" width="7.7265625" bestFit="1" customWidth="1"/>
    <col min="14" max="15" width="6.1796875" bestFit="1" customWidth="1"/>
    <col min="16" max="16" width="7.1796875" bestFit="1" customWidth="1"/>
  </cols>
  <sheetData>
    <row r="1" spans="2:16" ht="15" thickBot="1" x14ac:dyDescent="0.4">
      <c r="H1" s="99" t="s">
        <v>130</v>
      </c>
      <c r="I1" s="100"/>
      <c r="J1" s="101"/>
      <c r="K1" s="99" t="s">
        <v>131</v>
      </c>
      <c r="L1" s="100"/>
      <c r="M1" s="101"/>
      <c r="N1" s="112" t="s">
        <v>128</v>
      </c>
      <c r="O1" s="112"/>
      <c r="P1" s="113"/>
    </row>
    <row r="2" spans="2:16" ht="44" thickBot="1" x14ac:dyDescent="0.4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4" t="s">
        <v>5</v>
      </c>
      <c r="H2" s="64" t="s">
        <v>113</v>
      </c>
      <c r="I2" s="3" t="s">
        <v>114</v>
      </c>
      <c r="J2" s="56" t="s">
        <v>115</v>
      </c>
      <c r="K2" s="64" t="s">
        <v>132</v>
      </c>
      <c r="L2" s="3" t="s">
        <v>116</v>
      </c>
      <c r="M2" s="56" t="s">
        <v>115</v>
      </c>
      <c r="N2" s="57" t="s">
        <v>125</v>
      </c>
      <c r="O2" s="3" t="s">
        <v>126</v>
      </c>
      <c r="P2" s="56" t="s">
        <v>127</v>
      </c>
    </row>
    <row r="3" spans="2:16" ht="17" hidden="1" thickBot="1" x14ac:dyDescent="0.5">
      <c r="B3" s="4">
        <v>1</v>
      </c>
      <c r="C3" s="132" t="s">
        <v>6</v>
      </c>
      <c r="D3" s="93" t="s">
        <v>7</v>
      </c>
      <c r="E3" s="93" t="s">
        <v>8</v>
      </c>
      <c r="F3" s="93" t="s">
        <v>9</v>
      </c>
      <c r="G3" s="54" t="s">
        <v>10</v>
      </c>
      <c r="H3" s="65"/>
      <c r="I3" s="55"/>
      <c r="J3" s="66" t="e">
        <f>I3/H3</f>
        <v>#DIV/0!</v>
      </c>
      <c r="K3" s="65"/>
      <c r="L3" s="55"/>
      <c r="M3" s="66" t="e">
        <f>L3/K3</f>
        <v>#DIV/0!</v>
      </c>
      <c r="N3" s="58"/>
      <c r="O3" s="55"/>
      <c r="P3" s="81"/>
    </row>
    <row r="4" spans="2:16" ht="17" hidden="1" thickBot="1" x14ac:dyDescent="0.5">
      <c r="B4" s="5">
        <f>B3+1</f>
        <v>2</v>
      </c>
      <c r="C4" s="132"/>
      <c r="D4" s="93"/>
      <c r="E4" s="93"/>
      <c r="F4" s="93"/>
      <c r="G4" s="25" t="s">
        <v>11</v>
      </c>
      <c r="H4" s="67"/>
      <c r="I4" s="41"/>
      <c r="J4" s="68" t="e">
        <f t="shared" ref="J4:J28" si="0">I4/H4</f>
        <v>#DIV/0!</v>
      </c>
      <c r="K4" s="67"/>
      <c r="L4" s="41"/>
      <c r="M4" s="68" t="e">
        <f t="shared" ref="M4:M28" si="1">L4/K4</f>
        <v>#DIV/0!</v>
      </c>
      <c r="N4" s="59"/>
      <c r="O4" s="41"/>
      <c r="P4" s="68"/>
    </row>
    <row r="5" spans="2:16" ht="17" hidden="1" thickBot="1" x14ac:dyDescent="0.5">
      <c r="B5" s="5">
        <f t="shared" ref="B5:B93" si="2">B4+1</f>
        <v>3</v>
      </c>
      <c r="C5" s="132"/>
      <c r="D5" s="93"/>
      <c r="E5" s="93"/>
      <c r="F5" s="93"/>
      <c r="G5" s="25" t="s">
        <v>12</v>
      </c>
      <c r="H5" s="67"/>
      <c r="I5" s="41"/>
      <c r="J5" s="68" t="e">
        <f t="shared" si="0"/>
        <v>#DIV/0!</v>
      </c>
      <c r="K5" s="67"/>
      <c r="L5" s="41"/>
      <c r="M5" s="68" t="e">
        <f t="shared" si="1"/>
        <v>#DIV/0!</v>
      </c>
      <c r="N5" s="59"/>
      <c r="O5" s="41"/>
      <c r="P5" s="68"/>
    </row>
    <row r="6" spans="2:16" ht="17" hidden="1" thickBot="1" x14ac:dyDescent="0.5">
      <c r="B6" s="5">
        <f t="shared" si="2"/>
        <v>4</v>
      </c>
      <c r="C6" s="132"/>
      <c r="D6" s="93"/>
      <c r="E6" s="93"/>
      <c r="F6" s="93"/>
      <c r="G6" s="25" t="s">
        <v>13</v>
      </c>
      <c r="H6" s="67"/>
      <c r="I6" s="41"/>
      <c r="J6" s="68" t="e">
        <f t="shared" si="0"/>
        <v>#DIV/0!</v>
      </c>
      <c r="K6" s="67"/>
      <c r="L6" s="41"/>
      <c r="M6" s="68" t="e">
        <f t="shared" si="1"/>
        <v>#DIV/0!</v>
      </c>
      <c r="N6" s="59"/>
      <c r="O6" s="41"/>
      <c r="P6" s="68"/>
    </row>
    <row r="7" spans="2:16" ht="17" hidden="1" thickBot="1" x14ac:dyDescent="0.5">
      <c r="B7" s="5">
        <f t="shared" si="2"/>
        <v>5</v>
      </c>
      <c r="C7" s="132"/>
      <c r="D7" s="93"/>
      <c r="E7" s="93"/>
      <c r="F7" s="93"/>
      <c r="G7" s="25" t="s">
        <v>14</v>
      </c>
      <c r="H7" s="67"/>
      <c r="I7" s="41"/>
      <c r="J7" s="68" t="e">
        <f t="shared" si="0"/>
        <v>#DIV/0!</v>
      </c>
      <c r="K7" s="67"/>
      <c r="L7" s="41"/>
      <c r="M7" s="68" t="e">
        <f t="shared" si="1"/>
        <v>#DIV/0!</v>
      </c>
      <c r="N7" s="59"/>
      <c r="O7" s="41"/>
      <c r="P7" s="68"/>
    </row>
    <row r="8" spans="2:16" ht="17" hidden="1" thickBot="1" x14ac:dyDescent="0.5">
      <c r="B8" s="5">
        <f t="shared" si="2"/>
        <v>6</v>
      </c>
      <c r="C8" s="132"/>
      <c r="D8" s="93"/>
      <c r="E8" s="93"/>
      <c r="F8" s="93"/>
      <c r="G8" s="25" t="s">
        <v>15</v>
      </c>
      <c r="H8" s="67"/>
      <c r="I8" s="41"/>
      <c r="J8" s="68" t="e">
        <f t="shared" si="0"/>
        <v>#DIV/0!</v>
      </c>
      <c r="K8" s="67"/>
      <c r="L8" s="41"/>
      <c r="M8" s="68" t="e">
        <f t="shared" si="1"/>
        <v>#DIV/0!</v>
      </c>
      <c r="N8" s="59"/>
      <c r="O8" s="41"/>
      <c r="P8" s="68"/>
    </row>
    <row r="9" spans="2:16" ht="17" hidden="1" thickBot="1" x14ac:dyDescent="0.5">
      <c r="B9" s="5">
        <f t="shared" si="2"/>
        <v>7</v>
      </c>
      <c r="C9" s="132"/>
      <c r="D9" s="93"/>
      <c r="E9" s="93"/>
      <c r="F9" s="93"/>
      <c r="G9" s="25" t="s">
        <v>16</v>
      </c>
      <c r="H9" s="67"/>
      <c r="I9" s="41"/>
      <c r="J9" s="68" t="e">
        <f t="shared" si="0"/>
        <v>#DIV/0!</v>
      </c>
      <c r="K9" s="67"/>
      <c r="L9" s="41"/>
      <c r="M9" s="68" t="e">
        <f t="shared" si="1"/>
        <v>#DIV/0!</v>
      </c>
      <c r="N9" s="59"/>
      <c r="O9" s="41"/>
      <c r="P9" s="68"/>
    </row>
    <row r="10" spans="2:16" ht="17" hidden="1" thickBot="1" x14ac:dyDescent="0.5">
      <c r="B10" s="5"/>
      <c r="C10" s="132"/>
      <c r="D10" s="93"/>
      <c r="E10" s="98"/>
      <c r="F10" s="93"/>
      <c r="G10" s="45" t="s">
        <v>118</v>
      </c>
      <c r="H10" s="69">
        <f>SUM(H3:H9)</f>
        <v>0</v>
      </c>
      <c r="I10" s="49">
        <f>SUM(I3:I9)</f>
        <v>0</v>
      </c>
      <c r="J10" s="70" t="e">
        <f t="shared" si="0"/>
        <v>#DIV/0!</v>
      </c>
      <c r="K10" s="69">
        <f t="shared" ref="K10:L10" si="3">SUM(K3:K9)</f>
        <v>0</v>
      </c>
      <c r="L10" s="49">
        <f t="shared" si="3"/>
        <v>0</v>
      </c>
      <c r="M10" s="70" t="e">
        <f t="shared" si="1"/>
        <v>#DIV/0!</v>
      </c>
      <c r="N10" s="60">
        <f t="shared" ref="N10:P10" si="4">SUM(N3:N9)</f>
        <v>0</v>
      </c>
      <c r="O10" s="49">
        <f t="shared" si="4"/>
        <v>0</v>
      </c>
      <c r="P10" s="70">
        <f t="shared" si="4"/>
        <v>0</v>
      </c>
    </row>
    <row r="11" spans="2:16" ht="17" hidden="1" thickBot="1" x14ac:dyDescent="0.5">
      <c r="B11" s="5">
        <f>B9+1</f>
        <v>8</v>
      </c>
      <c r="C11" s="132"/>
      <c r="D11" s="93"/>
      <c r="E11" s="114" t="s">
        <v>17</v>
      </c>
      <c r="F11" s="93"/>
      <c r="G11" s="25" t="s">
        <v>18</v>
      </c>
      <c r="H11" s="67"/>
      <c r="I11" s="41"/>
      <c r="J11" s="68" t="e">
        <f t="shared" si="0"/>
        <v>#DIV/0!</v>
      </c>
      <c r="K11" s="67"/>
      <c r="L11" s="41"/>
      <c r="M11" s="68" t="e">
        <f t="shared" si="1"/>
        <v>#DIV/0!</v>
      </c>
      <c r="N11" s="59"/>
      <c r="O11" s="41"/>
      <c r="P11" s="68"/>
    </row>
    <row r="12" spans="2:16" ht="17" hidden="1" thickBot="1" x14ac:dyDescent="0.5">
      <c r="B12" s="5">
        <f t="shared" si="2"/>
        <v>9</v>
      </c>
      <c r="C12" s="132"/>
      <c r="D12" s="93"/>
      <c r="E12" s="93"/>
      <c r="F12" s="93"/>
      <c r="G12" s="25" t="s">
        <v>19</v>
      </c>
      <c r="H12" s="67"/>
      <c r="I12" s="41"/>
      <c r="J12" s="68" t="e">
        <f t="shared" si="0"/>
        <v>#DIV/0!</v>
      </c>
      <c r="K12" s="67"/>
      <c r="L12" s="41"/>
      <c r="M12" s="68" t="e">
        <f t="shared" si="1"/>
        <v>#DIV/0!</v>
      </c>
      <c r="N12" s="59"/>
      <c r="O12" s="41"/>
      <c r="P12" s="68"/>
    </row>
    <row r="13" spans="2:16" ht="17" hidden="1" thickBot="1" x14ac:dyDescent="0.5">
      <c r="B13" s="5">
        <f t="shared" si="2"/>
        <v>10</v>
      </c>
      <c r="C13" s="132"/>
      <c r="D13" s="93"/>
      <c r="E13" s="93"/>
      <c r="F13" s="93"/>
      <c r="G13" s="25" t="s">
        <v>20</v>
      </c>
      <c r="H13" s="67"/>
      <c r="I13" s="41"/>
      <c r="J13" s="68" t="e">
        <f t="shared" si="0"/>
        <v>#DIV/0!</v>
      </c>
      <c r="K13" s="67"/>
      <c r="L13" s="41"/>
      <c r="M13" s="68" t="e">
        <f t="shared" si="1"/>
        <v>#DIV/0!</v>
      </c>
      <c r="N13" s="59"/>
      <c r="O13" s="41"/>
      <c r="P13" s="68"/>
    </row>
    <row r="14" spans="2:16" ht="17" hidden="1" thickBot="1" x14ac:dyDescent="0.5">
      <c r="B14" s="5">
        <f t="shared" si="2"/>
        <v>11</v>
      </c>
      <c r="C14" s="132"/>
      <c r="D14" s="93"/>
      <c r="E14" s="93"/>
      <c r="F14" s="93"/>
      <c r="G14" s="25" t="s">
        <v>21</v>
      </c>
      <c r="H14" s="67"/>
      <c r="I14" s="41"/>
      <c r="J14" s="68" t="e">
        <f t="shared" si="0"/>
        <v>#DIV/0!</v>
      </c>
      <c r="K14" s="67"/>
      <c r="L14" s="41"/>
      <c r="M14" s="68" t="e">
        <f t="shared" si="1"/>
        <v>#DIV/0!</v>
      </c>
      <c r="N14" s="59"/>
      <c r="O14" s="41"/>
      <c r="P14" s="68"/>
    </row>
    <row r="15" spans="2:16" ht="17" hidden="1" thickBot="1" x14ac:dyDescent="0.5">
      <c r="B15" s="5">
        <f t="shared" si="2"/>
        <v>12</v>
      </c>
      <c r="C15" s="132"/>
      <c r="D15" s="93"/>
      <c r="E15" s="93"/>
      <c r="F15" s="93"/>
      <c r="G15" s="25" t="s">
        <v>22</v>
      </c>
      <c r="H15" s="67"/>
      <c r="I15" s="41"/>
      <c r="J15" s="68" t="e">
        <f t="shared" si="0"/>
        <v>#DIV/0!</v>
      </c>
      <c r="K15" s="67"/>
      <c r="L15" s="41"/>
      <c r="M15" s="68" t="e">
        <f t="shared" si="1"/>
        <v>#DIV/0!</v>
      </c>
      <c r="N15" s="59"/>
      <c r="O15" s="41"/>
      <c r="P15" s="68"/>
    </row>
    <row r="16" spans="2:16" ht="17" hidden="1" thickBot="1" x14ac:dyDescent="0.5">
      <c r="B16" s="5">
        <f t="shared" si="2"/>
        <v>13</v>
      </c>
      <c r="C16" s="132"/>
      <c r="D16" s="93"/>
      <c r="E16" s="93"/>
      <c r="F16" s="93"/>
      <c r="G16" s="25" t="s">
        <v>23</v>
      </c>
      <c r="H16" s="67"/>
      <c r="I16" s="41"/>
      <c r="J16" s="68" t="e">
        <f t="shared" si="0"/>
        <v>#DIV/0!</v>
      </c>
      <c r="K16" s="67"/>
      <c r="L16" s="41"/>
      <c r="M16" s="68" t="e">
        <f t="shared" si="1"/>
        <v>#DIV/0!</v>
      </c>
      <c r="N16" s="59"/>
      <c r="O16" s="41"/>
      <c r="P16" s="68"/>
    </row>
    <row r="17" spans="2:16" ht="17" hidden="1" thickBot="1" x14ac:dyDescent="0.5">
      <c r="B17" s="5">
        <f t="shared" si="2"/>
        <v>14</v>
      </c>
      <c r="C17" s="132"/>
      <c r="D17" s="93"/>
      <c r="E17" s="93"/>
      <c r="F17" s="93"/>
      <c r="G17" s="25" t="s">
        <v>24</v>
      </c>
      <c r="H17" s="67"/>
      <c r="I17" s="41"/>
      <c r="J17" s="68" t="e">
        <f t="shared" si="0"/>
        <v>#DIV/0!</v>
      </c>
      <c r="K17" s="67"/>
      <c r="L17" s="41"/>
      <c r="M17" s="68" t="e">
        <f t="shared" si="1"/>
        <v>#DIV/0!</v>
      </c>
      <c r="N17" s="59"/>
      <c r="O17" s="41"/>
      <c r="P17" s="68"/>
    </row>
    <row r="18" spans="2:16" ht="17" hidden="1" thickBot="1" x14ac:dyDescent="0.5">
      <c r="B18" s="5">
        <f t="shared" si="2"/>
        <v>15</v>
      </c>
      <c r="C18" s="132"/>
      <c r="D18" s="93"/>
      <c r="E18" s="98"/>
      <c r="F18" s="93"/>
      <c r="G18" s="25" t="s">
        <v>25</v>
      </c>
      <c r="H18" s="67"/>
      <c r="I18" s="41"/>
      <c r="J18" s="68" t="e">
        <f t="shared" si="0"/>
        <v>#DIV/0!</v>
      </c>
      <c r="K18" s="67"/>
      <c r="L18" s="41"/>
      <c r="M18" s="68" t="e">
        <f t="shared" si="1"/>
        <v>#DIV/0!</v>
      </c>
      <c r="N18" s="59"/>
      <c r="O18" s="41"/>
      <c r="P18" s="68"/>
    </row>
    <row r="19" spans="2:16" ht="17" hidden="1" thickBot="1" x14ac:dyDescent="0.5">
      <c r="B19" s="5"/>
      <c r="C19" s="132"/>
      <c r="D19" s="93"/>
      <c r="E19" s="7"/>
      <c r="F19" s="93"/>
      <c r="G19" s="45" t="s">
        <v>118</v>
      </c>
      <c r="H19" s="69">
        <f>SUM(H11:H18)</f>
        <v>0</v>
      </c>
      <c r="I19" s="49">
        <f t="shared" ref="I19:L19" si="5">SUM(I11:I18)</f>
        <v>0</v>
      </c>
      <c r="J19" s="70" t="e">
        <f t="shared" si="0"/>
        <v>#DIV/0!</v>
      </c>
      <c r="K19" s="69">
        <f t="shared" si="5"/>
        <v>0</v>
      </c>
      <c r="L19" s="49">
        <f t="shared" si="5"/>
        <v>0</v>
      </c>
      <c r="M19" s="70" t="e">
        <f t="shared" si="1"/>
        <v>#DIV/0!</v>
      </c>
      <c r="N19" s="60">
        <f t="shared" ref="N19:P19" si="6">SUM(N11:N18)</f>
        <v>0</v>
      </c>
      <c r="O19" s="49">
        <f t="shared" si="6"/>
        <v>0</v>
      </c>
      <c r="P19" s="70">
        <f t="shared" si="6"/>
        <v>0</v>
      </c>
    </row>
    <row r="20" spans="2:16" ht="17" hidden="1" thickBot="1" x14ac:dyDescent="0.5">
      <c r="B20" s="5">
        <f>B18+1</f>
        <v>16</v>
      </c>
      <c r="C20" s="132"/>
      <c r="D20" s="93"/>
      <c r="E20" s="44" t="s">
        <v>26</v>
      </c>
      <c r="F20" s="93"/>
      <c r="G20" s="25" t="s">
        <v>27</v>
      </c>
      <c r="H20" s="67"/>
      <c r="I20" s="41"/>
      <c r="J20" s="68" t="e">
        <f t="shared" si="0"/>
        <v>#DIV/0!</v>
      </c>
      <c r="K20" s="67"/>
      <c r="L20" s="41"/>
      <c r="M20" s="68" t="e">
        <f t="shared" si="1"/>
        <v>#DIV/0!</v>
      </c>
      <c r="N20" s="59"/>
      <c r="O20" s="41"/>
      <c r="P20" s="68"/>
    </row>
    <row r="21" spans="2:16" ht="17" hidden="1" thickBot="1" x14ac:dyDescent="0.5">
      <c r="B21" s="5">
        <f t="shared" si="2"/>
        <v>17</v>
      </c>
      <c r="C21" s="132"/>
      <c r="D21" s="93"/>
      <c r="E21" s="43"/>
      <c r="F21" s="93"/>
      <c r="G21" s="25" t="s">
        <v>26</v>
      </c>
      <c r="H21" s="67"/>
      <c r="I21" s="41"/>
      <c r="J21" s="68" t="e">
        <f t="shared" si="0"/>
        <v>#DIV/0!</v>
      </c>
      <c r="K21" s="67"/>
      <c r="L21" s="41"/>
      <c r="M21" s="68" t="e">
        <f t="shared" si="1"/>
        <v>#DIV/0!</v>
      </c>
      <c r="N21" s="59"/>
      <c r="O21" s="41"/>
      <c r="P21" s="68"/>
    </row>
    <row r="22" spans="2:16" ht="17" hidden="1" thickBot="1" x14ac:dyDescent="0.5">
      <c r="B22" s="5"/>
      <c r="C22" s="132"/>
      <c r="D22" s="93"/>
      <c r="E22" s="42"/>
      <c r="F22" s="93"/>
      <c r="G22" s="45" t="s">
        <v>118</v>
      </c>
      <c r="H22" s="71">
        <f>H21+H20</f>
        <v>0</v>
      </c>
      <c r="I22" s="46">
        <f>I21+I20</f>
        <v>0</v>
      </c>
      <c r="J22" s="72" t="e">
        <f t="shared" si="0"/>
        <v>#DIV/0!</v>
      </c>
      <c r="K22" s="71">
        <f t="shared" ref="K22:L22" si="7">K21+K20</f>
        <v>0</v>
      </c>
      <c r="L22" s="46">
        <f t="shared" si="7"/>
        <v>0</v>
      </c>
      <c r="M22" s="72" t="e">
        <f t="shared" si="1"/>
        <v>#DIV/0!</v>
      </c>
      <c r="N22" s="61">
        <f t="shared" ref="N22:P22" si="8">N21+N20</f>
        <v>0</v>
      </c>
      <c r="O22" s="46">
        <f t="shared" si="8"/>
        <v>0</v>
      </c>
      <c r="P22" s="72">
        <f t="shared" si="8"/>
        <v>0</v>
      </c>
    </row>
    <row r="23" spans="2:16" ht="17" hidden="1" thickBot="1" x14ac:dyDescent="0.5">
      <c r="B23" s="5"/>
      <c r="C23" s="133"/>
      <c r="D23" s="93"/>
      <c r="E23" s="7"/>
      <c r="F23" s="98"/>
      <c r="G23" s="47" t="s">
        <v>119</v>
      </c>
      <c r="H23" s="73">
        <f>H22+H19+H10</f>
        <v>0</v>
      </c>
      <c r="I23" s="48">
        <f t="shared" ref="I23:L23" si="9">I22+I19+I10</f>
        <v>0</v>
      </c>
      <c r="J23" s="74" t="e">
        <f t="shared" si="0"/>
        <v>#DIV/0!</v>
      </c>
      <c r="K23" s="73">
        <f t="shared" si="9"/>
        <v>0</v>
      </c>
      <c r="L23" s="48">
        <f t="shared" si="9"/>
        <v>0</v>
      </c>
      <c r="M23" s="74" t="e">
        <f t="shared" si="1"/>
        <v>#DIV/0!</v>
      </c>
      <c r="N23" s="62">
        <f t="shared" ref="N23:P23" si="10">N22+N19+N10</f>
        <v>0</v>
      </c>
      <c r="O23" s="48">
        <f t="shared" si="10"/>
        <v>0</v>
      </c>
      <c r="P23" s="74">
        <f t="shared" si="10"/>
        <v>0</v>
      </c>
    </row>
    <row r="24" spans="2:16" ht="15" hidden="1" thickBot="1" x14ac:dyDescent="0.4">
      <c r="B24" s="5">
        <f>B21+1</f>
        <v>18</v>
      </c>
      <c r="C24" s="131" t="s">
        <v>28</v>
      </c>
      <c r="D24" s="93"/>
      <c r="E24" s="114" t="s">
        <v>29</v>
      </c>
      <c r="F24" s="115" t="s">
        <v>30</v>
      </c>
      <c r="G24" s="26" t="s">
        <v>31</v>
      </c>
      <c r="H24" s="67"/>
      <c r="I24" s="41"/>
      <c r="J24" s="68" t="e">
        <f t="shared" si="0"/>
        <v>#DIV/0!</v>
      </c>
      <c r="K24" s="67"/>
      <c r="L24" s="41"/>
      <c r="M24" s="68" t="e">
        <f t="shared" si="1"/>
        <v>#DIV/0!</v>
      </c>
      <c r="N24" s="59"/>
      <c r="O24" s="41"/>
      <c r="P24" s="68"/>
    </row>
    <row r="25" spans="2:16" ht="15" hidden="1" thickBot="1" x14ac:dyDescent="0.4">
      <c r="B25" s="5">
        <f t="shared" si="2"/>
        <v>19</v>
      </c>
      <c r="C25" s="132"/>
      <c r="D25" s="93"/>
      <c r="E25" s="93"/>
      <c r="F25" s="116"/>
      <c r="G25" s="26" t="s">
        <v>32</v>
      </c>
      <c r="H25" s="67"/>
      <c r="I25" s="41"/>
      <c r="J25" s="68" t="e">
        <f t="shared" si="0"/>
        <v>#DIV/0!</v>
      </c>
      <c r="K25" s="67"/>
      <c r="L25" s="41"/>
      <c r="M25" s="68" t="e">
        <f t="shared" si="1"/>
        <v>#DIV/0!</v>
      </c>
      <c r="N25" s="59"/>
      <c r="O25" s="41"/>
      <c r="P25" s="68"/>
    </row>
    <row r="26" spans="2:16" ht="15" hidden="1" thickBot="1" x14ac:dyDescent="0.4">
      <c r="B26" s="5">
        <f t="shared" si="2"/>
        <v>20</v>
      </c>
      <c r="C26" s="132"/>
      <c r="D26" s="93"/>
      <c r="E26" s="94"/>
      <c r="F26" s="117"/>
      <c r="G26" s="27" t="s">
        <v>33</v>
      </c>
      <c r="H26" s="67"/>
      <c r="I26" s="41"/>
      <c r="J26" s="68" t="e">
        <f t="shared" si="0"/>
        <v>#DIV/0!</v>
      </c>
      <c r="K26" s="67"/>
      <c r="L26" s="41"/>
      <c r="M26" s="68" t="e">
        <f t="shared" si="1"/>
        <v>#DIV/0!</v>
      </c>
      <c r="N26" s="59"/>
      <c r="O26" s="41"/>
      <c r="P26" s="68"/>
    </row>
    <row r="27" spans="2:16" ht="17" hidden="1" thickBot="1" x14ac:dyDescent="0.5">
      <c r="B27" s="5"/>
      <c r="C27" s="132"/>
      <c r="D27" s="93"/>
      <c r="E27" s="7"/>
      <c r="F27" s="8"/>
      <c r="G27" s="45" t="s">
        <v>118</v>
      </c>
      <c r="H27" s="69">
        <f>H26+H25+H24</f>
        <v>0</v>
      </c>
      <c r="I27" s="49">
        <f>I26+I25+I24</f>
        <v>0</v>
      </c>
      <c r="J27" s="72" t="e">
        <f t="shared" si="0"/>
        <v>#DIV/0!</v>
      </c>
      <c r="K27" s="69">
        <f t="shared" ref="K27:L27" si="11">K26+K25+K24</f>
        <v>0</v>
      </c>
      <c r="L27" s="49">
        <f t="shared" si="11"/>
        <v>0</v>
      </c>
      <c r="M27" s="72" t="e">
        <f t="shared" si="1"/>
        <v>#DIV/0!</v>
      </c>
      <c r="N27" s="60">
        <f t="shared" ref="N27:P27" si="12">N26+N25+N24</f>
        <v>0</v>
      </c>
      <c r="O27" s="49">
        <f t="shared" si="12"/>
        <v>0</v>
      </c>
      <c r="P27" s="70">
        <f t="shared" si="12"/>
        <v>0</v>
      </c>
    </row>
    <row r="28" spans="2:16" ht="17" hidden="1" thickBot="1" x14ac:dyDescent="0.5">
      <c r="B28" s="5"/>
      <c r="C28" s="6"/>
      <c r="D28" s="94"/>
      <c r="E28" s="7"/>
      <c r="F28" s="8"/>
      <c r="G28" s="50" t="s">
        <v>120</v>
      </c>
      <c r="H28" s="75">
        <f>H27+H23</f>
        <v>0</v>
      </c>
      <c r="I28" s="51">
        <f>I27+I23</f>
        <v>0</v>
      </c>
      <c r="J28" s="74" t="e">
        <f t="shared" si="0"/>
        <v>#DIV/0!</v>
      </c>
      <c r="K28" s="75">
        <f t="shared" ref="K28:L28" si="13">K27+K23</f>
        <v>0</v>
      </c>
      <c r="L28" s="51">
        <f t="shared" si="13"/>
        <v>0</v>
      </c>
      <c r="M28" s="74" t="e">
        <f t="shared" si="1"/>
        <v>#DIV/0!</v>
      </c>
      <c r="N28" s="63">
        <f t="shared" ref="N28:P28" si="14">N27+N23</f>
        <v>0</v>
      </c>
      <c r="O28" s="51">
        <f t="shared" si="14"/>
        <v>0</v>
      </c>
      <c r="P28" s="82">
        <f t="shared" si="14"/>
        <v>0</v>
      </c>
    </row>
    <row r="29" spans="2:16" ht="17" hidden="1" thickBot="1" x14ac:dyDescent="0.5">
      <c r="B29" s="5">
        <f>B26+1</f>
        <v>21</v>
      </c>
      <c r="C29" s="102" t="s">
        <v>34</v>
      </c>
      <c r="D29" s="95" t="s">
        <v>35</v>
      </c>
      <c r="E29" s="95" t="s">
        <v>36</v>
      </c>
      <c r="F29" s="95" t="s">
        <v>37</v>
      </c>
      <c r="G29" s="28" t="s">
        <v>38</v>
      </c>
      <c r="H29" s="67"/>
      <c r="I29" s="41"/>
      <c r="J29" s="68"/>
      <c r="K29" s="67"/>
      <c r="L29" s="41"/>
      <c r="M29" s="68"/>
      <c r="N29" s="59"/>
      <c r="O29" s="41"/>
      <c r="P29" s="68"/>
    </row>
    <row r="30" spans="2:16" ht="17" hidden="1" thickBot="1" x14ac:dyDescent="0.5">
      <c r="B30" s="5">
        <f t="shared" si="2"/>
        <v>22</v>
      </c>
      <c r="C30" s="103"/>
      <c r="D30" s="96"/>
      <c r="E30" s="96"/>
      <c r="F30" s="96"/>
      <c r="G30" s="29" t="s">
        <v>39</v>
      </c>
      <c r="H30" s="67"/>
      <c r="I30" s="41"/>
      <c r="J30" s="68"/>
      <c r="K30" s="67"/>
      <c r="L30" s="41"/>
      <c r="M30" s="68"/>
      <c r="N30" s="59"/>
      <c r="O30" s="41"/>
      <c r="P30" s="68"/>
    </row>
    <row r="31" spans="2:16" ht="17" hidden="1" thickBot="1" x14ac:dyDescent="0.5">
      <c r="B31" s="5">
        <f t="shared" si="2"/>
        <v>23</v>
      </c>
      <c r="C31" s="103"/>
      <c r="D31" s="96"/>
      <c r="E31" s="96"/>
      <c r="F31" s="96"/>
      <c r="G31" s="29" t="s">
        <v>40</v>
      </c>
      <c r="H31" s="67"/>
      <c r="I31" s="41"/>
      <c r="J31" s="68"/>
      <c r="K31" s="67"/>
      <c r="L31" s="41"/>
      <c r="M31" s="68"/>
      <c r="N31" s="59"/>
      <c r="O31" s="41"/>
      <c r="P31" s="68"/>
    </row>
    <row r="32" spans="2:16" ht="17" hidden="1" thickBot="1" x14ac:dyDescent="0.5">
      <c r="B32" s="5">
        <f t="shared" si="2"/>
        <v>24</v>
      </c>
      <c r="C32" s="103"/>
      <c r="D32" s="96"/>
      <c r="E32" s="96"/>
      <c r="F32" s="96"/>
      <c r="G32" s="29" t="s">
        <v>41</v>
      </c>
      <c r="H32" s="67"/>
      <c r="I32" s="41"/>
      <c r="J32" s="68"/>
      <c r="K32" s="67"/>
      <c r="L32" s="41"/>
      <c r="M32" s="68"/>
      <c r="N32" s="59"/>
      <c r="O32" s="41"/>
      <c r="P32" s="68"/>
    </row>
    <row r="33" spans="2:16" ht="17" hidden="1" thickBot="1" x14ac:dyDescent="0.5">
      <c r="B33" s="5">
        <f t="shared" si="2"/>
        <v>25</v>
      </c>
      <c r="C33" s="103"/>
      <c r="D33" s="96"/>
      <c r="E33" s="96"/>
      <c r="F33" s="96"/>
      <c r="G33" s="29" t="s">
        <v>42</v>
      </c>
      <c r="H33" s="67"/>
      <c r="I33" s="41"/>
      <c r="J33" s="68"/>
      <c r="K33" s="67"/>
      <c r="L33" s="41"/>
      <c r="M33" s="68"/>
      <c r="N33" s="59"/>
      <c r="O33" s="41"/>
      <c r="P33" s="68"/>
    </row>
    <row r="34" spans="2:16" ht="17" hidden="1" thickBot="1" x14ac:dyDescent="0.5">
      <c r="B34" s="5">
        <f t="shared" si="2"/>
        <v>26</v>
      </c>
      <c r="C34" s="104"/>
      <c r="D34" s="96"/>
      <c r="E34" s="105"/>
      <c r="F34" s="105"/>
      <c r="G34" s="29" t="s">
        <v>43</v>
      </c>
      <c r="H34" s="67"/>
      <c r="I34" s="41"/>
      <c r="J34" s="68"/>
      <c r="K34" s="67"/>
      <c r="L34" s="41"/>
      <c r="M34" s="68"/>
      <c r="N34" s="59"/>
      <c r="O34" s="41"/>
      <c r="P34" s="68"/>
    </row>
    <row r="35" spans="2:16" ht="17" hidden="1" thickBot="1" x14ac:dyDescent="0.5">
      <c r="B35" s="5"/>
      <c r="C35" s="9"/>
      <c r="D35" s="96"/>
      <c r="E35" s="10"/>
      <c r="F35" s="10"/>
      <c r="G35" s="45" t="s">
        <v>118</v>
      </c>
      <c r="H35" s="69">
        <f>SUM(H29:H34)</f>
        <v>0</v>
      </c>
      <c r="I35" s="49">
        <f>SUM(I29:I34)</f>
        <v>0</v>
      </c>
      <c r="J35" s="70" t="e">
        <f t="shared" ref="J35" si="15">I35/H35</f>
        <v>#DIV/0!</v>
      </c>
      <c r="K35" s="69">
        <f t="shared" ref="K35:L35" si="16">SUM(K29:K34)</f>
        <v>0</v>
      </c>
      <c r="L35" s="49">
        <f t="shared" si="16"/>
        <v>0</v>
      </c>
      <c r="M35" s="70" t="e">
        <f t="shared" ref="M35" si="17">L35/K35</f>
        <v>#DIV/0!</v>
      </c>
      <c r="N35" s="60">
        <f t="shared" ref="N35:P35" si="18">SUM(N29:N34)</f>
        <v>0</v>
      </c>
      <c r="O35" s="49">
        <f t="shared" si="18"/>
        <v>0</v>
      </c>
      <c r="P35" s="70">
        <f t="shared" si="18"/>
        <v>0</v>
      </c>
    </row>
    <row r="36" spans="2:16" ht="17" hidden="1" thickBot="1" x14ac:dyDescent="0.5">
      <c r="B36" s="5">
        <f>B34+1</f>
        <v>27</v>
      </c>
      <c r="C36" s="106" t="s">
        <v>44</v>
      </c>
      <c r="D36" s="96"/>
      <c r="E36" s="108" t="s">
        <v>45</v>
      </c>
      <c r="F36" s="108" t="s">
        <v>46</v>
      </c>
      <c r="G36" s="29" t="s">
        <v>47</v>
      </c>
      <c r="H36" s="67"/>
      <c r="I36" s="41"/>
      <c r="J36" s="68"/>
      <c r="K36" s="67"/>
      <c r="L36" s="41"/>
      <c r="M36" s="68"/>
      <c r="N36" s="59"/>
      <c r="O36" s="41"/>
      <c r="P36" s="68"/>
    </row>
    <row r="37" spans="2:16" ht="17" hidden="1" thickBot="1" x14ac:dyDescent="0.5">
      <c r="B37" s="5">
        <f t="shared" si="2"/>
        <v>28</v>
      </c>
      <c r="C37" s="103"/>
      <c r="D37" s="96"/>
      <c r="E37" s="96"/>
      <c r="F37" s="96"/>
      <c r="G37" s="29" t="s">
        <v>48</v>
      </c>
      <c r="H37" s="67"/>
      <c r="I37" s="41"/>
      <c r="J37" s="68"/>
      <c r="K37" s="67"/>
      <c r="L37" s="41"/>
      <c r="M37" s="68"/>
      <c r="N37" s="59"/>
      <c r="O37" s="41"/>
      <c r="P37" s="68"/>
    </row>
    <row r="38" spans="2:16" ht="17" hidden="1" thickBot="1" x14ac:dyDescent="0.5">
      <c r="B38" s="5">
        <f t="shared" si="2"/>
        <v>29</v>
      </c>
      <c r="C38" s="107"/>
      <c r="D38" s="96"/>
      <c r="E38" s="97"/>
      <c r="F38" s="97"/>
      <c r="G38" s="30" t="s">
        <v>49</v>
      </c>
      <c r="H38" s="67"/>
      <c r="I38" s="41"/>
      <c r="J38" s="68"/>
      <c r="K38" s="67"/>
      <c r="L38" s="41"/>
      <c r="M38" s="68"/>
      <c r="N38" s="59"/>
      <c r="O38" s="41"/>
      <c r="P38" s="68"/>
    </row>
    <row r="39" spans="2:16" ht="17" hidden="1" thickBot="1" x14ac:dyDescent="0.5">
      <c r="B39" s="5"/>
      <c r="C39" s="9"/>
      <c r="D39" s="96"/>
      <c r="E39" s="10"/>
      <c r="F39" s="10"/>
      <c r="G39" s="45" t="s">
        <v>118</v>
      </c>
      <c r="H39" s="69">
        <f>H38+H37+H36</f>
        <v>0</v>
      </c>
      <c r="I39" s="49">
        <f>I38+I37+I36</f>
        <v>0</v>
      </c>
      <c r="J39" s="72" t="e">
        <f t="shared" ref="J39:J40" si="19">I39/H39</f>
        <v>#DIV/0!</v>
      </c>
      <c r="K39" s="69">
        <f t="shared" ref="K39" si="20">K38+K37+K36</f>
        <v>0</v>
      </c>
      <c r="L39" s="49">
        <f t="shared" ref="L39:P39" si="21">L38+L37+L36</f>
        <v>0</v>
      </c>
      <c r="M39" s="72" t="e">
        <f t="shared" ref="M39:M40" si="22">L39/K39</f>
        <v>#DIV/0!</v>
      </c>
      <c r="N39" s="60">
        <f t="shared" si="21"/>
        <v>0</v>
      </c>
      <c r="O39" s="49">
        <f t="shared" si="21"/>
        <v>0</v>
      </c>
      <c r="P39" s="70">
        <f t="shared" si="21"/>
        <v>0</v>
      </c>
    </row>
    <row r="40" spans="2:16" ht="17" hidden="1" thickBot="1" x14ac:dyDescent="0.5">
      <c r="B40" s="5"/>
      <c r="C40" s="9"/>
      <c r="D40" s="97"/>
      <c r="E40" s="10"/>
      <c r="F40" s="10"/>
      <c r="G40" s="50" t="s">
        <v>120</v>
      </c>
      <c r="H40" s="75">
        <f>H39+H35</f>
        <v>0</v>
      </c>
      <c r="I40" s="51">
        <f>I39+I35</f>
        <v>0</v>
      </c>
      <c r="J40" s="74" t="e">
        <f t="shared" si="19"/>
        <v>#DIV/0!</v>
      </c>
      <c r="K40" s="75">
        <f t="shared" ref="K40:L40" si="23">K39+K35</f>
        <v>0</v>
      </c>
      <c r="L40" s="51">
        <f t="shared" si="23"/>
        <v>0</v>
      </c>
      <c r="M40" s="74" t="e">
        <f t="shared" si="22"/>
        <v>#DIV/0!</v>
      </c>
      <c r="N40" s="63">
        <f t="shared" ref="N40:P40" si="24">N39+N35</f>
        <v>0</v>
      </c>
      <c r="O40" s="51">
        <f t="shared" si="24"/>
        <v>0</v>
      </c>
      <c r="P40" s="82">
        <f t="shared" si="24"/>
        <v>0</v>
      </c>
    </row>
    <row r="41" spans="2:16" ht="17" hidden="1" thickBot="1" x14ac:dyDescent="0.5">
      <c r="B41" s="5">
        <f>B38+1</f>
        <v>30</v>
      </c>
      <c r="C41" s="130" t="s">
        <v>50</v>
      </c>
      <c r="D41" s="125" t="s">
        <v>51</v>
      </c>
      <c r="E41" s="125" t="s">
        <v>52</v>
      </c>
      <c r="F41" s="125" t="s">
        <v>53</v>
      </c>
      <c r="G41" s="31" t="s">
        <v>54</v>
      </c>
      <c r="H41" s="67"/>
      <c r="I41" s="41"/>
      <c r="J41" s="68"/>
      <c r="K41" s="67"/>
      <c r="L41" s="41"/>
      <c r="M41" s="68"/>
      <c r="N41" s="59"/>
      <c r="O41" s="41"/>
      <c r="P41" s="68"/>
    </row>
    <row r="42" spans="2:16" ht="17" hidden="1" thickBot="1" x14ac:dyDescent="0.5">
      <c r="B42" s="5">
        <f t="shared" si="2"/>
        <v>31</v>
      </c>
      <c r="C42" s="128"/>
      <c r="D42" s="120"/>
      <c r="E42" s="120"/>
      <c r="F42" s="120"/>
      <c r="G42" s="32" t="s">
        <v>55</v>
      </c>
      <c r="H42" s="67"/>
      <c r="I42" s="41"/>
      <c r="J42" s="68"/>
      <c r="K42" s="67"/>
      <c r="L42" s="41"/>
      <c r="M42" s="68"/>
      <c r="N42" s="59"/>
      <c r="O42" s="41"/>
      <c r="P42" s="68"/>
    </row>
    <row r="43" spans="2:16" ht="17" hidden="1" thickBot="1" x14ac:dyDescent="0.5">
      <c r="B43" s="5">
        <f t="shared" si="2"/>
        <v>32</v>
      </c>
      <c r="C43" s="128"/>
      <c r="D43" s="120"/>
      <c r="E43" s="120"/>
      <c r="F43" s="120"/>
      <c r="G43" s="32" t="s">
        <v>56</v>
      </c>
      <c r="H43" s="67"/>
      <c r="I43" s="41"/>
      <c r="J43" s="68"/>
      <c r="K43" s="67"/>
      <c r="L43" s="41"/>
      <c r="M43" s="68"/>
      <c r="N43" s="59"/>
      <c r="O43" s="41"/>
      <c r="P43" s="68"/>
    </row>
    <row r="44" spans="2:16" ht="17" hidden="1" thickBot="1" x14ac:dyDescent="0.5">
      <c r="B44" s="5"/>
      <c r="C44" s="128"/>
      <c r="D44" s="120"/>
      <c r="E44" s="120"/>
      <c r="F44" s="120"/>
      <c r="G44" s="32"/>
      <c r="H44" s="67"/>
      <c r="I44" s="41"/>
      <c r="J44" s="68"/>
      <c r="K44" s="67"/>
      <c r="L44" s="41"/>
      <c r="M44" s="68"/>
      <c r="N44" s="59"/>
      <c r="O44" s="41"/>
      <c r="P44" s="68"/>
    </row>
    <row r="45" spans="2:16" ht="17" hidden="1" thickBot="1" x14ac:dyDescent="0.5">
      <c r="B45" s="5"/>
      <c r="C45" s="11"/>
      <c r="D45" s="120"/>
      <c r="E45" s="121"/>
      <c r="F45" s="121"/>
      <c r="G45" s="45" t="s">
        <v>118</v>
      </c>
      <c r="H45" s="69">
        <f>SUM(H41:H44)</f>
        <v>0</v>
      </c>
      <c r="I45" s="49">
        <f>SUM(I41:I44)</f>
        <v>0</v>
      </c>
      <c r="J45" s="72" t="e">
        <f t="shared" ref="J45" si="25">I45/H45</f>
        <v>#DIV/0!</v>
      </c>
      <c r="K45" s="69">
        <f t="shared" ref="K45:L45" si="26">SUM(K41:K44)</f>
        <v>0</v>
      </c>
      <c r="L45" s="49">
        <f t="shared" si="26"/>
        <v>0</v>
      </c>
      <c r="M45" s="72" t="e">
        <f t="shared" ref="M45" si="27">L45/K45</f>
        <v>#DIV/0!</v>
      </c>
      <c r="N45" s="60">
        <f t="shared" ref="N45:P45" si="28">SUM(N41:N44)</f>
        <v>0</v>
      </c>
      <c r="O45" s="49">
        <f t="shared" si="28"/>
        <v>0</v>
      </c>
      <c r="P45" s="70">
        <f t="shared" si="28"/>
        <v>0</v>
      </c>
    </row>
    <row r="46" spans="2:16" ht="17" hidden="1" thickBot="1" x14ac:dyDescent="0.5">
      <c r="B46" s="5">
        <f>B43+1</f>
        <v>33</v>
      </c>
      <c r="C46" s="127" t="s">
        <v>57</v>
      </c>
      <c r="D46" s="120"/>
      <c r="E46" s="119" t="s">
        <v>58</v>
      </c>
      <c r="F46" s="119" t="s">
        <v>59</v>
      </c>
      <c r="G46" s="32" t="s">
        <v>60</v>
      </c>
      <c r="H46" s="67"/>
      <c r="I46" s="41"/>
      <c r="J46" s="68"/>
      <c r="K46" s="67"/>
      <c r="L46" s="41"/>
      <c r="M46" s="68"/>
      <c r="N46" s="59"/>
      <c r="O46" s="41"/>
      <c r="P46" s="68"/>
    </row>
    <row r="47" spans="2:16" ht="17" hidden="1" thickBot="1" x14ac:dyDescent="0.5">
      <c r="B47" s="5">
        <f t="shared" si="2"/>
        <v>34</v>
      </c>
      <c r="C47" s="128"/>
      <c r="D47" s="120"/>
      <c r="E47" s="120"/>
      <c r="F47" s="120"/>
      <c r="G47" s="32" t="s">
        <v>61</v>
      </c>
      <c r="H47" s="67"/>
      <c r="I47" s="41"/>
      <c r="J47" s="68"/>
      <c r="K47" s="67"/>
      <c r="L47" s="41"/>
      <c r="M47" s="68"/>
      <c r="N47" s="59"/>
      <c r="O47" s="41"/>
      <c r="P47" s="68"/>
    </row>
    <row r="48" spans="2:16" ht="17" hidden="1" thickBot="1" x14ac:dyDescent="0.5">
      <c r="B48" s="5">
        <f t="shared" si="2"/>
        <v>35</v>
      </c>
      <c r="C48" s="128"/>
      <c r="D48" s="120"/>
      <c r="E48" s="120"/>
      <c r="F48" s="120"/>
      <c r="G48" s="32" t="s">
        <v>62</v>
      </c>
      <c r="H48" s="67"/>
      <c r="I48" s="41"/>
      <c r="J48" s="68"/>
      <c r="K48" s="67"/>
      <c r="L48" s="41"/>
      <c r="M48" s="68"/>
      <c r="N48" s="59"/>
      <c r="O48" s="41"/>
      <c r="P48" s="68"/>
    </row>
    <row r="49" spans="2:16" ht="17" hidden="1" thickBot="1" x14ac:dyDescent="0.5">
      <c r="B49" s="5">
        <f t="shared" si="2"/>
        <v>36</v>
      </c>
      <c r="C49" s="128"/>
      <c r="D49" s="120"/>
      <c r="E49" s="120"/>
      <c r="F49" s="120"/>
      <c r="G49" s="32" t="s">
        <v>63</v>
      </c>
      <c r="H49" s="67"/>
      <c r="I49" s="41"/>
      <c r="J49" s="68"/>
      <c r="K49" s="67"/>
      <c r="L49" s="41"/>
      <c r="M49" s="68"/>
      <c r="N49" s="59"/>
      <c r="O49" s="41"/>
      <c r="P49" s="68"/>
    </row>
    <row r="50" spans="2:16" ht="17" hidden="1" thickBot="1" x14ac:dyDescent="0.5">
      <c r="B50" s="5"/>
      <c r="C50" s="129"/>
      <c r="D50" s="120"/>
      <c r="E50" s="121"/>
      <c r="F50" s="121"/>
      <c r="G50" s="45" t="s">
        <v>118</v>
      </c>
      <c r="H50" s="69">
        <f>SUM(H46:H49)</f>
        <v>0</v>
      </c>
      <c r="I50" s="49">
        <f>SUM(I46:I49)</f>
        <v>0</v>
      </c>
      <c r="J50" s="72" t="e">
        <f t="shared" ref="J50" si="29">I50/H50</f>
        <v>#DIV/0!</v>
      </c>
      <c r="K50" s="69">
        <f t="shared" ref="K50" si="30">SUM(K46:K49)</f>
        <v>0</v>
      </c>
      <c r="L50" s="49">
        <f t="shared" ref="L50:P50" si="31">SUM(L46:L49)</f>
        <v>0</v>
      </c>
      <c r="M50" s="72" t="e">
        <f t="shared" ref="M50" si="32">L50/K50</f>
        <v>#DIV/0!</v>
      </c>
      <c r="N50" s="60">
        <f t="shared" si="31"/>
        <v>0</v>
      </c>
      <c r="O50" s="49">
        <f t="shared" si="31"/>
        <v>0</v>
      </c>
      <c r="P50" s="70">
        <f t="shared" si="31"/>
        <v>0</v>
      </c>
    </row>
    <row r="51" spans="2:16" ht="17" hidden="1" thickBot="1" x14ac:dyDescent="0.5">
      <c r="B51" s="5">
        <f>B49+1</f>
        <v>37</v>
      </c>
      <c r="C51" s="127" t="s">
        <v>64</v>
      </c>
      <c r="D51" s="120"/>
      <c r="E51" s="119" t="s">
        <v>65</v>
      </c>
      <c r="F51" s="119" t="s">
        <v>66</v>
      </c>
      <c r="G51" s="32" t="s">
        <v>67</v>
      </c>
      <c r="H51" s="67"/>
      <c r="I51" s="41"/>
      <c r="J51" s="68"/>
      <c r="K51" s="67"/>
      <c r="L51" s="41"/>
      <c r="M51" s="68"/>
      <c r="N51" s="59"/>
      <c r="O51" s="41"/>
      <c r="P51" s="68"/>
    </row>
    <row r="52" spans="2:16" ht="17" hidden="1" thickBot="1" x14ac:dyDescent="0.5">
      <c r="B52" s="5">
        <f t="shared" si="2"/>
        <v>38</v>
      </c>
      <c r="C52" s="128"/>
      <c r="D52" s="120"/>
      <c r="E52" s="120"/>
      <c r="F52" s="120"/>
      <c r="G52" s="32" t="s">
        <v>68</v>
      </c>
      <c r="H52" s="67"/>
      <c r="I52" s="41"/>
      <c r="J52" s="68"/>
      <c r="K52" s="67"/>
      <c r="L52" s="41"/>
      <c r="M52" s="68"/>
      <c r="N52" s="59"/>
      <c r="O52" s="41"/>
      <c r="P52" s="68"/>
    </row>
    <row r="53" spans="2:16" ht="17" hidden="1" thickBot="1" x14ac:dyDescent="0.5">
      <c r="B53" s="5">
        <f t="shared" si="2"/>
        <v>39</v>
      </c>
      <c r="C53" s="128"/>
      <c r="D53" s="120"/>
      <c r="E53" s="120"/>
      <c r="F53" s="120"/>
      <c r="G53" s="32" t="s">
        <v>69</v>
      </c>
      <c r="H53" s="67"/>
      <c r="I53" s="41"/>
      <c r="J53" s="68"/>
      <c r="K53" s="67"/>
      <c r="L53" s="41"/>
      <c r="M53" s="68"/>
      <c r="N53" s="59"/>
      <c r="O53" s="41"/>
      <c r="P53" s="68"/>
    </row>
    <row r="54" spans="2:16" ht="17" hidden="1" thickBot="1" x14ac:dyDescent="0.5">
      <c r="B54" s="5">
        <f t="shared" si="2"/>
        <v>40</v>
      </c>
      <c r="C54" s="128"/>
      <c r="D54" s="120"/>
      <c r="E54" s="120"/>
      <c r="F54" s="120"/>
      <c r="G54" s="32" t="s">
        <v>70</v>
      </c>
      <c r="H54" s="67"/>
      <c r="I54" s="41"/>
      <c r="J54" s="68"/>
      <c r="K54" s="67"/>
      <c r="L54" s="41"/>
      <c r="M54" s="68"/>
      <c r="N54" s="59"/>
      <c r="O54" s="41"/>
      <c r="P54" s="68"/>
    </row>
    <row r="55" spans="2:16" ht="17" hidden="1" thickBot="1" x14ac:dyDescent="0.5">
      <c r="B55" s="5"/>
      <c r="C55" s="129"/>
      <c r="D55" s="120"/>
      <c r="E55" s="121"/>
      <c r="F55" s="121"/>
      <c r="G55" s="45" t="s">
        <v>118</v>
      </c>
      <c r="H55" s="69">
        <f>SUM(H51:H54)</f>
        <v>0</v>
      </c>
      <c r="I55" s="49">
        <f>SUM(I51:I54)</f>
        <v>0</v>
      </c>
      <c r="J55" s="72" t="e">
        <f t="shared" ref="J55" si="33">I55/H55</f>
        <v>#DIV/0!</v>
      </c>
      <c r="K55" s="69">
        <f t="shared" ref="K55" si="34">SUM(K51:K54)</f>
        <v>0</v>
      </c>
      <c r="L55" s="49">
        <f t="shared" ref="L55:P55" si="35">SUM(L51:L54)</f>
        <v>0</v>
      </c>
      <c r="M55" s="72" t="e">
        <f t="shared" ref="M55" si="36">L55/K55</f>
        <v>#DIV/0!</v>
      </c>
      <c r="N55" s="60">
        <f t="shared" si="35"/>
        <v>0</v>
      </c>
      <c r="O55" s="49">
        <f t="shared" si="35"/>
        <v>0</v>
      </c>
      <c r="P55" s="70">
        <f t="shared" si="35"/>
        <v>0</v>
      </c>
    </row>
    <row r="56" spans="2:16" ht="17" hidden="1" thickBot="1" x14ac:dyDescent="0.5">
      <c r="B56" s="5">
        <f>B54+1</f>
        <v>41</v>
      </c>
      <c r="C56" s="13" t="s">
        <v>71</v>
      </c>
      <c r="D56" s="120"/>
      <c r="E56" s="119" t="s">
        <v>36</v>
      </c>
      <c r="F56" s="14" t="s">
        <v>72</v>
      </c>
      <c r="G56" s="32" t="s">
        <v>73</v>
      </c>
      <c r="H56" s="67"/>
      <c r="I56" s="41"/>
      <c r="J56" s="68"/>
      <c r="K56" s="67"/>
      <c r="L56" s="41"/>
      <c r="M56" s="68"/>
      <c r="N56" s="59"/>
      <c r="O56" s="41"/>
      <c r="P56" s="68"/>
    </row>
    <row r="57" spans="2:16" ht="17" hidden="1" thickBot="1" x14ac:dyDescent="0.5">
      <c r="B57" s="5">
        <f t="shared" si="2"/>
        <v>42</v>
      </c>
      <c r="C57" s="13" t="s">
        <v>74</v>
      </c>
      <c r="D57" s="120"/>
      <c r="E57" s="120"/>
      <c r="F57" s="14" t="s">
        <v>75</v>
      </c>
      <c r="G57" s="32" t="s">
        <v>76</v>
      </c>
      <c r="H57" s="67"/>
      <c r="I57" s="41"/>
      <c r="J57" s="68"/>
      <c r="K57" s="67"/>
      <c r="L57" s="41"/>
      <c r="M57" s="68"/>
      <c r="N57" s="59"/>
      <c r="O57" s="41"/>
      <c r="P57" s="68"/>
    </row>
    <row r="58" spans="2:16" ht="17" hidden="1" thickBot="1" x14ac:dyDescent="0.5">
      <c r="B58" s="5">
        <f t="shared" si="2"/>
        <v>43</v>
      </c>
      <c r="C58" s="15" t="s">
        <v>77</v>
      </c>
      <c r="D58" s="120"/>
      <c r="E58" s="126"/>
      <c r="F58" s="16" t="s">
        <v>78</v>
      </c>
      <c r="G58" s="33" t="s">
        <v>79</v>
      </c>
      <c r="H58" s="67"/>
      <c r="I58" s="41"/>
      <c r="J58" s="68"/>
      <c r="K58" s="67"/>
      <c r="L58" s="41"/>
      <c r="M58" s="68"/>
      <c r="N58" s="59"/>
      <c r="O58" s="41"/>
      <c r="P58" s="68"/>
    </row>
    <row r="59" spans="2:16" ht="17" hidden="1" thickBot="1" x14ac:dyDescent="0.5">
      <c r="B59" s="5"/>
      <c r="C59" s="53"/>
      <c r="D59" s="120"/>
      <c r="E59" s="12"/>
      <c r="F59" s="12"/>
      <c r="G59" s="45" t="s">
        <v>118</v>
      </c>
      <c r="H59" s="69">
        <f>SUM(H54:H58)</f>
        <v>0</v>
      </c>
      <c r="I59" s="49">
        <f>SUM(I54:I58)</f>
        <v>0</v>
      </c>
      <c r="J59" s="72" t="e">
        <f t="shared" ref="J59:J60" si="37">I59/H59</f>
        <v>#DIV/0!</v>
      </c>
      <c r="K59" s="69">
        <f t="shared" ref="K59" si="38">SUM(K54:K58)</f>
        <v>0</v>
      </c>
      <c r="L59" s="49">
        <f t="shared" ref="L59:P59" si="39">SUM(L54:L58)</f>
        <v>0</v>
      </c>
      <c r="M59" s="72" t="e">
        <f t="shared" ref="M59:M60" si="40">L59/K59</f>
        <v>#DIV/0!</v>
      </c>
      <c r="N59" s="60">
        <f t="shared" si="39"/>
        <v>0</v>
      </c>
      <c r="O59" s="49">
        <f t="shared" si="39"/>
        <v>0</v>
      </c>
      <c r="P59" s="70">
        <f t="shared" si="39"/>
        <v>0</v>
      </c>
    </row>
    <row r="60" spans="2:16" ht="17" hidden="1" thickBot="1" x14ac:dyDescent="0.5">
      <c r="B60" s="5"/>
      <c r="C60" s="53"/>
      <c r="D60" s="126"/>
      <c r="E60" s="12"/>
      <c r="F60" s="12"/>
      <c r="G60" s="50" t="s">
        <v>120</v>
      </c>
      <c r="H60" s="75">
        <f>H59+H55</f>
        <v>0</v>
      </c>
      <c r="I60" s="51">
        <f>I59+I55</f>
        <v>0</v>
      </c>
      <c r="J60" s="74" t="e">
        <f t="shared" si="37"/>
        <v>#DIV/0!</v>
      </c>
      <c r="K60" s="75">
        <f t="shared" ref="K60" si="41">K59+K55</f>
        <v>0</v>
      </c>
      <c r="L60" s="51">
        <f t="shared" ref="L60:P60" si="42">L59+L55</f>
        <v>0</v>
      </c>
      <c r="M60" s="74" t="e">
        <f t="shared" si="40"/>
        <v>#DIV/0!</v>
      </c>
      <c r="N60" s="63">
        <f t="shared" si="42"/>
        <v>0</v>
      </c>
      <c r="O60" s="51">
        <f t="shared" si="42"/>
        <v>0</v>
      </c>
      <c r="P60" s="82">
        <f t="shared" si="42"/>
        <v>0</v>
      </c>
    </row>
    <row r="61" spans="2:16" ht="17" hidden="1" thickBot="1" x14ac:dyDescent="0.5">
      <c r="B61" s="5">
        <f>B58+1</f>
        <v>44</v>
      </c>
      <c r="C61" s="17" t="s">
        <v>80</v>
      </c>
      <c r="D61" s="122" t="s">
        <v>81</v>
      </c>
      <c r="E61" s="122" t="s">
        <v>36</v>
      </c>
      <c r="F61" s="18" t="s">
        <v>82</v>
      </c>
      <c r="G61" s="34" t="s">
        <v>83</v>
      </c>
      <c r="H61" s="67"/>
      <c r="I61" s="41"/>
      <c r="J61" s="68"/>
      <c r="K61" s="67"/>
      <c r="L61" s="41"/>
      <c r="M61" s="68"/>
      <c r="N61" s="59"/>
      <c r="O61" s="41"/>
      <c r="P61" s="68"/>
    </row>
    <row r="62" spans="2:16" ht="17" hidden="1" thickBot="1" x14ac:dyDescent="0.5">
      <c r="B62" s="5">
        <f t="shared" si="2"/>
        <v>45</v>
      </c>
      <c r="C62" s="19" t="s">
        <v>84</v>
      </c>
      <c r="D62" s="123"/>
      <c r="E62" s="123"/>
      <c r="F62" s="21" t="s">
        <v>85</v>
      </c>
      <c r="G62" s="35" t="s">
        <v>86</v>
      </c>
      <c r="H62" s="67"/>
      <c r="I62" s="41"/>
      <c r="J62" s="68"/>
      <c r="K62" s="67"/>
      <c r="L62" s="41"/>
      <c r="M62" s="68"/>
      <c r="N62" s="59"/>
      <c r="O62" s="41"/>
      <c r="P62" s="68"/>
    </row>
    <row r="63" spans="2:16" ht="15" hidden="1" thickBot="1" x14ac:dyDescent="0.4">
      <c r="B63" s="5">
        <f t="shared" si="2"/>
        <v>46</v>
      </c>
      <c r="C63" s="22" t="s">
        <v>87</v>
      </c>
      <c r="D63" s="123"/>
      <c r="E63" s="123"/>
      <c r="F63" s="23" t="s">
        <v>88</v>
      </c>
      <c r="G63" s="36" t="s">
        <v>89</v>
      </c>
      <c r="H63" s="67"/>
      <c r="I63" s="41"/>
      <c r="J63" s="68"/>
      <c r="K63" s="67"/>
      <c r="L63" s="41"/>
      <c r="M63" s="68"/>
      <c r="N63" s="59"/>
      <c r="O63" s="41"/>
      <c r="P63" s="68"/>
    </row>
    <row r="64" spans="2:16" ht="17" hidden="1" thickBot="1" x14ac:dyDescent="0.5">
      <c r="B64" s="5"/>
      <c r="C64" s="52"/>
      <c r="D64" s="124"/>
      <c r="E64" s="124"/>
      <c r="F64" s="20"/>
      <c r="G64" s="90" t="s">
        <v>123</v>
      </c>
      <c r="H64" s="75">
        <f>SUM(H58:H63)</f>
        <v>0</v>
      </c>
      <c r="I64" s="51">
        <f>SUM(I58:I63)</f>
        <v>0</v>
      </c>
      <c r="J64" s="74" t="e">
        <f t="shared" ref="J64" si="43">I64/H64</f>
        <v>#DIV/0!</v>
      </c>
      <c r="K64" s="75">
        <f t="shared" ref="K64" si="44">SUM(K58:K63)</f>
        <v>0</v>
      </c>
      <c r="L64" s="51">
        <f t="shared" ref="L64:P64" si="45">SUM(L58:L63)</f>
        <v>0</v>
      </c>
      <c r="M64" s="74" t="e">
        <f t="shared" ref="M64" si="46">L64/K64</f>
        <v>#DIV/0!</v>
      </c>
      <c r="N64" s="63">
        <f t="shared" si="45"/>
        <v>0</v>
      </c>
      <c r="O64" s="51">
        <f t="shared" si="45"/>
        <v>0</v>
      </c>
      <c r="P64" s="82">
        <f t="shared" si="45"/>
        <v>0</v>
      </c>
    </row>
    <row r="65" spans="2:16" ht="16.5" x14ac:dyDescent="0.45">
      <c r="B65" s="5">
        <f>B63+1</f>
        <v>47</v>
      </c>
      <c r="C65" s="139" t="s">
        <v>90</v>
      </c>
      <c r="D65" s="143" t="s">
        <v>91</v>
      </c>
      <c r="E65" s="118" t="s">
        <v>92</v>
      </c>
      <c r="F65" s="118" t="s">
        <v>129</v>
      </c>
      <c r="G65" s="91" t="s">
        <v>93</v>
      </c>
      <c r="H65" s="59">
        <v>550</v>
      </c>
      <c r="I65" s="41">
        <v>230</v>
      </c>
      <c r="J65" s="68">
        <f>I65/H65*100</f>
        <v>41.818181818181813</v>
      </c>
      <c r="K65" s="67"/>
      <c r="L65" s="41"/>
      <c r="M65" s="68" t="e">
        <f>L65/K65</f>
        <v>#DIV/0!</v>
      </c>
      <c r="N65" s="59"/>
      <c r="O65" s="41"/>
      <c r="P65" s="68"/>
    </row>
    <row r="66" spans="2:16" ht="16.5" x14ac:dyDescent="0.45">
      <c r="B66" s="5">
        <f>B65+1</f>
        <v>48</v>
      </c>
      <c r="C66" s="137"/>
      <c r="D66" s="141"/>
      <c r="E66" s="110"/>
      <c r="F66" s="110"/>
      <c r="G66" s="91" t="s">
        <v>133</v>
      </c>
      <c r="H66" s="59">
        <v>550</v>
      </c>
      <c r="I66" s="41">
        <v>150</v>
      </c>
      <c r="J66" s="68">
        <f t="shared" ref="J66:J76" si="47">I66/H66*100</f>
        <v>27.27272727272727</v>
      </c>
      <c r="K66" s="67"/>
      <c r="L66" s="41"/>
      <c r="M66" s="68" t="e">
        <f t="shared" ref="M66:M97" si="48">L66/K66</f>
        <v>#DIV/0!</v>
      </c>
      <c r="N66" s="59"/>
      <c r="O66" s="41"/>
      <c r="P66" s="68"/>
    </row>
    <row r="67" spans="2:16" ht="16.5" x14ac:dyDescent="0.45">
      <c r="B67" s="5">
        <f>B66+1</f>
        <v>49</v>
      </c>
      <c r="C67" s="137"/>
      <c r="D67" s="141"/>
      <c r="E67" s="110"/>
      <c r="F67" s="110"/>
      <c r="G67" s="91" t="s">
        <v>138</v>
      </c>
      <c r="H67" s="59">
        <v>550</v>
      </c>
      <c r="I67" s="41">
        <v>82</v>
      </c>
      <c r="J67" s="68">
        <f t="shared" si="47"/>
        <v>14.909090909090908</v>
      </c>
      <c r="K67" s="67"/>
      <c r="L67" s="41"/>
      <c r="M67" s="68" t="e">
        <f t="shared" si="48"/>
        <v>#DIV/0!</v>
      </c>
      <c r="N67" s="59"/>
      <c r="O67" s="41"/>
      <c r="P67" s="68"/>
    </row>
    <row r="68" spans="2:16" ht="16.5" x14ac:dyDescent="0.45">
      <c r="B68" s="5">
        <f t="shared" si="2"/>
        <v>50</v>
      </c>
      <c r="C68" s="137"/>
      <c r="D68" s="141"/>
      <c r="E68" s="110"/>
      <c r="F68" s="110"/>
      <c r="G68" s="92" t="s">
        <v>134</v>
      </c>
      <c r="H68" s="59">
        <v>550</v>
      </c>
      <c r="I68" s="41">
        <v>104</v>
      </c>
      <c r="J68" s="68">
        <f t="shared" si="47"/>
        <v>18.90909090909091</v>
      </c>
      <c r="K68" s="67"/>
      <c r="L68" s="41"/>
      <c r="M68" s="68" t="e">
        <f t="shared" si="48"/>
        <v>#DIV/0!</v>
      </c>
      <c r="N68" s="59"/>
      <c r="O68" s="41"/>
      <c r="P68" s="68"/>
    </row>
    <row r="69" spans="2:16" ht="16.5" x14ac:dyDescent="0.45">
      <c r="B69" s="5">
        <f t="shared" si="2"/>
        <v>51</v>
      </c>
      <c r="C69" s="137"/>
      <c r="D69" s="141"/>
      <c r="E69" s="110"/>
      <c r="F69" s="110"/>
      <c r="G69" s="92" t="s">
        <v>139</v>
      </c>
      <c r="H69" s="59">
        <v>550</v>
      </c>
      <c r="I69" s="41">
        <v>20</v>
      </c>
      <c r="J69" s="68">
        <f t="shared" si="47"/>
        <v>3.6363636363636362</v>
      </c>
      <c r="K69" s="67"/>
      <c r="L69" s="41"/>
      <c r="M69" s="68" t="e">
        <f t="shared" si="48"/>
        <v>#DIV/0!</v>
      </c>
      <c r="N69" s="59"/>
      <c r="O69" s="41"/>
      <c r="P69" s="68"/>
    </row>
    <row r="70" spans="2:16" ht="16.5" x14ac:dyDescent="0.45">
      <c r="B70" s="5">
        <f t="shared" si="2"/>
        <v>52</v>
      </c>
      <c r="C70" s="137"/>
      <c r="D70" s="141"/>
      <c r="E70" s="110"/>
      <c r="F70" s="110"/>
      <c r="G70" s="92" t="s">
        <v>144</v>
      </c>
      <c r="H70" s="59">
        <v>550</v>
      </c>
      <c r="I70" s="41"/>
      <c r="J70" s="68">
        <f t="shared" si="47"/>
        <v>0</v>
      </c>
      <c r="K70" s="67"/>
      <c r="L70" s="41"/>
      <c r="M70" s="68" t="e">
        <f t="shared" si="48"/>
        <v>#DIV/0!</v>
      </c>
      <c r="N70" s="59"/>
      <c r="O70" s="41"/>
      <c r="P70" s="68"/>
    </row>
    <row r="71" spans="2:16" ht="16.5" x14ac:dyDescent="0.45">
      <c r="B71" s="5">
        <f t="shared" si="2"/>
        <v>53</v>
      </c>
      <c r="C71" s="137"/>
      <c r="D71" s="141"/>
      <c r="E71" s="110"/>
      <c r="F71" s="110"/>
      <c r="G71" s="91" t="s">
        <v>117</v>
      </c>
      <c r="H71" s="59">
        <v>5000</v>
      </c>
      <c r="I71" s="41">
        <v>1724</v>
      </c>
      <c r="J71" s="68">
        <f t="shared" si="47"/>
        <v>34.479999999999997</v>
      </c>
      <c r="K71" s="67"/>
      <c r="L71" s="41"/>
      <c r="M71" s="68" t="e">
        <f t="shared" si="48"/>
        <v>#DIV/0!</v>
      </c>
      <c r="N71" s="59"/>
      <c r="O71" s="41"/>
      <c r="P71" s="68"/>
    </row>
    <row r="72" spans="2:16" ht="16.5" x14ac:dyDescent="0.45">
      <c r="B72" s="5">
        <f t="shared" si="2"/>
        <v>54</v>
      </c>
      <c r="C72" s="137"/>
      <c r="D72" s="141"/>
      <c r="E72" s="110"/>
      <c r="F72" s="110"/>
      <c r="G72" s="91" t="s">
        <v>140</v>
      </c>
      <c r="H72" s="59">
        <v>750</v>
      </c>
      <c r="I72" s="41"/>
      <c r="J72" s="68">
        <f t="shared" si="47"/>
        <v>0</v>
      </c>
      <c r="K72" s="67"/>
      <c r="L72" s="41"/>
      <c r="M72" s="68" t="e">
        <f t="shared" si="48"/>
        <v>#DIV/0!</v>
      </c>
      <c r="N72" s="59"/>
      <c r="O72" s="41"/>
      <c r="P72" s="68"/>
    </row>
    <row r="73" spans="2:16" ht="16.5" x14ac:dyDescent="0.45">
      <c r="B73" s="5">
        <f t="shared" si="2"/>
        <v>55</v>
      </c>
      <c r="C73" s="137"/>
      <c r="D73" s="141"/>
      <c r="E73" s="110"/>
      <c r="F73" s="110"/>
      <c r="G73" s="37" t="s">
        <v>141</v>
      </c>
      <c r="H73" s="59">
        <v>750</v>
      </c>
      <c r="I73" s="41"/>
      <c r="J73" s="68">
        <f t="shared" si="47"/>
        <v>0</v>
      </c>
      <c r="K73" s="67"/>
      <c r="L73" s="41"/>
      <c r="M73" s="68" t="e">
        <f t="shared" si="48"/>
        <v>#DIV/0!</v>
      </c>
      <c r="N73" s="59"/>
      <c r="O73" s="41"/>
      <c r="P73" s="68"/>
    </row>
    <row r="74" spans="2:16" ht="16.5" x14ac:dyDescent="0.45">
      <c r="B74" s="5"/>
      <c r="C74" s="137"/>
      <c r="D74" s="141"/>
      <c r="E74" s="110"/>
      <c r="F74" s="110"/>
      <c r="G74" s="37" t="s">
        <v>142</v>
      </c>
      <c r="H74" s="59">
        <v>100</v>
      </c>
      <c r="I74" s="41">
        <v>90</v>
      </c>
      <c r="J74" s="68">
        <f t="shared" si="47"/>
        <v>90</v>
      </c>
      <c r="K74" s="67"/>
      <c r="L74" s="41"/>
      <c r="M74" s="68" t="e">
        <f t="shared" si="48"/>
        <v>#DIV/0!</v>
      </c>
      <c r="N74" s="59"/>
      <c r="O74" s="41"/>
      <c r="P74" s="68"/>
    </row>
    <row r="75" spans="2:16" ht="16.5" x14ac:dyDescent="0.45">
      <c r="B75" s="5">
        <f>B73+1</f>
        <v>56</v>
      </c>
      <c r="C75" s="137"/>
      <c r="D75" s="141"/>
      <c r="E75" s="110"/>
      <c r="F75" s="110"/>
      <c r="G75" s="37" t="s">
        <v>143</v>
      </c>
      <c r="H75" s="59">
        <v>100</v>
      </c>
      <c r="I75" s="41">
        <v>100</v>
      </c>
      <c r="J75" s="68">
        <f t="shared" si="47"/>
        <v>100</v>
      </c>
      <c r="K75" s="67"/>
      <c r="L75" s="41"/>
      <c r="M75" s="68" t="e">
        <f t="shared" si="48"/>
        <v>#DIV/0!</v>
      </c>
      <c r="N75" s="59"/>
      <c r="O75" s="41"/>
      <c r="P75" s="68"/>
    </row>
    <row r="76" spans="2:16" ht="16.5" x14ac:dyDescent="0.45">
      <c r="B76" s="5"/>
      <c r="C76" s="137"/>
      <c r="D76" s="141"/>
      <c r="E76" s="111"/>
      <c r="F76" s="111"/>
      <c r="G76" s="45" t="s">
        <v>118</v>
      </c>
      <c r="H76" s="69">
        <f>SUM(H65:H75)</f>
        <v>10000</v>
      </c>
      <c r="I76" s="49">
        <f>SUM(I65:I75)</f>
        <v>2500</v>
      </c>
      <c r="J76" s="70">
        <f t="shared" si="47"/>
        <v>25</v>
      </c>
      <c r="K76" s="69"/>
      <c r="L76" s="49"/>
      <c r="M76" s="70" t="e">
        <f t="shared" si="48"/>
        <v>#DIV/0!</v>
      </c>
      <c r="N76" s="60">
        <f t="shared" ref="N76:P76" si="49">SUM(N65:N75)</f>
        <v>0</v>
      </c>
      <c r="O76" s="49">
        <f t="shared" si="49"/>
        <v>0</v>
      </c>
      <c r="P76" s="70">
        <f t="shared" si="49"/>
        <v>0</v>
      </c>
    </row>
    <row r="77" spans="2:16" ht="16.5" x14ac:dyDescent="0.45">
      <c r="B77" s="5">
        <f>B72+1</f>
        <v>55</v>
      </c>
      <c r="C77" s="137"/>
      <c r="D77" s="141"/>
      <c r="E77" s="109" t="s">
        <v>94</v>
      </c>
      <c r="F77" s="109" t="s">
        <v>95</v>
      </c>
      <c r="G77" s="38" t="s">
        <v>96</v>
      </c>
      <c r="H77" s="67">
        <v>500</v>
      </c>
      <c r="I77" s="41">
        <v>51</v>
      </c>
      <c r="J77" s="85">
        <f t="shared" ref="J75:J97" si="50">I77/H77</f>
        <v>0.10199999999999999</v>
      </c>
      <c r="K77" s="67"/>
      <c r="L77" s="41"/>
      <c r="M77" s="68" t="e">
        <f t="shared" si="48"/>
        <v>#DIV/0!</v>
      </c>
      <c r="N77" s="59"/>
      <c r="O77" s="41"/>
      <c r="P77" s="68"/>
    </row>
    <row r="78" spans="2:16" ht="16.5" x14ac:dyDescent="0.45">
      <c r="B78" s="5">
        <f t="shared" si="2"/>
        <v>56</v>
      </c>
      <c r="C78" s="137"/>
      <c r="D78" s="141"/>
      <c r="E78" s="110"/>
      <c r="F78" s="110"/>
      <c r="G78" s="38" t="s">
        <v>97</v>
      </c>
      <c r="H78" s="67">
        <v>500</v>
      </c>
      <c r="I78" s="41">
        <v>80</v>
      </c>
      <c r="J78" s="85">
        <f t="shared" si="50"/>
        <v>0.16</v>
      </c>
      <c r="K78" s="67"/>
      <c r="L78" s="41"/>
      <c r="M78" s="68" t="e">
        <f t="shared" si="48"/>
        <v>#DIV/0!</v>
      </c>
      <c r="N78" s="59"/>
      <c r="O78" s="41"/>
      <c r="P78" s="68"/>
    </row>
    <row r="79" spans="2:16" ht="16.5" x14ac:dyDescent="0.45">
      <c r="B79" s="5">
        <f t="shared" si="2"/>
        <v>57</v>
      </c>
      <c r="C79" s="137"/>
      <c r="D79" s="141"/>
      <c r="E79" s="110"/>
      <c r="F79" s="110"/>
      <c r="G79" s="38" t="s">
        <v>98</v>
      </c>
      <c r="H79" s="67">
        <v>500</v>
      </c>
      <c r="I79" s="41">
        <v>69</v>
      </c>
      <c r="J79" s="85">
        <f t="shared" si="50"/>
        <v>0.13800000000000001</v>
      </c>
      <c r="K79" s="67"/>
      <c r="L79" s="41"/>
      <c r="M79" s="68" t="e">
        <f t="shared" si="48"/>
        <v>#DIV/0!</v>
      </c>
      <c r="N79" s="59"/>
      <c r="O79" s="41"/>
      <c r="P79" s="68"/>
    </row>
    <row r="80" spans="2:16" ht="16.5" x14ac:dyDescent="0.45">
      <c r="B80" s="5">
        <f t="shared" si="2"/>
        <v>58</v>
      </c>
      <c r="C80" s="137"/>
      <c r="D80" s="141"/>
      <c r="E80" s="110"/>
      <c r="F80" s="110"/>
      <c r="G80" s="38" t="s">
        <v>99</v>
      </c>
      <c r="H80" s="67">
        <v>500</v>
      </c>
      <c r="I80" s="41">
        <v>103</v>
      </c>
      <c r="J80" s="85">
        <f t="shared" si="50"/>
        <v>0.20599999999999999</v>
      </c>
      <c r="K80" s="67"/>
      <c r="L80" s="41"/>
      <c r="M80" s="68" t="e">
        <f t="shared" si="48"/>
        <v>#DIV/0!</v>
      </c>
      <c r="N80" s="59"/>
      <c r="O80" s="41"/>
      <c r="P80" s="68"/>
    </row>
    <row r="81" spans="2:16" ht="16.5" x14ac:dyDescent="0.45">
      <c r="B81" s="5">
        <f t="shared" si="2"/>
        <v>59</v>
      </c>
      <c r="C81" s="137"/>
      <c r="D81" s="141"/>
      <c r="E81" s="110"/>
      <c r="F81" s="110"/>
      <c r="G81" s="38" t="s">
        <v>135</v>
      </c>
      <c r="H81" s="67">
        <v>500</v>
      </c>
      <c r="I81" s="41">
        <v>73</v>
      </c>
      <c r="J81" s="85">
        <f t="shared" si="50"/>
        <v>0.14599999999999999</v>
      </c>
      <c r="K81" s="67"/>
      <c r="L81" s="41"/>
      <c r="M81" s="68" t="e">
        <f t="shared" si="48"/>
        <v>#DIV/0!</v>
      </c>
      <c r="N81" s="59"/>
      <c r="O81" s="41"/>
      <c r="P81" s="68"/>
    </row>
    <row r="82" spans="2:16" ht="16.5" x14ac:dyDescent="0.45">
      <c r="B82" s="5"/>
      <c r="C82" s="137"/>
      <c r="D82" s="141"/>
      <c r="E82" s="111"/>
      <c r="F82" s="111"/>
      <c r="G82" s="45" t="s">
        <v>118</v>
      </c>
      <c r="H82" s="69">
        <f>SUM(H77:H81)</f>
        <v>2500</v>
      </c>
      <c r="I82" s="49">
        <f>SUM(I77:I81)</f>
        <v>376</v>
      </c>
      <c r="J82" s="87">
        <f t="shared" si="50"/>
        <v>0.15040000000000001</v>
      </c>
      <c r="K82" s="69"/>
      <c r="L82" s="49"/>
      <c r="M82" s="72" t="e">
        <f t="shared" si="48"/>
        <v>#DIV/0!</v>
      </c>
      <c r="N82" s="60">
        <f t="shared" ref="N82:P82" si="51">SUM(N77:N81)</f>
        <v>0</v>
      </c>
      <c r="O82" s="49">
        <f t="shared" si="51"/>
        <v>0</v>
      </c>
      <c r="P82" s="70">
        <f t="shared" si="51"/>
        <v>0</v>
      </c>
    </row>
    <row r="83" spans="2:16" ht="16.5" x14ac:dyDescent="0.45">
      <c r="B83" s="5">
        <f>B81+1</f>
        <v>60</v>
      </c>
      <c r="C83" s="137"/>
      <c r="D83" s="141"/>
      <c r="E83" s="109" t="s">
        <v>100</v>
      </c>
      <c r="F83" s="109" t="s">
        <v>101</v>
      </c>
      <c r="G83" s="84" t="s">
        <v>102</v>
      </c>
      <c r="H83" s="67"/>
      <c r="I83" s="41"/>
      <c r="J83" s="68" t="e">
        <f t="shared" si="50"/>
        <v>#DIV/0!</v>
      </c>
      <c r="K83" s="67"/>
      <c r="L83" s="41"/>
      <c r="M83" s="68" t="e">
        <f t="shared" si="48"/>
        <v>#DIV/0!</v>
      </c>
      <c r="N83" s="59"/>
      <c r="O83" s="41"/>
      <c r="P83" s="68"/>
    </row>
    <row r="84" spans="2:16" ht="16.5" x14ac:dyDescent="0.45">
      <c r="B84" s="5">
        <f t="shared" si="2"/>
        <v>61</v>
      </c>
      <c r="C84" s="137"/>
      <c r="D84" s="141"/>
      <c r="E84" s="110"/>
      <c r="F84" s="110"/>
      <c r="G84" s="38" t="s">
        <v>103</v>
      </c>
      <c r="H84" s="67">
        <v>650</v>
      </c>
      <c r="I84" s="41">
        <v>67</v>
      </c>
      <c r="J84" s="86">
        <f t="shared" si="50"/>
        <v>0.10307692307692308</v>
      </c>
      <c r="K84" s="67"/>
      <c r="L84" s="41"/>
      <c r="M84" s="68" t="e">
        <f t="shared" si="48"/>
        <v>#DIV/0!</v>
      </c>
      <c r="N84" s="59"/>
      <c r="O84" s="41"/>
      <c r="P84" s="68"/>
    </row>
    <row r="85" spans="2:16" ht="16.5" x14ac:dyDescent="0.45">
      <c r="B85" s="5">
        <f t="shared" si="2"/>
        <v>62</v>
      </c>
      <c r="C85" s="137"/>
      <c r="D85" s="141"/>
      <c r="E85" s="110"/>
      <c r="F85" s="110"/>
      <c r="G85" s="84" t="s">
        <v>104</v>
      </c>
      <c r="H85" s="67">
        <v>625</v>
      </c>
      <c r="I85" s="41">
        <v>0</v>
      </c>
      <c r="J85" s="86">
        <f t="shared" si="50"/>
        <v>0</v>
      </c>
      <c r="K85" s="67"/>
      <c r="L85" s="41"/>
      <c r="M85" s="68" t="e">
        <f t="shared" si="48"/>
        <v>#DIV/0!</v>
      </c>
      <c r="N85" s="59"/>
      <c r="O85" s="41"/>
      <c r="P85" s="68"/>
    </row>
    <row r="86" spans="2:16" ht="16.5" x14ac:dyDescent="0.45">
      <c r="B86" s="5">
        <f t="shared" si="2"/>
        <v>63</v>
      </c>
      <c r="C86" s="137"/>
      <c r="D86" s="141"/>
      <c r="E86" s="110"/>
      <c r="F86" s="110"/>
      <c r="G86" s="38" t="s">
        <v>105</v>
      </c>
      <c r="H86" s="67">
        <v>625</v>
      </c>
      <c r="I86" s="41">
        <v>71</v>
      </c>
      <c r="J86" s="86">
        <f t="shared" si="50"/>
        <v>0.11360000000000001</v>
      </c>
      <c r="K86" s="67"/>
      <c r="L86" s="41"/>
      <c r="M86" s="68" t="e">
        <f t="shared" si="48"/>
        <v>#DIV/0!</v>
      </c>
      <c r="N86" s="59"/>
      <c r="O86" s="41"/>
      <c r="P86" s="68"/>
    </row>
    <row r="87" spans="2:16" ht="16.5" x14ac:dyDescent="0.45">
      <c r="B87" s="5">
        <f t="shared" si="2"/>
        <v>64</v>
      </c>
      <c r="C87" s="137"/>
      <c r="D87" s="141"/>
      <c r="E87" s="110"/>
      <c r="F87" s="110"/>
      <c r="G87" s="38" t="s">
        <v>136</v>
      </c>
      <c r="H87" s="67">
        <v>600</v>
      </c>
      <c r="I87" s="41">
        <v>75</v>
      </c>
      <c r="J87" s="86">
        <f t="shared" si="50"/>
        <v>0.125</v>
      </c>
      <c r="K87" s="67"/>
      <c r="L87" s="41"/>
      <c r="M87" s="68" t="e">
        <f t="shared" si="48"/>
        <v>#DIV/0!</v>
      </c>
      <c r="N87" s="59"/>
      <c r="O87" s="41"/>
      <c r="P87" s="68"/>
    </row>
    <row r="88" spans="2:16" ht="16.5" x14ac:dyDescent="0.45">
      <c r="B88" s="5">
        <f t="shared" si="2"/>
        <v>65</v>
      </c>
      <c r="C88" s="137"/>
      <c r="D88" s="141"/>
      <c r="E88" s="110"/>
      <c r="F88" s="110"/>
      <c r="G88" s="38"/>
      <c r="H88" s="67"/>
      <c r="I88" s="41"/>
      <c r="J88" s="68" t="e">
        <f t="shared" si="50"/>
        <v>#DIV/0!</v>
      </c>
      <c r="K88" s="67"/>
      <c r="L88" s="41"/>
      <c r="M88" s="68" t="e">
        <f t="shared" si="48"/>
        <v>#DIV/0!</v>
      </c>
      <c r="N88" s="59"/>
      <c r="O88" s="41"/>
      <c r="P88" s="68"/>
    </row>
    <row r="89" spans="2:16" ht="16.5" x14ac:dyDescent="0.45">
      <c r="B89" s="5"/>
      <c r="C89" s="137"/>
      <c r="D89" s="141"/>
      <c r="E89" s="111"/>
      <c r="F89" s="111"/>
      <c r="G89" s="45" t="s">
        <v>118</v>
      </c>
      <c r="H89" s="69">
        <f>SUM(H83:H88)</f>
        <v>2500</v>
      </c>
      <c r="I89" s="49">
        <f>SUM(I83:I88)</f>
        <v>213</v>
      </c>
      <c r="J89" s="87">
        <f t="shared" si="50"/>
        <v>8.5199999999999998E-2</v>
      </c>
      <c r="K89" s="69"/>
      <c r="L89" s="49"/>
      <c r="M89" s="72" t="e">
        <f t="shared" si="48"/>
        <v>#DIV/0!</v>
      </c>
      <c r="N89" s="60">
        <f t="shared" ref="N89:P89" si="52">SUM(N83:N88)</f>
        <v>0</v>
      </c>
      <c r="O89" s="49">
        <f t="shared" si="52"/>
        <v>0</v>
      </c>
      <c r="P89" s="70">
        <f t="shared" si="52"/>
        <v>0</v>
      </c>
    </row>
    <row r="90" spans="2:16" ht="16.5" x14ac:dyDescent="0.45">
      <c r="B90" s="5"/>
      <c r="C90" s="138"/>
      <c r="D90" s="141"/>
      <c r="E90" s="148" t="s">
        <v>122</v>
      </c>
      <c r="F90" s="149"/>
      <c r="G90" s="149"/>
      <c r="H90" s="75"/>
      <c r="I90" s="51"/>
      <c r="J90" s="74" t="e">
        <f t="shared" si="50"/>
        <v>#DIV/0!</v>
      </c>
      <c r="K90" s="75"/>
      <c r="L90" s="51"/>
      <c r="M90" s="74" t="e">
        <f t="shared" si="48"/>
        <v>#DIV/0!</v>
      </c>
      <c r="N90" s="63"/>
      <c r="O90" s="51"/>
      <c r="P90" s="82"/>
    </row>
    <row r="91" spans="2:16" ht="16.5" x14ac:dyDescent="0.45">
      <c r="B91" s="5">
        <f>B88+1</f>
        <v>66</v>
      </c>
      <c r="C91" s="136" t="s">
        <v>106</v>
      </c>
      <c r="D91" s="141"/>
      <c r="E91" s="109" t="s">
        <v>36</v>
      </c>
      <c r="F91" s="144" t="s">
        <v>107</v>
      </c>
      <c r="G91" s="39" t="s">
        <v>108</v>
      </c>
      <c r="H91" s="67">
        <v>500</v>
      </c>
      <c r="I91" s="41"/>
      <c r="J91" s="68">
        <f t="shared" si="50"/>
        <v>0</v>
      </c>
      <c r="K91" s="67"/>
      <c r="L91" s="41"/>
      <c r="M91" s="68" t="e">
        <f t="shared" si="48"/>
        <v>#DIV/0!</v>
      </c>
      <c r="N91" s="59"/>
      <c r="O91" s="41"/>
      <c r="P91" s="68"/>
    </row>
    <row r="92" spans="2:16" ht="16.5" x14ac:dyDescent="0.45">
      <c r="B92" s="5">
        <f t="shared" si="2"/>
        <v>67</v>
      </c>
      <c r="C92" s="137"/>
      <c r="D92" s="141"/>
      <c r="E92" s="110"/>
      <c r="F92" s="145"/>
      <c r="G92" s="39" t="s">
        <v>109</v>
      </c>
      <c r="H92" s="67">
        <v>500</v>
      </c>
      <c r="I92" s="41"/>
      <c r="J92" s="68">
        <f t="shared" si="50"/>
        <v>0</v>
      </c>
      <c r="K92" s="67"/>
      <c r="L92" s="41"/>
      <c r="M92" s="68" t="e">
        <f t="shared" si="48"/>
        <v>#DIV/0!</v>
      </c>
      <c r="N92" s="59"/>
      <c r="O92" s="41"/>
      <c r="P92" s="68"/>
    </row>
    <row r="93" spans="2:16" ht="17" thickBot="1" x14ac:dyDescent="0.5">
      <c r="B93" s="5">
        <f t="shared" si="2"/>
        <v>68</v>
      </c>
      <c r="C93" s="137"/>
      <c r="D93" s="141"/>
      <c r="E93" s="110"/>
      <c r="F93" s="145"/>
      <c r="G93" s="40" t="s">
        <v>110</v>
      </c>
      <c r="H93" s="67">
        <v>500</v>
      </c>
      <c r="I93" s="41"/>
      <c r="J93" s="68">
        <f t="shared" si="50"/>
        <v>0</v>
      </c>
      <c r="K93" s="67"/>
      <c r="L93" s="41"/>
      <c r="M93" s="68" t="e">
        <f t="shared" si="48"/>
        <v>#DIV/0!</v>
      </c>
      <c r="N93" s="59"/>
      <c r="O93" s="41"/>
      <c r="P93" s="68"/>
    </row>
    <row r="94" spans="2:16" ht="16.5" x14ac:dyDescent="0.45">
      <c r="B94" s="5"/>
      <c r="C94" s="138"/>
      <c r="D94" s="141"/>
      <c r="E94" s="111"/>
      <c r="F94" s="146"/>
      <c r="G94" s="45" t="s">
        <v>118</v>
      </c>
      <c r="H94" s="69">
        <f>SUM(H91:H93)</f>
        <v>1500</v>
      </c>
      <c r="I94" s="49">
        <f>SUM(I91:I93)</f>
        <v>0</v>
      </c>
      <c r="J94" s="72">
        <f t="shared" si="50"/>
        <v>0</v>
      </c>
      <c r="K94" s="69"/>
      <c r="L94" s="49"/>
      <c r="M94" s="72" t="e">
        <f t="shared" si="48"/>
        <v>#DIV/0!</v>
      </c>
      <c r="N94" s="60">
        <f t="shared" ref="N94:P94" si="53">SUM(N88:N93)</f>
        <v>0</v>
      </c>
      <c r="O94" s="49">
        <f t="shared" si="53"/>
        <v>0</v>
      </c>
      <c r="P94" s="70">
        <f t="shared" si="53"/>
        <v>0</v>
      </c>
    </row>
    <row r="95" spans="2:16" ht="16.5" x14ac:dyDescent="0.45">
      <c r="B95" s="5">
        <f>B93+1</f>
        <v>69</v>
      </c>
      <c r="C95" s="140" t="s">
        <v>111</v>
      </c>
      <c r="D95" s="141"/>
      <c r="E95" s="147"/>
      <c r="F95" s="142" t="s">
        <v>112</v>
      </c>
      <c r="G95" s="39" t="s">
        <v>121</v>
      </c>
      <c r="H95" s="67">
        <v>500</v>
      </c>
      <c r="I95" s="41"/>
      <c r="J95" s="68">
        <f t="shared" si="50"/>
        <v>0</v>
      </c>
      <c r="K95" s="67"/>
      <c r="L95" s="41"/>
      <c r="M95" s="68" t="e">
        <f t="shared" si="48"/>
        <v>#DIV/0!</v>
      </c>
      <c r="N95" s="59"/>
      <c r="O95" s="41"/>
      <c r="P95" s="68"/>
    </row>
    <row r="96" spans="2:16" ht="16.5" x14ac:dyDescent="0.45">
      <c r="B96" s="5">
        <f t="shared" ref="B96:B97" si="54">B95+1</f>
        <v>70</v>
      </c>
      <c r="C96" s="141"/>
      <c r="D96" s="141"/>
      <c r="E96" s="147"/>
      <c r="F96" s="142"/>
      <c r="G96" s="39" t="s">
        <v>137</v>
      </c>
      <c r="H96" s="67">
        <v>500</v>
      </c>
      <c r="I96" s="41"/>
      <c r="J96" s="68">
        <f t="shared" si="50"/>
        <v>0</v>
      </c>
      <c r="K96" s="67"/>
      <c r="L96" s="41"/>
      <c r="M96" s="68" t="e">
        <f t="shared" si="48"/>
        <v>#DIV/0!</v>
      </c>
      <c r="N96" s="59"/>
      <c r="O96" s="41"/>
      <c r="P96" s="68"/>
    </row>
    <row r="97" spans="1:16" ht="17" thickBot="1" x14ac:dyDescent="0.5">
      <c r="B97" s="5">
        <f t="shared" si="54"/>
        <v>71</v>
      </c>
      <c r="C97" s="141"/>
      <c r="D97" s="141"/>
      <c r="E97" s="147"/>
      <c r="F97" s="142"/>
      <c r="G97" s="40"/>
      <c r="H97" s="67"/>
      <c r="I97" s="41"/>
      <c r="J97" s="68" t="e">
        <f t="shared" si="50"/>
        <v>#DIV/0!</v>
      </c>
      <c r="K97" s="67"/>
      <c r="L97" s="41"/>
      <c r="M97" s="68" t="e">
        <f t="shared" si="48"/>
        <v>#DIV/0!</v>
      </c>
      <c r="N97" s="59"/>
      <c r="O97" s="41"/>
      <c r="P97" s="68"/>
    </row>
    <row r="98" spans="1:16" ht="16.5" x14ac:dyDescent="0.45">
      <c r="C98" s="141"/>
      <c r="D98" s="141"/>
      <c r="E98" s="147"/>
      <c r="F98" s="142"/>
      <c r="G98" s="45" t="s">
        <v>118</v>
      </c>
      <c r="H98" s="69">
        <f>SUM(H95:H97)</f>
        <v>1000</v>
      </c>
      <c r="I98" s="49">
        <f>SUM(I95:I97)</f>
        <v>0</v>
      </c>
      <c r="J98" s="72">
        <f t="shared" ref="J98:J101" si="55">I98/H98</f>
        <v>0</v>
      </c>
      <c r="K98" s="69">
        <f t="shared" ref="K98" si="56">SUM(K93:K97)</f>
        <v>0</v>
      </c>
      <c r="L98" s="49">
        <f t="shared" ref="L98:P98" si="57">SUM(L93:L97)</f>
        <v>0</v>
      </c>
      <c r="M98" s="72" t="e">
        <f t="shared" ref="M98:M99" si="58">L98/K98</f>
        <v>#DIV/0!</v>
      </c>
      <c r="N98" s="60">
        <f t="shared" si="57"/>
        <v>0</v>
      </c>
      <c r="O98" s="49">
        <f t="shared" si="57"/>
        <v>0</v>
      </c>
      <c r="P98" s="70">
        <f t="shared" si="57"/>
        <v>0</v>
      </c>
    </row>
    <row r="99" spans="1:16" ht="16.5" x14ac:dyDescent="0.45">
      <c r="D99" s="141"/>
      <c r="E99" s="148" t="s">
        <v>120</v>
      </c>
      <c r="F99" s="149"/>
      <c r="G99" s="149"/>
      <c r="H99" s="75">
        <f>H98+H94+H89+H82+H76</f>
        <v>17500</v>
      </c>
      <c r="I99" s="51">
        <f>I98+I94+I89+I82+I76</f>
        <v>3089</v>
      </c>
      <c r="J99" s="88">
        <f t="shared" si="55"/>
        <v>0.17651428571428571</v>
      </c>
      <c r="K99" s="75">
        <f t="shared" ref="K99" si="59">K98+K94</f>
        <v>0</v>
      </c>
      <c r="L99" s="51">
        <f t="shared" ref="L99:P99" si="60">L98+L94</f>
        <v>0</v>
      </c>
      <c r="M99" s="74" t="e">
        <f t="shared" si="58"/>
        <v>#DIV/0!</v>
      </c>
      <c r="N99" s="63">
        <f t="shared" si="60"/>
        <v>0</v>
      </c>
      <c r="O99" s="51">
        <f t="shared" si="60"/>
        <v>0</v>
      </c>
      <c r="P99" s="82">
        <f t="shared" si="60"/>
        <v>0</v>
      </c>
    </row>
    <row r="100" spans="1:16" x14ac:dyDescent="0.35">
      <c r="H100" s="76"/>
      <c r="J100" s="77"/>
      <c r="K100" s="76"/>
      <c r="M100" s="77"/>
      <c r="P100" s="77"/>
    </row>
    <row r="101" spans="1:16" ht="15" thickBot="1" x14ac:dyDescent="0.4">
      <c r="A101" s="134" t="s">
        <v>124</v>
      </c>
      <c r="B101" s="135"/>
      <c r="C101" s="135"/>
      <c r="D101" s="135"/>
      <c r="E101" s="135"/>
      <c r="F101" s="135"/>
      <c r="G101" s="135"/>
      <c r="H101" s="78">
        <f>H99+H64+H60+H40</f>
        <v>17500</v>
      </c>
      <c r="I101" s="79">
        <f>I99+I64+I60+I40</f>
        <v>3089</v>
      </c>
      <c r="J101" s="89">
        <f t="shared" si="55"/>
        <v>0.17651428571428571</v>
      </c>
      <c r="K101" s="78">
        <f t="shared" ref="K101:L101" si="61">K99+K64+K60+K40</f>
        <v>0</v>
      </c>
      <c r="L101" s="79">
        <f t="shared" si="61"/>
        <v>0</v>
      </c>
      <c r="M101" s="80" t="e">
        <f t="shared" ref="M101" si="62">L101/K101</f>
        <v>#DIV/0!</v>
      </c>
      <c r="N101" s="83">
        <f t="shared" ref="N101:P101" si="63">N99+N64+N60+N40</f>
        <v>0</v>
      </c>
      <c r="O101" s="79">
        <f t="shared" si="63"/>
        <v>0</v>
      </c>
      <c r="P101" s="80">
        <f t="shared" si="63"/>
        <v>0</v>
      </c>
    </row>
  </sheetData>
  <mergeCells count="48">
    <mergeCell ref="C46:C50"/>
    <mergeCell ref="C41:C44"/>
    <mergeCell ref="C24:C27"/>
    <mergeCell ref="C3:C23"/>
    <mergeCell ref="A101:G101"/>
    <mergeCell ref="C91:C94"/>
    <mergeCell ref="C65:C90"/>
    <mergeCell ref="C95:C98"/>
    <mergeCell ref="C51:C55"/>
    <mergeCell ref="F95:F98"/>
    <mergeCell ref="D65:D99"/>
    <mergeCell ref="E91:E94"/>
    <mergeCell ref="F91:F94"/>
    <mergeCell ref="E95:E98"/>
    <mergeCell ref="E99:G99"/>
    <mergeCell ref="E90:G90"/>
    <mergeCell ref="D61:D64"/>
    <mergeCell ref="D41:D60"/>
    <mergeCell ref="E61:E64"/>
    <mergeCell ref="E56:E58"/>
    <mergeCell ref="F41:F45"/>
    <mergeCell ref="E41:E45"/>
    <mergeCell ref="F77:F82"/>
    <mergeCell ref="E77:E82"/>
    <mergeCell ref="F83:F89"/>
    <mergeCell ref="E83:E89"/>
    <mergeCell ref="N1:P1"/>
    <mergeCell ref="F3:F23"/>
    <mergeCell ref="E11:E18"/>
    <mergeCell ref="E24:E26"/>
    <mergeCell ref="F24:F26"/>
    <mergeCell ref="E65:E76"/>
    <mergeCell ref="F65:F76"/>
    <mergeCell ref="F46:F50"/>
    <mergeCell ref="E46:E50"/>
    <mergeCell ref="F51:F55"/>
    <mergeCell ref="E51:E55"/>
    <mergeCell ref="C29:C34"/>
    <mergeCell ref="E29:E34"/>
    <mergeCell ref="F29:F34"/>
    <mergeCell ref="C36:C38"/>
    <mergeCell ref="E36:E38"/>
    <mergeCell ref="F36:F38"/>
    <mergeCell ref="D3:D28"/>
    <mergeCell ref="D29:D40"/>
    <mergeCell ref="E3:E10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2026-06-23T12:57:41Z</dcterms:modified>
</cp:coreProperties>
</file>