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972E1C4-F93B-4893-9791-678B8A39060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M18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<sst xmlns="http://schemas.openxmlformats.org/spreadsheetml/2006/main" count="1581" uniqueCount="114">
  <si>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</si>
  <si>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</si>
  <si>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</si>
  <si>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</si>
  <si>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</si>
  <si>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</si>
  <si>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</si>
  <si>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</si>
  <si>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</si>
  <si>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</si>
  <si>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</si>
  <si>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</si>
  <si>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</si>
  <si>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</si>
  <si>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</si>
  <si>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</si>
  <si>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</si>
  <si>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</si>
  <si>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</si>
  <si>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</si>
  <si>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</si>
  <si>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</si>
  <si>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</si>
  <si>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</si>
  <si>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</si>
  <si>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</si>
  <si>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</si>
  <si>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</si>
  <si>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</si>
  <si>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</si>
  <si>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</si>
  <si>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</si>
  <si>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</si>
  <si>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</si>
  <si>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</si>
  <si>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</si>
  <si>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</si>
  <si>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</si>
  <si>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</si>
  <si>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</si>
  <si>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</si>
  <si>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</si>
  <si>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</si>
  <si>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</si>
  <si>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</si>
  <si>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</si>
  <si>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</si>
  <si>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</si>
  <si>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</si>
  <si>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</si>
  <si>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</si>
  <si>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</si>
  <si>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</si>
  <si>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</si>
  <si>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</si>
  <si>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</si>
  <si>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</si>
  <si>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</si>
  <si>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</si>
  <si>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</si>
  <si>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</si>
  <si>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</si>
  <si>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</si>
  <si>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</si>
  <si>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</si>
  <si>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</si>
  <si>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</si>
  <si>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</si>
  <si>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</si>
  <si>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</si>
  <si>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</si>
  <si>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</si>
  <si>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</si>
  <si>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</si>
  <si>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</si>
  <si>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</si>
  <si>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</si>
  <si>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</si>
  <si>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</si>
  <si>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</si>
  <si>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</si>
  <si>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</si>
  <si>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</si>
  <si>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</si>
  <si>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</si>
  <si>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</si>
  <si>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</si>
  <si>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</si>
  <si>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</si>
  <si>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</si>
  <si>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</si>
  <si>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</si>
  <si>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</si>
  <si>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</si>
  <si>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</si>
  <si>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</si>
  <si>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</si>
  <si>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</si>
  <si>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</si>
  <si>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</si>
  <si>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</si>
  <si>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</si>
  <si>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</si>
  <si>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</si>
  <si>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</si>
  <si>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</si>
  <si>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BM Store</t>
  </si>
  <si>
    <t>Address: Jalo Park</t>
  </si>
  <si>
    <t>Customer Name : Mian Store</t>
  </si>
  <si>
    <t>Customer Name : Shahid Store</t>
  </si>
  <si>
    <t>Address: Jalo park</t>
  </si>
  <si>
    <t>Customer Name : Kashmir Bakery</t>
  </si>
  <si>
    <t>Shop Bill Summary (Umer)</t>
  </si>
  <si>
    <t>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</si>
</sst>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6" zoomScale="70" zoomScaleNormal="70" workbookViewId="0">
      <selection activeCell="W17" sqref="W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113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112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BM Store</v>
      </c>
      <c r="U14" s="164">
        <f>+'1'!P35</f>
        <v>1625.0552622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Store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58</v>
      </c>
      <c r="I16" s="1">
        <f>(G16*D16)*F16+H16*F16</f>
        <v>3042.8249999999998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243.42599999999999</v>
      </c>
      <c r="M16" s="106">
        <f>I16-K16-L16</f>
        <v>2799.3989999999999</v>
      </c>
      <c r="N16" s="101">
        <f>+'1'!N16+'2'!N16+'4'!N16+'3'!N16+'5'!N16+'6'!N16+'7'!N16+'8'!N16+'9'!N16+'10'!N16</f>
        <v>638.95128</v>
      </c>
      <c r="O16" s="101">
        <f>+'1'!O16+'2'!O16+'4'!O16+'3'!O16+'5'!O16+'6'!O16+'7'!O16+'8'!O16+'9'!O16+'10'!O16</f>
        <v>85.958756999999991</v>
      </c>
      <c r="P16" s="105">
        <f t="shared" ref="P16:P24" si="0">M16+N16+O16</f>
        <v>3524.3090369999995</v>
      </c>
      <c r="Q16" s="108"/>
      <c r="T16" s="163" t="str">
        <f>+'3'!A5</f>
        <v>Customer Name : Shahid Store</v>
      </c>
      <c r="U16" s="164">
        <f>+'4'!P35</f>
        <v>1857.1481872500001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579.18599999999992</v>
      </c>
      <c r="N17" s="101">
        <f>+'1'!N17+'2'!N17+'4'!N17+'3'!N17+'5'!N17+'6'!N17+'7'!N17+'8'!N17+'9'!N17+'10'!N17</f>
        <v>127.42091999999998</v>
      </c>
      <c r="O17" s="101">
        <f>+'1'!O17+'2'!O17+'4'!O17+'3'!O17+'5'!O17+'6'!O17+'7'!O17+'8'!O17+'9'!O17+'10'!O17</f>
        <v>17.665172999999999</v>
      </c>
      <c r="P17" s="120">
        <f t="shared" si="0"/>
        <v>724.27209299999993</v>
      </c>
      <c r="S17" s="64"/>
      <c r="T17" s="163" t="str">
        <f>+'4'!A5</f>
        <v>Customer Name : Kashmir Bakery</v>
      </c>
      <c r="U17" s="164">
        <f>+'3'!P35</f>
        <v>3208.6409452500002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6</v>
      </c>
      <c r="I18" s="1">
        <f t="shared" si="1"/>
        <v>314.77499999999998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25.181999999999999</v>
      </c>
      <c r="M18" s="118">
        <f t="shared" si="2"/>
        <v>289.59299999999996</v>
      </c>
      <c r="N18" s="101">
        <f>+'1'!N18+'2'!N18+'4'!N18+'3'!N18+'5'!N18+'6'!N18+'7'!N18+'8'!N18+'9'!N18+'10'!N18</f>
        <v>63.710459999999991</v>
      </c>
      <c r="O18" s="101">
        <f>+'1'!O18+'2'!O18+'4'!O18+'3'!O18+'5'!O18+'6'!O18+'7'!O18+'8'!O18+'9'!O18+'10'!O18</f>
        <v>8.8325864999999997</v>
      </c>
      <c r="P18" s="120">
        <f t="shared" si="0"/>
        <v>362.13604649999996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</v>
      </c>
      <c r="I19" s="1">
        <f t="shared" si="1"/>
        <v>435.84000000000003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34.867200000000004</v>
      </c>
      <c r="M19" s="118">
        <f t="shared" si="2"/>
        <v>400.97280000000001</v>
      </c>
      <c r="N19" s="101">
        <f>+'1'!N19+'2'!N19+'4'!N19+'3'!N19+'5'!N19+'6'!N19+'7'!N19+'8'!N19+'9'!N19+'10'!N19</f>
        <v>88.214016000000001</v>
      </c>
      <c r="O19" s="101">
        <f>+'1'!O19+'2'!O19+'4'!O19+'3'!O19+'5'!O19+'6'!O19+'7'!O19+'8'!O19+'9'!O19+'10'!O19</f>
        <v>12.229670400000002</v>
      </c>
      <c r="P19" s="120">
        <f t="shared" si="0"/>
        <v>501.4164864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</v>
      </c>
      <c r="I20" s="1">
        <f t="shared" si="1"/>
        <v>435.84000000000003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34.867200000000004</v>
      </c>
      <c r="M20" s="118">
        <f t="shared" si="2"/>
        <v>400.97280000000001</v>
      </c>
      <c r="N20" s="101">
        <f>+'1'!N20+'2'!N20+'4'!N20+'3'!N20+'5'!N20+'6'!N20+'7'!N20+'8'!N20+'9'!N20+'10'!N20</f>
        <v>88.214016000000001</v>
      </c>
      <c r="O20" s="101">
        <f>+'1'!O20+'2'!O20+'4'!O20+'3'!O20+'5'!O20+'6'!O20+'7'!O20+'8'!O20+'9'!O20+'10'!O20</f>
        <v>12.229670400000002</v>
      </c>
      <c r="P20" s="120">
        <f t="shared" si="0"/>
        <v>501.4164864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64</v>
      </c>
      <c r="I22" s="1">
        <f t="shared" si="1"/>
        <v>2510.7200000000003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87.875200000000035</v>
      </c>
      <c r="L22" s="175">
        <f>+'1'!L22+'2'!L22+'4'!L22+'3'!L22+'5'!L22+'6'!L22+'7'!L22+'8'!L22+'9'!L22+'10'!L22</f>
        <v>125.53600000000003</v>
      </c>
      <c r="M22" s="118">
        <f t="shared" si="2"/>
        <v>2297.3088000000002</v>
      </c>
      <c r="N22" s="101">
        <f>+'1'!N22+'2'!N22+'4'!N22+'3'!N22+'5'!N22+'6'!N22+'7'!N22+'8'!N22+'9'!N22+'10'!N22</f>
        <v>505.40793600000006</v>
      </c>
      <c r="O22" s="101">
        <f>+'1'!O22+'2'!O22+'4'!O22+'3'!O22+'5'!O22+'6'!O22+'7'!O22+'8'!O22+'9'!O22+'10'!O22</f>
        <v>70.067918400000011</v>
      </c>
      <c r="P22" s="120">
        <f t="shared" si="0"/>
        <v>2872.7846544000004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3.8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152</v>
      </c>
      <c r="I25" s="178">
        <f t="shared" si="3"/>
        <v>7369.55</v>
      </c>
      <c r="J25" s="177">
        <f t="shared" si="3"/>
        <v>2</v>
      </c>
      <c r="K25" s="178">
        <f t="shared" si="3"/>
        <v>87.875200000000035</v>
      </c>
      <c r="L25" s="179">
        <f t="shared" si="3"/>
        <v>514.24240000000009</v>
      </c>
      <c r="M25" s="141">
        <f t="shared" si="3"/>
        <v>6767.4323999999997</v>
      </c>
      <c r="N25" s="142">
        <f>SUM(N16:N24)</f>
        <v>1511.9186280000001</v>
      </c>
      <c r="O25" s="143">
        <f>SUM(O16:O24)</f>
        <v>206.98377570000002</v>
      </c>
      <c r="P25" s="144">
        <f>SUM(P16:P24)</f>
        <v>8486.3348036999996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8486.3348036999996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7369.55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514.24240000000009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87.875200000000035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6767.4323999999997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1511.9186280000001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8279.3510279999991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206.9837757</v>
      </c>
    </row>
    <row r="39" spans="2:16" ht="15.75" customHeight="1" thickBot="1" x14ac:dyDescent="0.4">
      <c r="N39" s="219" t="s">
        <v>92</v>
      </c>
      <c r="O39" s="220"/>
      <c r="P39" s="160">
        <f>P37+P38</f>
        <v>8486.3348036999996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 t="shared" ref="O16:O24" si="1">(N16+M16)*$O$15</f>
        <v>17.665172999999999</v>
      </c>
      <c r="P16" s="105">
        <f t="shared" ref="P16:P24" si="2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">
        <f t="shared" ref="K17:K21" si="4">I17*$K$13</f>
        <v>0</v>
      </c>
      <c r="L17" s="105">
        <f t="shared" ref="L17:L21" si="5">I17*8%</f>
        <v>25.181999999999999</v>
      </c>
      <c r="M17" s="118">
        <f t="shared" ref="M17:M23" si="6">I17-K17-L17</f>
        <v>289.59299999999996</v>
      </c>
      <c r="N17" s="118">
        <f t="shared" si="0"/>
        <v>63.710459999999991</v>
      </c>
      <c r="O17" s="119">
        <f t="shared" si="1"/>
        <v>8.8325864999999997</v>
      </c>
      <c r="P17" s="120">
        <f t="shared" si="2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13.137734700000003</v>
      </c>
      <c r="P22" s="120">
        <f t="shared" si="2"/>
        <v>538.64712270000007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1415.085</v>
      </c>
      <c r="J25" s="138"/>
      <c r="K25" s="139">
        <f t="shared" si="9"/>
        <v>16.476600000000005</v>
      </c>
      <c r="L25" s="140">
        <f t="shared" si="9"/>
        <v>99.084000000000003</v>
      </c>
      <c r="M25" s="141">
        <f t="shared" si="9"/>
        <v>1299.5243999999998</v>
      </c>
      <c r="N25" s="142">
        <f>SUM(N16:N24)</f>
        <v>285.89536799999996</v>
      </c>
      <c r="O25" s="143">
        <f>SUM(O16:O24)</f>
        <v>39.635494200000004</v>
      </c>
      <c r="P25" s="144">
        <f>SUM(P16:P24)</f>
        <v>1625.0552622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1415.085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99.084000000000003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1299.5244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285.89536799999996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1585.419768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39.635494200000004</v>
      </c>
    </row>
    <row r="35" spans="2:16" ht="15.75" customHeight="1" thickBot="1" x14ac:dyDescent="0.4">
      <c r="N35" s="219" t="s">
        <v>92</v>
      </c>
      <c r="O35" s="220"/>
      <c r="P35" s="160">
        <f>P33+P34</f>
        <v>1625.0552622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52</v>
      </c>
      <c r="I25" s="137">
        <f t="shared" si="9"/>
        <v>2769.7200000000003</v>
      </c>
      <c r="J25" s="138"/>
      <c r="K25" s="139">
        <f t="shared" si="9"/>
        <v>8.2383000000000024</v>
      </c>
      <c r="L25" s="140">
        <f t="shared" si="9"/>
        <v>214.5162</v>
      </c>
      <c r="M25" s="141">
        <f t="shared" si="9"/>
        <v>2546.9654999999998</v>
      </c>
      <c r="N25" s="142">
        <f>SUM(N16:N24)</f>
        <v>583.41590999999994</v>
      </c>
      <c r="O25" s="143">
        <f>SUM(O16:O24)</f>
        <v>78.259535249999999</v>
      </c>
      <c r="P25" s="144">
        <f>SUM(P16:P24)</f>
        <v>3208.6409452499997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2769.7200000000003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214.5162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2546.9655000000002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583.41590999999994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3130.38141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78.259535249999999</v>
      </c>
    </row>
    <row r="35" spans="2:16" ht="15.75" customHeight="1" thickBot="1" x14ac:dyDescent="0.4">
      <c r="N35" s="219" t="s">
        <v>92</v>
      </c>
      <c r="O35" s="220"/>
      <c r="P35" s="160">
        <f>P33+P34</f>
        <v>3208.6409452500002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8.8325864999999997</v>
      </c>
      <c r="P17" s="120">
        <f t="shared" si="1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8.8325864999999997</v>
      </c>
      <c r="P18" s="120">
        <f t="shared" si="1"/>
        <v>362.13604649999996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1615.5450000000001</v>
      </c>
      <c r="J25" s="138"/>
      <c r="K25" s="139">
        <f t="shared" si="9"/>
        <v>8.2383000000000024</v>
      </c>
      <c r="L25" s="140">
        <f t="shared" si="9"/>
        <v>122.18219999999999</v>
      </c>
      <c r="M25" s="141">
        <f t="shared" si="9"/>
        <v>1485.1244999999999</v>
      </c>
      <c r="N25" s="142">
        <f>SUM(N16:N24)</f>
        <v>326.72739000000001</v>
      </c>
      <c r="O25" s="143">
        <f>SUM(O16:O24)</f>
        <v>45.296297250000009</v>
      </c>
      <c r="P25" s="144">
        <f>SUM(P16:P24)</f>
        <v>1857.1481872499999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1615.5450000000001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122.18219999999999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1485.1245000000001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326.72739000000001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1811.8518900000001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45.296297250000009</v>
      </c>
    </row>
    <row r="35" spans="2:16" ht="15.75" customHeight="1" thickBot="1" x14ac:dyDescent="0.4">
      <c r="N35" s="219" t="s">
        <v>92</v>
      </c>
      <c r="O35" s="220"/>
      <c r="P35" s="160">
        <f>P33+P34</f>
        <v>1857.1481872500001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2026-06-23T11:36:33Z</dcterms:modified>
</cp:coreProperties>
</file>