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8929751F-37F9-4211-800C-E9E80366DE09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U16" i="15" l="1"/>
  <c r="T17" i="15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K17" i="25" s="1"/>
  <c r="I18" i="25"/>
  <c r="K18" i="25" s="1"/>
  <c r="I19" i="25"/>
  <c r="I20" i="25"/>
  <c r="L20" i="25" s="1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K16" i="25"/>
  <c r="L16" i="25"/>
  <c r="K24" i="25"/>
  <c r="L22" i="25"/>
  <c r="L17" i="25"/>
  <c r="L23" i="25"/>
  <c r="K23" i="25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25" l="1"/>
  <c r="I25" i="25"/>
  <c r="P28" i="25" s="1"/>
  <c r="K21" i="24"/>
  <c r="K17" i="24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25" l="1"/>
  <c r="P30" i="25" s="1"/>
  <c r="P31" i="25" s="1"/>
  <c r="M19" i="25"/>
  <c r="N19" i="25" s="1"/>
  <c r="O19" i="25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24" i="25"/>
  <c r="P22" i="25"/>
  <c r="P20" i="25"/>
  <c r="M25" i="25"/>
  <c r="N16" i="25"/>
  <c r="P18" i="25"/>
  <c r="P17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P19" i="25"/>
  <c r="P19" i="18"/>
  <c r="M25" i="18"/>
  <c r="M22" i="15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22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<sst xmlns="http://schemas.openxmlformats.org/spreadsheetml/2006/main" count="1585" uniqueCount="129">
  <si>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</si>
  <si>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</si>
  <si>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</si>
  <si>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</si>
  <si>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</si>
  <si>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</si>
  <si>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</si>
  <si>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</si>
  <si>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</si>
  <si>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</si>
  <si>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</si>
  <si>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</si>
  <si>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</si>
  <si>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</si>
  <si>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</si>
  <si>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</si>
  <si>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</si>
  <si>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</si>
  <si>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</si>
  <si>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</si>
  <si>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</si>
  <si>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</si>
  <si>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</si>
  <si>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</si>
  <si>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</si>
  <si>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</si>
  <si>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</si>
  <si>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</si>
  <si>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</si>
  <si>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</si>
  <si>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</si>
  <si>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</si>
  <si>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</si>
  <si>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</si>
  <si>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</si>
  <si>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</si>
  <si>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</si>
  <si>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</si>
  <si>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</si>
  <si>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</si>
  <si>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</si>
  <si>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</si>
  <si>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</si>
  <si>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</si>
  <si>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</si>
  <si>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</si>
  <si>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</si>
  <si>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</si>
  <si>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</si>
  <si>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</si>
  <si>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</si>
  <si>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</si>
  <si>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</si>
  <si>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</si>
  <si>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</si>
  <si>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</si>
  <si>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</si>
  <si>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</si>
  <si>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</si>
  <si>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</si>
  <si>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</si>
  <si>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</si>
  <si>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</si>
  <si>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</si>
  <si>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</si>
  <si>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</si>
  <si>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</si>
  <si>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</si>
  <si>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</si>
  <si>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</si>
  <si>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</si>
  <si>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</si>
  <si>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</si>
  <si>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</si>
  <si>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</si>
  <si>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</si>
  <si>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</si>
  <si>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</si>
  <si>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</si>
  <si>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</si>
  <si>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</si>
  <si>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</si>
  <si>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</si>
  <si>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</si>
  <si>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</si>
  <si>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</si>
  <si>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</si>
  <si>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</si>
  <si>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</si>
  <si>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</si>
  <si>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</si>
  <si>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</si>
  <si>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</si>
  <si>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</si>
  <si>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</si>
  <si>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</si>
  <si>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</si>
  <si>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</si>
  <si>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</si>
  <si>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</si>
  <si>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</si>
  <si>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</si>
  <si>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</si>
  <si>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</si>
  <si>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</si>
  <si>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Zeshan</t>
  </si>
  <si>
    <t>Shop Bill Summary (Zeshan)</t>
  </si>
  <si>
    <t>Customer Name : Khan Store</t>
  </si>
  <si>
    <t>Address: Gulshan Colony</t>
  </si>
  <si>
    <t>Customer Name : Bilal Store</t>
  </si>
  <si>
    <t>Address: Ali park</t>
  </si>
  <si>
    <t>Customer Name : Noman Store</t>
  </si>
  <si>
    <t xml:space="preserve">Customer Name : Raza Mart </t>
  </si>
  <si>
    <t xml:space="preserve">Customer Name : Shery Mart </t>
  </si>
  <si>
    <t>Customer Name : Farhan Store</t>
  </si>
  <si>
    <t>Address: KB Colony</t>
  </si>
  <si>
    <t>Customer Name : Moon Store</t>
  </si>
  <si>
    <t>Address: ali park</t>
  </si>
  <si>
    <t>Customer Name : Euro Store</t>
  </si>
  <si>
    <t>Address: Bedian</t>
  </si>
  <si>
    <t>66161564-4</t>
  </si>
  <si>
    <t xml:space="preserve">Customer Name : Rice Cash &amp; Carry </t>
  </si>
  <si>
    <t>Address: NadraAbad</t>
  </si>
  <si>
    <t>8051595-7</t>
  </si>
  <si>
    <t>Customer Name : Ahmad Mart</t>
  </si>
  <si>
    <t>Address: Ali View</t>
  </si>
  <si>
    <t>4765424-7</t>
  </si>
  <si>
    <t xml:space="preserve">No Cash </t>
  </si>
  <si>
    <t xml:space="preserve">No cash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</si>
</sst>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5" sqref="B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7" zoomScale="70" zoomScaleNormal="70" workbookViewId="0">
      <selection activeCell="S22" sqref="S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105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106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Khan Store</v>
      </c>
      <c r="U14" s="164">
        <f>+'1'!P35</f>
        <v>811.00864875000002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Bilal Store</v>
      </c>
      <c r="U15" s="164">
        <f>+'2'!P35</f>
        <v>448.87260225000006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40</v>
      </c>
      <c r="I16" s="1">
        <f>(G16*D16)*F16+H16*F16</f>
        <v>2098.5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167.88</v>
      </c>
      <c r="M16" s="106">
        <f>I16-K16-L16</f>
        <v>1930.62</v>
      </c>
      <c r="N16" s="101">
        <f>+'1'!N16+'2'!N16+'4'!N16+'3'!N16+'5'!N16+'6'!N16+'7'!N16+'8'!N16+'9'!N16+'10'!N16</f>
        <v>366.3981</v>
      </c>
      <c r="O16" s="101">
        <f>+'1'!O16+'2'!O16+'4'!O16+'3'!O16+'5'!O16+'6'!O16+'7'!O16+'8'!O16+'9'!O16+'10'!O16</f>
        <v>11.485090499999998</v>
      </c>
      <c r="P16" s="105">
        <f t="shared" ref="P16:P24" si="0">M16+N16+O16</f>
        <v>2308.5031904999996</v>
      </c>
      <c r="Q16" s="108"/>
      <c r="T16" s="163" t="str">
        <f>+'3'!A5</f>
        <v>Customer Name : Noman Store</v>
      </c>
      <c r="U16" s="164">
        <f>+'3'!P35</f>
        <v>448.87260225000006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46</v>
      </c>
      <c r="I17" s="1">
        <f t="shared" ref="I17:I23" si="1">(G17*D17)*F17+H17*F17</f>
        <v>2413.2750000000001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193.06199999999998</v>
      </c>
      <c r="M17" s="118">
        <f t="shared" ref="M17:M23" si="2">I17-K17-L17</f>
        <v>2220.2130000000002</v>
      </c>
      <c r="N17" s="101">
        <f>+'1'!N17+'2'!N17+'4'!N17+'3'!N17+'5'!N17+'6'!N17+'7'!N17+'8'!N17+'9'!N17+'10'!N17</f>
        <v>430.10856000000001</v>
      </c>
      <c r="O17" s="101">
        <f>+'1'!O17+'2'!O17+'4'!O17+'3'!O17+'5'!O17+'6'!O17+'7'!O17+'8'!O17+'9'!O17+'10'!O17</f>
        <v>20.317676999999996</v>
      </c>
      <c r="P17" s="120">
        <f t="shared" si="0"/>
        <v>2670.6392370000003</v>
      </c>
      <c r="S17" s="64"/>
      <c r="T17" s="163" t="str">
        <f>+'4'!A5</f>
        <v xml:space="preserve">Customer Name : Raza Mart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80</v>
      </c>
      <c r="I18" s="1">
        <f t="shared" si="1"/>
        <v>4197</v>
      </c>
      <c r="J18" s="172">
        <f>+'1'!J18+'2'!J18+'4'!J18+'3'!J18+'5'!J18+'6'!J18+'7'!J18+'8'!J18+'9'!J18+'10'!J18+'11'!J18+'12'!J18+'13'!J18+'14'!J18+'15'!J18+'16'!J18+'17'!J18+'18'!J18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335.76</v>
      </c>
      <c r="M18" s="118">
        <f t="shared" si="2"/>
        <v>3861.24</v>
      </c>
      <c r="N18" s="101">
        <f>+'1'!N18+'2'!N18+'4'!N18+'3'!N18+'5'!N18+'6'!N18+'7'!N18+'8'!N18+'9'!N18+'10'!N18</f>
        <v>732.7962</v>
      </c>
      <c r="O18" s="101">
        <f>+'1'!O18+'2'!O18+'4'!O18+'3'!O18+'5'!O18+'6'!O18+'7'!O18+'8'!O18+'9'!O18+'10'!O18</f>
        <v>22.970180999999997</v>
      </c>
      <c r="P18" s="120">
        <f t="shared" si="0"/>
        <v>4617.0063809999992</v>
      </c>
      <c r="T18" s="163" t="str">
        <f>+'5'!A5</f>
        <v xml:space="preserve">Customer Name : Shery Mart </v>
      </c>
      <c r="U18" s="164">
        <f>+'5'!P35</f>
        <v>3309.6730752000003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55</v>
      </c>
      <c r="I19" s="1">
        <f t="shared" si="1"/>
        <v>3995.2</v>
      </c>
      <c r="J19" s="172">
        <f>+'1'!J19+'2'!J19+'4'!J19+'3'!J19+'5'!J19+'6'!J19+'7'!J19+'8'!J19+'9'!J19+'10'!J19+'11'!J19+'12'!J19+'13'!J19+'14'!J19+'15'!J19+'16'!J19+'17'!J19+'18'!J19</f>
        <v>3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319.61599999999999</v>
      </c>
      <c r="M19" s="118">
        <f t="shared" si="2"/>
        <v>3675.5839999999998</v>
      </c>
      <c r="N19" s="101">
        <f>+'1'!N19+'2'!N19+'4'!N19+'3'!N19+'5'!N19+'6'!N19+'7'!N19+'8'!N19+'9'!N19+'10'!N19</f>
        <v>743.83359999999993</v>
      </c>
      <c r="O19" s="101">
        <f>+'1'!O19+'2'!O19+'4'!O19+'3'!O19+'5'!O19+'6'!O19+'7'!O19+'8'!O19+'9'!O19+'10'!O19</f>
        <v>22.097087999999999</v>
      </c>
      <c r="P19" s="120">
        <f t="shared" si="0"/>
        <v>4441.5146880000002</v>
      </c>
      <c r="T19" s="163" t="str">
        <f>+'6'!A5</f>
        <v>Customer Name : Farhan Store</v>
      </c>
      <c r="U19" s="164">
        <f>+'6'!P35</f>
        <v>448.87260225000006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50</v>
      </c>
      <c r="I20" s="1">
        <f t="shared" si="1"/>
        <v>3632</v>
      </c>
      <c r="J20" s="172">
        <f>+'1'!J20+'2'!J20+'4'!J20+'3'!J20+'5'!J20+'6'!J20+'7'!J20+'8'!J20+'9'!J20+'10'!J20+'11'!J20+'12'!J20+'13'!J20+'14'!J20+'15'!J20+'16'!J20+'17'!J20+'18'!J20</f>
        <v>3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290.56</v>
      </c>
      <c r="M20" s="118">
        <f t="shared" si="2"/>
        <v>3341.44</v>
      </c>
      <c r="N20" s="101">
        <f>+'1'!N20+'2'!N20+'4'!N20+'3'!N20+'5'!N20+'6'!N20+'7'!N20+'8'!N20+'9'!N20+'10'!N20</f>
        <v>670.32191999999998</v>
      </c>
      <c r="O20" s="101">
        <f>+'1'!O20+'2'!O20+'4'!O20+'3'!O20+'5'!O20+'6'!O20+'7'!O20+'8'!O20+'9'!O20+'10'!O20</f>
        <v>20.0588096</v>
      </c>
      <c r="P20" s="120">
        <f t="shared" si="0"/>
        <v>4031.8207296</v>
      </c>
      <c r="T20" s="163" t="str">
        <f>+'7'!A5</f>
        <v>Customer Name : Moon Store</v>
      </c>
      <c r="U20" s="164">
        <f>+'7'!P35</f>
        <v>448.87260225000006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55</v>
      </c>
      <c r="I21" s="1">
        <f t="shared" si="1"/>
        <v>3995.2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319.61599999999999</v>
      </c>
      <c r="M21" s="118">
        <f t="shared" si="2"/>
        <v>3675.5839999999998</v>
      </c>
      <c r="N21" s="101">
        <f>+'1'!N21+'2'!N21+'4'!N21+'3'!N21+'5'!N21+'6'!N21+'7'!N21+'8'!N21+'9'!N21+'10'!N21</f>
        <v>727.85279999999989</v>
      </c>
      <c r="O21" s="101">
        <f>+'1'!O21+'2'!O21+'4'!O21+'3'!O21+'5'!O21+'6'!O21+'7'!O21+'8'!O21+'9'!O21+'10'!O21</f>
        <v>22.017184</v>
      </c>
      <c r="P21" s="120">
        <f t="shared" si="0"/>
        <v>4425.4539839999998</v>
      </c>
      <c r="T21" s="163" t="str">
        <f>+'8'!A5</f>
        <v>Customer Name : Euro Store</v>
      </c>
      <c r="U21" s="164">
        <f>+'8'!P35</f>
        <v>4617.0063809999992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130</v>
      </c>
      <c r="I22" s="1">
        <f t="shared" si="1"/>
        <v>5099.9000000000005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178.49650000000003</v>
      </c>
      <c r="L22" s="175">
        <f>+'1'!L22+'2'!L22+'4'!L22+'3'!L22+'5'!L22+'6'!L22+'7'!L22+'8'!L22+'9'!L22+'10'!L22</f>
        <v>254.99500000000006</v>
      </c>
      <c r="M22" s="118">
        <f t="shared" si="2"/>
        <v>4666.4085000000005</v>
      </c>
      <c r="N22" s="101">
        <f>+'1'!N22+'2'!N22+'4'!N22+'3'!N22+'5'!N22+'6'!N22+'7'!N22+'8'!N22+'9'!N22+'10'!N22</f>
        <v>911.74443000000008</v>
      </c>
      <c r="O22" s="101">
        <f>+'1'!O22+'2'!O22+'4'!O22+'3'!O22+'5'!O22+'6'!O22+'7'!O22+'8'!O22+'9'!O22+'10'!O22</f>
        <v>71.683213650000013</v>
      </c>
      <c r="P22" s="120">
        <f t="shared" si="0"/>
        <v>5649.8361436499999</v>
      </c>
      <c r="T22" s="163" t="str">
        <f>+'9'!A5</f>
        <v xml:space="preserve">Customer Name : Rice Cash &amp; Carry </v>
      </c>
      <c r="U22" s="164">
        <f>+'9'!P35</f>
        <v>17611.595839800004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Ahmad Mart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11.4</v>
      </c>
      <c r="D25" s="221"/>
      <c r="E25" s="221"/>
      <c r="F25" s="221"/>
      <c r="G25" s="176">
        <f t="shared" ref="G25:M25" si="3">SUM(G16:G24)</f>
        <v>0</v>
      </c>
      <c r="H25" s="177">
        <f t="shared" si="3"/>
        <v>456</v>
      </c>
      <c r="I25" s="178">
        <f t="shared" si="3"/>
        <v>25431.075000000001</v>
      </c>
      <c r="J25" s="177">
        <f t="shared" si="3"/>
        <v>16</v>
      </c>
      <c r="K25" s="178">
        <f t="shared" si="3"/>
        <v>178.49650000000003</v>
      </c>
      <c r="L25" s="179">
        <f t="shared" si="3"/>
        <v>1881.489</v>
      </c>
      <c r="M25" s="141">
        <f t="shared" si="3"/>
        <v>23371.089500000002</v>
      </c>
      <c r="N25" s="142">
        <f>SUM(N16:N24)</f>
        <v>4583.0556099999994</v>
      </c>
      <c r="O25" s="143">
        <f>SUM(O16:O24)</f>
        <v>190.62924375</v>
      </c>
      <c r="P25" s="144">
        <f>SUM(P16:P24)</f>
        <v>28144.774353749999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28144.774353750006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25431.075000000001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1881.489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178.49650000000003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23371.089499999998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4583.0556099999994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27954.145109999998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698.85362774999999</v>
      </c>
    </row>
    <row r="39" spans="2:16" ht="15.75" customHeight="1" thickBot="1" x14ac:dyDescent="0.4">
      <c r="N39" s="219" t="s">
        <v>92</v>
      </c>
      <c r="O39" s="220"/>
      <c r="P39" s="160">
        <f>P37+P38</f>
        <v>28652.998737749997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</v>
      </c>
      <c r="I17" s="116">
        <f t="shared" ref="I17:I23" si="3">(G17*D17)*F17+H17*F17</f>
        <v>314.77499999999998</v>
      </c>
      <c r="J17" s="117"/>
      <c r="K17" s="1">
        <f t="shared" ref="K17:K21" si="4">I17*$K$13</f>
        <v>0</v>
      </c>
      <c r="L17" s="105">
        <f t="shared" ref="L17:L21" si="5">I17*8%</f>
        <v>25.181999999999999</v>
      </c>
      <c r="M17" s="118">
        <f t="shared" ref="M17:M23" si="6">I17-K17-L17</f>
        <v>289.59299999999996</v>
      </c>
      <c r="N17" s="118">
        <f t="shared" si="0"/>
        <v>63.710459999999991</v>
      </c>
      <c r="O17" s="119">
        <f t="shared" si="1"/>
        <v>8.8325864999999997</v>
      </c>
      <c r="P17" s="120">
        <f t="shared" si="2"/>
        <v>362.13604649999996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3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6"/>
        <v>358.95450000000005</v>
      </c>
      <c r="N22" s="118">
        <f t="shared" si="0"/>
        <v>78.96999000000001</v>
      </c>
      <c r="O22" s="119">
        <f t="shared" si="1"/>
        <v>10.948112250000001</v>
      </c>
      <c r="P22" s="120">
        <f t="shared" si="2"/>
        <v>448.87260225000006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16</v>
      </c>
      <c r="I25" s="137">
        <f t="shared" si="9"/>
        <v>707.07500000000005</v>
      </c>
      <c r="J25" s="138"/>
      <c r="K25" s="139">
        <f t="shared" si="9"/>
        <v>13.730500000000003</v>
      </c>
      <c r="L25" s="140">
        <f t="shared" si="9"/>
        <v>44.797000000000004</v>
      </c>
      <c r="M25" s="141">
        <f t="shared" si="9"/>
        <v>648.54750000000001</v>
      </c>
      <c r="N25" s="142">
        <f>SUM(N16:N24)</f>
        <v>142.68045000000001</v>
      </c>
      <c r="O25" s="143">
        <f>SUM(O16:O24)</f>
        <v>19.780698749999999</v>
      </c>
      <c r="P25" s="144">
        <f>SUM(P16:P24)</f>
        <v>811.00864875000002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707.07500000000005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44.797000000000004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648.54750000000001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142.68045000000001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791.22794999999996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19.780698749999999</v>
      </c>
    </row>
    <row r="35" spans="2:16" ht="15.75" customHeight="1" thickBot="1" x14ac:dyDescent="0.4">
      <c r="N35" s="219" t="s">
        <v>92</v>
      </c>
      <c r="O35" s="220"/>
      <c r="P35" s="160">
        <f>P33+P34</f>
        <v>811.00864875000002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110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110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FD37"/>
  <sheetViews>
    <sheetView workbookViewId="0">
      <selection activeCell="L2" sqref="L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1" spans="1:19 16383:16384" x14ac:dyDescent="0.35">
      <c r="L1" t="s">
        <v>127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21882118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110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3310010547887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>
        <v>1</v>
      </c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236.51583999999997</v>
      </c>
      <c r="O19" s="119">
        <f t="shared" si="6"/>
        <v>6.194739199999999</v>
      </c>
      <c r="P19" s="120">
        <f t="shared" si="1"/>
        <v>1245.1425791999998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1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163.00415999999998</v>
      </c>
      <c r="O20" s="119">
        <f t="shared" si="6"/>
        <v>4.1564607999999996</v>
      </c>
      <c r="P20" s="120">
        <f t="shared" si="1"/>
        <v>835.44862079999996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220.53503999999998</v>
      </c>
      <c r="O21" s="119">
        <f t="shared" si="6"/>
        <v>6.1148351999999999</v>
      </c>
      <c r="P21" s="120">
        <f t="shared" si="1"/>
        <v>1229.0818752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232.44799999999998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119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120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3277876197882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>
        <v>4</v>
      </c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732.7962</v>
      </c>
      <c r="O18" s="119">
        <f t="shared" si="6"/>
        <v>22.970180999999997</v>
      </c>
      <c r="P18" s="120">
        <f t="shared" si="1"/>
        <v>4617.0063809999992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4197</v>
      </c>
      <c r="J25" s="138"/>
      <c r="K25" s="139">
        <f t="shared" si="9"/>
        <v>0</v>
      </c>
      <c r="L25" s="140">
        <f t="shared" si="9"/>
        <v>335.76</v>
      </c>
      <c r="M25" s="141">
        <f t="shared" si="9"/>
        <v>3861.24</v>
      </c>
      <c r="N25" s="142">
        <f>SUM(N16:N24)</f>
        <v>732.7962</v>
      </c>
      <c r="O25" s="143">
        <f>SUM(O16:O24)</f>
        <v>22.970180999999997</v>
      </c>
      <c r="P25" s="144">
        <f>SUM(P16:P24)</f>
        <v>4617.0063809999992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4197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335.76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3861.24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732.7962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4594.0361999999996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22.970180999999997</v>
      </c>
    </row>
    <row r="35" spans="2:16" ht="15.75" customHeight="1" thickBot="1" x14ac:dyDescent="0.4">
      <c r="N35" s="219" t="s">
        <v>92</v>
      </c>
      <c r="O35" s="220"/>
      <c r="P35" s="160">
        <f>P33+P34</f>
        <v>4617.0063809999992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I9" sqref="I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122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 t="s">
        <v>123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3277876298868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366.3981</v>
      </c>
      <c r="O16" s="107">
        <f>(N16+M16)*$O$15</f>
        <v>11.485090499999998</v>
      </c>
      <c r="P16" s="105">
        <f t="shared" ref="P16:P24" si="1">M16+N16+O16</f>
        <v>2308.5031904999996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366.3981</v>
      </c>
      <c r="O17" s="119">
        <f t="shared" ref="O17:O24" si="6">(N17+M17)*$O$15</f>
        <v>11.485090499999998</v>
      </c>
      <c r="P17" s="120">
        <f t="shared" si="1"/>
        <v>2308.5031904999996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507.31775999999996</v>
      </c>
      <c r="O20" s="119">
        <f t="shared" si="6"/>
        <v>15.9023488</v>
      </c>
      <c r="P20" s="120">
        <f t="shared" si="1"/>
        <v>3196.3721087999998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15.9023488</v>
      </c>
      <c r="P21" s="120">
        <f t="shared" si="1"/>
        <v>3196.3721087999998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">
        <f>I22*3.5%</f>
        <v>109.84400000000002</v>
      </c>
      <c r="L22" s="120">
        <f>I22*5%</f>
        <v>156.92000000000004</v>
      </c>
      <c r="M22" s="118">
        <f t="shared" si="5"/>
        <v>2871.6360000000004</v>
      </c>
      <c r="N22" s="118">
        <f t="shared" si="0"/>
        <v>516.89448000000004</v>
      </c>
      <c r="O22" s="119">
        <f t="shared" si="6"/>
        <v>16.942652400000004</v>
      </c>
      <c r="P22" s="120">
        <f t="shared" si="1"/>
        <v>3405.4731324000004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280</v>
      </c>
      <c r="I25" s="137">
        <f t="shared" si="9"/>
        <v>16052.2</v>
      </c>
      <c r="J25" s="138"/>
      <c r="K25" s="139">
        <f t="shared" si="9"/>
        <v>109.84400000000002</v>
      </c>
      <c r="L25" s="140">
        <f t="shared" si="9"/>
        <v>1190.0240000000001</v>
      </c>
      <c r="M25" s="141">
        <f t="shared" si="9"/>
        <v>14752.332</v>
      </c>
      <c r="N25" s="142">
        <f>SUM(N16:N24)</f>
        <v>2771.6439599999999</v>
      </c>
      <c r="O25" s="143">
        <f>SUM(O16:O24)</f>
        <v>87.619879799999993</v>
      </c>
      <c r="P25" s="144">
        <f>SUM(P16:P24)</f>
        <v>17611.5958398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16052.2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1190.0240000000001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109.84400000000002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14752.332000000002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2771.6439599999999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17523.975960000003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87.619879800000021</v>
      </c>
    </row>
    <row r="35" spans="2:16" ht="15.75" customHeight="1" thickBot="1" x14ac:dyDescent="0.4">
      <c r="N35" s="219" t="s">
        <v>92</v>
      </c>
      <c r="O35" s="220"/>
      <c r="P35" s="160">
        <f>P33+P34</f>
        <v>17611.595839800004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128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125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126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46196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46195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2026-06-23T12:00:30Z</dcterms:modified>
</cp:coreProperties>
</file>