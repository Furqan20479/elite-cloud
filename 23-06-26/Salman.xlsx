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F649223-25D4-4A65-A468-905341816A3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U17" i="15" l="1"/>
  <c r="U16" i="15"/>
  <c r="T17" i="15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18" l="1"/>
  <c r="M22" i="18" s="1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5" i="19" l="1"/>
  <c r="P30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P22" i="20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<sst xmlns="http://schemas.openxmlformats.org/spreadsheetml/2006/main" count="1580" uniqueCount="115">
  <si>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</si>
  <si>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</si>
  <si>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</si>
  <si>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</si>
  <si>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</si>
  <si>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</si>
  <si>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</si>
  <si>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</si>
  <si>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</si>
  <si>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</si>
  <si>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</si>
  <si>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</si>
  <si>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</si>
  <si>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</si>
  <si>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</si>
  <si>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</si>
  <si>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</si>
  <si>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</si>
  <si>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</si>
  <si>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</si>
  <si>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</si>
  <si>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</si>
  <si>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</si>
  <si>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</si>
  <si>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</si>
  <si>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</si>
  <si>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</si>
  <si>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</si>
  <si>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</si>
  <si>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</si>
  <si>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</si>
  <si>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</si>
  <si>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</si>
  <si>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</si>
  <si>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</si>
  <si>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</si>
  <si>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</si>
  <si>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</si>
  <si>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</si>
  <si>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</si>
  <si>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</si>
  <si>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</si>
  <si>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</si>
  <si>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</si>
  <si>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</si>
  <si>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</si>
  <si>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</si>
  <si>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</si>
  <si>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</si>
  <si>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</si>
  <si>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</si>
  <si>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</si>
  <si>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</si>
  <si>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</si>
  <si>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</si>
  <si>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</si>
  <si>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</si>
  <si>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</si>
  <si>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</si>
  <si>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</si>
  <si>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</si>
  <si>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</si>
  <si>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</si>
  <si>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</si>
  <si>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</si>
  <si>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</si>
  <si>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</si>
  <si>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</si>
  <si>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</si>
  <si>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</si>
  <si>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</si>
  <si>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</si>
  <si>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</si>
  <si>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</si>
  <si>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</si>
  <si>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</si>
  <si>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</si>
  <si>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</si>
  <si>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</si>
  <si>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</si>
  <si>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</si>
  <si>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</si>
  <si>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</si>
  <si>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</si>
  <si>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</si>
  <si>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</si>
  <si>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</si>
  <si>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</si>
  <si>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</si>
  <si>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</si>
  <si>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</si>
  <si>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</si>
  <si>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</si>
  <si>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</si>
  <si>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</si>
  <si>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</si>
  <si>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</si>
  <si>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</si>
  <si>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</si>
  <si>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</si>
  <si>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</si>
  <si>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</si>
  <si>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</si>
  <si>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</si>
  <si>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</si>
  <si>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Salman</t>
  </si>
  <si>
    <t>Shop Bill Summary (Salman)</t>
  </si>
  <si>
    <t>Customer Name : Bake &amp; Bite</t>
  </si>
  <si>
    <t>Address: Main Market</t>
  </si>
  <si>
    <t>Customer Name : Kinza Bakers</t>
  </si>
  <si>
    <t>Customer Name : Munchies Mart</t>
  </si>
  <si>
    <t xml:space="preserve">Address: Main Market </t>
  </si>
  <si>
    <t xml:space="preserve">Customer Name : Ajmar Bakery </t>
  </si>
  <si>
    <t>Customer Name : Hygiene Mart</t>
  </si>
  <si>
    <t>Address: Ghazi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</si>
</sst>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5" sqref="B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0" zoomScale="70" zoomScaleNormal="70" workbookViewId="0">
      <selection activeCell="V34" sqref="V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105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106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Bake &amp; Bite</v>
      </c>
      <c r="U14" s="164">
        <f>+'1'!P35</f>
        <v>2390.3320994999999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Kinza Bakers</v>
      </c>
      <c r="U15" s="164">
        <f>+'2'!P35</f>
        <v>2856.9881614500005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20</v>
      </c>
      <c r="I16" s="1">
        <f>(G16*D16)*F16+H16*F16</f>
        <v>1049.25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83.94</v>
      </c>
      <c r="M16" s="106">
        <f>I16-K16-L16</f>
        <v>965.31</v>
      </c>
      <c r="N16" s="101">
        <f>+'1'!N16+'2'!N16+'4'!N16+'3'!N16+'5'!N16+'6'!N16+'7'!N16+'8'!N16+'9'!N16+'10'!N16</f>
        <v>193.06200000000001</v>
      </c>
      <c r="O16" s="101">
        <f>+'1'!O16+'2'!O16+'4'!O16+'3'!O16+'5'!O16+'6'!O16+'7'!O16+'8'!O16+'9'!O16+'10'!O16</f>
        <v>5.7918599999999998</v>
      </c>
      <c r="P16" s="105">
        <f t="shared" ref="P16:P24" si="0">M16+N16+O16</f>
        <v>1164.1638599999999</v>
      </c>
      <c r="Q16" s="108"/>
      <c r="T16" s="163" t="str">
        <f>+'3'!A5</f>
        <v>Customer Name : Munchies Mart</v>
      </c>
      <c r="U16" s="164">
        <f>+'3'!P35</f>
        <v>3309.6730752000008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20</v>
      </c>
      <c r="I17" s="1">
        <f t="shared" ref="I17:I23" si="1">(G17*D17)*F17+H17*F17</f>
        <v>1049.25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83.94</v>
      </c>
      <c r="M17" s="118">
        <f t="shared" ref="M17:M23" si="2">I17-K17-L17</f>
        <v>965.31</v>
      </c>
      <c r="N17" s="101">
        <f>+'1'!N17+'2'!N17+'4'!N17+'3'!N17+'5'!N17+'6'!N17+'7'!N17+'8'!N17+'9'!N17+'10'!N17</f>
        <v>214.047</v>
      </c>
      <c r="O17" s="101">
        <f>+'1'!O17+'2'!O17+'4'!O17+'3'!O17+'5'!O17+'6'!O17+'7'!O17+'8'!O17+'9'!O17+'10'!O17</f>
        <v>5.8967849999999995</v>
      </c>
      <c r="P17" s="120">
        <f t="shared" si="0"/>
        <v>1185.2537849999999</v>
      </c>
      <c r="S17" s="64"/>
      <c r="T17" s="163" t="str">
        <f>+'4'!A5</f>
        <v xml:space="preserve">Customer Name : Ajmar Bakery </v>
      </c>
      <c r="U17" s="164">
        <f>+'4'!P35</f>
        <v>880.2282249000001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20</v>
      </c>
      <c r="I18" s="1">
        <f t="shared" si="1"/>
        <v>1049.25</v>
      </c>
      <c r="J18" s="172">
        <f>+'1'!J18+'2'!J18+'4'!J18+'3'!J18+'5'!J18+'6'!J18+'7'!J18+'8'!J18+'9'!J18+'10'!J18+'11'!J18+'12'!J18+'13'!J18+'14'!J18+'15'!J18+'16'!J18+'17'!J18+'18'!J18</f>
        <v>1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83.94</v>
      </c>
      <c r="M18" s="118">
        <f t="shared" si="2"/>
        <v>965.31</v>
      </c>
      <c r="N18" s="101">
        <f>+'1'!N18+'2'!N18+'4'!N18+'3'!N18+'5'!N18+'6'!N18+'7'!N18+'8'!N18+'9'!N18+'10'!N18</f>
        <v>223.90995000000001</v>
      </c>
      <c r="O18" s="101">
        <f>+'1'!O18+'2'!O18+'4'!O18+'3'!O18+'5'!O18+'6'!O18+'7'!O18+'8'!O18+'9'!O18+'10'!O18</f>
        <v>5.9460997500000001</v>
      </c>
      <c r="P18" s="120">
        <f t="shared" si="0"/>
        <v>1195.16604975</v>
      </c>
      <c r="T18" s="163" t="str">
        <f>+'5'!A5</f>
        <v>Customer Name : Hygiene Mart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13</v>
      </c>
      <c r="I19" s="1">
        <f t="shared" si="1"/>
        <v>944.32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75.545600000000007</v>
      </c>
      <c r="M19" s="118">
        <f t="shared" si="2"/>
        <v>868.77440000000001</v>
      </c>
      <c r="N19" s="101">
        <f>+'1'!N19+'2'!N19+'4'!N19+'3'!N19+'5'!N19+'6'!N19+'7'!N19+'8'!N19+'9'!N19+'10'!N19</f>
        <v>191.130368</v>
      </c>
      <c r="O19" s="101">
        <f>+'1'!O19+'2'!O19+'4'!O19+'3'!O19+'5'!O19+'6'!O19+'7'!O19+'8'!O19+'9'!O19+'10'!O19</f>
        <v>5.2995238400000009</v>
      </c>
      <c r="P19" s="120">
        <f t="shared" si="0"/>
        <v>1065.20429184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13</v>
      </c>
      <c r="I20" s="1">
        <f t="shared" si="1"/>
        <v>944.32</v>
      </c>
      <c r="J20" s="172">
        <f>+'1'!J20+'2'!J20+'4'!J20+'3'!J20+'5'!J20+'6'!J20+'7'!J20+'8'!J20+'9'!J20+'10'!J20+'11'!J20+'12'!J20+'13'!J20+'14'!J20+'15'!J20+'16'!J20+'17'!J20+'18'!J20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75.545600000000007</v>
      </c>
      <c r="M20" s="118">
        <f t="shared" si="2"/>
        <v>868.77440000000001</v>
      </c>
      <c r="N20" s="101">
        <f>+'1'!N20+'2'!N20+'4'!N20+'3'!N20+'5'!N20+'6'!N20+'7'!N20+'8'!N20+'9'!N20+'10'!N20</f>
        <v>223.09196800000001</v>
      </c>
      <c r="O20" s="101">
        <f>+'1'!O20+'2'!O20+'4'!O20+'3'!O20+'5'!O20+'6'!O20+'7'!O20+'8'!O20+'9'!O20+'10'!O20</f>
        <v>5.4593318399999999</v>
      </c>
      <c r="P20" s="120">
        <f t="shared" si="0"/>
        <v>1097.32569984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14</v>
      </c>
      <c r="I21" s="1">
        <f t="shared" si="1"/>
        <v>1016.96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81.356800000000007</v>
      </c>
      <c r="M21" s="118">
        <f t="shared" si="2"/>
        <v>935.60320000000002</v>
      </c>
      <c r="N21" s="101">
        <f>+'1'!N21+'2'!N21+'4'!N21+'3'!N21+'5'!N21+'6'!N21+'7'!N21+'8'!N21+'9'!N21+'10'!N21</f>
        <v>205.83270400000001</v>
      </c>
      <c r="O21" s="101">
        <f>+'1'!O21+'2'!O21+'4'!O21+'3'!O21+'5'!O21+'6'!O21+'7'!O21+'8'!O21+'9'!O21+'10'!O21</f>
        <v>5.7071795199999995</v>
      </c>
      <c r="P21" s="120">
        <f t="shared" si="0"/>
        <v>1147.1430835199999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60</v>
      </c>
      <c r="I22" s="1">
        <f t="shared" si="1"/>
        <v>2353.8000000000002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82.38300000000001</v>
      </c>
      <c r="L22" s="175">
        <f>+'1'!L22+'2'!L22+'4'!L22+'3'!L22+'5'!L22+'6'!L22+'7'!L22+'8'!L22+'9'!L22+'10'!L22</f>
        <v>117.69000000000003</v>
      </c>
      <c r="M22" s="118">
        <f t="shared" si="2"/>
        <v>2153.7270000000003</v>
      </c>
      <c r="N22" s="101">
        <f>+'1'!N22+'2'!N22+'4'!N22+'3'!N22+'5'!N22+'6'!N22+'7'!N22+'8'!N22+'9'!N22+'10'!N22</f>
        <v>416.38722000000007</v>
      </c>
      <c r="O22" s="101">
        <f>+'1'!O22+'2'!O22+'4'!O22+'3'!O22+'5'!O22+'6'!O22+'7'!O22+'8'!O22+'9'!O22+'10'!O22</f>
        <v>12.850571100000003</v>
      </c>
      <c r="P22" s="120">
        <f t="shared" si="0"/>
        <v>2582.9647911000002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4</v>
      </c>
      <c r="D25" s="221"/>
      <c r="E25" s="221"/>
      <c r="F25" s="221"/>
      <c r="G25" s="176">
        <f t="shared" ref="G25:M25" si="3">SUM(G16:G24)</f>
        <v>0</v>
      </c>
      <c r="H25" s="177">
        <f t="shared" si="3"/>
        <v>160</v>
      </c>
      <c r="I25" s="178">
        <f t="shared" si="3"/>
        <v>8407.1500000000015</v>
      </c>
      <c r="J25" s="177">
        <f t="shared" si="3"/>
        <v>5</v>
      </c>
      <c r="K25" s="178">
        <f t="shared" si="3"/>
        <v>82.38300000000001</v>
      </c>
      <c r="L25" s="179">
        <f t="shared" si="3"/>
        <v>601.95800000000008</v>
      </c>
      <c r="M25" s="141">
        <f t="shared" si="3"/>
        <v>7722.8090000000011</v>
      </c>
      <c r="N25" s="142">
        <f>SUM(N16:N24)</f>
        <v>1667.4612099999999</v>
      </c>
      <c r="O25" s="143">
        <f>SUM(O16:O24)</f>
        <v>46.951351050000007</v>
      </c>
      <c r="P25" s="144">
        <f>SUM(P16:P24)</f>
        <v>9437.2215610499989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9437.2215610500007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8407.1500000000015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601.95800000000008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82.38300000000001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7722.8090000000011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1667.4612099999999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9390.2702100000006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234.75675525000003</v>
      </c>
    </row>
    <row r="39" spans="2:16" ht="15.75" customHeight="1" thickBot="1" x14ac:dyDescent="0.4">
      <c r="N39" s="219" t="s">
        <v>92</v>
      </c>
      <c r="O39" s="220"/>
      <c r="P39" s="160">
        <f>P37+P38</f>
        <v>9625.026965250001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6660458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 t="shared" ref="O16:O24" si="1">(N16+M16)*$O$15</f>
        <v>2.9441954999999997</v>
      </c>
      <c r="P16" s="105">
        <f t="shared" ref="P16:P24" si="2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>
        <v>1</v>
      </c>
      <c r="K17" s="1">
        <f t="shared" ref="K17:K21" si="4">I17*$K$13</f>
        <v>0</v>
      </c>
      <c r="L17" s="105">
        <f t="shared" ref="L17:L21" si="5">I17*8%</f>
        <v>41.97</v>
      </c>
      <c r="M17" s="118">
        <f t="shared" ref="M17:M23" si="6">I17-K17-L17</f>
        <v>482.65499999999997</v>
      </c>
      <c r="N17" s="118">
        <f t="shared" si="0"/>
        <v>117.72585000000001</v>
      </c>
      <c r="O17" s="119">
        <f t="shared" si="1"/>
        <v>3.0019042499999999</v>
      </c>
      <c r="P17" s="120">
        <f t="shared" si="2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3"/>
        <v>1049.25</v>
      </c>
      <c r="J18" s="117">
        <v>1</v>
      </c>
      <c r="K18" s="1">
        <f t="shared" si="4"/>
        <v>0</v>
      </c>
      <c r="L18" s="105">
        <f t="shared" si="5"/>
        <v>83.94</v>
      </c>
      <c r="M18" s="118">
        <f t="shared" si="6"/>
        <v>965.31</v>
      </c>
      <c r="N18" s="118">
        <f t="shared" si="0"/>
        <v>223.90995000000001</v>
      </c>
      <c r="O18" s="119">
        <f t="shared" si="1"/>
        <v>5.9460997500000001</v>
      </c>
      <c r="P18" s="120">
        <f t="shared" si="2"/>
        <v>1195.16604975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2098.5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167.88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1930.62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2378.4398999999999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19" t="s">
        <v>92</v>
      </c>
      <c r="O35" s="220"/>
      <c r="P35" s="160">
        <f>P33+P34</f>
        <v>2390.3320994999999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E5" sqref="E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3520225590257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3520225590257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86.877899999999997</v>
      </c>
      <c r="O16" s="107">
        <f>(N16+M16)*$O$15</f>
        <v>2.8476644999999996</v>
      </c>
      <c r="P16" s="105">
        <f t="shared" ref="P16:P24" si="1">M16+N16+O16</f>
        <v>572.38056449999988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96.321149999999989</v>
      </c>
      <c r="O17" s="119">
        <f t="shared" ref="O17:O24" si="6">(N17+M17)*$O$15</f>
        <v>2.89488075</v>
      </c>
      <c r="P17" s="120">
        <f t="shared" si="1"/>
        <v>581.87103074999993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60</v>
      </c>
      <c r="I25" s="137">
        <f t="shared" si="9"/>
        <v>2618.4500000000003</v>
      </c>
      <c r="J25" s="138"/>
      <c r="K25" s="139">
        <f t="shared" si="9"/>
        <v>54.922000000000011</v>
      </c>
      <c r="L25" s="140">
        <f t="shared" si="9"/>
        <v>162.40000000000003</v>
      </c>
      <c r="M25" s="141">
        <f t="shared" si="9"/>
        <v>2401.1280000000002</v>
      </c>
      <c r="N25" s="142">
        <f>SUM(N16:N24)</f>
        <v>441.64629000000002</v>
      </c>
      <c r="O25" s="143">
        <f>SUM(O16:O24)</f>
        <v>14.213871450000001</v>
      </c>
      <c r="P25" s="144">
        <f>SUM(P16:P24)</f>
        <v>2856.98816145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2618.4500000000003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162.40000000000003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2401.1280000000002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441.64629000000002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2842.7742900000003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14.213871450000001</v>
      </c>
    </row>
    <row r="35" spans="2:16" ht="15.75" customHeight="1" thickBot="1" x14ac:dyDescent="0.4">
      <c r="N35" s="219" t="s">
        <v>92</v>
      </c>
      <c r="O35" s="220"/>
      <c r="P35" s="160">
        <f>P33+P34</f>
        <v>2856.9881614500005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" workbookViewId="0">
      <selection activeCell="H6" sqref="H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3520274993343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">
        <f t="shared" si="3"/>
        <v>0</v>
      </c>
      <c r="L19" s="105">
        <f t="shared" si="4"/>
        <v>75.545600000000007</v>
      </c>
      <c r="M19" s="118">
        <f t="shared" si="5"/>
        <v>868.77440000000001</v>
      </c>
      <c r="N19" s="118">
        <f t="shared" si="0"/>
        <v>191.130368</v>
      </c>
      <c r="O19" s="119">
        <f t="shared" si="6"/>
        <v>5.2995238400000009</v>
      </c>
      <c r="P19" s="120">
        <f t="shared" si="1"/>
        <v>1065.20429184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>
        <v>2</v>
      </c>
      <c r="K20" s="1">
        <f t="shared" si="3"/>
        <v>0</v>
      </c>
      <c r="L20" s="105">
        <f t="shared" si="4"/>
        <v>75.545600000000007</v>
      </c>
      <c r="M20" s="118">
        <f t="shared" si="5"/>
        <v>868.77440000000001</v>
      </c>
      <c r="N20" s="118">
        <f t="shared" si="0"/>
        <v>223.09196800000001</v>
      </c>
      <c r="O20" s="119">
        <f t="shared" si="6"/>
        <v>5.4593318399999999</v>
      </c>
      <c r="P20" s="120">
        <f t="shared" si="1"/>
        <v>1097.32569984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">
        <f t="shared" si="3"/>
        <v>0</v>
      </c>
      <c r="L21" s="105">
        <f t="shared" si="4"/>
        <v>81.356800000000007</v>
      </c>
      <c r="M21" s="118">
        <f t="shared" si="5"/>
        <v>935.60320000000002</v>
      </c>
      <c r="N21" s="118">
        <f t="shared" si="0"/>
        <v>205.83270400000001</v>
      </c>
      <c r="O21" s="119">
        <f t="shared" si="6"/>
        <v>5.7071795199999995</v>
      </c>
      <c r="P21" s="120">
        <f t="shared" si="1"/>
        <v>1147.1430835199999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0</v>
      </c>
      <c r="L25" s="140">
        <f t="shared" si="9"/>
        <v>232.44800000000004</v>
      </c>
      <c r="M25" s="141">
        <f t="shared" si="9"/>
        <v>2673.152</v>
      </c>
      <c r="N25" s="142">
        <f>SUM(N16:N24)</f>
        <v>620.05504000000008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2905.6000000000004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232.44800000000004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620.05504000000008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16.466035200000004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3520129712557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4.3792449000000007</v>
      </c>
      <c r="P22" s="120">
        <f t="shared" si="1"/>
        <v>880.2282249000001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27.461000000000006</v>
      </c>
      <c r="L25" s="140">
        <f t="shared" si="9"/>
        <v>39.230000000000011</v>
      </c>
      <c r="M25" s="141">
        <f t="shared" si="9"/>
        <v>717.90900000000011</v>
      </c>
      <c r="N25" s="142">
        <f>SUM(N16:N24)</f>
        <v>157.93998000000002</v>
      </c>
      <c r="O25" s="143">
        <f>SUM(O16:O24)</f>
        <v>4.3792449000000007</v>
      </c>
      <c r="P25" s="144">
        <f>SUM(P16:P24)</f>
        <v>880.2282249000001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784.60000000000014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39.230000000000011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27.461000000000006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717.90900000000011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157.93998000000002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875.8489800000001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4.3792449000000007</v>
      </c>
    </row>
    <row r="35" spans="2:16" ht="15.75" customHeight="1" thickBot="1" x14ac:dyDescent="0.4">
      <c r="N35" s="219" t="s">
        <v>92</v>
      </c>
      <c r="O35" s="220"/>
      <c r="P35" s="160">
        <f>P33+P34</f>
        <v>880.2282249000001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G11" sqref="G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114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3520116120603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2026-06-24T09:18:16Z</dcterms:modified>
</cp:coreProperties>
</file>