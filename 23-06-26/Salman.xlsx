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4E349EF1-D3EE-40B1-85D6-BA168B3EF155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T17" i="15" l="1"/>
  <c r="T16" i="1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9"/>
  <c r="K21" i="19"/>
  <c r="L21" i="18"/>
  <c r="K21" i="18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2" i="18" l="1"/>
  <c r="M22" i="18" s="1"/>
  <c r="L18" i="17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M16" i="17" s="1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I23" i="15"/>
  <c r="K25" i="19" l="1"/>
  <c r="P30" i="19" s="1"/>
  <c r="K22" i="15"/>
  <c r="M19" i="18"/>
  <c r="N19" i="18" s="1"/>
  <c r="O19" i="18" s="1"/>
  <c r="P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2" i="20" l="1"/>
  <c r="N16" i="18"/>
  <c r="N16" i="15" s="1"/>
  <c r="M18" i="16"/>
  <c r="N18" i="16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<sst xmlns="http://schemas.openxmlformats.org/spreadsheetml/2006/main" count="1580" uniqueCount="115">
  <si>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</si>
  <si>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</si>
  <si>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</si>
  <si>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</si>
  <si>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</si>
  <si>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</si>
  <si>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</si>
  <si>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</si>
  <si>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</si>
  <si>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</si>
  <si>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</si>
  <si>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</si>
  <si>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</si>
  <si>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</si>
  <si>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</si>
  <si>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</si>
  <si>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</si>
  <si>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</si>
  <si>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</si>
  <si>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</si>
  <si>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</si>
  <si>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</si>
  <si>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</si>
  <si>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</si>
  <si>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</si>
  <si>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</si>
  <si>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</si>
  <si>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</si>
  <si>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</si>
  <si>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</si>
  <si>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</si>
  <si>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</si>
  <si>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</si>
  <si>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</si>
  <si>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</si>
  <si>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</si>
  <si>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</si>
  <si>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</si>
  <si>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</si>
  <si>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</si>
  <si>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</si>
  <si>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</si>
  <si>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</si>
  <si>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</si>
  <si>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</si>
  <si>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</si>
  <si>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</si>
  <si>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</si>
  <si>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</si>
  <si>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</si>
  <si>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</si>
  <si>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</si>
  <si>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</si>
  <si>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</si>
  <si>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</si>
  <si>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</si>
  <si>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</si>
  <si>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</si>
  <si>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</si>
  <si>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</si>
  <si>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</si>
  <si>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</si>
  <si>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</si>
  <si>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</si>
  <si>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</si>
  <si>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</si>
  <si>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</si>
  <si>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</si>
  <si>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</si>
  <si>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</si>
  <si>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</si>
  <si>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</si>
  <si>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</si>
  <si>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</si>
  <si>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</si>
  <si>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</si>
  <si>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</si>
  <si>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</si>
  <si>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</si>
  <si>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</si>
  <si>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</si>
  <si>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</si>
  <si>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</si>
  <si>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</si>
  <si>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</si>
  <si>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</si>
  <si>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</si>
  <si>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</si>
  <si>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</si>
  <si>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</si>
  <si>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</si>
  <si>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</si>
  <si>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</si>
  <si>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</si>
  <si>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</si>
  <si>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</si>
  <si>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</si>
  <si>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</si>
  <si>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</si>
  <si>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</si>
  <si>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</si>
  <si>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</si>
  <si>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</si>
  <si>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</si>
  <si>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</si>
  <si>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Salman</t>
  </si>
  <si>
    <t>Shop Bill Summary (Salman)</t>
  </si>
  <si>
    <t>Customer Name : Bake &amp; Bite</t>
  </si>
  <si>
    <t>Address: Main Market</t>
  </si>
  <si>
    <t>Customer Name : Kinza Bakers</t>
  </si>
  <si>
    <t>Customer Name : Munchies Mart</t>
  </si>
  <si>
    <t xml:space="preserve">Address: Main Market </t>
  </si>
  <si>
    <t xml:space="preserve">Customer Name : Ajmar Bakery </t>
  </si>
  <si>
    <t>Customer Name : Hygiene Mart</t>
  </si>
  <si>
    <t>Address: Ghazi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</si>
</sst>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5" sqref="B1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23" zoomScale="70" zoomScaleNormal="70" workbookViewId="0">
      <selection activeCell="S29" sqref="S2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105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106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Bake &amp; Bite</v>
      </c>
      <c r="U14" s="164">
        <f>+'1'!P35</f>
        <v>2390.3320994999999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9"/>
      <c r="J15" s="171" t="s">
        <v>78</v>
      </c>
      <c r="K15" s="171" t="s">
        <v>79</v>
      </c>
      <c r="L15" s="174" t="s">
        <v>80</v>
      </c>
      <c r="M15" s="23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Kinza Bakers</v>
      </c>
      <c r="U15" s="164">
        <f>+'2'!P35</f>
        <v>2955.6224995500002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38</v>
      </c>
      <c r="I16" s="1">
        <f>(G16*D16)*F16+H16*F16</f>
        <v>1993.575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159.48599999999999</v>
      </c>
      <c r="M16" s="106">
        <f>I16-K16-L16</f>
        <v>1834.0889999999999</v>
      </c>
      <c r="N16" s="101">
        <f>+'1'!N16+'2'!N16+'4'!N16+'3'!N16+'5'!N16+'6'!N16+'7'!N16+'8'!N16+'9'!N16+'10'!N16</f>
        <v>368.74842000000001</v>
      </c>
      <c r="O16" s="101">
        <f>+'1'!O16+'2'!O16+'4'!O16+'3'!O16+'5'!O16+'6'!O16+'7'!O16+'8'!O16+'9'!O16+'10'!O16</f>
        <v>31.517371499999999</v>
      </c>
      <c r="P16" s="105">
        <f t="shared" ref="P16:P24" si="0">M16+N16+O16</f>
        <v>2234.3547914999999</v>
      </c>
      <c r="Q16" s="108"/>
      <c r="T16" s="163" t="str">
        <f>+'3'!A5</f>
        <v>Customer Name : Munchies Mart</v>
      </c>
      <c r="U16" s="164">
        <f>+'4'!P35</f>
        <v>880.2282249000001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38</v>
      </c>
      <c r="I17" s="1">
        <f t="shared" ref="I17:I23" si="1">(G17*D17)*F17+H17*F17</f>
        <v>1993.575</v>
      </c>
      <c r="J17" s="172">
        <f>+'1'!J17+'2'!J17+'4'!J17+'3'!J17+'5'!J17+'6'!J17+'7'!J17+'8'!J17+'9'!J17+'10'!J17+'11'!J17+'12'!J17+'13'!J17+'14'!J17+'15'!J17+'16'!J17+'17'!J17+'18'!J17</f>
        <v>3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159.48599999999999</v>
      </c>
      <c r="M17" s="118">
        <f t="shared" ref="M17:M23" si="2">I17-K17-L17</f>
        <v>1834.0889999999999</v>
      </c>
      <c r="N17" s="101">
        <f>+'1'!N17+'2'!N17+'4'!N17+'3'!N17+'5'!N17+'6'!N17+'7'!N17+'8'!N17+'9'!N17+'10'!N17</f>
        <v>401.27517</v>
      </c>
      <c r="O17" s="101">
        <f>+'1'!O17+'2'!O17+'4'!O17+'3'!O17+'5'!O17+'6'!O17+'7'!O17+'8'!O17+'9'!O17+'10'!O17</f>
        <v>31.868870250000001</v>
      </c>
      <c r="P17" s="120">
        <f t="shared" si="0"/>
        <v>2267.2330402499997</v>
      </c>
      <c r="S17" s="64"/>
      <c r="T17" s="163" t="str">
        <f>+'4'!A5</f>
        <v xml:space="preserve">Customer Name : Ajmar Bakery </v>
      </c>
      <c r="U17" s="164">
        <f>+'3'!P35</f>
        <v>3309.6730752000008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38</v>
      </c>
      <c r="I18" s="1">
        <f t="shared" si="1"/>
        <v>1993.575</v>
      </c>
      <c r="J18" s="172">
        <f>+'1'!J18+'2'!J18+'4'!J18+'3'!J18+'5'!J18+'6'!J18+'7'!J18+'8'!J18+'9'!J18+'10'!J18+'11'!J18+'12'!J18+'13'!J18+'14'!J18+'15'!J18+'16'!J18+'17'!J18+'18'!J18</f>
        <v>2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159.48599999999999</v>
      </c>
      <c r="M18" s="118">
        <f t="shared" si="2"/>
        <v>1834.0889999999999</v>
      </c>
      <c r="N18" s="101">
        <f>+'1'!N18+'2'!N18+'4'!N18+'3'!N18+'5'!N18+'6'!N18+'7'!N18+'8'!N18+'9'!N18+'10'!N18</f>
        <v>389.73342000000002</v>
      </c>
      <c r="O18" s="101">
        <f>+'1'!O18+'2'!O18+'4'!O18+'3'!O18+'5'!O18+'6'!O18+'7'!O18+'8'!O18+'9'!O18+'10'!O18</f>
        <v>31.811161500000004</v>
      </c>
      <c r="P18" s="120">
        <f t="shared" si="0"/>
        <v>2255.6335814999998</v>
      </c>
      <c r="T18" s="163" t="str">
        <f>+'5'!A5</f>
        <v>Customer Name : Hygiene Mart</v>
      </c>
      <c r="U18" s="164">
        <f>+'5'!P35</f>
        <v>6835.851936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28</v>
      </c>
      <c r="I19" s="1">
        <f t="shared" si="1"/>
        <v>2033.92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162.71359999999999</v>
      </c>
      <c r="M19" s="118">
        <f t="shared" si="2"/>
        <v>1871.2064</v>
      </c>
      <c r="N19" s="101">
        <f>+'1'!N19+'2'!N19+'4'!N19+'3'!N19+'5'!N19+'6'!N19+'7'!N19+'8'!N19+'9'!N19+'10'!N19</f>
        <v>371.568128</v>
      </c>
      <c r="O19" s="101">
        <f>+'1'!O19+'2'!O19+'4'!O19+'3'!O19+'5'!O19+'6'!O19+'7'!O19+'8'!O19+'9'!O19+'10'!O19</f>
        <v>34.871267839999994</v>
      </c>
      <c r="P19" s="120">
        <f t="shared" si="0"/>
        <v>2277.6457958400001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28</v>
      </c>
      <c r="I20" s="1">
        <f t="shared" si="1"/>
        <v>2033.92</v>
      </c>
      <c r="J20" s="172">
        <f>+'1'!J20+'2'!J20+'4'!J20+'3'!J20+'5'!J20+'6'!J20+'7'!J20+'8'!J20+'9'!J20+'10'!J20+'11'!J20+'12'!J20+'13'!J20+'14'!J20+'15'!J20+'16'!J20+'17'!J20+'18'!J20</f>
        <v>3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162.71359999999999</v>
      </c>
      <c r="M20" s="118">
        <f t="shared" si="2"/>
        <v>1871.2064</v>
      </c>
      <c r="N20" s="101">
        <f>+'1'!N20+'2'!N20+'4'!N20+'3'!N20+'5'!N20+'6'!N20+'7'!N20+'8'!N20+'9'!N20+'10'!N20</f>
        <v>416.60492799999997</v>
      </c>
      <c r="O20" s="101">
        <f>+'1'!O20+'2'!O20+'4'!O20+'3'!O20+'5'!O20+'6'!O20+'7'!O20+'8'!O20+'9'!O20+'10'!O20</f>
        <v>35.357955839999995</v>
      </c>
      <c r="P20" s="120">
        <f t="shared" si="0"/>
        <v>2323.1692838399999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29</v>
      </c>
      <c r="I21" s="1">
        <f t="shared" si="1"/>
        <v>2106.56</v>
      </c>
      <c r="J21" s="172">
        <f>+'1'!J21+'2'!J21+'4'!J21+'3'!J21+'5'!J21+'6'!J21+'7'!J21+'8'!J21+'9'!J21+'10'!J21+'11'!J21+'12'!J21+'13'!J21+'14'!J21+'15'!J21+'16'!J21+'17'!J21+'18'!J21</f>
        <v>1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168.5248</v>
      </c>
      <c r="M21" s="118">
        <f t="shared" si="2"/>
        <v>1938.0352</v>
      </c>
      <c r="N21" s="101">
        <f>+'1'!N21+'2'!N21+'4'!N21+'3'!N21+'5'!N21+'6'!N21+'7'!N21+'8'!N21+'9'!N21+'10'!N21</f>
        <v>399.34566399999994</v>
      </c>
      <c r="O21" s="101">
        <f>+'1'!O21+'2'!O21+'4'!O21+'3'!O21+'5'!O21+'6'!O21+'7'!O21+'8'!O21+'9'!O21+'10'!O21</f>
        <v>35.605803519999995</v>
      </c>
      <c r="P21" s="120">
        <f t="shared" si="0"/>
        <v>2372.9866675199996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60</v>
      </c>
      <c r="I22" s="1">
        <f t="shared" si="1"/>
        <v>2353.8000000000002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82.38300000000001</v>
      </c>
      <c r="L22" s="175">
        <f>+'1'!L22+'2'!L22+'4'!L22+'3'!L22+'5'!L22+'6'!L22+'7'!L22+'8'!L22+'9'!L22+'10'!L22</f>
        <v>117.69000000000003</v>
      </c>
      <c r="M22" s="118">
        <f t="shared" si="2"/>
        <v>2153.7270000000003</v>
      </c>
      <c r="N22" s="101">
        <f>+'1'!N22+'2'!N22+'4'!N22+'3'!N22+'5'!N22+'6'!N22+'7'!N22+'8'!N22+'9'!N22+'10'!N22</f>
        <v>473.81994000000009</v>
      </c>
      <c r="O22" s="101">
        <f>+'1'!O22+'2'!O22+'4'!O22+'3'!O22+'5'!O22+'6'!O22+'7'!O22+'8'!O22+'9'!O22+'10'!O22</f>
        <v>13.137734700000003</v>
      </c>
      <c r="P22" s="120">
        <f t="shared" si="0"/>
        <v>2640.6846747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6.4749999999999996</v>
      </c>
      <c r="D25" s="205"/>
      <c r="E25" s="205"/>
      <c r="F25" s="205"/>
      <c r="G25" s="176">
        <f t="shared" ref="G25:M25" si="3">SUM(G16:G24)</f>
        <v>0</v>
      </c>
      <c r="H25" s="177">
        <f t="shared" si="3"/>
        <v>259</v>
      </c>
      <c r="I25" s="178">
        <f t="shared" si="3"/>
        <v>14508.924999999999</v>
      </c>
      <c r="J25" s="177">
        <f t="shared" si="3"/>
        <v>9</v>
      </c>
      <c r="K25" s="178">
        <f t="shared" si="3"/>
        <v>82.38300000000001</v>
      </c>
      <c r="L25" s="179">
        <f t="shared" si="3"/>
        <v>1090.0999999999999</v>
      </c>
      <c r="M25" s="141">
        <f t="shared" si="3"/>
        <v>13336.442000000001</v>
      </c>
      <c r="N25" s="142">
        <f>SUM(N16:N24)</f>
        <v>2821.0956700000006</v>
      </c>
      <c r="O25" s="143">
        <f>SUM(O16:O24)</f>
        <v>214.17016515</v>
      </c>
      <c r="P25" s="144">
        <f>SUM(P16:P24)</f>
        <v>16371.707835149999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16371.707835150002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2">
        <f>I25</f>
        <v>14508.924999999999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3">
        <f>L25</f>
        <v>1090.0999999999999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4">
        <f>K25</f>
        <v>82.38300000000001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3">
        <f>P32-P33-P34</f>
        <v>13336.441999999999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5" t="s">
        <v>89</v>
      </c>
      <c r="O36" s="156">
        <f>IF(B12="Registered",18%,22%)</f>
        <v>0.22</v>
      </c>
      <c r="P36" s="153">
        <f>N25</f>
        <v>2821.0956700000006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3">
        <f>P35+P36</f>
        <v>16157.53767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7"/>
      <c r="N38" s="158" t="s">
        <v>91</v>
      </c>
      <c r="O38" s="159">
        <f>IF(B11="Filer",0.5%,2.5%)</f>
        <v>2.5000000000000001E-2</v>
      </c>
      <c r="P38" s="153">
        <f>O38*P37</f>
        <v>403.93844175000004</v>
      </c>
    </row>
    <row r="39" spans="2:16" ht="15.75" customHeight="1" thickBot="1" x14ac:dyDescent="0.4">
      <c r="N39" s="203" t="s">
        <v>92</v>
      </c>
      <c r="O39" s="204"/>
      <c r="P39" s="160">
        <f>P37+P38</f>
        <v>16561.476111749998</v>
      </c>
    </row>
    <row r="40" spans="2:16" ht="15" thickBot="1" x14ac:dyDescent="0.4">
      <c r="B40" s="161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8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107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108</v>
      </c>
      <c r="B6" s="229"/>
      <c r="C6" s="229"/>
      <c r="F6" s="70"/>
      <c r="G6" s="74"/>
      <c r="K6" s="229" t="s">
        <v>52</v>
      </c>
      <c r="L6" s="229"/>
      <c r="M6" s="229"/>
      <c r="N6" s="242" t="s">
        <v>98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6660458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10</v>
      </c>
      <c r="I16" s="102">
        <f>(G16*D16)*F16+H16*F16</f>
        <v>524.625</v>
      </c>
      <c r="J16" s="103"/>
      <c r="K16" s="104">
        <f>I16*$K$13</f>
        <v>0</v>
      </c>
      <c r="L16" s="105">
        <f>I16*8%</f>
        <v>41.97</v>
      </c>
      <c r="M16" s="106">
        <f>I16-K16-L16</f>
        <v>482.65499999999997</v>
      </c>
      <c r="N16" s="106">
        <f t="shared" ref="N16:N24" si="0">(M16*$N$15)+(J16*F16)*$N$15</f>
        <v>106.1841</v>
      </c>
      <c r="O16" s="107">
        <f t="shared" ref="O16:O24" si="1">(N16+M16)*$O$15</f>
        <v>2.9441954999999997</v>
      </c>
      <c r="P16" s="105">
        <f t="shared" ref="P16:P24" si="2">M16+N16+O16</f>
        <v>591.78329549999989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3">(G17*D17)*F17+H17*F17</f>
        <v>524.625</v>
      </c>
      <c r="J17" s="117">
        <v>1</v>
      </c>
      <c r="K17" s="1">
        <f t="shared" ref="K17:K21" si="4">I17*$K$13</f>
        <v>0</v>
      </c>
      <c r="L17" s="105">
        <f t="shared" ref="L17:L21" si="5">I17*8%</f>
        <v>41.97</v>
      </c>
      <c r="M17" s="118">
        <f t="shared" ref="M17:M23" si="6">I17-K17-L17</f>
        <v>482.65499999999997</v>
      </c>
      <c r="N17" s="118">
        <f t="shared" si="0"/>
        <v>117.72585000000001</v>
      </c>
      <c r="O17" s="119">
        <f t="shared" si="1"/>
        <v>3.0019042499999999</v>
      </c>
      <c r="P17" s="120">
        <f t="shared" si="2"/>
        <v>603.38275425000006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20</v>
      </c>
      <c r="I18" s="116">
        <f t="shared" si="3"/>
        <v>1049.25</v>
      </c>
      <c r="J18" s="117">
        <v>1</v>
      </c>
      <c r="K18" s="1">
        <f t="shared" si="4"/>
        <v>0</v>
      </c>
      <c r="L18" s="105">
        <f t="shared" si="5"/>
        <v>83.94</v>
      </c>
      <c r="M18" s="118">
        <f t="shared" si="6"/>
        <v>965.31</v>
      </c>
      <c r="N18" s="118">
        <f t="shared" si="0"/>
        <v>223.90995000000001</v>
      </c>
      <c r="O18" s="119">
        <f t="shared" si="1"/>
        <v>5.9460997500000001</v>
      </c>
      <c r="P18" s="120">
        <f t="shared" si="2"/>
        <v>1195.16604975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0</v>
      </c>
      <c r="L25" s="140">
        <f t="shared" si="9"/>
        <v>167.88</v>
      </c>
      <c r="M25" s="141">
        <f t="shared" si="9"/>
        <v>1930.62</v>
      </c>
      <c r="N25" s="142">
        <f>SUM(N16:N24)</f>
        <v>447.81990000000002</v>
      </c>
      <c r="O25" s="143">
        <f>SUM(O16:O24)</f>
        <v>11.8921995</v>
      </c>
      <c r="P25" s="144">
        <f>SUM(P16:P24)</f>
        <v>2390.3320994999999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2098.5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167.88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1930.62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447.81990000000002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2378.4398999999999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11.8921995</v>
      </c>
    </row>
    <row r="35" spans="2:16" ht="15.75" customHeight="1" thickBot="1" x14ac:dyDescent="0.4">
      <c r="N35" s="203" t="s">
        <v>92</v>
      </c>
      <c r="O35" s="204"/>
      <c r="P35" s="160">
        <f>P33+P34</f>
        <v>2390.3320994999999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20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109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108</v>
      </c>
      <c r="B6" s="229"/>
      <c r="C6" s="229"/>
      <c r="F6" s="70"/>
      <c r="G6" s="74"/>
      <c r="K6" s="229" t="s">
        <v>52</v>
      </c>
      <c r="L6" s="229"/>
      <c r="M6" s="229"/>
      <c r="N6" s="242" t="s">
        <v>98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3520225590257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10</v>
      </c>
      <c r="I16" s="102">
        <f>(G16*D16)*F16+H16*F16</f>
        <v>524.625</v>
      </c>
      <c r="J16" s="103"/>
      <c r="K16" s="104">
        <f>I16*$K$13</f>
        <v>0</v>
      </c>
      <c r="L16" s="105">
        <f>I16*8%</f>
        <v>41.97</v>
      </c>
      <c r="M16" s="106">
        <f>I16-K16-L16</f>
        <v>482.65499999999997</v>
      </c>
      <c r="N16" s="106">
        <f t="shared" ref="N16:N24" si="0">(M16*$N$15)+(J16*F16)*$N$15</f>
        <v>106.1841</v>
      </c>
      <c r="O16" s="107">
        <f>(N16+M16)*$O$15</f>
        <v>2.9441954999999997</v>
      </c>
      <c r="P16" s="105">
        <f t="shared" ref="P16:P24" si="1">M16+N16+O16</f>
        <v>591.78329549999989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>
        <v>1</v>
      </c>
      <c r="K17" s="1">
        <f t="shared" ref="K17:K21" si="3">I17*$K$13</f>
        <v>0</v>
      </c>
      <c r="L17" s="105">
        <f t="shared" ref="L17:L21" si="4">I17*8%</f>
        <v>41.97</v>
      </c>
      <c r="M17" s="118">
        <f t="shared" ref="M17:M23" si="5">I17-K17-L17</f>
        <v>482.65499999999997</v>
      </c>
      <c r="N17" s="118">
        <f t="shared" si="0"/>
        <v>117.72585000000001</v>
      </c>
      <c r="O17" s="119">
        <f t="shared" ref="O17:O24" si="6">(N17+M17)*$O$15</f>
        <v>3.0019042499999999</v>
      </c>
      <c r="P17" s="120">
        <f t="shared" si="1"/>
        <v>603.38275425000006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8.7584898000000013</v>
      </c>
      <c r="P22" s="120">
        <f t="shared" si="1"/>
        <v>1760.4564498000002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60</v>
      </c>
      <c r="I25" s="137">
        <f t="shared" si="9"/>
        <v>2618.4500000000003</v>
      </c>
      <c r="J25" s="138"/>
      <c r="K25" s="139">
        <f t="shared" si="9"/>
        <v>54.922000000000011</v>
      </c>
      <c r="L25" s="140">
        <f t="shared" si="9"/>
        <v>162.40000000000003</v>
      </c>
      <c r="M25" s="141">
        <f t="shared" si="9"/>
        <v>2401.1280000000002</v>
      </c>
      <c r="N25" s="142">
        <f>SUM(N16:N24)</f>
        <v>539.78991000000008</v>
      </c>
      <c r="O25" s="143">
        <f>SUM(O16:O24)</f>
        <v>14.704589550000001</v>
      </c>
      <c r="P25" s="144">
        <f>SUM(P16:P24)</f>
        <v>2955.6224995500002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2618.4500000000003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162.40000000000003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54.922000000000011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2401.1280000000002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539.78991000000008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2940.9179100000001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14.704589550000001</v>
      </c>
    </row>
    <row r="35" spans="2:16" ht="15.75" customHeight="1" thickBot="1" x14ac:dyDescent="0.4">
      <c r="N35" s="203" t="s">
        <v>92</v>
      </c>
      <c r="O35" s="204"/>
      <c r="P35" s="160">
        <f>P33+P34</f>
        <v>2955.6224995500002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20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110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111</v>
      </c>
      <c r="B6" s="229"/>
      <c r="C6" s="229"/>
      <c r="F6" s="70"/>
      <c r="G6" s="74"/>
      <c r="K6" s="229" t="s">
        <v>52</v>
      </c>
      <c r="L6" s="229"/>
      <c r="M6" s="229"/>
      <c r="N6" s="242" t="s">
        <v>98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3520274993343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13</v>
      </c>
      <c r="I19" s="116">
        <f t="shared" si="2"/>
        <v>944.32</v>
      </c>
      <c r="J19" s="117"/>
      <c r="K19" s="1">
        <f t="shared" si="3"/>
        <v>0</v>
      </c>
      <c r="L19" s="105">
        <f t="shared" si="4"/>
        <v>75.545600000000007</v>
      </c>
      <c r="M19" s="118">
        <f t="shared" si="5"/>
        <v>868.77440000000001</v>
      </c>
      <c r="N19" s="118">
        <f t="shared" si="0"/>
        <v>191.130368</v>
      </c>
      <c r="O19" s="119">
        <f t="shared" si="6"/>
        <v>5.2995238400000009</v>
      </c>
      <c r="P19" s="120">
        <f t="shared" si="1"/>
        <v>1065.20429184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13</v>
      </c>
      <c r="I20" s="116">
        <f t="shared" si="2"/>
        <v>944.32</v>
      </c>
      <c r="J20" s="117">
        <v>2</v>
      </c>
      <c r="K20" s="1">
        <f t="shared" si="3"/>
        <v>0</v>
      </c>
      <c r="L20" s="105">
        <f t="shared" si="4"/>
        <v>75.545600000000007</v>
      </c>
      <c r="M20" s="118">
        <f t="shared" si="5"/>
        <v>868.77440000000001</v>
      </c>
      <c r="N20" s="118">
        <f t="shared" si="0"/>
        <v>223.09196800000001</v>
      </c>
      <c r="O20" s="119">
        <f t="shared" si="6"/>
        <v>5.4593318399999999</v>
      </c>
      <c r="P20" s="120">
        <f t="shared" si="1"/>
        <v>1097.32569984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14</v>
      </c>
      <c r="I21" s="116">
        <f t="shared" si="2"/>
        <v>1016.96</v>
      </c>
      <c r="J21" s="117"/>
      <c r="K21" s="1">
        <f t="shared" si="3"/>
        <v>0</v>
      </c>
      <c r="L21" s="105">
        <f t="shared" si="4"/>
        <v>81.356800000000007</v>
      </c>
      <c r="M21" s="118">
        <f t="shared" si="5"/>
        <v>935.60320000000002</v>
      </c>
      <c r="N21" s="118">
        <f t="shared" si="0"/>
        <v>205.83270400000001</v>
      </c>
      <c r="O21" s="119">
        <f t="shared" si="6"/>
        <v>5.7071795199999995</v>
      </c>
      <c r="P21" s="120">
        <f t="shared" si="1"/>
        <v>1147.1430835199999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2905.6000000000004</v>
      </c>
      <c r="J25" s="138"/>
      <c r="K25" s="139">
        <f t="shared" si="9"/>
        <v>0</v>
      </c>
      <c r="L25" s="140">
        <f t="shared" si="9"/>
        <v>232.44800000000004</v>
      </c>
      <c r="M25" s="141">
        <f t="shared" si="9"/>
        <v>2673.152</v>
      </c>
      <c r="N25" s="142">
        <f>SUM(N16:N24)</f>
        <v>620.05504000000008</v>
      </c>
      <c r="O25" s="143">
        <f>SUM(O16:O24)</f>
        <v>16.4660352</v>
      </c>
      <c r="P25" s="144">
        <f>SUM(P16:P24)</f>
        <v>3309.6730751999999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2905.6000000000004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232.44800000000004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2673.1520000000005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620.05504000000008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3293.2070400000007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16.466035200000004</v>
      </c>
    </row>
    <row r="35" spans="2:16" ht="15.75" customHeight="1" thickBot="1" x14ac:dyDescent="0.4">
      <c r="N35" s="203" t="s">
        <v>92</v>
      </c>
      <c r="O35" s="204"/>
      <c r="P35" s="160">
        <f>P33+P34</f>
        <v>3309.6730752000008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8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111</v>
      </c>
      <c r="B6" s="229"/>
      <c r="C6" s="229"/>
      <c r="F6" s="70"/>
      <c r="G6" s="74"/>
      <c r="K6" s="229" t="s">
        <v>52</v>
      </c>
      <c r="L6" s="229"/>
      <c r="M6" s="229"/>
      <c r="N6" s="242" t="s">
        <v>98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3520129712557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20</v>
      </c>
      <c r="I22" s="116">
        <f t="shared" si="2"/>
        <v>784.60000000000014</v>
      </c>
      <c r="J22" s="117"/>
      <c r="K22" s="1">
        <f>I22*3.5%</f>
        <v>27.461000000000006</v>
      </c>
      <c r="L22" s="120">
        <f>I22*5%</f>
        <v>39.230000000000011</v>
      </c>
      <c r="M22" s="118">
        <f t="shared" si="5"/>
        <v>717.90900000000011</v>
      </c>
      <c r="N22" s="118">
        <f t="shared" si="0"/>
        <v>157.93998000000002</v>
      </c>
      <c r="O22" s="119">
        <f t="shared" si="6"/>
        <v>4.3792449000000007</v>
      </c>
      <c r="P22" s="120">
        <f t="shared" si="1"/>
        <v>880.2282249000001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20</v>
      </c>
      <c r="I25" s="137">
        <f t="shared" si="9"/>
        <v>784.60000000000014</v>
      </c>
      <c r="J25" s="138"/>
      <c r="K25" s="139">
        <f t="shared" si="9"/>
        <v>27.461000000000006</v>
      </c>
      <c r="L25" s="140">
        <f t="shared" si="9"/>
        <v>39.230000000000011</v>
      </c>
      <c r="M25" s="141">
        <f t="shared" si="9"/>
        <v>717.90900000000011</v>
      </c>
      <c r="N25" s="142">
        <f>SUM(N16:N24)</f>
        <v>157.93998000000002</v>
      </c>
      <c r="O25" s="143">
        <f>SUM(O16:O24)</f>
        <v>4.3792449000000007</v>
      </c>
      <c r="P25" s="144">
        <f>SUM(P16:P24)</f>
        <v>880.2282249000001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784.60000000000014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39.230000000000011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27.461000000000006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717.90900000000011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157.93998000000002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875.8489800000001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4.3792449000000007</v>
      </c>
    </row>
    <row r="35" spans="2:16" ht="15.75" customHeight="1" thickBot="1" x14ac:dyDescent="0.4">
      <c r="N35" s="203" t="s">
        <v>92</v>
      </c>
      <c r="O35" s="204"/>
      <c r="P35" s="160">
        <f>P33+P34</f>
        <v>880.2282249000001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114</v>
      </c>
      <c r="B6" s="229"/>
      <c r="C6" s="229"/>
      <c r="F6" s="70"/>
      <c r="G6" s="74"/>
      <c r="K6" s="229" t="s">
        <v>52</v>
      </c>
      <c r="L6" s="229"/>
      <c r="M6" s="229"/>
      <c r="N6" s="242" t="s">
        <v>98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3520116120603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18</v>
      </c>
      <c r="I16" s="102">
        <f>(G16*D16)*F16+H16*F16</f>
        <v>944.32499999999993</v>
      </c>
      <c r="J16" s="103"/>
      <c r="K16" s="104">
        <f>I16*$K$13</f>
        <v>0</v>
      </c>
      <c r="L16" s="105">
        <f>I16*8%</f>
        <v>75.545999999999992</v>
      </c>
      <c r="M16" s="106">
        <f>I16-K16-L16</f>
        <v>868.779</v>
      </c>
      <c r="N16" s="106">
        <f t="shared" ref="N16:N24" si="0">(M16*$N$15)+(J16*F16)*$N$15</f>
        <v>156.38021999999998</v>
      </c>
      <c r="O16" s="107">
        <f>(N16+M16)*$O$15</f>
        <v>25.628980500000001</v>
      </c>
      <c r="P16" s="105">
        <f t="shared" ref="P16:P24" si="1">M16+N16+O16</f>
        <v>1050.7882004999999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18</v>
      </c>
      <c r="I17" s="116">
        <f t="shared" ref="I17:I23" si="2">(G17*D17)*F17+H17*F17</f>
        <v>944.32499999999993</v>
      </c>
      <c r="J17" s="117">
        <v>1</v>
      </c>
      <c r="K17" s="1">
        <f t="shared" ref="K17:K21" si="3">I17*$K$13</f>
        <v>0</v>
      </c>
      <c r="L17" s="105">
        <f t="shared" ref="L17:L21" si="4">I17*8%</f>
        <v>75.545999999999992</v>
      </c>
      <c r="M17" s="118">
        <f t="shared" ref="M17:M23" si="5">I17-K17-L17</f>
        <v>868.779</v>
      </c>
      <c r="N17" s="118">
        <f t="shared" si="0"/>
        <v>165.82346999999999</v>
      </c>
      <c r="O17" s="119">
        <f t="shared" ref="O17:O24" si="6">(N17+M17)*$O$15</f>
        <v>25.865061750000002</v>
      </c>
      <c r="P17" s="120">
        <f t="shared" si="1"/>
        <v>1060.46753175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18</v>
      </c>
      <c r="I18" s="116">
        <f t="shared" si="2"/>
        <v>944.32499999999993</v>
      </c>
      <c r="J18" s="117">
        <v>1</v>
      </c>
      <c r="K18" s="1">
        <f t="shared" si="3"/>
        <v>0</v>
      </c>
      <c r="L18" s="105">
        <f t="shared" si="4"/>
        <v>75.545999999999992</v>
      </c>
      <c r="M18" s="118">
        <f t="shared" si="5"/>
        <v>868.779</v>
      </c>
      <c r="N18" s="118">
        <f t="shared" si="0"/>
        <v>165.82346999999999</v>
      </c>
      <c r="O18" s="119">
        <f t="shared" si="6"/>
        <v>25.865061750000002</v>
      </c>
      <c r="P18" s="120">
        <f t="shared" si="1"/>
        <v>1060.46753175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">
        <f t="shared" si="3"/>
        <v>0</v>
      </c>
      <c r="L19" s="105">
        <f t="shared" si="4"/>
        <v>87.167999999999992</v>
      </c>
      <c r="M19" s="118">
        <f t="shared" si="5"/>
        <v>1002.4319999999999</v>
      </c>
      <c r="N19" s="118">
        <f t="shared" si="0"/>
        <v>180.43775999999997</v>
      </c>
      <c r="O19" s="119">
        <f t="shared" si="6"/>
        <v>29.571743999999995</v>
      </c>
      <c r="P19" s="120">
        <f t="shared" si="1"/>
        <v>1212.4415039999999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>
        <v>1</v>
      </c>
      <c r="K20" s="1">
        <f t="shared" si="3"/>
        <v>0</v>
      </c>
      <c r="L20" s="105">
        <f t="shared" si="4"/>
        <v>87.167999999999992</v>
      </c>
      <c r="M20" s="118">
        <f t="shared" si="5"/>
        <v>1002.4319999999999</v>
      </c>
      <c r="N20" s="118">
        <f t="shared" si="0"/>
        <v>193.51295999999996</v>
      </c>
      <c r="O20" s="119">
        <f t="shared" si="6"/>
        <v>29.898623999999998</v>
      </c>
      <c r="P20" s="120">
        <f t="shared" si="1"/>
        <v>1225.8435839999997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>
        <v>1</v>
      </c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193.51295999999996</v>
      </c>
      <c r="O21" s="119">
        <f t="shared" si="6"/>
        <v>29.898623999999998</v>
      </c>
      <c r="P21" s="120">
        <f t="shared" si="1"/>
        <v>1225.8435839999997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99</v>
      </c>
      <c r="I25" s="137">
        <f t="shared" si="9"/>
        <v>6101.7749999999996</v>
      </c>
      <c r="J25" s="138"/>
      <c r="K25" s="139">
        <f t="shared" si="9"/>
        <v>0</v>
      </c>
      <c r="L25" s="140">
        <f t="shared" si="9"/>
        <v>488.142</v>
      </c>
      <c r="M25" s="141">
        <f t="shared" si="9"/>
        <v>5613.6329999999998</v>
      </c>
      <c r="N25" s="142">
        <f>SUM(N16:N24)</f>
        <v>1055.4908399999999</v>
      </c>
      <c r="O25" s="143">
        <f>SUM(O16:O24)</f>
        <v>166.72809599999999</v>
      </c>
      <c r="P25" s="144">
        <f>SUM(P16:P24)</f>
        <v>6835.8519359999991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6101.7749999999996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488.142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5613.6329999999998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1055.4908399999999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6669.1238400000002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166.72809600000002</v>
      </c>
    </row>
    <row r="35" spans="2:16" ht="15.75" customHeight="1" thickBot="1" x14ac:dyDescent="0.4">
      <c r="N35" s="203" t="s">
        <v>92</v>
      </c>
      <c r="O35" s="204"/>
      <c r="P35" s="160">
        <f>P33+P34</f>
        <v>6835.851936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2026-06-23T04:11:33Z</dcterms:modified>
</cp:coreProperties>
</file>