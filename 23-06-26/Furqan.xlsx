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372311C2-F2F1-438E-AB51-9C370DD4E21A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17" i="15" l="1"/>
  <c r="U16" i="15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M19" i="19" s="1"/>
  <c r="N19" i="19" s="1"/>
  <c r="O19" i="19" s="1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22" i="18"/>
  <c r="O22" i="18" s="1"/>
  <c r="I23" i="15"/>
  <c r="K25" i="19" l="1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25" i="18"/>
  <c r="N16" i="18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600EF029-EEF4-4E8B-AA06-984C9C74138F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Shad</t>
        </r>
      </text>
    </comment>
  </commentList>
</comments>
</file>

<file path=xl/sharedStrings.xml><?xml version="1.0" encoding="utf-8"?>
<sst xmlns="http://schemas.openxmlformats.org/spreadsheetml/2006/main" count="1580" uniqueCount="114">
  <si>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</si>
  <si>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</si>
  <si>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</si>
  <si>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</si>
  <si>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</si>
  <si>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</si>
  <si>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</si>
  <si>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</si>
  <si>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</si>
  <si>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</si>
  <si>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</si>
  <si>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</si>
  <si>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</si>
  <si>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</si>
  <si>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</si>
  <si>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</si>
  <si>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</si>
  <si>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</si>
  <si>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</si>
  <si>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</si>
  <si>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</si>
  <si>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</si>
  <si>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</si>
  <si>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</si>
  <si>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</si>
  <si>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</si>
  <si>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</si>
  <si>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</si>
  <si>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</si>
  <si>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</si>
  <si>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</si>
  <si>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</si>
  <si>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</si>
  <si>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</si>
  <si>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</si>
  <si>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</si>
  <si>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</si>
  <si>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</si>
  <si>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</si>
  <si>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</si>
  <si>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</si>
  <si>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</si>
  <si>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</si>
  <si>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</si>
  <si>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</si>
  <si>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</si>
  <si>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</si>
  <si>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</si>
  <si>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</si>
  <si>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</si>
  <si>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</si>
  <si>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</si>
  <si>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</si>
  <si>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</si>
  <si>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</si>
  <si>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</si>
  <si>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</si>
  <si>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</si>
  <si>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</si>
  <si>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</si>
  <si>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</si>
  <si>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</si>
  <si>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</si>
  <si>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</si>
  <si>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</si>
  <si>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</si>
  <si>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</si>
  <si>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</si>
  <si>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</si>
  <si>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</si>
  <si>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</si>
  <si>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</si>
  <si>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</si>
  <si>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</si>
  <si>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</si>
  <si>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</si>
  <si>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</si>
  <si>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</si>
  <si>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</si>
  <si>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</si>
  <si>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</si>
  <si>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</si>
  <si>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</si>
  <si>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</si>
  <si>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</si>
  <si>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</si>
  <si>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</si>
  <si>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</si>
  <si>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</si>
  <si>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</si>
  <si>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</si>
  <si>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</si>
  <si>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</si>
  <si>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</si>
  <si>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</si>
  <si>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</si>
  <si>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</si>
  <si>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</si>
  <si>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</si>
  <si>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</si>
  <si>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</si>
  <si>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</si>
  <si>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</si>
  <si>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</si>
  <si>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</si>
  <si>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Customer Name : Bilal Store</t>
  </si>
  <si>
    <t>Address: Shadman Market</t>
  </si>
  <si>
    <t>Customer Name : Kashmir Bakery</t>
  </si>
  <si>
    <t xml:space="preserve">Address: Shahjamal </t>
  </si>
  <si>
    <t>Customer Name : Mushtaq Store</t>
  </si>
  <si>
    <t xml:space="preserve">Address: Shadman </t>
  </si>
  <si>
    <t>Customer Name : Euro Store</t>
  </si>
  <si>
    <t>Address: Ghari Shahu</t>
  </si>
  <si>
    <t>Shop Bill Summary (Furqan)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</si>
</sst>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5" sqref="B1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2" zoomScale="70" zoomScaleNormal="70" workbookViewId="0">
      <selection activeCell="S35" sqref="S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96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113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Bilal Store</v>
      </c>
      <c r="U14" s="164">
        <f>+'1'!P35</f>
        <v>1727.1050657999999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Kashmir Bakery</v>
      </c>
      <c r="U15" s="164">
        <f>+'2'!P35</f>
        <v>2354.4435524999999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135</v>
      </c>
      <c r="I16" s="1">
        <f>(G16*D16)*F16+H16*F16</f>
        <v>7082.4375</v>
      </c>
      <c r="J16" s="172">
        <f>+'1'!J16+'2'!J16+'4'!J16+'3'!J16+'5'!J16+'6'!J16+'7'!J16+'8'!J16+'9'!J16+'10'!J16+'11'!J16+'12'!J16+'13'!J16+'14'!J16+'15'!J16+'16'!J16+'17'!J16+'18'!J16</f>
        <v>6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566.59500000000003</v>
      </c>
      <c r="M16" s="106">
        <f>I16-K16-L16</f>
        <v>6515.8424999999997</v>
      </c>
      <c r="N16" s="101">
        <f>+'1'!N16+'2'!N16+'4'!N16+'3'!N16+'5'!N16+'6'!N16+'7'!N16+'8'!N16+'9'!N16+'10'!N16</f>
        <v>1229.5111499999998</v>
      </c>
      <c r="O16" s="101">
        <f>+'1'!O16+'2'!O16+'4'!O16+'3'!O16+'5'!O16+'6'!O16+'7'!O16+'8'!O16+'9'!O16+'10'!O16</f>
        <v>55.812755250000002</v>
      </c>
      <c r="P16" s="105">
        <f t="shared" ref="P16:P24" si="0">M16+N16+O16</f>
        <v>7801.1664052499991</v>
      </c>
      <c r="Q16" s="108"/>
      <c r="T16" s="163" t="str">
        <f>+'3'!A5</f>
        <v>Customer Name : Mushtaq Store</v>
      </c>
      <c r="U16" s="164">
        <f>+'3'!P35</f>
        <v>1002.8329728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130</v>
      </c>
      <c r="I17" s="1">
        <f t="shared" ref="I17:I23" si="1">(G17*D17)*F17+H17*F17</f>
        <v>6820.125</v>
      </c>
      <c r="J17" s="172">
        <f>+'1'!J17+'2'!J17+'4'!J17+'3'!J17+'5'!J17+'6'!J17+'7'!J17+'8'!J17+'9'!J17+'10'!J17+'11'!J17+'12'!J17+'13'!J17+'14'!J17+'15'!J17+'16'!J17+'17'!J17+'18'!J17</f>
        <v>8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545.61</v>
      </c>
      <c r="M17" s="118">
        <f t="shared" ref="M17:M23" si="2">I17-K17-L17</f>
        <v>6274.5150000000003</v>
      </c>
      <c r="N17" s="101">
        <f>+'1'!N17+'2'!N17+'4'!N17+'3'!N17+'5'!N17+'6'!N17+'7'!N17+'8'!N17+'9'!N17+'10'!N17</f>
        <v>1204.9586999999999</v>
      </c>
      <c r="O17" s="101">
        <f>+'1'!O17+'2'!O17+'4'!O17+'3'!O17+'5'!O17+'6'!O17+'7'!O17+'8'!O17+'9'!O17+'10'!O17</f>
        <v>49.165756500000001</v>
      </c>
      <c r="P17" s="120">
        <f t="shared" si="0"/>
        <v>7528.6394565000001</v>
      </c>
      <c r="S17" s="64"/>
      <c r="T17" s="163" t="str">
        <f>+'4'!A5</f>
        <v>Customer Name : Euro Store</v>
      </c>
      <c r="U17" s="164">
        <f>+'4'!P35</f>
        <v>43151.133476100003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147</v>
      </c>
      <c r="I18" s="1">
        <f t="shared" si="1"/>
        <v>7711.9875000000002</v>
      </c>
      <c r="J18" s="172">
        <f>+'1'!J18+'2'!J18+'4'!J18+'3'!J18+'5'!J18+'6'!J18+'7'!J18+'8'!J18+'9'!J18+'10'!J18+'11'!J18+'12'!J18+'13'!J18+'14'!J18+'15'!J18+'16'!J18+'17'!J18+'18'!J18</f>
        <v>6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616.95899999999995</v>
      </c>
      <c r="M18" s="118">
        <f t="shared" si="2"/>
        <v>7095.0285000000003</v>
      </c>
      <c r="N18" s="101">
        <f>+'1'!N18+'2'!N18+'4'!N18+'3'!N18+'5'!N18+'6'!N18+'7'!N18+'8'!N18+'9'!N18+'10'!N18</f>
        <v>1356.9320699999998</v>
      </c>
      <c r="O18" s="101">
        <f>+'1'!O18+'2'!O18+'4'!O18+'3'!O18+'5'!O18+'6'!O18+'7'!O18+'8'!O18+'9'!O18+'10'!O18</f>
        <v>73.477928249999991</v>
      </c>
      <c r="P18" s="120">
        <f t="shared" si="0"/>
        <v>8525.4384982499996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130</v>
      </c>
      <c r="I19" s="1">
        <f t="shared" si="1"/>
        <v>9443.2000000000007</v>
      </c>
      <c r="J19" s="172">
        <f>+'1'!J19+'2'!J19+'4'!J19+'3'!J19+'5'!J19+'6'!J19+'7'!J19+'8'!J19+'9'!J19+'10'!J19+'11'!J19+'12'!J19+'13'!J19+'14'!J19+'15'!J19+'16'!J19+'17'!J19+'18'!J19</f>
        <v>6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755.45600000000002</v>
      </c>
      <c r="M19" s="118">
        <f t="shared" si="2"/>
        <v>8687.7440000000006</v>
      </c>
      <c r="N19" s="101">
        <f>+'1'!N19+'2'!N19+'4'!N19+'3'!N19+'5'!N19+'6'!N19+'7'!N19+'8'!N19+'9'!N19+'10'!N19</f>
        <v>1668.9766399999996</v>
      </c>
      <c r="O19" s="101">
        <f>+'1'!O19+'2'!O19+'4'!O19+'3'!O19+'5'!O19+'6'!O19+'7'!O19+'8'!O19+'9'!O19+'10'!O19</f>
        <v>68.089830400000011</v>
      </c>
      <c r="P19" s="120">
        <f t="shared" si="0"/>
        <v>10424.8104704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84</v>
      </c>
      <c r="I20" s="1">
        <f t="shared" si="1"/>
        <v>6101.76</v>
      </c>
      <c r="J20" s="172">
        <f>+'1'!J20+'2'!J20+'4'!J20+'3'!J20+'5'!J20+'6'!J20+'7'!J20+'8'!J20+'9'!J20+'10'!J20+'11'!J20+'12'!J20+'13'!J20+'14'!J20+'15'!J20+'16'!J20+'17'!J20+'18'!J20</f>
        <v>4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488.14080000000001</v>
      </c>
      <c r="M20" s="118">
        <f t="shared" si="2"/>
        <v>5613.6192000000001</v>
      </c>
      <c r="N20" s="101">
        <f>+'1'!N20+'2'!N20+'4'!N20+'3'!N20+'5'!N20+'6'!N20+'7'!N20+'8'!N20+'9'!N20+'10'!N20</f>
        <v>1073.4448639999998</v>
      </c>
      <c r="O20" s="101">
        <f>+'1'!O20+'2'!O20+'4'!O20+'3'!O20+'5'!O20+'6'!O20+'7'!O20+'8'!O20+'9'!O20+'10'!O20</f>
        <v>39.957811200000002</v>
      </c>
      <c r="P20" s="120">
        <f t="shared" si="0"/>
        <v>6727.0218752000001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90</v>
      </c>
      <c r="I21" s="1">
        <f t="shared" si="1"/>
        <v>6537.6</v>
      </c>
      <c r="J21" s="172">
        <f>+'1'!J21+'2'!J21+'4'!J21+'3'!J21+'5'!J21+'6'!J21+'7'!J21+'8'!J21+'9'!J21+'10'!J21+'11'!J21+'12'!J21+'13'!J21+'14'!J21+'15'!J21+'16'!J21+'17'!J21+'18'!J21</f>
        <v>4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523.00800000000004</v>
      </c>
      <c r="M21" s="118">
        <f t="shared" si="2"/>
        <v>6014.5920000000006</v>
      </c>
      <c r="N21" s="101">
        <f>+'1'!N21+'2'!N21+'4'!N21+'3'!N21+'5'!N21+'6'!N21+'7'!N21+'8'!N21+'9'!N21+'10'!N21</f>
        <v>1161.65888</v>
      </c>
      <c r="O21" s="101">
        <f>+'1'!O21+'2'!O21+'4'!O21+'3'!O21+'5'!O21+'6'!O21+'7'!O21+'8'!O21+'9'!O21+'10'!O21</f>
        <v>52.187481599999998</v>
      </c>
      <c r="P21" s="120">
        <f t="shared" si="0"/>
        <v>7228.4383616000005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17.899999999999999</v>
      </c>
      <c r="D25" s="221"/>
      <c r="E25" s="221"/>
      <c r="F25" s="221"/>
      <c r="G25" s="176">
        <f t="shared" ref="G25:M25" si="3">SUM(G16:G24)</f>
        <v>0</v>
      </c>
      <c r="H25" s="177">
        <f t="shared" si="3"/>
        <v>716</v>
      </c>
      <c r="I25" s="178">
        <f t="shared" si="3"/>
        <v>43697.11</v>
      </c>
      <c r="J25" s="177">
        <f t="shared" si="3"/>
        <v>34</v>
      </c>
      <c r="K25" s="178">
        <f t="shared" si="3"/>
        <v>0</v>
      </c>
      <c r="L25" s="179">
        <f t="shared" si="3"/>
        <v>3495.7687999999998</v>
      </c>
      <c r="M25" s="141">
        <f t="shared" si="3"/>
        <v>40201.341199999995</v>
      </c>
      <c r="N25" s="142">
        <f>SUM(N16:N24)</f>
        <v>7695.4823039999992</v>
      </c>
      <c r="O25" s="143">
        <f>SUM(O16:O24)</f>
        <v>338.69156320000002</v>
      </c>
      <c r="P25" s="144">
        <f>SUM(P16:P24)</f>
        <v>48235.515067199995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48235.515067200002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43697.11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3495.7687999999998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40201.341200000003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7695.4823039999992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47896.823504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1197.4205876000001</v>
      </c>
    </row>
    <row r="39" spans="2:16" ht="15.75" customHeight="1" thickBot="1" x14ac:dyDescent="0.4">
      <c r="N39" s="219" t="s">
        <v>92</v>
      </c>
      <c r="O39" s="220"/>
      <c r="P39" s="160">
        <f>P37+P38</f>
        <v>49094.244091599998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105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106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</v>
      </c>
      <c r="I18" s="116">
        <f t="shared" si="3"/>
        <v>629.54999999999995</v>
      </c>
      <c r="J18" s="117"/>
      <c r="K18" s="1">
        <f t="shared" si="4"/>
        <v>0</v>
      </c>
      <c r="L18" s="105">
        <f t="shared" si="5"/>
        <v>50.363999999999997</v>
      </c>
      <c r="M18" s="118">
        <f t="shared" si="6"/>
        <v>579.18599999999992</v>
      </c>
      <c r="N18" s="118">
        <f t="shared" si="0"/>
        <v>127.42091999999998</v>
      </c>
      <c r="O18" s="119">
        <f t="shared" si="1"/>
        <v>17.665172999999999</v>
      </c>
      <c r="P18" s="120">
        <f t="shared" si="2"/>
        <v>724.27209299999993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6</v>
      </c>
      <c r="I19" s="116">
        <f t="shared" si="3"/>
        <v>435.84000000000003</v>
      </c>
      <c r="J19" s="117"/>
      <c r="K19" s="1">
        <f t="shared" si="4"/>
        <v>0</v>
      </c>
      <c r="L19" s="105">
        <f t="shared" si="5"/>
        <v>34.867200000000004</v>
      </c>
      <c r="M19" s="118">
        <f t="shared" si="6"/>
        <v>400.97280000000001</v>
      </c>
      <c r="N19" s="118">
        <f t="shared" si="0"/>
        <v>88.214016000000001</v>
      </c>
      <c r="O19" s="119">
        <f t="shared" si="1"/>
        <v>12.229670400000002</v>
      </c>
      <c r="P19" s="120">
        <f t="shared" si="2"/>
        <v>501.4164864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3"/>
        <v>435.84000000000003</v>
      </c>
      <c r="J21" s="117"/>
      <c r="K21" s="1">
        <f t="shared" si="4"/>
        <v>0</v>
      </c>
      <c r="L21" s="105">
        <f t="shared" si="5"/>
        <v>34.867200000000004</v>
      </c>
      <c r="M21" s="118">
        <f t="shared" si="6"/>
        <v>400.97280000000001</v>
      </c>
      <c r="N21" s="118">
        <f t="shared" si="0"/>
        <v>88.214016000000001</v>
      </c>
      <c r="O21" s="119">
        <f t="shared" si="1"/>
        <v>12.229670400000002</v>
      </c>
      <c r="P21" s="120">
        <f t="shared" si="2"/>
        <v>501.4164864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24</v>
      </c>
      <c r="I25" s="137">
        <f t="shared" si="9"/>
        <v>1501.23</v>
      </c>
      <c r="J25" s="138"/>
      <c r="K25" s="139">
        <f t="shared" si="9"/>
        <v>0</v>
      </c>
      <c r="L25" s="140">
        <f t="shared" si="9"/>
        <v>120.0984</v>
      </c>
      <c r="M25" s="141">
        <f t="shared" si="9"/>
        <v>1381.1315999999999</v>
      </c>
      <c r="N25" s="142">
        <f>SUM(N16:N24)</f>
        <v>303.848952</v>
      </c>
      <c r="O25" s="143">
        <f>SUM(O16:O24)</f>
        <v>42.124513800000003</v>
      </c>
      <c r="P25" s="144">
        <f>SUM(P16:P24)</f>
        <v>1727.1050657999999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1501.23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120.0984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1381.1315999999999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303.848952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1684.980552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42.124513800000003</v>
      </c>
    </row>
    <row r="35" spans="2:16" ht="15.75" customHeight="1" thickBot="1" x14ac:dyDescent="0.4">
      <c r="N35" s="219" t="s">
        <v>92</v>
      </c>
      <c r="O35" s="220"/>
      <c r="P35" s="160">
        <f>P33+P34</f>
        <v>1727.1050657999999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workbookViewId="0">
      <selection activeCell="D9" sqref="D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107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108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3520262710933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130.31684999999999</v>
      </c>
      <c r="O16" s="107">
        <f>(N16+M16)*$O$15</f>
        <v>21.35748375</v>
      </c>
      <c r="P16" s="105">
        <f t="shared" ref="P16:P24" si="1">M16+N16+O16</f>
        <v>875.65683375000003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105.76439999999999</v>
      </c>
      <c r="O17" s="119">
        <f t="shared" ref="O17:O24" si="6">(N17+M17)*$O$15</f>
        <v>14.710485</v>
      </c>
      <c r="P17" s="120">
        <f t="shared" si="1"/>
        <v>603.12988499999994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130.31684999999999</v>
      </c>
      <c r="O18" s="119">
        <f t="shared" si="6"/>
        <v>21.35748375</v>
      </c>
      <c r="P18" s="120">
        <f t="shared" si="1"/>
        <v>875.65683375000003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366.3981</v>
      </c>
      <c r="O25" s="143">
        <f>SUM(O16:O24)</f>
        <v>57.425452499999999</v>
      </c>
      <c r="P25" s="144">
        <f>SUM(P16:P24)</f>
        <v>2354.4435524999999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2098.5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167.88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1930.62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366.3981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2297.0180999999998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57.425452499999999</v>
      </c>
    </row>
    <row r="35" spans="2:16" ht="15.75" customHeight="1" thickBot="1" x14ac:dyDescent="0.4">
      <c r="N35" s="219" t="s">
        <v>92</v>
      </c>
      <c r="O35" s="220"/>
      <c r="P35" s="160">
        <f>P33+P34</f>
        <v>2354.4435524999999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workbookViewId="0">
      <selection activeCell="F9" sqref="F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109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110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</v>
      </c>
      <c r="I19" s="116">
        <f t="shared" si="2"/>
        <v>290.56</v>
      </c>
      <c r="J19" s="117"/>
      <c r="K19" s="1">
        <f t="shared" si="3"/>
        <v>0</v>
      </c>
      <c r="L19" s="105">
        <f t="shared" si="4"/>
        <v>23.244800000000001</v>
      </c>
      <c r="M19" s="118">
        <f t="shared" si="5"/>
        <v>267.3152</v>
      </c>
      <c r="N19" s="118">
        <f t="shared" si="0"/>
        <v>58.809344000000003</v>
      </c>
      <c r="O19" s="119">
        <f t="shared" si="6"/>
        <v>8.1531136000000011</v>
      </c>
      <c r="P19" s="120">
        <f t="shared" si="1"/>
        <v>334.2776576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</v>
      </c>
      <c r="I20" s="116">
        <f t="shared" si="2"/>
        <v>290.56</v>
      </c>
      <c r="J20" s="117"/>
      <c r="K20" s="1">
        <f t="shared" si="3"/>
        <v>0</v>
      </c>
      <c r="L20" s="105">
        <f t="shared" si="4"/>
        <v>23.244800000000001</v>
      </c>
      <c r="M20" s="118">
        <f t="shared" si="5"/>
        <v>267.3152</v>
      </c>
      <c r="N20" s="118">
        <f t="shared" si="0"/>
        <v>58.809344000000003</v>
      </c>
      <c r="O20" s="119">
        <f t="shared" si="6"/>
        <v>8.1531136000000011</v>
      </c>
      <c r="P20" s="120">
        <f t="shared" si="1"/>
        <v>334.2776576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</v>
      </c>
      <c r="I21" s="116">
        <f t="shared" si="2"/>
        <v>290.56</v>
      </c>
      <c r="J21" s="117"/>
      <c r="K21" s="1">
        <f t="shared" si="3"/>
        <v>0</v>
      </c>
      <c r="L21" s="105">
        <f t="shared" si="4"/>
        <v>23.244800000000001</v>
      </c>
      <c r="M21" s="118">
        <f t="shared" si="5"/>
        <v>267.3152</v>
      </c>
      <c r="N21" s="118">
        <f t="shared" si="0"/>
        <v>58.809344000000003</v>
      </c>
      <c r="O21" s="119">
        <f t="shared" si="6"/>
        <v>8.1531136000000011</v>
      </c>
      <c r="P21" s="120">
        <f t="shared" si="1"/>
        <v>334.2776576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12</v>
      </c>
      <c r="I25" s="137">
        <f t="shared" si="9"/>
        <v>871.68000000000006</v>
      </c>
      <c r="J25" s="138"/>
      <c r="K25" s="139">
        <f t="shared" si="9"/>
        <v>0</v>
      </c>
      <c r="L25" s="140">
        <f t="shared" si="9"/>
        <v>69.734400000000008</v>
      </c>
      <c r="M25" s="141">
        <f t="shared" si="9"/>
        <v>801.94560000000001</v>
      </c>
      <c r="N25" s="142">
        <f>SUM(N16:N24)</f>
        <v>176.428032</v>
      </c>
      <c r="O25" s="143">
        <f>SUM(O16:O24)</f>
        <v>24.459340800000003</v>
      </c>
      <c r="P25" s="144">
        <f>SUM(P16:P24)</f>
        <v>1002.8329728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871.68000000000006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69.734400000000008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801.94560000000001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176.428032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978.37363200000004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24.459340800000003</v>
      </c>
    </row>
    <row r="35" spans="2:16" ht="15.75" customHeight="1" thickBot="1" x14ac:dyDescent="0.4">
      <c r="N35" s="219" t="s">
        <v>92</v>
      </c>
      <c r="O35" s="220"/>
      <c r="P35" s="160">
        <f>P33+P34</f>
        <v>1002.8329728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7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111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112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858352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3277876353369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120</v>
      </c>
      <c r="I16" s="102">
        <f>(G16*D16)*F16+H16*F16</f>
        <v>6295.5</v>
      </c>
      <c r="J16" s="103">
        <v>6</v>
      </c>
      <c r="K16" s="104">
        <f>I16*$K$13</f>
        <v>0</v>
      </c>
      <c r="L16" s="105">
        <f>I16*8%</f>
        <v>503.64</v>
      </c>
      <c r="M16" s="106">
        <f>I16-K16-L16</f>
        <v>5791.86</v>
      </c>
      <c r="N16" s="106">
        <f t="shared" ref="N16:N24" si="0">(M16*$N$15)+(J16*F16)*$N$15</f>
        <v>1099.1942999999999</v>
      </c>
      <c r="O16" s="107">
        <f>(N16+M16)*$O$15</f>
        <v>34.455271500000002</v>
      </c>
      <c r="P16" s="105">
        <f t="shared" ref="P16:P24" si="1">M16+N16+O16</f>
        <v>6925.5095714999998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120</v>
      </c>
      <c r="I17" s="116">
        <f t="shared" ref="I17:I23" si="2">(G17*D17)*F17+H17*F17</f>
        <v>6295.5</v>
      </c>
      <c r="J17" s="117">
        <v>6</v>
      </c>
      <c r="K17" s="1">
        <f t="shared" ref="K17:K21" si="3">I17*$K$13</f>
        <v>0</v>
      </c>
      <c r="L17" s="105">
        <f t="shared" ref="L17:L21" si="4">I17*8%</f>
        <v>503.64</v>
      </c>
      <c r="M17" s="118">
        <f t="shared" ref="M17:M23" si="5">I17-K17-L17</f>
        <v>5791.86</v>
      </c>
      <c r="N17" s="118">
        <f t="shared" si="0"/>
        <v>1099.1942999999999</v>
      </c>
      <c r="O17" s="119">
        <f t="shared" ref="O17:O24" si="6">(N17+M17)*$O$15</f>
        <v>34.455271500000002</v>
      </c>
      <c r="P17" s="120">
        <f t="shared" si="1"/>
        <v>6925.5095714999998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120</v>
      </c>
      <c r="I18" s="116">
        <f t="shared" si="2"/>
        <v>6295.5</v>
      </c>
      <c r="J18" s="117">
        <v>6</v>
      </c>
      <c r="K18" s="1">
        <f t="shared" si="3"/>
        <v>0</v>
      </c>
      <c r="L18" s="105">
        <f t="shared" si="4"/>
        <v>503.64</v>
      </c>
      <c r="M18" s="118">
        <f t="shared" si="5"/>
        <v>5791.86</v>
      </c>
      <c r="N18" s="118">
        <f t="shared" si="0"/>
        <v>1099.1942999999999</v>
      </c>
      <c r="O18" s="119">
        <f t="shared" si="6"/>
        <v>34.455271500000002</v>
      </c>
      <c r="P18" s="120">
        <f t="shared" si="1"/>
        <v>6925.5095714999998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120</v>
      </c>
      <c r="I19" s="116">
        <f t="shared" si="2"/>
        <v>8716.7999999999993</v>
      </c>
      <c r="J19" s="117">
        <v>6</v>
      </c>
      <c r="K19" s="1">
        <f t="shared" si="3"/>
        <v>0</v>
      </c>
      <c r="L19" s="105">
        <f t="shared" si="4"/>
        <v>697.34399999999994</v>
      </c>
      <c r="M19" s="118">
        <f t="shared" si="5"/>
        <v>8019.4559999999992</v>
      </c>
      <c r="N19" s="118">
        <f t="shared" si="0"/>
        <v>1521.9532799999997</v>
      </c>
      <c r="O19" s="119">
        <f t="shared" si="6"/>
        <v>47.707046400000003</v>
      </c>
      <c r="P19" s="120">
        <f t="shared" si="1"/>
        <v>9589.1163264000006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80</v>
      </c>
      <c r="I20" s="116">
        <f t="shared" si="2"/>
        <v>5811.2</v>
      </c>
      <c r="J20" s="117">
        <v>4</v>
      </c>
      <c r="K20" s="1">
        <f t="shared" si="3"/>
        <v>0</v>
      </c>
      <c r="L20" s="105">
        <f t="shared" si="4"/>
        <v>464.89600000000002</v>
      </c>
      <c r="M20" s="118">
        <f t="shared" si="5"/>
        <v>5346.3040000000001</v>
      </c>
      <c r="N20" s="118">
        <f t="shared" si="0"/>
        <v>1014.6355199999999</v>
      </c>
      <c r="O20" s="119">
        <f t="shared" si="6"/>
        <v>31.804697600000001</v>
      </c>
      <c r="P20" s="120">
        <f t="shared" si="1"/>
        <v>6392.7442175999995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1014.6355199999999</v>
      </c>
      <c r="O21" s="119">
        <f t="shared" si="6"/>
        <v>31.804697600000001</v>
      </c>
      <c r="P21" s="120">
        <f t="shared" si="1"/>
        <v>6392.7442175999995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640</v>
      </c>
      <c r="I25" s="137">
        <f t="shared" si="9"/>
        <v>39225.699999999997</v>
      </c>
      <c r="J25" s="138"/>
      <c r="K25" s="139">
        <f t="shared" si="9"/>
        <v>0</v>
      </c>
      <c r="L25" s="140">
        <f t="shared" si="9"/>
        <v>3138.0560000000005</v>
      </c>
      <c r="M25" s="141">
        <f t="shared" si="9"/>
        <v>36087.644</v>
      </c>
      <c r="N25" s="142">
        <f>SUM(N16:N24)</f>
        <v>6848.8072199999988</v>
      </c>
      <c r="O25" s="143">
        <f>SUM(O16:O24)</f>
        <v>214.68225609999999</v>
      </c>
      <c r="P25" s="144">
        <f>SUM(P16:P24)</f>
        <v>43151.133476099996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39225.699999999997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3138.0560000000005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36087.644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6848.8072199999988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42936.451220000003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214.68225610000002</v>
      </c>
    </row>
    <row r="35" spans="2:16" ht="15.75" customHeight="1" thickBot="1" x14ac:dyDescent="0.4">
      <c r="N35" s="219" t="s">
        <v>92</v>
      </c>
      <c r="O35" s="220"/>
      <c r="P35" s="160">
        <f>P33+P34</f>
        <v>43151.133476100003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96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46196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46195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2026-06-23T04:09:50Z</dcterms:modified>
</cp:coreProperties>
</file>