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3ACB8B3-3CD6-4DE4-81E4-9A6302CDB050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<sst xmlns="http://schemas.openxmlformats.org/spreadsheetml/2006/main" count="1586" uniqueCount="122">
  <si>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</si>
  <si>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</si>
  <si>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</si>
  <si>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</si>
  <si>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</si>
  <si>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</si>
  <si>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</si>
  <si>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</si>
  <si>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</si>
  <si>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</si>
  <si>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</si>
  <si>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</si>
  <si>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</si>
  <si>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</si>
  <si>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</si>
  <si>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</si>
  <si>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</si>
  <si>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</si>
  <si>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</si>
  <si>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</si>
  <si>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</si>
  <si>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</si>
  <si>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</si>
  <si>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</si>
  <si>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</si>
  <si>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</si>
  <si>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</si>
  <si>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</si>
  <si>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</si>
  <si>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</si>
  <si>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</si>
  <si>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</si>
  <si>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</si>
  <si>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</si>
  <si>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</si>
  <si>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</si>
  <si>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</si>
  <si>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</si>
  <si>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</si>
  <si>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</si>
  <si>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</si>
  <si>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</si>
  <si>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</si>
  <si>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</si>
  <si>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</si>
  <si>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</si>
  <si>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</si>
  <si>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</si>
  <si>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</si>
  <si>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</si>
  <si>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</si>
  <si>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</si>
  <si>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</si>
  <si>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</si>
  <si>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</si>
  <si>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</si>
  <si>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</si>
  <si>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</si>
  <si>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</si>
  <si>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</si>
  <si>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</si>
  <si>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</si>
  <si>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</si>
  <si>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</si>
  <si>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</si>
  <si>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</si>
  <si>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</si>
  <si>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</si>
  <si>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</si>
  <si>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</si>
  <si>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</si>
  <si>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</si>
  <si>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</si>
  <si>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</si>
  <si>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</si>
  <si>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</si>
  <si>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</si>
  <si>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</si>
  <si>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</si>
  <si>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</si>
  <si>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</si>
  <si>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</si>
  <si>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</si>
  <si>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</si>
  <si>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</si>
  <si>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</si>
  <si>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</si>
  <si>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</si>
  <si>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</si>
  <si>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</si>
  <si>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</si>
  <si>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</si>
  <si>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</si>
  <si>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</si>
  <si>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</si>
  <si>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</si>
  <si>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</si>
  <si>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</si>
  <si>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</si>
  <si>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</si>
  <si>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</si>
  <si>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</si>
  <si>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</si>
  <si>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</si>
  <si>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</si>
  <si>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Customer Name : Hygiene Mart</t>
  </si>
  <si>
    <t>Address: Ghazi Road</t>
  </si>
  <si>
    <t>0724550-5</t>
  </si>
  <si>
    <t>Customer Name : HK Mart</t>
  </si>
  <si>
    <t>Address: Punjab Coprative Housing Scheme</t>
  </si>
  <si>
    <t>E265615-7</t>
  </si>
  <si>
    <t>Customer Name : Al Ahmed</t>
  </si>
  <si>
    <t>Address: Punjab Coprative Housing Sheme</t>
  </si>
  <si>
    <t>A772454-2</t>
  </si>
  <si>
    <t xml:space="preserve">Customer Name : Agrow </t>
  </si>
  <si>
    <t>Address: Punjab Socity Oposite Site</t>
  </si>
  <si>
    <t>Customer Name : Panjab Store</t>
  </si>
  <si>
    <t>Address: E Block St# 13</t>
  </si>
  <si>
    <t>H900499-4</t>
  </si>
  <si>
    <t>Customer Name : Ibraheem Store</t>
  </si>
  <si>
    <t>Shop Bill Summary (Umair)</t>
  </si>
  <si>
    <t>B912371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</si>
</sst>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5" sqref="B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7" zoomScale="70" zoomScaleNormal="70" workbookViewId="0">
      <selection activeCell="V21" sqref="V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120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Hygiene Mart</v>
      </c>
      <c r="U14" s="164">
        <f>+'1'!P35</f>
        <v>6359.0411205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HK Mart</v>
      </c>
      <c r="U15" s="164">
        <f>+'2'!P35</f>
        <v>2390.3320994999999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118</v>
      </c>
      <c r="I16" s="1">
        <f>(G16*D16)*F16+H16*F16</f>
        <v>6190.5749999999998</v>
      </c>
      <c r="J16" s="172">
        <f>+'1'!J16+'2'!J16+'4'!J16+'3'!J16+'5'!J16+'6'!J16+'7'!J16+'8'!J16+'9'!J16+'10'!J16+'11'!J16+'12'!J16+'13'!J16+'14'!J16+'15'!J16+'16'!J16+'17'!J16+'18'!J16</f>
        <v>6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495.24599999999998</v>
      </c>
      <c r="M16" s="106">
        <f>I16-K16-L16</f>
        <v>5695.3289999999997</v>
      </c>
      <c r="N16" s="101">
        <f>+'1'!N16+'2'!N16+'4'!N16+'3'!N16+'5'!N16+'6'!N16+'7'!N16+'8'!N16+'9'!N16+'10'!N16</f>
        <v>1296.95694</v>
      </c>
      <c r="O16" s="101">
        <f>+'1'!O16+'2'!O16+'4'!O16+'3'!O16+'5'!O16+'6'!O16+'7'!O16+'8'!O16+'9'!O16+'10'!O16</f>
        <v>42.027498899999998</v>
      </c>
      <c r="P16" s="105">
        <f t="shared" ref="P16:P24" si="0">M16+N16+O16</f>
        <v>7034.3134388999997</v>
      </c>
      <c r="Q16" s="108"/>
      <c r="T16" s="163" t="str">
        <f>+'4'!A5</f>
        <v xml:space="preserve">Customer Name : Agrow </v>
      </c>
      <c r="U16" s="164">
        <f>+'4'!P35</f>
        <v>1098.2384332499998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124</v>
      </c>
      <c r="I17" s="1">
        <f t="shared" ref="I17:I23" si="1">(G17*D17)*F17+H17*F17</f>
        <v>6505.3499999999995</v>
      </c>
      <c r="J17" s="172">
        <f>+'1'!J17+'2'!J17+'4'!J17+'3'!J17+'5'!J17+'6'!J17+'7'!J17+'8'!J17+'9'!J17+'10'!J17+'11'!J17+'12'!J17+'13'!J17+'14'!J17+'15'!J17+'16'!J17+'17'!J17+'18'!J17</f>
        <v>7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520.428</v>
      </c>
      <c r="M17" s="118">
        <f t="shared" ref="M17:M23" si="2">I17-K17-L17</f>
        <v>5984.9219999999996</v>
      </c>
      <c r="N17" s="101">
        <f>+'1'!N17+'2'!N17+'4'!N17+'3'!N17+'5'!N17+'6'!N17+'7'!N17+'8'!N17+'9'!N17+'10'!N17</f>
        <v>1360.6254300000001</v>
      </c>
      <c r="O17" s="101">
        <f>+'1'!O17+'2'!O17+'4'!O17+'3'!O17+'5'!O17+'6'!O17+'7'!O17+'8'!O17+'9'!O17+'10'!O17</f>
        <v>44.024641349999996</v>
      </c>
      <c r="P17" s="120">
        <f t="shared" si="0"/>
        <v>7389.5720713499995</v>
      </c>
      <c r="S17" s="64"/>
      <c r="T17" s="163" t="str">
        <f>+'3'!A5</f>
        <v>Customer Name : Al Ahmed</v>
      </c>
      <c r="U17" s="164">
        <f>+'3'!P35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104</v>
      </c>
      <c r="I18" s="1">
        <f t="shared" si="1"/>
        <v>5456.0999999999995</v>
      </c>
      <c r="J18" s="172">
        <f>+'1'!J18+'2'!J18+'4'!J18+'3'!J18+'5'!J18+'6'!J18+'7'!J18+'8'!J18+'9'!J18+'10'!J18+'11'!J18+'12'!J18+'13'!J18+'14'!J18+'15'!J18+'16'!J18+'17'!J18+'18'!J18</f>
        <v>4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436.488</v>
      </c>
      <c r="M18" s="118">
        <f t="shared" si="2"/>
        <v>5019.6119999999992</v>
      </c>
      <c r="N18" s="101">
        <f>+'1'!N18+'2'!N18+'4'!N18+'3'!N18+'5'!N18+'6'!N18+'7'!N18+'8'!N18+'9'!N18+'10'!N18</f>
        <v>1115.7304799999999</v>
      </c>
      <c r="O18" s="101">
        <f>+'1'!O18+'2'!O18+'4'!O18+'3'!O18+'5'!O18+'6'!O18+'7'!O18+'8'!O18+'9'!O18+'10'!O18</f>
        <v>37.742781600000001</v>
      </c>
      <c r="P18" s="120">
        <f t="shared" si="0"/>
        <v>6173.0852615999993</v>
      </c>
      <c r="T18" s="163" t="str">
        <f>+'5'!A5</f>
        <v>Customer Name : Panjab Store</v>
      </c>
      <c r="U18" s="164">
        <f>+'5'!P35</f>
        <v>34135.7882322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115</v>
      </c>
      <c r="I19" s="1">
        <f t="shared" si="1"/>
        <v>8353.6</v>
      </c>
      <c r="J19" s="172">
        <f>+'1'!J19+'2'!J19+'4'!J19+'3'!J19+'5'!J19+'6'!J19+'7'!J19+'8'!J19+'9'!J19+'10'!J19+'11'!J19+'12'!J19+'13'!J19+'14'!J19+'15'!J19+'16'!J19+'17'!J19+'18'!J19</f>
        <v>8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668.28800000000001</v>
      </c>
      <c r="M19" s="118">
        <f t="shared" si="2"/>
        <v>7685.3119999999999</v>
      </c>
      <c r="N19" s="101">
        <f>+'1'!N19+'2'!N19+'4'!N19+'3'!N19+'5'!N19+'6'!N19+'7'!N19+'8'!N19+'9'!N19+'10'!N19</f>
        <v>1743.06944</v>
      </c>
      <c r="O19" s="101">
        <f>+'1'!O19+'2'!O19+'4'!O19+'3'!O19+'5'!O19+'6'!O19+'7'!O19+'8'!O19+'9'!O19+'10'!O19</f>
        <v>47.141907199999999</v>
      </c>
      <c r="P19" s="120">
        <f t="shared" si="0"/>
        <v>9475.5233472</v>
      </c>
      <c r="T19" s="163" t="str">
        <f>+'6'!A5</f>
        <v>Customer Name : Ibraheem Store</v>
      </c>
      <c r="U19" s="164">
        <f>+'6'!P35</f>
        <v>1598.1860543999999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120</v>
      </c>
      <c r="I20" s="1">
        <f t="shared" si="1"/>
        <v>8716.7999999999993</v>
      </c>
      <c r="J20" s="172">
        <f>+'1'!J20+'2'!J20+'4'!J20+'3'!J20+'5'!J20+'6'!J20+'7'!J20+'8'!J20+'9'!J20+'10'!J20+'11'!J20+'12'!J20+'13'!J20+'14'!J20+'15'!J20+'16'!J20+'17'!J20+'18'!J20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697.34399999999994</v>
      </c>
      <c r="M20" s="118">
        <f t="shared" si="2"/>
        <v>8019.4559999999992</v>
      </c>
      <c r="N20" s="101">
        <f>+'1'!N20+'2'!N20+'4'!N20+'3'!N20+'5'!N20+'6'!N20+'7'!N20+'8'!N20+'9'!N20+'10'!N20</f>
        <v>1777.3555199999998</v>
      </c>
      <c r="O20" s="101">
        <f>+'1'!O20+'2'!O20+'4'!O20+'3'!O20+'5'!O20+'6'!O20+'7'!O20+'8'!O20+'9'!O20+'10'!O20</f>
        <v>48.9840576</v>
      </c>
      <c r="P20" s="120">
        <f t="shared" si="0"/>
        <v>9845.7955775999999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110</v>
      </c>
      <c r="I21" s="1">
        <f t="shared" si="1"/>
        <v>7990.4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639.23199999999997</v>
      </c>
      <c r="M21" s="118">
        <f t="shared" si="2"/>
        <v>7351.1679999999997</v>
      </c>
      <c r="N21" s="101">
        <f>+'1'!N21+'2'!N21+'4'!N21+'3'!N21+'5'!N21+'6'!N21+'7'!N21+'8'!N21+'9'!N21+'10'!N21</f>
        <v>1577.15968</v>
      </c>
      <c r="O21" s="101">
        <f>+'1'!O21+'2'!O21+'4'!O21+'3'!O21+'5'!O21+'6'!O21+'7'!O21+'8'!O21+'9'!O21+'10'!O21</f>
        <v>44.641638400000005</v>
      </c>
      <c r="P21" s="120">
        <f t="shared" si="0"/>
        <v>8972.9693184000007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17.274999999999999</v>
      </c>
      <c r="D25" s="205"/>
      <c r="E25" s="205"/>
      <c r="F25" s="205"/>
      <c r="G25" s="176">
        <f t="shared" ref="G25:M25" si="3">SUM(G16:G24)</f>
        <v>0</v>
      </c>
      <c r="H25" s="177">
        <f t="shared" si="3"/>
        <v>691</v>
      </c>
      <c r="I25" s="178">
        <f t="shared" si="3"/>
        <v>43212.825000000004</v>
      </c>
      <c r="J25" s="177">
        <f t="shared" si="3"/>
        <v>30</v>
      </c>
      <c r="K25" s="178">
        <f t="shared" si="3"/>
        <v>0</v>
      </c>
      <c r="L25" s="179">
        <f t="shared" si="3"/>
        <v>3457.0259999999998</v>
      </c>
      <c r="M25" s="141">
        <f t="shared" si="3"/>
        <v>39755.798999999992</v>
      </c>
      <c r="N25" s="142">
        <f>SUM(N16:N24)</f>
        <v>8870.8974900000012</v>
      </c>
      <c r="O25" s="143">
        <f>SUM(O16:O24)</f>
        <v>264.56252504999998</v>
      </c>
      <c r="P25" s="144">
        <f>SUM(P16:P24)</f>
        <v>48891.259015049996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48891.259015050004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43212.825000000004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3457.0259999999998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39755.799000000006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8870.8974900000012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48626.696490000009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1215.6674122500003</v>
      </c>
    </row>
    <row r="39" spans="2:16" ht="15.75" customHeight="1" thickBot="1" x14ac:dyDescent="0.4">
      <c r="N39" s="203" t="s">
        <v>92</v>
      </c>
      <c r="O39" s="204"/>
      <c r="P39" s="160">
        <f>P37+P38</f>
        <v>49842.363902250007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3277876165058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>
        <v>1</v>
      </c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113.69672999999997</v>
      </c>
      <c r="O16" s="107">
        <f t="shared" ref="O16:O24" si="1">(N16+M16)*$O$15</f>
        <v>3.4644136499999996</v>
      </c>
      <c r="P16" s="105">
        <f t="shared" ref="P16:P24" si="2">M16+N16+O16</f>
        <v>696.34714364999991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18</v>
      </c>
      <c r="I17" s="116">
        <f t="shared" ref="I17:I23" si="3">(G17*D17)*F17+H17*F17</f>
        <v>944.32499999999993</v>
      </c>
      <c r="J17" s="117">
        <v>1</v>
      </c>
      <c r="K17" s="1">
        <f t="shared" ref="K17:K21" si="4">I17*$K$13</f>
        <v>0</v>
      </c>
      <c r="L17" s="105">
        <f t="shared" ref="L17:L21" si="5">I17*8%</f>
        <v>75.545999999999992</v>
      </c>
      <c r="M17" s="118">
        <f t="shared" ref="M17:M23" si="6">I17-K17-L17</f>
        <v>868.779</v>
      </c>
      <c r="N17" s="118">
        <f t="shared" si="0"/>
        <v>165.82346999999999</v>
      </c>
      <c r="O17" s="119">
        <f t="shared" si="1"/>
        <v>5.1730123500000005</v>
      </c>
      <c r="P17" s="120">
        <f t="shared" si="2"/>
        <v>1039.7754823499999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18</v>
      </c>
      <c r="I18" s="116">
        <f t="shared" si="3"/>
        <v>944.32499999999993</v>
      </c>
      <c r="J18" s="117"/>
      <c r="K18" s="1">
        <f t="shared" si="4"/>
        <v>0</v>
      </c>
      <c r="L18" s="105">
        <f t="shared" si="5"/>
        <v>75.545999999999992</v>
      </c>
      <c r="M18" s="118">
        <f t="shared" si="6"/>
        <v>868.779</v>
      </c>
      <c r="N18" s="118">
        <f t="shared" si="0"/>
        <v>156.38021999999998</v>
      </c>
      <c r="O18" s="119">
        <f t="shared" si="1"/>
        <v>5.1257961000000005</v>
      </c>
      <c r="P18" s="120">
        <f t="shared" si="2"/>
        <v>1030.2850160999999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>
        <v>2</v>
      </c>
      <c r="K19" s="1">
        <f t="shared" si="4"/>
        <v>0</v>
      </c>
      <c r="L19" s="105">
        <f t="shared" si="5"/>
        <v>87.167999999999992</v>
      </c>
      <c r="M19" s="118">
        <f t="shared" si="6"/>
        <v>1002.4319999999999</v>
      </c>
      <c r="N19" s="118">
        <f t="shared" si="0"/>
        <v>206.58815999999996</v>
      </c>
      <c r="O19" s="119">
        <f t="shared" si="1"/>
        <v>6.0451007999999993</v>
      </c>
      <c r="P19" s="120">
        <f t="shared" si="2"/>
        <v>1215.0652607999998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3"/>
        <v>1089.5999999999999</v>
      </c>
      <c r="J20" s="117"/>
      <c r="K20" s="1">
        <f t="shared" si="4"/>
        <v>0</v>
      </c>
      <c r="L20" s="105">
        <f t="shared" si="5"/>
        <v>87.167999999999992</v>
      </c>
      <c r="M20" s="118">
        <f t="shared" si="6"/>
        <v>1002.4319999999999</v>
      </c>
      <c r="N20" s="118">
        <f t="shared" si="0"/>
        <v>180.43775999999997</v>
      </c>
      <c r="O20" s="119">
        <f t="shared" si="1"/>
        <v>5.9143487999999991</v>
      </c>
      <c r="P20" s="120">
        <f t="shared" si="2"/>
        <v>1188.7841087999998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">
        <f t="shared" si="4"/>
        <v>0</v>
      </c>
      <c r="L21" s="105">
        <f t="shared" si="5"/>
        <v>87.167999999999992</v>
      </c>
      <c r="M21" s="118">
        <f t="shared" si="6"/>
        <v>1002.4319999999999</v>
      </c>
      <c r="N21" s="118">
        <f t="shared" si="0"/>
        <v>180.43775999999997</v>
      </c>
      <c r="O21" s="119">
        <f t="shared" si="1"/>
        <v>5.9143487999999991</v>
      </c>
      <c r="P21" s="120">
        <f t="shared" si="2"/>
        <v>1188.7841087999998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93</v>
      </c>
      <c r="I25" s="137">
        <f t="shared" si="9"/>
        <v>5787</v>
      </c>
      <c r="J25" s="138"/>
      <c r="K25" s="139">
        <f t="shared" si="9"/>
        <v>0</v>
      </c>
      <c r="L25" s="140">
        <f t="shared" si="9"/>
        <v>462.96</v>
      </c>
      <c r="M25" s="141">
        <f t="shared" si="9"/>
        <v>5324.0399999999991</v>
      </c>
      <c r="N25" s="142">
        <f>SUM(N16:N24)</f>
        <v>1003.3641</v>
      </c>
      <c r="O25" s="143">
        <f>SUM(O16:O24)</f>
        <v>31.637020499999998</v>
      </c>
      <c r="P25" s="144">
        <f>SUM(P16:P24)</f>
        <v>6359.0411204999991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5787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462.96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5324.04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1003.3641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6327.4040999999997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31.637020499999998</v>
      </c>
    </row>
    <row r="35" spans="2:16" ht="15.75" customHeight="1" thickBot="1" x14ac:dyDescent="0.4">
      <c r="N35" s="203" t="s">
        <v>92</v>
      </c>
      <c r="O35" s="204"/>
      <c r="P35" s="160">
        <f>P33+P34</f>
        <v>6359.0411205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A8" sqref="A8:C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03" t="s">
        <v>92</v>
      </c>
      <c r="O35" s="204"/>
      <c r="P35" s="160">
        <f>P33+P34</f>
        <v>2390.3320994999999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C10" sqref="C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>
        <v>1</v>
      </c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163.00415999999998</v>
      </c>
      <c r="O19" s="119">
        <f t="shared" si="6"/>
        <v>4.1564607999999996</v>
      </c>
      <c r="P19" s="120">
        <f t="shared" si="1"/>
        <v>835.44862079999996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1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236.51583999999997</v>
      </c>
      <c r="O20" s="119">
        <f t="shared" si="6"/>
        <v>6.194739199999999</v>
      </c>
      <c r="P20" s="120">
        <f t="shared" si="1"/>
        <v>1245.1425791999998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A8" sqref="A8:C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63.710459999999991</v>
      </c>
      <c r="O16" s="107">
        <f>(N16+M16)*$O$15</f>
        <v>8.8325864999999997</v>
      </c>
      <c r="P16" s="105">
        <f t="shared" ref="P16:P24" si="1">M16+N16+O16</f>
        <v>362.13604649999996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>
        <v>1</v>
      </c>
      <c r="K17" s="1">
        <f t="shared" ref="K17:K21" si="3">I17*$K$13</f>
        <v>0</v>
      </c>
      <c r="L17" s="105">
        <f t="shared" ref="L17:L21" si="4">I17*8%</f>
        <v>25.181999999999999</v>
      </c>
      <c r="M17" s="118">
        <f t="shared" ref="M17:M23" si="5">I17-K17-L17</f>
        <v>289.59299999999996</v>
      </c>
      <c r="N17" s="118">
        <f t="shared" si="0"/>
        <v>75.252209999999991</v>
      </c>
      <c r="O17" s="119">
        <f t="shared" ref="O17:O24" si="6">(N17+M17)*$O$15</f>
        <v>9.1211302499999984</v>
      </c>
      <c r="P17" s="120">
        <f t="shared" si="1"/>
        <v>373.96634024999997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6</v>
      </c>
      <c r="I18" s="116">
        <f t="shared" si="2"/>
        <v>314.77499999999998</v>
      </c>
      <c r="J18" s="117"/>
      <c r="K18" s="1">
        <f t="shared" si="3"/>
        <v>0</v>
      </c>
      <c r="L18" s="105">
        <f t="shared" si="4"/>
        <v>25.181999999999999</v>
      </c>
      <c r="M18" s="118">
        <f t="shared" si="5"/>
        <v>289.59299999999996</v>
      </c>
      <c r="N18" s="118">
        <f t="shared" si="0"/>
        <v>63.710459999999991</v>
      </c>
      <c r="O18" s="119">
        <f t="shared" si="6"/>
        <v>8.8325864999999997</v>
      </c>
      <c r="P18" s="120">
        <f t="shared" si="1"/>
        <v>362.13604649999996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18</v>
      </c>
      <c r="I25" s="137">
        <f t="shared" si="9"/>
        <v>944.32499999999993</v>
      </c>
      <c r="J25" s="138"/>
      <c r="K25" s="139">
        <f t="shared" si="9"/>
        <v>0</v>
      </c>
      <c r="L25" s="140">
        <f t="shared" si="9"/>
        <v>75.545999999999992</v>
      </c>
      <c r="M25" s="141">
        <f t="shared" si="9"/>
        <v>868.77899999999988</v>
      </c>
      <c r="N25" s="142">
        <f>SUM(N16:N24)</f>
        <v>202.67312999999996</v>
      </c>
      <c r="O25" s="143">
        <f>SUM(O16:O24)</f>
        <v>26.786303249999996</v>
      </c>
      <c r="P25" s="144">
        <f>SUM(P16:P24)</f>
        <v>1098.2384332499998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944.32499999999993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75.545999999999992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868.779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202.67312999999996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1071.4521299999999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26.78630325</v>
      </c>
    </row>
    <row r="35" spans="2:16" ht="15.75" customHeight="1" thickBot="1" x14ac:dyDescent="0.4">
      <c r="N35" s="203" t="s">
        <v>92</v>
      </c>
      <c r="O35" s="204"/>
      <c r="P35" s="160">
        <f>P33+P34</f>
        <v>1098.2384332499998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E8" sqref="E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>
        <v>4</v>
      </c>
      <c r="K16" s="104">
        <f>I16*$K$13</f>
        <v>0</v>
      </c>
      <c r="L16" s="105">
        <f>I16*8%</f>
        <v>335.76</v>
      </c>
      <c r="M16" s="106">
        <f>I16-K16-L16</f>
        <v>3861.24</v>
      </c>
      <c r="N16" s="106">
        <f t="shared" ref="N16:N24" si="0">(M16*$N$15)+(J16*F16)*$N$15</f>
        <v>895.63980000000004</v>
      </c>
      <c r="O16" s="107">
        <f>(N16+M16)*$O$15</f>
        <v>23.784399000000001</v>
      </c>
      <c r="P16" s="105">
        <f t="shared" ref="P16:P24" si="1">M16+N16+O16</f>
        <v>4780.6641989999998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>
        <v>4</v>
      </c>
      <c r="K17" s="1">
        <f t="shared" ref="K17:K21" si="3">I17*$K$13</f>
        <v>0</v>
      </c>
      <c r="L17" s="105">
        <f t="shared" ref="L17:L21" si="4">I17*8%</f>
        <v>335.76</v>
      </c>
      <c r="M17" s="118">
        <f t="shared" ref="M17:M23" si="5">I17-K17-L17</f>
        <v>3861.24</v>
      </c>
      <c r="N17" s="118">
        <f t="shared" si="0"/>
        <v>895.63980000000004</v>
      </c>
      <c r="O17" s="119">
        <f t="shared" ref="O17:O24" si="6">(N17+M17)*$O$15</f>
        <v>23.784399000000001</v>
      </c>
      <c r="P17" s="120">
        <f t="shared" si="1"/>
        <v>4780.6641989999998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2"/>
        <v>4197</v>
      </c>
      <c r="J18" s="117">
        <v>4</v>
      </c>
      <c r="K18" s="1">
        <f t="shared" si="3"/>
        <v>0</v>
      </c>
      <c r="L18" s="105">
        <f t="shared" si="4"/>
        <v>335.76</v>
      </c>
      <c r="M18" s="118">
        <f t="shared" si="5"/>
        <v>3861.24</v>
      </c>
      <c r="N18" s="118">
        <f t="shared" si="0"/>
        <v>895.63980000000004</v>
      </c>
      <c r="O18" s="119">
        <f t="shared" si="6"/>
        <v>23.784399000000001</v>
      </c>
      <c r="P18" s="120">
        <f t="shared" si="1"/>
        <v>4780.6641989999998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>
        <v>4</v>
      </c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1240.1100799999999</v>
      </c>
      <c r="O19" s="119">
        <f t="shared" si="6"/>
        <v>32.932070400000001</v>
      </c>
      <c r="P19" s="120">
        <f t="shared" si="1"/>
        <v>6619.3461504000006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>
        <v>4</v>
      </c>
      <c r="K20" s="1">
        <f t="shared" si="3"/>
        <v>0</v>
      </c>
      <c r="L20" s="105">
        <f t="shared" si="4"/>
        <v>464.89600000000002</v>
      </c>
      <c r="M20" s="118">
        <f t="shared" si="5"/>
        <v>5346.3040000000001</v>
      </c>
      <c r="N20" s="118">
        <f t="shared" si="0"/>
        <v>1240.1100799999999</v>
      </c>
      <c r="O20" s="119">
        <f t="shared" si="6"/>
        <v>32.932070400000001</v>
      </c>
      <c r="P20" s="120">
        <f t="shared" si="1"/>
        <v>6619.3461504000006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1176.18688</v>
      </c>
      <c r="O21" s="119">
        <f t="shared" si="6"/>
        <v>32.612454400000004</v>
      </c>
      <c r="P21" s="120">
        <f t="shared" si="1"/>
        <v>6555.1033344000007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480</v>
      </c>
      <c r="I25" s="137">
        <f t="shared" si="9"/>
        <v>30024.600000000002</v>
      </c>
      <c r="J25" s="138"/>
      <c r="K25" s="139">
        <f t="shared" si="9"/>
        <v>0</v>
      </c>
      <c r="L25" s="140">
        <f t="shared" si="9"/>
        <v>2401.9679999999998</v>
      </c>
      <c r="M25" s="141">
        <f t="shared" si="9"/>
        <v>27622.631999999998</v>
      </c>
      <c r="N25" s="142">
        <f>SUM(N16:N24)</f>
        <v>6343.3264399999998</v>
      </c>
      <c r="O25" s="143">
        <f>SUM(O16:O24)</f>
        <v>169.82979219999999</v>
      </c>
      <c r="P25" s="144">
        <f>SUM(P16:P24)</f>
        <v>34135.7882322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30024.600000000002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2401.9679999999998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27622.632000000001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6343.3264399999998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33965.958440000002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169.82979220000001</v>
      </c>
    </row>
    <row r="35" spans="2:16" ht="15.75" customHeight="1" thickBot="1" x14ac:dyDescent="0.4">
      <c r="N35" s="203" t="s">
        <v>92</v>
      </c>
      <c r="O35" s="204"/>
      <c r="P35" s="160">
        <f>P33+P34</f>
        <v>34135.7882322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0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121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>
        <v>1</v>
      </c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133.36704</v>
      </c>
      <c r="O19" s="119">
        <f t="shared" si="6"/>
        <v>4.0082751999999999</v>
      </c>
      <c r="P19" s="120">
        <f t="shared" si="1"/>
        <v>805.66331519999994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120.29183999999999</v>
      </c>
      <c r="O20" s="119">
        <f t="shared" si="6"/>
        <v>3.9428991999999998</v>
      </c>
      <c r="P20" s="120">
        <f t="shared" si="1"/>
        <v>792.52273920000005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253.65888000000001</v>
      </c>
      <c r="O25" s="143">
        <f>SUM(O16:O24)</f>
        <v>7.9511743999999993</v>
      </c>
      <c r="P25" s="144">
        <f>SUM(P16:P24)</f>
        <v>1598.1860544000001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1452.8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116.224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1336.576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253.65888000000001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1590.23488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7.9511744000000002</v>
      </c>
    </row>
    <row r="35" spans="2:16" ht="15.75" customHeight="1" thickBot="1" x14ac:dyDescent="0.4">
      <c r="N35" s="203" t="s">
        <v>92</v>
      </c>
      <c r="O35" s="204"/>
      <c r="P35" s="160">
        <f>P33+P34</f>
        <v>1598.1860543999999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2026-06-23T12:05:32Z</dcterms:modified>
</cp:coreProperties>
</file>