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5197409C-4AF1-487B-B57B-F51BECCE7F7C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M21" i="43" s="1"/>
  <c r="O21" i="43" s="1"/>
  <c r="P21" i="43" s="1"/>
  <c r="J21" i="43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M20" i="48" s="1"/>
  <c r="O20" i="48" s="1"/>
  <c r="P20" i="48" s="1"/>
  <c r="K20" i="53"/>
  <c r="L20" i="53"/>
  <c r="M20" i="53" s="1"/>
  <c r="O20" i="53" s="1"/>
  <c r="P20" i="53" s="1"/>
  <c r="R20" i="53" s="1"/>
  <c r="J20" i="53"/>
  <c r="K20" i="43"/>
  <c r="L20" i="43"/>
  <c r="J20" i="43"/>
  <c r="M20" i="43" s="1"/>
  <c r="O20" i="43" s="1"/>
  <c r="P20" i="43" s="1"/>
  <c r="R20" i="43" s="1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J7" i="62" l="1"/>
  <c r="K12" i="62"/>
  <c r="M21" i="44"/>
  <c r="O21" i="44" s="1"/>
  <c r="P21" i="44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<sst xmlns="http://schemas.openxmlformats.org/spreadsheetml/2006/main" count="3948" uniqueCount="529">
  <si>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</si>
  <si>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</si>
  <si>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</si>
  <si>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</si>
  <si>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</si>
  <si>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</si>
  <si>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</si>
  <si>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</si>
  <si>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</si>
  <si>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</si>
  <si>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</si>
  <si>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</si>
  <si>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</si>
  <si>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</si>
  <si>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</si>
  <si>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</si>
  <si>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</si>
  <si>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</si>
  <si>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</si>
  <si>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</si>
  <si>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</si>
  <si>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</si>
  <si>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</si>
  <si>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</si>
  <si>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</si>
  <si>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</si>
  <si>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</si>
  <si>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</si>
  <si>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</si>
  <si>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</si>
  <si>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</si>
  <si>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</si>
  <si>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</si>
  <si>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</si>
  <si>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</si>
  <si>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</si>
  <si>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</si>
  <si>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</si>
  <si>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</si>
  <si>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</si>
  <si>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</si>
  <si>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</si>
  <si>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</si>
  <si>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</si>
  <si>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</si>
  <si>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</si>
  <si>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</si>
  <si>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</si>
  <si>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</si>
  <si>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</si>
  <si>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</si>
  <si>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</si>
  <si>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</si>
  <si>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</si>
  <si>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</si>
  <si>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</si>
  <si>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</si>
  <si>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</si>
  <si>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</si>
  <si>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</si>
  <si>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</si>
  <si>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</si>
  <si>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</si>
  <si>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</si>
  <si>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</si>
  <si>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</si>
  <si>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</si>
  <si>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</si>
  <si>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</si>
  <si>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</si>
  <si>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</si>
  <si>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</si>
  <si>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</si>
  <si>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</si>
  <si>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</si>
  <si>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</si>
  <si>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</si>
  <si>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</si>
  <si>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</si>
  <si>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</si>
  <si>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</si>
  <si>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</si>
  <si>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</si>
  <si>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</si>
  <si>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</si>
  <si>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</si>
  <si>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</si>
  <si>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</si>
  <si>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</si>
  <si>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</si>
  <si>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</si>
  <si>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</si>
  <si>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</si>
  <si>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</si>
  <si>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</si>
  <si>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</si>
  <si>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</si>
  <si>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</si>
  <si>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</si>
  <si>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</si>
  <si>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</si>
  <si>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</si>
  <si>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</si>
  <si>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</si>
  <si>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</si>
  <si>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</si>
  <si>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</si>
  <si>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</si>
  <si>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</si>
  <si>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</si>
  <si>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</si>
  <si>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</si>
  <si>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</si>
  <si>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</si>
  <si>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</si>
  <si>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</si>
  <si>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</si>
  <si>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</si>
  <si>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</si>
  <si>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</si>
  <si>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</si>
  <si>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</si>
  <si>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</si>
  <si>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</si>
  <si>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</si>
  <si>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</si>
  <si>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</si>
  <si>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</si>
  <si>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</si>
  <si>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</si>
  <si>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</si>
  <si>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</si>
  <si>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</si>
  <si>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</si>
  <si>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</si>
  <si>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</si>
  <si>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</si>
  <si>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</si>
  <si>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</si>
  <si>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</si>
  <si>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</si>
  <si>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</si>
  <si>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</si>
  <si>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</si>
  <si>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</si>
  <si>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</si>
  <si>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</si>
  <si>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</si>
  <si>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</si>
  <si>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</si>
  <si>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</si>
  <si>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</si>
  <si>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</si>
  <si>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</si>
  <si>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</si>
  <si>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</si>
  <si>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</si>
  <si>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</si>
  <si>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</si>
  <si>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</si>
  <si>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</si>
  <si>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</si>
  <si>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</si>
  <si>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</si>
  <si>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</si>
  <si>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</si>
  <si>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</si>
  <si>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</si>
  <si>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</si>
  <si>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</si>
  <si>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</si>
  <si>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</si>
  <si>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</si>
  <si>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</si>
  <si>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</si>
  <si>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</si>
  <si>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</si>
  <si>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</si>
  <si>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</si>
  <si>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</si>
  <si>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</si>
  <si>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</si>
  <si>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</si>
  <si>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</si>
  <si>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</si>
  <si>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</si>
  <si>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</si>
  <si>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</si>
  <si>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</si>
  <si>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</si>
  <si>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</si>
  <si>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</si>
  <si>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</si>
  <si>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</si>
  <si>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</si>
  <si>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</si>
  <si>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</si>
  <si>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</si>
  <si>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</si>
  <si>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</si>
  <si>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</si>
  <si>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</si>
  <si>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</si>
  <si>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</si>
  <si>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</si>
  <si>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</si>
  <si>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</si>
  <si>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</si>
  <si>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</si>
  <si>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</si>
  <si>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</si>
  <si>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</si>
  <si>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</si>
  <si>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</si>
  <si>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</si>
  <si>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</si>
  <si>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</si>
  <si>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</si>
  <si>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</si>
  <si>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</si>
  <si>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</si>
  <si>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</si>
  <si>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</si>
  <si>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</si>
  <si>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</si>
  <si>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</si>
  <si>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</si>
  <si>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</si>
  <si>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</si>
  <si>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</si>
  <si>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</si>
  <si>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</si>
  <si>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</si>
  <si>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</si>
  <si>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</si>
  <si>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</si>
  <si>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</si>
  <si>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</si>
  <si>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</si>
  <si>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</si>
  <si>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</si>
  <si>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</si>
  <si>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</si>
  <si>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</si>
  <si>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</si>
  <si>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</si>
  <si>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</si>
  <si>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</si>
  <si>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</si>
  <si>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</si>
  <si>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</si>
  <si>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</si>
  <si>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</si>
  <si>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</si>
  <si>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</si>
  <si>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</si>
  <si>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</si>
  <si>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</si>
  <si>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</si>
  <si>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</si>
  <si>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</si>
  <si>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</si>
  <si>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</si>
  <si>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</si>
  <si>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</si>
  <si>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</si>
  <si>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</si>
  <si>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</si>
  <si>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</si>
  <si>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</si>
  <si>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</si>
  <si>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</si>
  <si>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</si>
  <si>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</si>
  <si>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</si>
  <si>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</si>
  <si>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</si>
  <si>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</si>
  <si>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</si>
  <si>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</si>
  <si>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</si>
  <si>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</si>
  <si>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</si>
  <si>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</si>
  <si>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</si>
  <si>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</si>
  <si>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</si>
  <si>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</si>
  <si>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</si>
  <si>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</si>
  <si>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</si>
  <si>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</si>
  <si>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</si>
  <si>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</si>
  <si>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</si>
  <si>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</si>
  <si>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</si>
  <si>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</si>
  <si>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</si>
  <si>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</si>
  <si>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</si>
  <si>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</si>
  <si>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</si>
  <si>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</si>
  <si>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</si>
  <si>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</si>
  <si>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</si>
  <si>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</si>
  <si>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</si>
  <si>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</si>
  <si>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</si>
  <si>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</si>
  <si>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</si>
  <si>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</si>
  <si>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</si>
  <si>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</si>
  <si>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</si>
  <si>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</si>
  <si>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</si>
  <si>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</si>
  <si>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</si>
  <si>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</si>
  <si>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</si>
  <si>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</si>
  <si>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</si>
  <si>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</si>
  <si>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</si>
  <si>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</si>
  <si>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</si>
  <si>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</si>
  <si>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</si>
  <si>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</si>
  <si>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</si>
  <si>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</si>
  <si>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</si>
  <si>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</si>
  <si>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</si>
  <si>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</si>
  <si>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</si>
  <si>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</si>
  <si>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</si>
  <si>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</si>
  <si>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</si>
  <si>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</si>
  <si>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</si>
  <si>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</si>
  <si>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</si>
  <si>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</si>
  <si>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</si>
  <si>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</si>
  <si>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</si>
  <si>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</si>
  <si>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</si>
  <si>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</si>
  <si>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</si>
  <si>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</si>
  <si>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</si>
  <si>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</si>
  <si>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</si>
  <si>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</si>
  <si>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</si>
  <si>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</si>
  <si>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</si>
  <si>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</si>
  <si>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</si>
  <si>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</si>
  <si>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</si>
  <si>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</si>
  <si>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</si>
  <si>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</si>
  <si>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</si>
  <si>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</si>
  <si>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</si>
  <si>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</si>
  <si>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</si>
  <si>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</si>
  <si>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</si>
  <si>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</si>
  <si>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</si>
  <si>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</si>
  <si>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</si>
  <si>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</si>
  <si>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</si>
  <si>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</si>
  <si>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</si>
  <si>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</si>
  <si>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</si>
  <si>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</si>
  <si>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</si>
  <si>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</si>
  <si>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</si>
  <si>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</si>
  <si>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</si>
  <si>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</si>
  <si>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</si>
  <si>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</si>
  <si>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</si>
  <si>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</si>
  <si>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</si>
  <si>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</si>
  <si>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</si>
  <si>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</si>
  <si>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</si>
  <si>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</si>
  <si>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</si>
  <si>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</si>
  <si>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</si>
  <si>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</si>
  <si>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</si>
  <si>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</si>
  <si>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</si>
  <si>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</si>
  <si>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</si>
  <si>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</si>
  <si>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</si>
  <si>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</si>
  <si>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</si>
  <si>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</si>
  <si>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</si>
  <si>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</si>
  <si>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</si>
  <si>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</si>
  <si>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</si>
  <si>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</si>
  <si>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</si>
  <si>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</si>
  <si>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</si>
  <si>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</si>
  <si>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</si>
  <si>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</si>
  <si>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</si>
  <si>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</si>
  <si>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</si>
  <si>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</si>
  <si>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</si>
  <si>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</si>
  <si>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</si>
  <si>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</si>
  <si>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</si>
  <si>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</si>
  <si>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</si>
  <si>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</si>
  <si>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</si>
  <si>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</si>
  <si>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</si>
  <si>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</si>
  <si>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</si>
  <si>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</si>
  <si>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</si>
  <si>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</si>
  <si>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</si>
  <si>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</si>
  <si>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</si>
  <si>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</si>
  <si>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</si>
  <si>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</si>
  <si>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</si>
  <si>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</si>
  <si>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</si>
  <si>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</si>
  <si>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</si>
  <si>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</si>
  <si>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</si>
  <si>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</si>
  <si>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</si>
  <si>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</si>
  <si>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</si>
  <si>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</si>
  <si>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</si>
  <si>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</si>
  <si>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</si>
  <si>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</si>
  <si>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</si>
  <si>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</si>
  <si>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</si>
  <si>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</si>
  <si>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</si>
  <si>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</si>
  <si>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</si>
  <si>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</si>
  <si>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</si>
  <si>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</si>
  <si>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</si>
  <si>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</si>
  <si>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</si>
  <si>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</si>
  <si>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</si>
  <si>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</si>
  <si>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</si>
  <si>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</si>
  <si>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</si>
  <si>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</si>
  <si>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</si>
  <si>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</si>
  <si>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</si>
  <si>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</si>
  <si>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</si>
  <si>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</si>
  <si>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</si>
  <si>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</si>
  <si>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</si>
  <si>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</si>
  <si>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</si>
  <si>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</si>
  <si>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</si>
  <si>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</si>
  <si>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</si>
  <si>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</si>
  <si>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</si>
  <si>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</si>
  <si>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</si>
  <si>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</si>
  <si>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</si>
  <si>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</si>
  <si>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Jabbar</t>
  </si>
  <si>
    <t xml:space="preserve">Address: Sajid Garden </t>
  </si>
  <si>
    <t>SMS Store</t>
  </si>
  <si>
    <t>Zam zam Store</t>
  </si>
  <si>
    <t xml:space="preserve">Attae Haq </t>
  </si>
  <si>
    <t xml:space="preserve">Smokie Mart </t>
  </si>
  <si>
    <t xml:space="preserve">Amas Mart </t>
  </si>
  <si>
    <t xml:space="preserve">Address: Hafeez Garden </t>
  </si>
  <si>
    <t>Classic Store</t>
  </si>
  <si>
    <t xml:space="preserve">Smoke Mart </t>
  </si>
  <si>
    <t>Address: Canal Fort</t>
  </si>
  <si>
    <t xml:space="preserve">Ali Mart </t>
  </si>
  <si>
    <t xml:space="preserve">City Mart </t>
  </si>
  <si>
    <t>Sohail Store</t>
  </si>
  <si>
    <t xml:space="preserve">Address: gawal Mandi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</si>
</sst>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20" workbookViewId="0">
      <selection activeCell="F29" sqref="F2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514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46308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>SMS Store</v>
      </c>
      <c r="T3" s="301">
        <f>+'1'!P35</f>
        <v>3136.2115850847458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Zam zam Store</v>
      </c>
      <c r="T4" s="301">
        <f>+'2'!P35</f>
        <v>5401.2631679237293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 xml:space="preserve">Attae Haq </v>
      </c>
      <c r="T5" s="301">
        <f>+'3'!P35</f>
        <v>9233.4270752542379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 xml:space="preserve">Smokie Mart </v>
      </c>
      <c r="T6" s="301">
        <f>+'4'!P35</f>
        <v>1176.0793444067797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23</v>
      </c>
      <c r="I7" s="235">
        <f>(G7*D7)*F7+H7*F7</f>
        <v>1206.6375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96.531000000000006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42.232312500000006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1067.8741875000001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228.05084745762701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6.4796251747881346</v>
      </c>
      <c r="P7" s="310">
        <f>M7+N7+O7</f>
        <v>1302.4046601324153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 xml:space="preserve">Amas Mart </v>
      </c>
      <c r="T7" s="301">
        <f>+'5'!P35</f>
        <v>4325.3636660752118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17</v>
      </c>
      <c r="I8" s="236">
        <f t="shared" ref="I8:I14" si="0">(G8*D8)*F8+H8*F8</f>
        <v>891.86249999999995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71.349000000000004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31.215187500000003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789.29831249999995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168.55932203389824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4.7892881726694911</v>
      </c>
      <c r="P8" s="311">
        <f t="shared" ref="P8:P15" si="2">M8+N8+O8</f>
        <v>962.64692270656758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Classic Store</v>
      </c>
      <c r="T8" s="301">
        <f>+'6'!P35</f>
        <v>940.86347552542372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33</v>
      </c>
      <c r="I9" s="236">
        <f t="shared" si="0"/>
        <v>1731.2625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138.501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60.594187500000004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1532.1673125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327.20338983050834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9.2968535116525413</v>
      </c>
      <c r="P9" s="311">
        <f t="shared" si="2"/>
        <v>1868.6675558421607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 xml:space="preserve">Smoke Mart </v>
      </c>
      <c r="T9" s="301">
        <f>+'7'!P35</f>
        <v>2116.9428199322037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123</v>
      </c>
      <c r="I10" s="236">
        <f t="shared" si="0"/>
        <v>8934.7199999999993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772.88960000000009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312.71519999999998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7849.1151999999993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1688.6440677966102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47.688796338983053</v>
      </c>
      <c r="P10" s="311">
        <f t="shared" si="2"/>
        <v>9585.4480641355931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36</v>
      </c>
      <c r="R10" s="313">
        <v>8</v>
      </c>
      <c r="S10" s="300" t="str">
        <f>+'8'!A6:A6</f>
        <v xml:space="preserve">Ali Mart </v>
      </c>
      <c r="T10" s="301">
        <f>+'8'!P35</f>
        <v>1620.3789503771186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75</v>
      </c>
      <c r="I11" s="236">
        <f t="shared" si="0"/>
        <v>5448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493.952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190.68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4763.3680000000004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1029.6610169491528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28.965145084745764</v>
      </c>
      <c r="P11" s="311">
        <f t="shared" si="2"/>
        <v>5821.9941620338986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16</v>
      </c>
      <c r="R11" s="313">
        <v>9</v>
      </c>
      <c r="S11" s="300" t="str">
        <f>+'9'!A6:A6</f>
        <v xml:space="preserve">City Mart 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108</v>
      </c>
      <c r="I12" s="236">
        <f t="shared" si="0"/>
        <v>7845.12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685.72160000000008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274.57920000000001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6884.8191999999999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1482.7118644067796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41.837655322033896</v>
      </c>
      <c r="P12" s="311">
        <f t="shared" si="2"/>
        <v>8409.3687197288127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Sohail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9.4749999999999996</v>
      </c>
      <c r="H16" s="113">
        <f t="shared" ref="H16:M16" si="3">SUM(H7:H15)</f>
        <v>379</v>
      </c>
      <c r="I16" s="114">
        <f t="shared" si="3"/>
        <v>26057.602499999997</v>
      </c>
      <c r="J16" s="274">
        <f>SUM(J7:J15)</f>
        <v>2258.9441999999999</v>
      </c>
      <c r="K16" s="275">
        <f t="shared" si="3"/>
        <v>912.01608750000003</v>
      </c>
      <c r="L16" s="276">
        <f t="shared" si="3"/>
        <v>0</v>
      </c>
      <c r="M16" s="232">
        <f t="shared" si="3"/>
        <v>22886.642212499999</v>
      </c>
      <c r="N16" s="233">
        <f>SUM(N7:N15)</f>
        <v>4924.8305084745762</v>
      </c>
      <c r="O16" s="101">
        <f>SUM(O7:O15)</f>
        <v>139.05736360487288</v>
      </c>
      <c r="P16" s="113">
        <f>SUM(P7:P15)</f>
        <v>27950.530084579448</v>
      </c>
      <c r="Q16" s="128">
        <f>SUM(Q7:Q15)</f>
        <v>52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26057.602499999997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2258.9441999999999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912.01608750000003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22886.642212499995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4924.8305084745762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27811.472720974572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139.05736360487288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27950.530084579445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27950.530084579452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1" workbookViewId="0">
      <selection activeCell="H7" sqref="H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46308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46307</v>
      </c>
      <c r="O5" s="370"/>
      <c r="P5" s="370"/>
      <c r="R5" s="85"/>
      <c r="S5" s="266"/>
    </row>
    <row r="6" spans="1:22 16383:16384" ht="17.25" customHeight="1" x14ac:dyDescent="0.4">
      <c r="A6" s="399" t="s">
        <v>516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7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119">
        <f t="shared" si="5"/>
        <v>1568.1057925423729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7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7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2905.6</v>
      </c>
      <c r="J25" s="274">
        <f>SUM(J16:J24)</f>
        <v>232.44800000000001</v>
      </c>
      <c r="K25" s="275">
        <f t="shared" si="10"/>
        <v>101.69600000000001</v>
      </c>
      <c r="L25" s="276">
        <f t="shared" si="10"/>
        <v>0</v>
      </c>
      <c r="M25" s="232">
        <f t="shared" si="10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232.44800000000001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101.69600000000001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3136.2115850847458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5" workbookViewId="0">
      <selection activeCell="H7" sqref="H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46307</v>
      </c>
      <c r="O5" s="370"/>
      <c r="P5" s="370"/>
      <c r="R5" s="85"/>
      <c r="S5" s="266"/>
    </row>
    <row r="6" spans="1:22 16383:16384" ht="15" customHeight="1" x14ac:dyDescent="0.4">
      <c r="A6" s="399" t="s">
        <v>517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</v>
      </c>
      <c r="I18" s="236">
        <f t="shared" si="0"/>
        <v>1049.25</v>
      </c>
      <c r="J18" s="272">
        <f t="shared" si="1"/>
        <v>83.94</v>
      </c>
      <c r="K18" s="128">
        <f t="shared" si="1"/>
        <v>36.723750000000003</v>
      </c>
      <c r="L18" s="119">
        <f t="shared" si="1"/>
        <v>0</v>
      </c>
      <c r="M18" s="230">
        <f t="shared" si="2"/>
        <v>928.58625000000006</v>
      </c>
      <c r="N18" s="277">
        <f t="shared" si="3"/>
        <v>198.30508474576263</v>
      </c>
      <c r="O18" s="239">
        <f t="shared" si="4"/>
        <v>5.6344566737288133</v>
      </c>
      <c r="P18" s="119">
        <f t="shared" si="5"/>
        <v>1132.5257914194915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400.32799999999997</v>
      </c>
      <c r="K25" s="275">
        <f t="shared" si="7"/>
        <v>175.14350000000002</v>
      </c>
      <c r="L25" s="276">
        <f t="shared" si="7"/>
        <v>0</v>
      </c>
      <c r="M25" s="232">
        <f t="shared" si="7"/>
        <v>4428.6285000000007</v>
      </c>
      <c r="N25" s="233">
        <f>SUM(N16:N24)</f>
        <v>945.76271186440658</v>
      </c>
      <c r="O25" s="101">
        <f>SUM(O16:O24)</f>
        <v>26.871956059322031</v>
      </c>
      <c r="P25" s="234">
        <f>SUM(P16:P24)</f>
        <v>5401.2631679237293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5004.1000000000004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400.32799999999997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175.14350000000002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4428.6285000000007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5374.3912118644075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26.871956059322038</v>
      </c>
    </row>
    <row r="35" spans="2:16" ht="15.75" customHeight="1" thickBot="1" x14ac:dyDescent="0.4">
      <c r="N35" s="345" t="s">
        <v>88</v>
      </c>
      <c r="O35" s="346"/>
      <c r="P35" s="297">
        <f>+P33+P34</f>
        <v>5401.2631679237293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6" workbookViewId="0">
      <selection activeCell="H7" sqref="H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46307</v>
      </c>
      <c r="O5" s="370"/>
      <c r="P5" s="370"/>
      <c r="R5" s="85"/>
      <c r="S5" s="266"/>
    </row>
    <row r="6" spans="1:22 16383:16384" ht="18.75" customHeight="1" x14ac:dyDescent="0.4">
      <c r="A6" s="399" t="s">
        <v>518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290.56</v>
      </c>
      <c r="K19" s="128">
        <f t="shared" si="1"/>
        <v>101.69600000000001</v>
      </c>
      <c r="L19" s="119">
        <f t="shared" si="1"/>
        <v>0</v>
      </c>
      <c r="M19" s="230">
        <f t="shared" si="2"/>
        <v>2513.3440000000001</v>
      </c>
      <c r="N19" s="277">
        <f t="shared" si="3"/>
        <v>549.15254237288138</v>
      </c>
      <c r="O19" s="239">
        <f t="shared" si="4"/>
        <v>15.312482711864407</v>
      </c>
      <c r="P19" s="119">
        <f t="shared" si="5"/>
        <v>3077.8090250847458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290.56</v>
      </c>
      <c r="K20" s="128">
        <f t="shared" si="1"/>
        <v>101.69600000000001</v>
      </c>
      <c r="L20" s="119">
        <f t="shared" si="1"/>
        <v>0</v>
      </c>
      <c r="M20" s="230">
        <f t="shared" si="2"/>
        <v>2513.3440000000001</v>
      </c>
      <c r="N20" s="277">
        <f t="shared" si="3"/>
        <v>549.15254237288138</v>
      </c>
      <c r="O20" s="239">
        <f t="shared" si="4"/>
        <v>15.312482711864407</v>
      </c>
      <c r="P20" s="119">
        <f t="shared" si="5"/>
        <v>3077.8090250847458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290.56</v>
      </c>
      <c r="K21" s="128">
        <f t="shared" si="1"/>
        <v>101.69600000000001</v>
      </c>
      <c r="L21" s="119">
        <f t="shared" si="1"/>
        <v>0</v>
      </c>
      <c r="M21" s="230">
        <f t="shared" si="2"/>
        <v>2513.3440000000001</v>
      </c>
      <c r="N21" s="277">
        <f t="shared" si="3"/>
        <v>549.15254237288138</v>
      </c>
      <c r="O21" s="239">
        <f t="shared" si="4"/>
        <v>15.312482711864407</v>
      </c>
      <c r="P21" s="119">
        <f t="shared" si="5"/>
        <v>3077.8090250847458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120</v>
      </c>
      <c r="I25" s="114">
        <f t="shared" si="7"/>
        <v>8716.7999999999993</v>
      </c>
      <c r="J25" s="274">
        <f>SUM(J16:J24)</f>
        <v>871.68000000000006</v>
      </c>
      <c r="K25" s="275">
        <f t="shared" si="7"/>
        <v>305.08800000000002</v>
      </c>
      <c r="L25" s="276">
        <f t="shared" si="7"/>
        <v>0</v>
      </c>
      <c r="M25" s="232">
        <f t="shared" si="7"/>
        <v>7540.0320000000002</v>
      </c>
      <c r="N25" s="233">
        <f>SUM(N16:N24)</f>
        <v>1647.4576271186443</v>
      </c>
      <c r="O25" s="101">
        <f>SUM(O16:O24)</f>
        <v>45.937448135593222</v>
      </c>
      <c r="P25" s="234">
        <f>SUM(P16:P24)</f>
        <v>9233.4270752542379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8716.7999999999993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871.68000000000006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305.08800000000002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7540.0319999999992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1647.4576271186443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9187.4896271186444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45.937448135593222</v>
      </c>
    </row>
    <row r="35" spans="2:16" ht="15.75" customHeight="1" thickBot="1" x14ac:dyDescent="0.4">
      <c r="N35" s="345" t="s">
        <v>88</v>
      </c>
      <c r="O35" s="346"/>
      <c r="P35" s="297">
        <f>+P33+P34</f>
        <v>9233.4270752542379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5" workbookViewId="0">
      <selection activeCell="H7" sqref="H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46307</v>
      </c>
      <c r="O5" s="370"/>
      <c r="P5" s="370"/>
      <c r="R5" s="85"/>
      <c r="S5" s="266"/>
    </row>
    <row r="6" spans="1:22 16383:16384" ht="15" customHeight="1" x14ac:dyDescent="0.4">
      <c r="A6" s="399" t="s">
        <v>519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0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119">
        <f t="shared" si="5"/>
        <v>392.02644813559323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5</v>
      </c>
      <c r="I20" s="236">
        <f t="shared" si="0"/>
        <v>363.2</v>
      </c>
      <c r="J20" s="272">
        <f t="shared" si="1"/>
        <v>29.056000000000001</v>
      </c>
      <c r="K20" s="128">
        <f t="shared" si="1"/>
        <v>12.712000000000002</v>
      </c>
      <c r="L20" s="119">
        <f t="shared" si="1"/>
        <v>0</v>
      </c>
      <c r="M20" s="230">
        <f t="shared" si="2"/>
        <v>321.43200000000002</v>
      </c>
      <c r="N20" s="277">
        <f t="shared" si="3"/>
        <v>68.644067796610173</v>
      </c>
      <c r="O20" s="239">
        <f t="shared" si="4"/>
        <v>1.950380338983051</v>
      </c>
      <c r="P20" s="119">
        <f t="shared" si="5"/>
        <v>392.02644813559323</v>
      </c>
      <c r="Q20" s="319"/>
      <c r="R20">
        <f>P20/21</f>
        <v>18.667926101694917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119">
        <f t="shared" si="5"/>
        <v>392.02644813559323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15</v>
      </c>
      <c r="I25" s="114">
        <f t="shared" si="7"/>
        <v>1089.5999999999999</v>
      </c>
      <c r="J25" s="274">
        <f>SUM(J16:J24)</f>
        <v>87.168000000000006</v>
      </c>
      <c r="K25" s="275">
        <f t="shared" si="7"/>
        <v>38.136000000000003</v>
      </c>
      <c r="L25" s="276">
        <f t="shared" si="7"/>
        <v>0</v>
      </c>
      <c r="M25" s="232">
        <f t="shared" si="7"/>
        <v>964.29600000000005</v>
      </c>
      <c r="N25" s="233">
        <f>SUM(N16:N24)</f>
        <v>205.93220338983053</v>
      </c>
      <c r="O25" s="101">
        <f>SUM(O16:O24)</f>
        <v>5.8511410169491533</v>
      </c>
      <c r="P25" s="234">
        <f>SUM(P16:P24)</f>
        <v>1176.0793444067797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1089.5999999999999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87.168000000000006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38.136000000000003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964.29599999999994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205.93220338983053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1170.2282033898305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5.8511410169491525</v>
      </c>
    </row>
    <row r="35" spans="2:16" ht="15.75" customHeight="1" thickBot="1" x14ac:dyDescent="0.4">
      <c r="N35" s="345" t="s">
        <v>88</v>
      </c>
      <c r="O35" s="346"/>
      <c r="P35" s="297">
        <f>+P33+P34</f>
        <v>1176.0793444067797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5" workbookViewId="0">
      <selection activeCell="H7" sqref="H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46307</v>
      </c>
      <c r="O5" s="370"/>
      <c r="P5" s="370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521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7</v>
      </c>
      <c r="I16" s="235">
        <f>(G16*D16)*F16+H16*F16</f>
        <v>367.23750000000001</v>
      </c>
      <c r="J16" s="271">
        <f>$I16*S16</f>
        <v>29.379000000000001</v>
      </c>
      <c r="K16" s="127">
        <f>$I16*T16</f>
        <v>12.853312500000001</v>
      </c>
      <c r="L16" s="118">
        <f>$I16*U16</f>
        <v>0</v>
      </c>
      <c r="M16" s="229">
        <f>I16-SUM(J16:L16)</f>
        <v>325.00518750000003</v>
      </c>
      <c r="N16" s="248">
        <f>+(G16*D16+H16)*V16</f>
        <v>69.406779661016913</v>
      </c>
      <c r="O16" s="238">
        <f>(N16+M16)*$O$15</f>
        <v>1.9720598358050847</v>
      </c>
      <c r="P16" s="118">
        <f>M16+N16+O16</f>
        <v>396.38402699682206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7</v>
      </c>
      <c r="I17" s="236">
        <f t="shared" ref="I17:I23" si="0">(G17*D17)*F17+H17*F17</f>
        <v>367.23750000000001</v>
      </c>
      <c r="J17" s="272">
        <f t="shared" ref="J17:L24" si="1">$I17*S17</f>
        <v>29.379000000000001</v>
      </c>
      <c r="K17" s="128">
        <f>$I17*T17</f>
        <v>12.853312500000001</v>
      </c>
      <c r="L17" s="119">
        <f>$I17*U17</f>
        <v>0</v>
      </c>
      <c r="M17" s="230">
        <f t="shared" ref="M17:M24" si="2">I17-SUM(J17:L17)</f>
        <v>325.00518750000003</v>
      </c>
      <c r="N17" s="277">
        <f t="shared" ref="N17:N24" si="3">+(G17*D17+H17)*V17</f>
        <v>69.406779661016913</v>
      </c>
      <c r="O17" s="239">
        <f t="shared" ref="O17:O24" si="4">(N17+M17)*$O$15</f>
        <v>1.9720598358050847</v>
      </c>
      <c r="P17" s="119">
        <f t="shared" ref="P17:P24" si="5">M17+N17+O17</f>
        <v>396.38402699682206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7</v>
      </c>
      <c r="I18" s="236">
        <f t="shared" si="0"/>
        <v>367.23750000000001</v>
      </c>
      <c r="J18" s="272">
        <f t="shared" si="1"/>
        <v>29.379000000000001</v>
      </c>
      <c r="K18" s="128">
        <f t="shared" si="1"/>
        <v>12.853312500000001</v>
      </c>
      <c r="L18" s="119">
        <f t="shared" si="1"/>
        <v>0</v>
      </c>
      <c r="M18" s="230">
        <f t="shared" si="2"/>
        <v>325.00518750000003</v>
      </c>
      <c r="N18" s="277">
        <f t="shared" si="3"/>
        <v>69.406779661016913</v>
      </c>
      <c r="O18" s="239">
        <f t="shared" si="4"/>
        <v>1.9720598358050847</v>
      </c>
      <c r="P18" s="119">
        <f t="shared" si="5"/>
        <v>396.38402699682206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119">
        <f t="shared" si="5"/>
        <v>1568.1057925423729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61</v>
      </c>
      <c r="I25" s="114">
        <f t="shared" si="7"/>
        <v>4007.3125</v>
      </c>
      <c r="J25" s="274">
        <f>SUM(J16:J24)</f>
        <v>320.58499999999998</v>
      </c>
      <c r="K25" s="275">
        <f t="shared" si="7"/>
        <v>140.25593750000002</v>
      </c>
      <c r="L25" s="276">
        <f t="shared" si="7"/>
        <v>0</v>
      </c>
      <c r="M25" s="232">
        <f t="shared" si="7"/>
        <v>3546.4715625000003</v>
      </c>
      <c r="N25" s="233">
        <f>SUM(N16:N24)</f>
        <v>757.37288135593212</v>
      </c>
      <c r="O25" s="101">
        <f>SUM(O16:O24)</f>
        <v>21.519222219279662</v>
      </c>
      <c r="P25" s="234">
        <f>SUM(P16:P24)</f>
        <v>4325.3636660752118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4007.3125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320.58499999999998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140.25593750000002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3546.4715624999999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757.37288135593212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4303.8444438559318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21.519222219279659</v>
      </c>
    </row>
    <row r="35" spans="2:16" ht="15.75" customHeight="1" thickBot="1" x14ac:dyDescent="0.4">
      <c r="N35" s="345" t="s">
        <v>88</v>
      </c>
      <c r="O35" s="346"/>
      <c r="P35" s="297">
        <f>+P33+P34</f>
        <v>4325.3636660752118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3" workbookViewId="0">
      <selection activeCell="H7" sqref="H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46308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46307</v>
      </c>
      <c r="O5" s="370"/>
      <c r="P5" s="370"/>
      <c r="R5" s="85"/>
      <c r="S5" s="266"/>
    </row>
    <row r="6" spans="1:22 16383:16384" ht="15" customHeight="1" x14ac:dyDescent="0.4">
      <c r="A6" s="399" t="s">
        <v>522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119">
        <f t="shared" si="5"/>
        <v>940.86347552542372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12</v>
      </c>
      <c r="I25" s="114">
        <f t="shared" si="7"/>
        <v>871.68000000000006</v>
      </c>
      <c r="J25" s="274">
        <f>SUM(J16:J24)</f>
        <v>69.734400000000008</v>
      </c>
      <c r="K25" s="275">
        <f t="shared" si="7"/>
        <v>30.508800000000004</v>
      </c>
      <c r="L25" s="276">
        <f t="shared" si="7"/>
        <v>0</v>
      </c>
      <c r="M25" s="232">
        <f t="shared" si="7"/>
        <v>771.43680000000006</v>
      </c>
      <c r="N25" s="233">
        <f>SUM(N16:N24)</f>
        <v>164.74576271186442</v>
      </c>
      <c r="O25" s="101">
        <f>SUM(O16:O24)</f>
        <v>4.6809128135593223</v>
      </c>
      <c r="P25" s="234">
        <f>SUM(P16:P24)</f>
        <v>940.86347552542372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871.68000000000006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69.734400000000008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30.508800000000004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771.43680000000006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164.74576271186442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936.18256271186442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4.6809128135593223</v>
      </c>
    </row>
    <row r="35" spans="2:16" ht="15.75" customHeight="1" thickBot="1" x14ac:dyDescent="0.4">
      <c r="N35" s="345" t="s">
        <v>88</v>
      </c>
      <c r="O35" s="346"/>
      <c r="P35" s="297">
        <f>+P33+P34</f>
        <v>940.86347552542372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8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46307</v>
      </c>
      <c r="O5" s="370"/>
      <c r="P5" s="370"/>
      <c r="R5" s="85"/>
      <c r="S5" s="266"/>
    </row>
    <row r="6" spans="1:22 16383:16384" ht="15" customHeight="1" x14ac:dyDescent="0.4">
      <c r="A6" s="399" t="s">
        <v>523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7</v>
      </c>
      <c r="I21" s="236">
        <f t="shared" si="0"/>
        <v>508.48</v>
      </c>
      <c r="J21" s="272">
        <f t="shared" si="1"/>
        <v>40.678400000000003</v>
      </c>
      <c r="K21" s="128">
        <f t="shared" si="1"/>
        <v>17.796800000000001</v>
      </c>
      <c r="L21" s="119">
        <f t="shared" si="1"/>
        <v>0</v>
      </c>
      <c r="M21" s="230">
        <f t="shared" si="2"/>
        <v>450.00480000000005</v>
      </c>
      <c r="N21" s="277">
        <f t="shared" si="3"/>
        <v>96.101694915254242</v>
      </c>
      <c r="O21" s="239">
        <f t="shared" si="4"/>
        <v>2.7305324745762714</v>
      </c>
      <c r="P21" s="119">
        <f t="shared" si="5"/>
        <v>548.83702738983061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27</v>
      </c>
      <c r="I25" s="114">
        <f t="shared" si="7"/>
        <v>1961.28</v>
      </c>
      <c r="J25" s="274">
        <f>SUM(J16:J24)</f>
        <v>156.9024</v>
      </c>
      <c r="K25" s="275">
        <f t="shared" si="7"/>
        <v>68.644800000000004</v>
      </c>
      <c r="L25" s="276">
        <f t="shared" si="7"/>
        <v>0</v>
      </c>
      <c r="M25" s="232">
        <f t="shared" si="7"/>
        <v>1735.7328000000002</v>
      </c>
      <c r="N25" s="233">
        <f>SUM(N16:N24)</f>
        <v>370.67796610169495</v>
      </c>
      <c r="O25" s="101">
        <f>SUM(O16:O24)</f>
        <v>10.532053830508476</v>
      </c>
      <c r="P25" s="234">
        <f>SUM(P16:P24)</f>
        <v>2116.9428199322037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1961.28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156.9024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68.644800000000004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1735.7328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370.67796610169495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2106.4107661016951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10.532053830508476</v>
      </c>
    </row>
    <row r="35" spans="2:16" ht="15.75" customHeight="1" thickBot="1" x14ac:dyDescent="0.4">
      <c r="N35" s="345" t="s">
        <v>88</v>
      </c>
      <c r="O35" s="346"/>
      <c r="P35" s="297">
        <f>+P33+P34</f>
        <v>2116.9428199322037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20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46307</v>
      </c>
      <c r="O5" s="370"/>
      <c r="P5" s="370"/>
      <c r="R5" s="85"/>
      <c r="S5" s="266"/>
    </row>
    <row r="6" spans="1:22 16383:16384" ht="15" customHeight="1" x14ac:dyDescent="0.4">
      <c r="A6" s="399" t="s">
        <v>525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6</v>
      </c>
      <c r="I16" s="235">
        <f>(G16*D16)*F16+H16*F16</f>
        <v>314.77499999999998</v>
      </c>
      <c r="J16" s="271">
        <f>$I16*S16</f>
        <v>25.181999999999999</v>
      </c>
      <c r="K16" s="127">
        <f>$I16*T16</f>
        <v>11.017125</v>
      </c>
      <c r="L16" s="118">
        <f>$I16*U16</f>
        <v>0</v>
      </c>
      <c r="M16" s="229">
        <f>I16-SUM(J16:L16)</f>
        <v>278.575875</v>
      </c>
      <c r="N16" s="248">
        <f>+(G16*D16+H16)*V16</f>
        <v>59.491525423728788</v>
      </c>
      <c r="O16" s="238">
        <f>(N16+M16)*$O$15</f>
        <v>1.6903370021186439</v>
      </c>
      <c r="P16" s="118">
        <f>M16+N16+O16</f>
        <v>339.75773742584744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6</v>
      </c>
      <c r="I18" s="236">
        <f t="shared" si="0"/>
        <v>314.77499999999998</v>
      </c>
      <c r="J18" s="272">
        <f t="shared" si="1"/>
        <v>25.181999999999999</v>
      </c>
      <c r="K18" s="128">
        <f t="shared" si="1"/>
        <v>11.017125</v>
      </c>
      <c r="L18" s="119">
        <f t="shared" si="1"/>
        <v>0</v>
      </c>
      <c r="M18" s="230">
        <f t="shared" si="2"/>
        <v>278.575875</v>
      </c>
      <c r="N18" s="277">
        <f t="shared" si="3"/>
        <v>59.491525423728788</v>
      </c>
      <c r="O18" s="239">
        <f t="shared" si="4"/>
        <v>1.6903370021186439</v>
      </c>
      <c r="P18" s="119">
        <f t="shared" si="5"/>
        <v>339.75773742584744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119">
        <f t="shared" si="5"/>
        <v>470.43173776271186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119">
        <f t="shared" si="5"/>
        <v>470.43173776271186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24</v>
      </c>
      <c r="I25" s="114">
        <f t="shared" si="7"/>
        <v>1501.23</v>
      </c>
      <c r="J25" s="274">
        <f>SUM(J16:J24)</f>
        <v>120.0984</v>
      </c>
      <c r="K25" s="275">
        <f t="shared" si="7"/>
        <v>52.543050000000008</v>
      </c>
      <c r="L25" s="276">
        <f t="shared" si="7"/>
        <v>0</v>
      </c>
      <c r="M25" s="232">
        <f t="shared" si="7"/>
        <v>1328.5885499999999</v>
      </c>
      <c r="N25" s="233">
        <f>SUM(N16:N24)</f>
        <v>283.72881355932202</v>
      </c>
      <c r="O25" s="101">
        <f>SUM(O16:O24)</f>
        <v>8.0615868177966092</v>
      </c>
      <c r="P25" s="234">
        <f>SUM(P16:P24)</f>
        <v>1620.3789503771186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1501.23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120.0984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52.543050000000008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1328.5885499999999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283.72881355932202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1612.3173635593221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8.061586817796611</v>
      </c>
    </row>
    <row r="35" spans="2:16" ht="15.75" customHeight="1" thickBot="1" x14ac:dyDescent="0.4">
      <c r="N35" s="345" t="s">
        <v>88</v>
      </c>
      <c r="O35" s="346"/>
      <c r="P35" s="297">
        <f>+P33+P34</f>
        <v>1620.3789503771186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7" workbookViewId="0">
      <selection activeCell="H16" sqref="H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46307</v>
      </c>
      <c r="O5" s="370"/>
      <c r="P5" s="370"/>
      <c r="R5" s="85"/>
      <c r="S5" s="266"/>
    </row>
    <row r="6" spans="1:22 16383:16384" ht="15" customHeight="1" x14ac:dyDescent="0.4">
      <c r="A6" s="399" t="s">
        <v>526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>
        <v>6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>
        <v>6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12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7" workbookViewId="0">
      <selection activeCell="H20" sqref="H19:H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46307</v>
      </c>
      <c r="O5" s="370"/>
      <c r="P5" s="370"/>
      <c r="R5" s="85"/>
      <c r="S5" s="266"/>
    </row>
    <row r="6" spans="1:22 16383:16384" ht="15" customHeight="1" x14ac:dyDescent="0.4">
      <c r="A6" s="399" t="s">
        <v>527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528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>
        <v>30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>
        <v>10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46307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46309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46308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2026-10-13T11:00:24Z</dcterms:modified>
</cp:coreProperties>
</file>