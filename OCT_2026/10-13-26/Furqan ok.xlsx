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390CE90-1F7A-4346-BFA7-DFB2792B408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2" l="1"/>
  <c r="O21" i="52" s="1"/>
  <c r="P21" i="52" s="1"/>
  <c r="M21" i="51"/>
  <c r="J7" i="62"/>
  <c r="M21" i="47"/>
  <c r="O21" i="47" s="1"/>
  <c r="P21" i="47" s="1"/>
  <c r="M20" i="47"/>
  <c r="O20" i="47" s="1"/>
  <c r="P20" i="47" s="1"/>
  <c r="R20" i="47" s="1"/>
  <c r="K12" i="62"/>
  <c r="M17" i="44"/>
  <c r="O17" i="44" s="1"/>
  <c r="P17" i="44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P12" i="6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<sst xmlns="http://schemas.openxmlformats.org/spreadsheetml/2006/main" count="3948" uniqueCount="530">
  <si>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</si>
  <si>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</si>
  <si>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</si>
  <si>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</si>
  <si>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</si>
  <si>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</si>
  <si>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</si>
  <si>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</si>
  <si>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</si>
  <si>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</si>
  <si>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</si>
  <si>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</si>
  <si>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</si>
  <si>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</si>
  <si>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</si>
  <si>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</si>
  <si>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</si>
  <si>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</si>
  <si>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</si>
  <si>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</si>
  <si>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</si>
  <si>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</si>
  <si>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</si>
  <si>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</si>
  <si>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</si>
  <si>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</si>
  <si>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</si>
  <si>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</si>
  <si>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</si>
  <si>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</si>
  <si>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</si>
  <si>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</si>
  <si>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</si>
  <si>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</si>
  <si>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</si>
  <si>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</si>
  <si>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</si>
  <si>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</si>
  <si>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</si>
  <si>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</si>
  <si>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</si>
  <si>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</si>
  <si>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</si>
  <si>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</si>
  <si>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</si>
  <si>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</si>
  <si>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</si>
  <si>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</si>
  <si>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</si>
  <si>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</si>
  <si>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</si>
  <si>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</si>
  <si>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</si>
  <si>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</si>
  <si>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</si>
  <si>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</si>
  <si>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</si>
  <si>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</si>
  <si>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</si>
  <si>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</si>
  <si>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</si>
  <si>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</si>
  <si>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</si>
  <si>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</si>
  <si>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</si>
  <si>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</si>
  <si>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</si>
  <si>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</si>
  <si>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</si>
  <si>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</si>
  <si>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</si>
  <si>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</si>
  <si>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</si>
  <si>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</si>
  <si>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</si>
  <si>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</si>
  <si>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</si>
  <si>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</si>
  <si>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</si>
  <si>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</si>
  <si>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</si>
  <si>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</si>
  <si>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</si>
  <si>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</si>
  <si>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</si>
  <si>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</si>
  <si>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</si>
  <si>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</si>
  <si>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</si>
  <si>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</si>
  <si>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</si>
  <si>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</si>
  <si>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</si>
  <si>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</si>
  <si>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</si>
  <si>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</si>
  <si>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</si>
  <si>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</si>
  <si>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</si>
  <si>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</si>
  <si>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</si>
  <si>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</si>
  <si>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</si>
  <si>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</si>
  <si>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</si>
  <si>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</si>
  <si>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</si>
  <si>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</si>
  <si>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</si>
  <si>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</si>
  <si>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</si>
  <si>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</si>
  <si>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</si>
  <si>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</si>
  <si>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</si>
  <si>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</si>
  <si>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</si>
  <si>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</si>
  <si>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</si>
  <si>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</si>
  <si>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</si>
  <si>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</si>
  <si>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</si>
  <si>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</si>
  <si>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</si>
  <si>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</si>
  <si>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</si>
  <si>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</si>
  <si>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</si>
  <si>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</si>
  <si>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</si>
  <si>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</si>
  <si>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</si>
  <si>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</si>
  <si>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</si>
  <si>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</si>
  <si>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</si>
  <si>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</si>
  <si>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</si>
  <si>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</si>
  <si>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</si>
  <si>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</si>
  <si>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</si>
  <si>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</si>
  <si>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</si>
  <si>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</si>
  <si>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</si>
  <si>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</si>
  <si>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</si>
  <si>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</si>
  <si>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</si>
  <si>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</si>
  <si>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</si>
  <si>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</si>
  <si>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</si>
  <si>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</si>
  <si>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</si>
  <si>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</si>
  <si>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</si>
  <si>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</si>
  <si>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</si>
  <si>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</si>
  <si>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</si>
  <si>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</si>
  <si>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</si>
  <si>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</si>
  <si>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</si>
  <si>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</si>
  <si>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</si>
  <si>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</si>
  <si>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</si>
  <si>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</si>
  <si>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</si>
  <si>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</si>
  <si>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</si>
  <si>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</si>
  <si>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</si>
  <si>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</si>
  <si>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</si>
  <si>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</si>
  <si>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</si>
  <si>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</si>
  <si>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</si>
  <si>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</si>
  <si>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</si>
  <si>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</si>
  <si>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</si>
  <si>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</si>
  <si>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</si>
  <si>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</si>
  <si>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</si>
  <si>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</si>
  <si>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</si>
  <si>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</si>
  <si>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</si>
  <si>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</si>
  <si>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</si>
  <si>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</si>
  <si>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</si>
  <si>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</si>
  <si>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</si>
  <si>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</si>
  <si>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</si>
  <si>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</si>
  <si>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</si>
  <si>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</si>
  <si>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</si>
  <si>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</si>
  <si>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</si>
  <si>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</si>
  <si>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</si>
  <si>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</si>
  <si>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</si>
  <si>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</si>
  <si>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</si>
  <si>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</si>
  <si>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</si>
  <si>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</si>
  <si>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</si>
  <si>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</si>
  <si>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</si>
  <si>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</si>
  <si>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</si>
  <si>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</si>
  <si>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</si>
  <si>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</si>
  <si>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</si>
  <si>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</si>
  <si>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</si>
  <si>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</si>
  <si>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</si>
  <si>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</si>
  <si>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</si>
  <si>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</si>
  <si>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</si>
  <si>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</si>
  <si>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</si>
  <si>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</si>
  <si>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</si>
  <si>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</si>
  <si>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</si>
  <si>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</si>
  <si>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</si>
  <si>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</si>
  <si>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</si>
  <si>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</si>
  <si>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</si>
  <si>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</si>
  <si>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</si>
  <si>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</si>
  <si>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</si>
  <si>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</si>
  <si>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</si>
  <si>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</si>
  <si>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</si>
  <si>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</si>
  <si>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</si>
  <si>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</si>
  <si>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</si>
  <si>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</si>
  <si>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</si>
  <si>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</si>
  <si>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</si>
  <si>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</si>
  <si>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</si>
  <si>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</si>
  <si>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</si>
  <si>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</si>
  <si>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</si>
  <si>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</si>
  <si>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</si>
  <si>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</si>
  <si>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</si>
  <si>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</si>
  <si>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</si>
  <si>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</si>
  <si>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</si>
  <si>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</si>
  <si>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</si>
  <si>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</si>
  <si>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</si>
  <si>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</si>
  <si>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</si>
  <si>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</si>
  <si>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</si>
  <si>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</si>
  <si>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</si>
  <si>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</si>
  <si>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</si>
  <si>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</si>
  <si>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</si>
  <si>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</si>
  <si>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</si>
  <si>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</si>
  <si>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</si>
  <si>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</si>
  <si>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</si>
  <si>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</si>
  <si>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</si>
  <si>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</si>
  <si>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</si>
  <si>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</si>
  <si>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</si>
  <si>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</si>
  <si>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</si>
  <si>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</si>
  <si>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</si>
  <si>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</si>
  <si>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</si>
  <si>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</si>
  <si>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</si>
  <si>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</si>
  <si>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</si>
  <si>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</si>
  <si>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</si>
  <si>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</si>
  <si>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</si>
  <si>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</si>
  <si>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</si>
  <si>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</si>
  <si>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</si>
  <si>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</si>
  <si>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</si>
  <si>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</si>
  <si>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</si>
  <si>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</si>
  <si>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</si>
  <si>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</si>
  <si>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</si>
  <si>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</si>
  <si>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</si>
  <si>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</si>
  <si>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</si>
  <si>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</si>
  <si>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</si>
  <si>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</si>
  <si>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</si>
  <si>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</si>
  <si>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</si>
  <si>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</si>
  <si>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</si>
  <si>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</si>
  <si>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</si>
  <si>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</si>
  <si>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</si>
  <si>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</si>
  <si>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</si>
  <si>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</si>
  <si>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</si>
  <si>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</si>
  <si>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</si>
  <si>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</si>
  <si>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</si>
  <si>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</si>
  <si>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</si>
  <si>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</si>
  <si>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</si>
  <si>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</si>
  <si>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</si>
  <si>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</si>
  <si>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</si>
  <si>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</si>
  <si>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</si>
  <si>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</si>
  <si>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</si>
  <si>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</si>
  <si>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</si>
  <si>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</si>
  <si>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</si>
  <si>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</si>
  <si>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</si>
  <si>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</si>
  <si>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</si>
  <si>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</si>
  <si>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</si>
  <si>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</si>
  <si>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</si>
  <si>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</si>
  <si>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</si>
  <si>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</si>
  <si>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</si>
  <si>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</si>
  <si>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</si>
  <si>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</si>
  <si>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</si>
  <si>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</si>
  <si>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</si>
  <si>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</si>
  <si>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</si>
  <si>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</si>
  <si>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</si>
  <si>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</si>
  <si>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</si>
  <si>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</si>
  <si>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</si>
  <si>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</si>
  <si>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</si>
  <si>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</si>
  <si>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</si>
  <si>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</si>
  <si>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</si>
  <si>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</si>
  <si>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</si>
  <si>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</si>
  <si>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</si>
  <si>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</si>
  <si>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</si>
  <si>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</si>
  <si>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</si>
  <si>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</si>
  <si>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</si>
  <si>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</si>
  <si>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</si>
  <si>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</si>
  <si>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</si>
  <si>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</si>
  <si>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</si>
  <si>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</si>
  <si>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</si>
  <si>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</si>
  <si>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</si>
  <si>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</si>
  <si>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</si>
  <si>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</si>
  <si>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</si>
  <si>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</si>
  <si>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</si>
  <si>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</si>
  <si>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</si>
  <si>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</si>
  <si>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</si>
  <si>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</si>
  <si>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</si>
  <si>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</si>
  <si>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</si>
  <si>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</si>
  <si>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</si>
  <si>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</si>
  <si>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</si>
  <si>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</si>
  <si>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</si>
  <si>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</si>
  <si>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</si>
  <si>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</si>
  <si>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</si>
  <si>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</si>
  <si>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</si>
  <si>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</si>
  <si>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</si>
  <si>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</si>
  <si>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</si>
  <si>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</si>
  <si>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</si>
  <si>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</si>
  <si>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</si>
  <si>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</si>
  <si>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</si>
  <si>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</si>
  <si>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</si>
  <si>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</si>
  <si>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</si>
  <si>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</si>
  <si>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</si>
  <si>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</si>
  <si>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</si>
  <si>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</si>
  <si>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</si>
  <si>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</si>
  <si>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</si>
  <si>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</si>
  <si>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</si>
  <si>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</si>
  <si>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</si>
  <si>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</si>
  <si>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</si>
  <si>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</si>
  <si>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</si>
  <si>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</si>
  <si>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</si>
  <si>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</si>
  <si>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</si>
  <si>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</si>
  <si>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</si>
  <si>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</si>
  <si>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</si>
  <si>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</si>
  <si>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</si>
  <si>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</si>
  <si>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</si>
  <si>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</si>
  <si>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</si>
  <si>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</si>
  <si>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</si>
  <si>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</si>
  <si>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</si>
  <si>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</si>
  <si>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</si>
  <si>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</si>
  <si>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</si>
  <si>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</si>
  <si>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</si>
  <si>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</si>
  <si>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</si>
  <si>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</si>
  <si>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</si>
  <si>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</si>
  <si>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</si>
  <si>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</si>
  <si>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</si>
  <si>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</si>
  <si>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</si>
  <si>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</si>
  <si>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</si>
  <si>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</si>
  <si>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</si>
  <si>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Address: Guru Mangat</t>
  </si>
  <si>
    <t>SM Store</t>
  </si>
  <si>
    <t>Aziz Groccery Store</t>
  </si>
  <si>
    <t>Address: Walton Road</t>
  </si>
  <si>
    <t>Bulley Shah Store</t>
  </si>
  <si>
    <t>Address: Shadab Colony</t>
  </si>
  <si>
    <t>Madina Medical Store</t>
  </si>
  <si>
    <t>Awan Super Store</t>
  </si>
  <si>
    <t>Ahmad GS</t>
  </si>
  <si>
    <t>Al Noor Dilshat Store</t>
  </si>
  <si>
    <t>TLP Store</t>
  </si>
  <si>
    <t>Ghosia GS</t>
  </si>
  <si>
    <t>Address: Qanchi Bazar Abid Market</t>
  </si>
  <si>
    <t>Tahir Medical Store</t>
  </si>
  <si>
    <t>M Sadiq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</si>
</sst>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5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SM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Aziz Groccery Store</v>
      </c>
      <c r="T4" s="301">
        <f>+'2'!P35</f>
        <v>7666.3147507627118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Bulley Shah Store</v>
      </c>
      <c r="T5" s="301">
        <f>+'3'!P35</f>
        <v>339.75773742584738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Madina Medical Store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32</v>
      </c>
      <c r="I7" s="235">
        <f>(G7*D7)*F7+H7*F7</f>
        <v>1678.8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134.304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58.75800000000001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1485.7379999999998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317.2881355932202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9.015130677966102</v>
      </c>
      <c r="P7" s="310">
        <f>M7+N7+O7</f>
        <v>1812.041266271186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8</v>
      </c>
      <c r="R7" s="313">
        <v>5</v>
      </c>
      <c r="S7" s="300" t="str">
        <f>+'5'!A6:A6</f>
        <v>Awan Super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31</v>
      </c>
      <c r="I8" s="236">
        <f t="shared" ref="I8:I14" si="0">(G8*D8)*F8+H8*F8</f>
        <v>1626.3374999999999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130.10699999999997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56.921812500000001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1439.3086874999999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307.37288135593207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8.733407844279661</v>
      </c>
      <c r="P8" s="311">
        <f t="shared" ref="P8:P15" si="2">M8+N8+O8</f>
        <v>1755.4149767002116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8</v>
      </c>
      <c r="R8" s="313">
        <v>6</v>
      </c>
      <c r="S8" s="300" t="str">
        <f>+'6'!A6:A6</f>
        <v>Ahmad GS</v>
      </c>
      <c r="T8" s="301">
        <f>+'6'!P35</f>
        <v>1411.2952132881355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93</v>
      </c>
      <c r="I9" s="236">
        <f t="shared" si="0"/>
        <v>4879.0124999999998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390.32100000000003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170.76543750000002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4317.9260624999997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922.11864406779614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26.200223532838983</v>
      </c>
      <c r="P9" s="311">
        <f t="shared" si="2"/>
        <v>5266.2449301006354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8</v>
      </c>
      <c r="R9" s="313">
        <v>7</v>
      </c>
      <c r="S9" s="300" t="str">
        <f>+'7'!A6:A6</f>
        <v>Al Noor Dilshat Store</v>
      </c>
      <c r="T9" s="301">
        <f>+'7'!P35</f>
        <v>1149.9472126144067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</v>
      </c>
      <c r="I10" s="236">
        <f t="shared" si="0"/>
        <v>4358.3999999999996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152.54400000000001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3857.1839999999997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823.72881355932213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23.40456406779661</v>
      </c>
      <c r="P10" s="311">
        <f t="shared" si="2"/>
        <v>4704.3173776271187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41</v>
      </c>
      <c r="R10" s="313">
        <v>8</v>
      </c>
      <c r="S10" s="300" t="str">
        <f>+'8'!A6:A6</f>
        <v>TLP Store</v>
      </c>
      <c r="T10" s="301">
        <f>+'8'!P35</f>
        <v>574.97360630720334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36</v>
      </c>
      <c r="I11" s="236">
        <f t="shared" si="0"/>
        <v>2615.04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209.20320000000001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91.52640000000001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2314.3103999999998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494.23728813559319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14.042738440677965</v>
      </c>
      <c r="P11" s="311">
        <f t="shared" si="2"/>
        <v>2822.5904265762711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31</v>
      </c>
      <c r="R11" s="313">
        <v>9</v>
      </c>
      <c r="S11" s="300" t="str">
        <f>+'9'!A6:A6</f>
        <v>Ghosia GS</v>
      </c>
      <c r="T11" s="301">
        <f>+'9'!P35</f>
        <v>5401.2631679237284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51</v>
      </c>
      <c r="I12" s="236">
        <f t="shared" si="0"/>
        <v>3704.64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296.37119999999999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129.66240000000002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3278.6063999999997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700.16949152542384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19.893879457627119</v>
      </c>
      <c r="P12" s="311">
        <f t="shared" si="2"/>
        <v>3998.6697709830505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46</v>
      </c>
      <c r="R12" s="313">
        <v>10</v>
      </c>
      <c r="S12" s="300" t="str">
        <f>+'10'!A6:A6</f>
        <v>Tahir Medical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M Sadiq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7.5750000000000002</v>
      </c>
      <c r="H16" s="113">
        <f t="shared" ref="H16:M16" si="3">SUM(H7:H15)</f>
        <v>303</v>
      </c>
      <c r="I16" s="114">
        <f t="shared" si="3"/>
        <v>18862.23</v>
      </c>
      <c r="J16" s="274">
        <f>SUM(J7:J15)</f>
        <v>1508.9784</v>
      </c>
      <c r="K16" s="275">
        <f t="shared" si="3"/>
        <v>660.1780500000001</v>
      </c>
      <c r="L16" s="276">
        <f t="shared" si="3"/>
        <v>0</v>
      </c>
      <c r="M16" s="232">
        <f t="shared" si="3"/>
        <v>16693.073549999997</v>
      </c>
      <c r="N16" s="233">
        <f>SUM(N7:N15)</f>
        <v>3564.9152542372876</v>
      </c>
      <c r="O16" s="101">
        <f>SUM(O7:O15)</f>
        <v>101.28994402118644</v>
      </c>
      <c r="P16" s="113">
        <f>SUM(P7:P15)</f>
        <v>20359.278748258472</v>
      </c>
      <c r="Q16" s="128">
        <f>SUM(Q7:Q15)</f>
        <v>142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18862.23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1508.9784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660.1780500000001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16693.073550000001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3564.9152542372876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20257.988804237288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101.28994402118644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20359.278748258475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20359.278748258475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1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8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8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8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6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55</v>
      </c>
      <c r="I18" s="236">
        <f t="shared" si="0"/>
        <v>2885.4375</v>
      </c>
      <c r="J18" s="272">
        <f t="shared" si="1"/>
        <v>230.83500000000001</v>
      </c>
      <c r="K18" s="128">
        <f t="shared" si="1"/>
        <v>100.99031250000002</v>
      </c>
      <c r="L18" s="119">
        <f t="shared" si="1"/>
        <v>0</v>
      </c>
      <c r="M18" s="230">
        <f t="shared" si="2"/>
        <v>2553.6121874999999</v>
      </c>
      <c r="N18" s="277">
        <f t="shared" si="3"/>
        <v>545.33898305084722</v>
      </c>
      <c r="O18" s="239">
        <f t="shared" si="4"/>
        <v>15.494755852754237</v>
      </c>
      <c r="P18" s="119">
        <f t="shared" si="5"/>
        <v>3114.4459264036013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568.20799999999997</v>
      </c>
      <c r="K25" s="275">
        <f t="shared" si="7"/>
        <v>248.59100000000004</v>
      </c>
      <c r="L25" s="276">
        <f t="shared" si="7"/>
        <v>0</v>
      </c>
      <c r="M25" s="232">
        <f t="shared" si="7"/>
        <v>6285.8009999999995</v>
      </c>
      <c r="N25" s="233">
        <f>SUM(N16:N24)</f>
        <v>1342.3728813559319</v>
      </c>
      <c r="O25" s="101">
        <f>SUM(O16:O24)</f>
        <v>38.140869406779657</v>
      </c>
      <c r="P25" s="234">
        <f>SUM(P16:P24)</f>
        <v>7666.31475076271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7102.6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568.20799999999997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248.59100000000004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6285.8010000000004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7628.1738813559323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38.140869406779665</v>
      </c>
    </row>
    <row r="35" spans="2:16" ht="15.75" customHeight="1" thickBot="1" x14ac:dyDescent="0.4">
      <c r="N35" s="374" t="s">
        <v>88</v>
      </c>
      <c r="O35" s="375"/>
      <c r="P35" s="297">
        <f>+P33+P34</f>
        <v>7666.3147507627118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339.75773742584738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1307.52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104.60160000000002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45.763200000000005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1157.1551999999999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1404.2738440677965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4" t="s">
        <v>88</v>
      </c>
      <c r="O35" s="375"/>
      <c r="P35" s="297">
        <f>+P33+P34</f>
        <v>1411.2952132881355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1065.3899999999999</v>
      </c>
      <c r="J25" s="274">
        <f>SUM(J16:J24)</f>
        <v>85.231200000000001</v>
      </c>
      <c r="K25" s="275">
        <f t="shared" si="7"/>
        <v>37.288650000000004</v>
      </c>
      <c r="L25" s="276">
        <f t="shared" si="7"/>
        <v>0</v>
      </c>
      <c r="M25" s="232">
        <f t="shared" si="7"/>
        <v>942.87014999999997</v>
      </c>
      <c r="N25" s="233">
        <f>SUM(N16:N24)</f>
        <v>201.35593220338978</v>
      </c>
      <c r="O25" s="101">
        <f>SUM(O16:O24)</f>
        <v>5.721130411016949</v>
      </c>
      <c r="P25" s="234">
        <f>SUM(P16:P24)</f>
        <v>1149.9472126144067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1065.3899999999999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85.231200000000001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37.288650000000004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942.87014999999997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201.35593220338978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1144.2260822033898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5.721130411016949</v>
      </c>
    </row>
    <row r="35" spans="2:16" ht="15.75" customHeight="1" thickBot="1" x14ac:dyDescent="0.4">
      <c r="N35" s="374" t="s">
        <v>88</v>
      </c>
      <c r="O35" s="375"/>
      <c r="P35" s="297">
        <f>+P33+P34</f>
        <v>1149.9472126144067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9</v>
      </c>
      <c r="I25" s="114">
        <f t="shared" si="7"/>
        <v>532.69499999999994</v>
      </c>
      <c r="J25" s="274">
        <f>SUM(J16:J24)</f>
        <v>42.615600000000001</v>
      </c>
      <c r="K25" s="275">
        <f t="shared" si="7"/>
        <v>18.644325000000002</v>
      </c>
      <c r="L25" s="276">
        <f t="shared" si="7"/>
        <v>0</v>
      </c>
      <c r="M25" s="232">
        <f t="shared" si="7"/>
        <v>471.43507499999998</v>
      </c>
      <c r="N25" s="233">
        <f>SUM(N16:N24)</f>
        <v>100.67796610169489</v>
      </c>
      <c r="O25" s="101">
        <f>SUM(O16:O24)</f>
        <v>2.8605652055084745</v>
      </c>
      <c r="P25" s="234">
        <f>SUM(P16:P24)</f>
        <v>574.97360630720334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532.69499999999994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42.615600000000001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18.644325000000002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471.43507499999998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100.67796610169489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572.11304110169488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2.8605652055084745</v>
      </c>
    </row>
    <row r="35" spans="2:16" ht="15.75" customHeight="1" thickBot="1" x14ac:dyDescent="0.4">
      <c r="N35" s="374" t="s">
        <v>88</v>
      </c>
      <c r="O35" s="375"/>
      <c r="P35" s="297">
        <f>+P33+P34</f>
        <v>574.97360630720334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8" workbookViewId="0">
      <selection activeCell="H18" sqref="H18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30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20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30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1"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2026-10-13T10:58:00Z</dcterms:modified>
</cp:coreProperties>
</file>