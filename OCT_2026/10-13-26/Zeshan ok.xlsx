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C291EC5-4773-4F0E-AFE2-857082894F7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<sst xmlns="http://schemas.openxmlformats.org/spreadsheetml/2006/main" count="3948" uniqueCount="530">
  <si>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</si>
  <si>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</si>
  <si>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</si>
  <si>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</si>
  <si>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</si>
  <si>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</si>
  <si>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</si>
  <si>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</si>
  <si>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</si>
  <si>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</si>
  <si>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</si>
  <si>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</si>
  <si>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</si>
  <si>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</si>
  <si>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</si>
  <si>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</si>
  <si>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</si>
  <si>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</si>
  <si>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</si>
  <si>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</si>
  <si>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</si>
  <si>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</si>
  <si>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</si>
  <si>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</si>
  <si>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</si>
  <si>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</si>
  <si>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</si>
  <si>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</si>
  <si>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</si>
  <si>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</si>
  <si>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</si>
  <si>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</si>
  <si>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</si>
  <si>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</si>
  <si>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</si>
  <si>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</si>
  <si>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</si>
  <si>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</si>
  <si>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</si>
  <si>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</si>
  <si>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</si>
  <si>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</si>
  <si>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</si>
  <si>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</si>
  <si>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</si>
  <si>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</si>
  <si>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</si>
  <si>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</si>
  <si>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</si>
  <si>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</si>
  <si>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</si>
  <si>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</si>
  <si>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</si>
  <si>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</si>
  <si>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</si>
  <si>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</si>
  <si>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</si>
  <si>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</si>
  <si>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</si>
  <si>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</si>
  <si>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</si>
  <si>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</si>
  <si>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</si>
  <si>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</si>
  <si>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</si>
  <si>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</si>
  <si>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</si>
  <si>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</si>
  <si>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</si>
  <si>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</si>
  <si>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</si>
  <si>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</si>
  <si>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</si>
  <si>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</si>
  <si>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</si>
  <si>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</si>
  <si>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</si>
  <si>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</si>
  <si>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</si>
  <si>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</si>
  <si>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</si>
  <si>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</si>
  <si>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</si>
  <si>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</si>
  <si>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</si>
  <si>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</si>
  <si>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</si>
  <si>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</si>
  <si>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</si>
  <si>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</si>
  <si>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</si>
  <si>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</si>
  <si>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</si>
  <si>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</si>
  <si>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</si>
  <si>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</si>
  <si>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</si>
  <si>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</si>
  <si>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</si>
  <si>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</si>
  <si>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</si>
  <si>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</si>
  <si>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</si>
  <si>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</si>
  <si>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</si>
  <si>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</si>
  <si>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</si>
  <si>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</si>
  <si>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</si>
  <si>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</si>
  <si>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</si>
  <si>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</si>
  <si>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</si>
  <si>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</si>
  <si>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</si>
  <si>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</si>
  <si>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</si>
  <si>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</si>
  <si>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</si>
  <si>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</si>
  <si>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</si>
  <si>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</si>
  <si>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</si>
  <si>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</si>
  <si>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</si>
  <si>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</si>
  <si>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</si>
  <si>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</si>
  <si>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</si>
  <si>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</si>
  <si>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</si>
  <si>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</si>
  <si>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</si>
  <si>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</si>
  <si>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</si>
  <si>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</si>
  <si>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</si>
  <si>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</si>
  <si>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</si>
  <si>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</si>
  <si>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</si>
  <si>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</si>
  <si>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</si>
  <si>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</si>
  <si>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</si>
  <si>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</si>
  <si>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</si>
  <si>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</si>
  <si>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</si>
  <si>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</si>
  <si>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</si>
  <si>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</si>
  <si>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</si>
  <si>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</si>
  <si>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</si>
  <si>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</si>
  <si>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</si>
  <si>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</si>
  <si>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</si>
  <si>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</si>
  <si>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</si>
  <si>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</si>
  <si>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</si>
  <si>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</si>
  <si>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</si>
  <si>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</si>
  <si>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</si>
  <si>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</si>
  <si>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</si>
  <si>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</si>
  <si>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</si>
  <si>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</si>
  <si>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</si>
  <si>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</si>
  <si>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</si>
  <si>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</si>
  <si>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</si>
  <si>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</si>
  <si>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</si>
  <si>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</si>
  <si>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</si>
  <si>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</si>
  <si>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</si>
  <si>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</si>
  <si>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</si>
  <si>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</si>
  <si>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</si>
  <si>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</si>
  <si>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</si>
  <si>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</si>
  <si>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</si>
  <si>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</si>
  <si>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</si>
  <si>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</si>
  <si>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</si>
  <si>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</si>
  <si>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</si>
  <si>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</si>
  <si>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</si>
  <si>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</si>
  <si>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</si>
  <si>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</si>
  <si>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</si>
  <si>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</si>
  <si>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</si>
  <si>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</si>
  <si>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</si>
  <si>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</si>
  <si>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</si>
  <si>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</si>
  <si>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</si>
  <si>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</si>
  <si>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</si>
  <si>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</si>
  <si>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</si>
  <si>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</si>
  <si>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</si>
  <si>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</si>
  <si>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</si>
  <si>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</si>
  <si>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</si>
  <si>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</si>
  <si>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</si>
  <si>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</si>
  <si>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</si>
  <si>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</si>
  <si>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</si>
  <si>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</si>
  <si>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</si>
  <si>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</si>
  <si>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</si>
  <si>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</si>
  <si>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</si>
  <si>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</si>
  <si>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</si>
  <si>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</si>
  <si>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</si>
  <si>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</si>
  <si>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</si>
  <si>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</si>
  <si>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</si>
  <si>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</si>
  <si>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</si>
  <si>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</si>
  <si>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</si>
  <si>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</si>
  <si>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</si>
  <si>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</si>
  <si>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</si>
  <si>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</si>
  <si>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</si>
  <si>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</si>
  <si>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</si>
  <si>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</si>
  <si>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</si>
  <si>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</si>
  <si>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</si>
  <si>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</si>
  <si>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</si>
  <si>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</si>
  <si>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</si>
  <si>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</si>
  <si>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</si>
  <si>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</si>
  <si>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</si>
  <si>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</si>
  <si>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</si>
  <si>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</si>
  <si>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</si>
  <si>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</si>
  <si>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</si>
  <si>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</si>
  <si>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</si>
  <si>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</si>
  <si>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</si>
  <si>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</si>
  <si>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</si>
  <si>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</si>
  <si>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</si>
  <si>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</si>
  <si>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</si>
  <si>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</si>
  <si>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</si>
  <si>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</si>
  <si>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</si>
  <si>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</si>
  <si>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</si>
  <si>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</si>
  <si>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</si>
  <si>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</si>
  <si>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</si>
  <si>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</si>
  <si>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</si>
  <si>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</si>
  <si>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</si>
  <si>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</si>
  <si>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</si>
  <si>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</si>
  <si>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</si>
  <si>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</si>
  <si>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</si>
  <si>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</si>
  <si>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</si>
  <si>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</si>
  <si>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</si>
  <si>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</si>
  <si>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</si>
  <si>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</si>
  <si>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</si>
  <si>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</si>
  <si>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</si>
  <si>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</si>
  <si>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</si>
  <si>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</si>
  <si>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</si>
  <si>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</si>
  <si>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</si>
  <si>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</si>
  <si>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</si>
  <si>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</si>
  <si>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</si>
  <si>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</si>
  <si>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</si>
  <si>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</si>
  <si>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</si>
  <si>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</si>
  <si>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</si>
  <si>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</si>
  <si>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</si>
  <si>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</si>
  <si>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</si>
  <si>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</si>
  <si>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</si>
  <si>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</si>
  <si>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</si>
  <si>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</si>
  <si>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</si>
  <si>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</si>
  <si>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</si>
  <si>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</si>
  <si>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</si>
  <si>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</si>
  <si>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</si>
  <si>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</si>
  <si>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</si>
  <si>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</si>
  <si>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</si>
  <si>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</si>
  <si>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</si>
  <si>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</si>
  <si>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</si>
  <si>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</si>
  <si>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</si>
  <si>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</si>
  <si>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</si>
  <si>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</si>
  <si>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</si>
  <si>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</si>
  <si>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</si>
  <si>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</si>
  <si>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</si>
  <si>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</si>
  <si>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</si>
  <si>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</si>
  <si>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</si>
  <si>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</si>
  <si>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</si>
  <si>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</si>
  <si>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</si>
  <si>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</si>
  <si>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</si>
  <si>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</si>
  <si>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</si>
  <si>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</si>
  <si>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</si>
  <si>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</si>
  <si>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</si>
  <si>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</si>
  <si>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</si>
  <si>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</si>
  <si>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</si>
  <si>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</si>
  <si>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</si>
  <si>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</si>
  <si>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</si>
  <si>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</si>
  <si>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</si>
  <si>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</si>
  <si>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</si>
  <si>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</si>
  <si>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</si>
  <si>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</si>
  <si>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</si>
  <si>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</si>
  <si>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</si>
  <si>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</si>
  <si>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</si>
  <si>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</si>
  <si>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</si>
  <si>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</si>
  <si>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</si>
  <si>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</si>
  <si>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</si>
  <si>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</si>
  <si>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</si>
  <si>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</si>
  <si>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</si>
  <si>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</si>
  <si>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</si>
  <si>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</si>
  <si>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</si>
  <si>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</si>
  <si>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</si>
  <si>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</si>
  <si>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</si>
  <si>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</si>
  <si>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</si>
  <si>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</si>
  <si>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</si>
  <si>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</si>
  <si>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</si>
  <si>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</si>
  <si>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</si>
  <si>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</si>
  <si>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</si>
  <si>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</si>
  <si>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</si>
  <si>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</si>
  <si>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</si>
  <si>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</si>
  <si>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</si>
  <si>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</si>
  <si>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</si>
  <si>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</si>
  <si>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</si>
  <si>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</si>
  <si>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</si>
  <si>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</si>
  <si>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</si>
  <si>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</si>
  <si>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</si>
  <si>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</si>
  <si>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</si>
  <si>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</si>
  <si>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</si>
  <si>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</si>
  <si>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</si>
  <si>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</si>
  <si>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</si>
  <si>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</si>
  <si>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</si>
  <si>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</si>
  <si>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</si>
  <si>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</si>
  <si>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</si>
  <si>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</si>
  <si>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</si>
  <si>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</si>
  <si>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</si>
  <si>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</si>
  <si>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</si>
  <si>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</si>
  <si>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</si>
  <si>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</si>
  <si>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</si>
  <si>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</si>
  <si>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</si>
  <si>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</si>
  <si>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</si>
  <si>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</si>
  <si>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</si>
  <si>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</si>
  <si>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</si>
  <si>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</si>
  <si>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</si>
  <si>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</si>
  <si>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</si>
  <si>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</si>
  <si>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</si>
  <si>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</si>
  <si>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</si>
  <si>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</si>
  <si>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</si>
  <si>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</si>
  <si>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</si>
  <si>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</si>
  <si>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</si>
  <si>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</si>
  <si>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</si>
  <si>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</si>
  <si>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</si>
  <si>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</si>
  <si>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</si>
  <si>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</si>
  <si>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</si>
  <si>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</si>
  <si>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</si>
  <si>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</si>
  <si>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</si>
  <si>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</si>
  <si>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</si>
  <si>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</si>
  <si>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</si>
  <si>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</si>
  <si>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</si>
  <si>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</si>
  <si>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</si>
  <si>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</si>
  <si>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</si>
  <si>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</si>
  <si>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</si>
  <si>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</si>
  <si>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</si>
  <si>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</si>
  <si>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</si>
  <si>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 xml:space="preserve">Mirch Mahal </t>
  </si>
  <si>
    <t>Address: Rifal Range Road</t>
  </si>
  <si>
    <t>Daim Store</t>
  </si>
  <si>
    <t>Ashraf Store</t>
  </si>
  <si>
    <t>One o One Store</t>
  </si>
  <si>
    <t>Khan Store</t>
  </si>
  <si>
    <t>Shamza Store</t>
  </si>
  <si>
    <t>Hikers Store</t>
  </si>
  <si>
    <t>Hikma Store</t>
  </si>
  <si>
    <t xml:space="preserve">Address: Bankers Society </t>
  </si>
  <si>
    <t xml:space="preserve">Best Mart </t>
  </si>
  <si>
    <t>Al Makkah Store</t>
  </si>
  <si>
    <t>Khawaja Store</t>
  </si>
  <si>
    <t>Hadi Store</t>
  </si>
  <si>
    <t xml:space="preserve">Ahmad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</si>
</sst>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3" workbookViewId="0">
      <selection activeCell="Q30" sqref="Q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Mirch Mahal 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Daim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Ashraf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One o One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2490.6571875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15.179980852754237</v>
      </c>
      <c r="P7" s="310">
        <f>M7+N7+O7</f>
        <v>3051.1761514036016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3">
        <v>5</v>
      </c>
      <c r="S7" s="300" t="str">
        <f>+'5'!A6:A6</f>
        <v>Khan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272.80500000000001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2258.5106249999999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13.771366684322034</v>
      </c>
      <c r="P8" s="311">
        <f t="shared" ref="P8:P15" si="2">M8+N8+O8</f>
        <v>2768.0447035487286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Shamza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95</v>
      </c>
      <c r="I9" s="236">
        <f t="shared" si="0"/>
        <v>4983.9375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524.625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174.43781250000001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4284.8746874999997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941.94915254237242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26.134119200211863</v>
      </c>
      <c r="P9" s="311">
        <f t="shared" si="2"/>
        <v>5252.9579592425844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10</v>
      </c>
      <c r="R9" s="313">
        <v>7</v>
      </c>
      <c r="S9" s="300" t="str">
        <f>+'7'!A6:A6</f>
        <v>Hikers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190</v>
      </c>
      <c r="I10" s="236">
        <f t="shared" si="0"/>
        <v>13801.6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1365.6320000000001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483.05599999999998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11952.912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2608.4745762711873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72.806932881355934</v>
      </c>
      <c r="P10" s="311">
        <f t="shared" si="2"/>
        <v>14634.193509152543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Hikma Store</v>
      </c>
      <c r="T10" s="301">
        <f>+'8'!P35</f>
        <v>30147.381446949152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134</v>
      </c>
      <c r="I11" s="236">
        <f t="shared" si="0"/>
        <v>9733.76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953.03679999999986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340.6816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8440.0416000000005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1839.6610169491528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51.398513084745773</v>
      </c>
      <c r="P11" s="311">
        <f t="shared" si="2"/>
        <v>10331.101130033898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Best Mart 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Makkah Store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Khawaja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Hadi Store</v>
      </c>
      <c r="T14" s="301">
        <f>+'12'!P35</f>
        <v>1568.1057925423729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Ahmad Mart </v>
      </c>
      <c r="T15" s="301">
        <f>+'13'!P35</f>
        <v>3136.2115850847458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16.100000000000001</v>
      </c>
      <c r="H16" s="113">
        <f t="shared" ref="H16:M16" si="3">SUM(H7:H15)</f>
        <v>644</v>
      </c>
      <c r="I16" s="114">
        <f t="shared" si="3"/>
        <v>42744.66</v>
      </c>
      <c r="J16" s="274">
        <f>SUM(J7:J15)</f>
        <v>4281.5688</v>
      </c>
      <c r="K16" s="275">
        <f t="shared" si="3"/>
        <v>1496.0631000000001</v>
      </c>
      <c r="L16" s="276">
        <f t="shared" si="3"/>
        <v>0</v>
      </c>
      <c r="M16" s="232">
        <f t="shared" si="3"/>
        <v>36967.028099999996</v>
      </c>
      <c r="N16" s="233">
        <f>SUM(N7:N15)</f>
        <v>8078.6440677966102</v>
      </c>
      <c r="O16" s="101">
        <f>SUM(O7:O15)</f>
        <v>225.22836083898306</v>
      </c>
      <c r="P16" s="113">
        <f>SUM(P7:P15)</f>
        <v>45270.900528635597</v>
      </c>
      <c r="Q16" s="128">
        <f>SUM(Q7:Q15)</f>
        <v>30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42744.66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4281.5688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1496.0631000000001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36967.028100000003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8078.6440677966102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45045.672167796612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225.22836083898306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45270.900528635597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45270.900528635597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</v>
      </c>
      <c r="I20" s="236">
        <f t="shared" si="7"/>
        <v>1743.3600000000001</v>
      </c>
      <c r="J20" s="272">
        <f t="shared" si="1"/>
        <v>139.46880000000002</v>
      </c>
      <c r="K20" s="128">
        <f t="shared" si="1"/>
        <v>61.017600000000009</v>
      </c>
      <c r="L20" s="119">
        <f t="shared" si="1"/>
        <v>0</v>
      </c>
      <c r="M20" s="230">
        <f t="shared" si="2"/>
        <v>1542.8736000000001</v>
      </c>
      <c r="N20" s="277">
        <f t="shared" si="3"/>
        <v>329.49152542372883</v>
      </c>
      <c r="O20" s="239">
        <f t="shared" si="4"/>
        <v>9.3618256271186446</v>
      </c>
      <c r="P20" s="119">
        <f t="shared" si="5"/>
        <v>1881.7269510508474</v>
      </c>
      <c r="Q20" s="319"/>
      <c r="R20">
        <f>P20/21</f>
        <v>89.60604528813559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230.83500000000001</v>
      </c>
      <c r="K16" s="127">
        <f>$I16*T16</f>
        <v>73.447500000000005</v>
      </c>
      <c r="L16" s="118">
        <f>$I16*U16</f>
        <v>0</v>
      </c>
      <c r="M16" s="229">
        <f>I16-SUM(J16:L16)</f>
        <v>1794.2175</v>
      </c>
      <c r="N16" s="248">
        <f>+(G16*D16+H16)*V16</f>
        <v>396.61016949152526</v>
      </c>
      <c r="O16" s="238">
        <f>(N16+M16)*$O$15</f>
        <v>10.954138347457627</v>
      </c>
      <c r="P16" s="118">
        <f>M16+N16+O16</f>
        <v>2201.7818078389828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230.83500000000001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1794.2175</v>
      </c>
      <c r="N17" s="277">
        <f t="shared" ref="N17:N24" si="3">+(G17*D17+H17)*V17</f>
        <v>396.61016949152526</v>
      </c>
      <c r="O17" s="239">
        <f t="shared" ref="O17:O24" si="4">(N17+M17)*$O$15</f>
        <v>10.954138347457627</v>
      </c>
      <c r="P17" s="119">
        <f t="shared" ref="P17:P24" si="5">M17+N17+O17</f>
        <v>2201.7818078389828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461.67</v>
      </c>
      <c r="K18" s="128">
        <f t="shared" si="1"/>
        <v>146.89500000000001</v>
      </c>
      <c r="L18" s="119">
        <f t="shared" si="1"/>
        <v>0</v>
      </c>
      <c r="M18" s="230">
        <f t="shared" si="2"/>
        <v>3588.4349999999999</v>
      </c>
      <c r="N18" s="277">
        <f t="shared" si="3"/>
        <v>793.22033898305051</v>
      </c>
      <c r="O18" s="239">
        <f t="shared" si="4"/>
        <v>21.908276694915255</v>
      </c>
      <c r="P18" s="119">
        <f t="shared" si="5"/>
        <v>4403.5636156779656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958.84799999999996</v>
      </c>
      <c r="K19" s="128">
        <f t="shared" si="1"/>
        <v>305.08800000000002</v>
      </c>
      <c r="L19" s="119">
        <f t="shared" si="1"/>
        <v>0</v>
      </c>
      <c r="M19" s="230">
        <f t="shared" si="2"/>
        <v>7452.8639999999996</v>
      </c>
      <c r="N19" s="277">
        <f t="shared" si="3"/>
        <v>1647.4576271186443</v>
      </c>
      <c r="O19" s="239">
        <f t="shared" si="4"/>
        <v>45.501608135593216</v>
      </c>
      <c r="P19" s="119">
        <f t="shared" si="5"/>
        <v>9145.8232352542364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639.23199999999997</v>
      </c>
      <c r="K20" s="128">
        <f t="shared" si="1"/>
        <v>203.39200000000002</v>
      </c>
      <c r="L20" s="119">
        <f t="shared" si="1"/>
        <v>0</v>
      </c>
      <c r="M20" s="230">
        <f t="shared" si="2"/>
        <v>4968.576</v>
      </c>
      <c r="N20" s="277">
        <f t="shared" si="3"/>
        <v>1098.3050847457628</v>
      </c>
      <c r="O20" s="239">
        <f t="shared" si="4"/>
        <v>30.334405423728814</v>
      </c>
      <c r="P20" s="119">
        <f t="shared" si="5"/>
        <v>6097.2154901694912</v>
      </c>
      <c r="Q20" s="319"/>
      <c r="R20">
        <f>P20/21</f>
        <v>290.34359476997577</v>
      </c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639.23199999999997</v>
      </c>
      <c r="K21" s="128">
        <f t="shared" si="1"/>
        <v>203.39200000000002</v>
      </c>
      <c r="L21" s="119">
        <f t="shared" si="1"/>
        <v>0</v>
      </c>
      <c r="M21" s="230">
        <f t="shared" si="2"/>
        <v>4968.576</v>
      </c>
      <c r="N21" s="277">
        <f t="shared" si="3"/>
        <v>1098.3050847457628</v>
      </c>
      <c r="O21" s="239">
        <f t="shared" si="4"/>
        <v>30.334405423728814</v>
      </c>
      <c r="P21" s="119">
        <f t="shared" si="5"/>
        <v>6097.2154901694912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440</v>
      </c>
      <c r="I25" s="114">
        <f t="shared" si="7"/>
        <v>28733.200000000001</v>
      </c>
      <c r="J25" s="274">
        <f>SUM(J16:J24)</f>
        <v>3160.652</v>
      </c>
      <c r="K25" s="275">
        <f t="shared" si="7"/>
        <v>1005.6620000000001</v>
      </c>
      <c r="L25" s="276">
        <f t="shared" si="7"/>
        <v>0</v>
      </c>
      <c r="M25" s="232">
        <f t="shared" si="7"/>
        <v>24566.886000000002</v>
      </c>
      <c r="N25" s="233">
        <f>SUM(N16:N24)</f>
        <v>5430.5084745762706</v>
      </c>
      <c r="O25" s="101">
        <f>SUM(O16:O24)</f>
        <v>149.98697237288135</v>
      </c>
      <c r="P25" s="234">
        <f>SUM(P16:P24)</f>
        <v>30147.381446949152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28733.200000000001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3160.652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1005.6620000000001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24566.886000000002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5430.5084745762706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29997.394474576271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149.98697237288135</v>
      </c>
    </row>
    <row r="35" spans="2:16" ht="15.75" customHeight="1" thickBot="1" x14ac:dyDescent="0.4">
      <c r="N35" s="374" t="s">
        <v>88</v>
      </c>
      <c r="O35" s="375"/>
      <c r="P35" s="297">
        <f>+P33+P34</f>
        <v>30147.381446949152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2026-10-13T10:53:33Z</dcterms:modified>
</cp:coreProperties>
</file>