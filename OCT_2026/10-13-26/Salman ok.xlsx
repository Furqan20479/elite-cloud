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F6A19B-24DE-479A-B3C9-686D463267F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J7" i="62"/>
  <c r="M16" i="44"/>
  <c r="O16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<sst xmlns="http://schemas.openxmlformats.org/spreadsheetml/2006/main" count="3948" uniqueCount="523">
  <si>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</si>
  <si>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</si>
  <si>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</si>
  <si>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</si>
  <si>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</si>
  <si>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</si>
  <si>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</si>
  <si>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</si>
  <si>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</si>
  <si>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</si>
  <si>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</si>
  <si>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</si>
  <si>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</si>
  <si>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</si>
  <si>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</si>
  <si>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</si>
  <si>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</si>
  <si>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</si>
  <si>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</si>
  <si>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</si>
  <si>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</si>
  <si>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</si>
  <si>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</si>
  <si>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</si>
  <si>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</si>
  <si>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</si>
  <si>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</si>
  <si>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</si>
  <si>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</si>
  <si>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</si>
  <si>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</si>
  <si>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</si>
  <si>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</si>
  <si>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</si>
  <si>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</si>
  <si>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</si>
  <si>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</si>
  <si>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</si>
  <si>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</si>
  <si>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</si>
  <si>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</si>
  <si>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</si>
  <si>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</si>
  <si>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</si>
  <si>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</si>
  <si>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</si>
  <si>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</si>
  <si>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</si>
  <si>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</si>
  <si>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</si>
  <si>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</si>
  <si>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</si>
  <si>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</si>
  <si>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</si>
  <si>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</si>
  <si>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</si>
  <si>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</si>
  <si>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</si>
  <si>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</si>
  <si>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</si>
  <si>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</si>
  <si>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</si>
  <si>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</si>
  <si>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</si>
  <si>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</si>
  <si>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</si>
  <si>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</si>
  <si>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</si>
  <si>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</si>
  <si>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</si>
  <si>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</si>
  <si>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</si>
  <si>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</si>
  <si>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</si>
  <si>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</si>
  <si>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</si>
  <si>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</si>
  <si>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</si>
  <si>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</si>
  <si>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</si>
  <si>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</si>
  <si>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</si>
  <si>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</si>
  <si>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</si>
  <si>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</si>
  <si>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</si>
  <si>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</si>
  <si>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</si>
  <si>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</si>
  <si>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</si>
  <si>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</si>
  <si>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</si>
  <si>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</si>
  <si>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</si>
  <si>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</si>
  <si>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</si>
  <si>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</si>
  <si>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</si>
  <si>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</si>
  <si>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</si>
  <si>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</si>
  <si>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</si>
  <si>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</si>
  <si>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</si>
  <si>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</si>
  <si>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</si>
  <si>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</si>
  <si>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</si>
  <si>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</si>
  <si>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</si>
  <si>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</si>
  <si>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</si>
  <si>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</si>
  <si>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</si>
  <si>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</si>
  <si>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</si>
  <si>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</si>
  <si>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</si>
  <si>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</si>
  <si>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</si>
  <si>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</si>
  <si>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</si>
  <si>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</si>
  <si>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</si>
  <si>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</si>
  <si>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</si>
  <si>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</si>
  <si>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</si>
  <si>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</si>
  <si>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</si>
  <si>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</si>
  <si>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</si>
  <si>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</si>
  <si>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</si>
  <si>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</si>
  <si>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</si>
  <si>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</si>
  <si>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</si>
  <si>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</si>
  <si>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</si>
  <si>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</si>
  <si>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</si>
  <si>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</si>
  <si>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</si>
  <si>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</si>
  <si>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</si>
  <si>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</si>
  <si>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</si>
  <si>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</si>
  <si>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</si>
  <si>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</si>
  <si>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</si>
  <si>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</si>
  <si>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</si>
  <si>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</si>
  <si>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</si>
  <si>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</si>
  <si>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</si>
  <si>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</si>
  <si>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</si>
  <si>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</si>
  <si>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</si>
  <si>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</si>
  <si>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</si>
  <si>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</si>
  <si>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</si>
  <si>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</si>
  <si>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</si>
  <si>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</si>
  <si>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</si>
  <si>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</si>
  <si>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</si>
  <si>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</si>
  <si>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</si>
  <si>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</si>
  <si>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</si>
  <si>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</si>
  <si>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</si>
  <si>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</si>
  <si>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</si>
  <si>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</si>
  <si>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</si>
  <si>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</si>
  <si>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</si>
  <si>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</si>
  <si>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</si>
  <si>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</si>
  <si>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</si>
  <si>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</si>
  <si>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</si>
  <si>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</si>
  <si>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</si>
  <si>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</si>
  <si>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</si>
  <si>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</si>
  <si>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</si>
  <si>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</si>
  <si>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</si>
  <si>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</si>
  <si>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</si>
  <si>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</si>
  <si>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</si>
  <si>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</si>
  <si>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</si>
  <si>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</si>
  <si>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</si>
  <si>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</si>
  <si>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</si>
  <si>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</si>
  <si>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</si>
  <si>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</si>
  <si>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</si>
  <si>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</si>
  <si>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</si>
  <si>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</si>
  <si>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</si>
  <si>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</si>
  <si>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</si>
  <si>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</si>
  <si>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</si>
  <si>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</si>
  <si>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</si>
  <si>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</si>
  <si>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</si>
  <si>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</si>
  <si>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</si>
  <si>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</si>
  <si>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</si>
  <si>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</si>
  <si>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</si>
  <si>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</si>
  <si>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</si>
  <si>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</si>
  <si>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</si>
  <si>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</si>
  <si>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</si>
  <si>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</si>
  <si>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</si>
  <si>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</si>
  <si>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</si>
  <si>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</si>
  <si>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</si>
  <si>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</si>
  <si>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</si>
  <si>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</si>
  <si>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</si>
  <si>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</si>
  <si>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</si>
  <si>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</si>
  <si>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</si>
  <si>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</si>
  <si>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</si>
  <si>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</si>
  <si>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</si>
  <si>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</si>
  <si>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</si>
  <si>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</si>
  <si>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</si>
  <si>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</si>
  <si>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</si>
  <si>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</si>
  <si>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</si>
  <si>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</si>
  <si>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</si>
  <si>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</si>
  <si>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</si>
  <si>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</si>
  <si>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</si>
  <si>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</si>
  <si>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</si>
  <si>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</si>
  <si>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</si>
  <si>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</si>
  <si>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</si>
  <si>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</si>
  <si>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</si>
  <si>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</si>
  <si>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</si>
  <si>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</si>
  <si>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</si>
  <si>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</si>
  <si>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</si>
  <si>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</si>
  <si>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</si>
  <si>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</si>
  <si>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</si>
  <si>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</si>
  <si>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</si>
  <si>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</si>
  <si>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</si>
  <si>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</si>
  <si>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</si>
  <si>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</si>
  <si>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</si>
  <si>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</si>
  <si>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</si>
  <si>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</si>
  <si>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</si>
  <si>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</si>
  <si>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</si>
  <si>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</si>
  <si>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</si>
  <si>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</si>
  <si>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</si>
  <si>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</si>
  <si>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</si>
  <si>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</si>
  <si>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</si>
  <si>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</si>
  <si>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</si>
  <si>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</si>
  <si>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</si>
  <si>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</si>
  <si>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</si>
  <si>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</si>
  <si>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</si>
  <si>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</si>
  <si>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</si>
  <si>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</si>
  <si>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</si>
  <si>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</si>
  <si>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</si>
  <si>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</si>
  <si>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</si>
  <si>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</si>
  <si>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</si>
  <si>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</si>
  <si>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</si>
  <si>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</si>
  <si>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</si>
  <si>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</si>
  <si>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</si>
  <si>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</si>
  <si>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</si>
  <si>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</si>
  <si>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</si>
  <si>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</si>
  <si>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</si>
  <si>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</si>
  <si>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</si>
  <si>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</si>
  <si>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</si>
  <si>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</si>
  <si>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</si>
  <si>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</si>
  <si>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</si>
  <si>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</si>
  <si>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</si>
  <si>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</si>
  <si>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</si>
  <si>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</si>
  <si>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</si>
  <si>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</si>
  <si>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</si>
  <si>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</si>
  <si>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</si>
  <si>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</si>
  <si>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</si>
  <si>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</si>
  <si>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</si>
  <si>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</si>
  <si>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</si>
  <si>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</si>
  <si>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</si>
  <si>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</si>
  <si>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</si>
  <si>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</si>
  <si>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</si>
  <si>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</si>
  <si>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</si>
  <si>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</si>
  <si>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</si>
  <si>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</si>
  <si>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</si>
  <si>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</si>
  <si>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</si>
  <si>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</si>
  <si>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</si>
  <si>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</si>
  <si>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</si>
  <si>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</si>
  <si>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</si>
  <si>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</si>
  <si>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</si>
  <si>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</si>
  <si>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</si>
  <si>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</si>
  <si>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</si>
  <si>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</si>
  <si>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</si>
  <si>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</si>
  <si>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</si>
  <si>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</si>
  <si>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</si>
  <si>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</si>
  <si>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</si>
  <si>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</si>
  <si>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</si>
  <si>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</si>
  <si>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</si>
  <si>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</si>
  <si>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</si>
  <si>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</si>
  <si>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</si>
  <si>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</si>
  <si>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</si>
  <si>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</si>
  <si>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</si>
  <si>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</si>
  <si>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</si>
  <si>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</si>
  <si>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</si>
  <si>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</si>
  <si>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</si>
  <si>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</si>
  <si>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</si>
  <si>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</si>
  <si>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</si>
  <si>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</si>
  <si>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</si>
  <si>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</si>
  <si>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</si>
  <si>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</si>
  <si>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</si>
  <si>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</si>
  <si>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</si>
  <si>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</si>
  <si>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</si>
  <si>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</si>
  <si>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</si>
  <si>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</si>
  <si>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</si>
  <si>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</si>
  <si>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</si>
  <si>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</si>
  <si>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</si>
  <si>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</si>
  <si>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</si>
  <si>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</si>
  <si>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</si>
  <si>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</si>
  <si>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</si>
  <si>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</si>
  <si>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</si>
  <si>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</si>
  <si>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</si>
  <si>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</si>
  <si>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</si>
  <si>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</si>
  <si>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</si>
  <si>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</si>
  <si>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</si>
  <si>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</si>
  <si>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</si>
  <si>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</si>
  <si>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</si>
  <si>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</si>
  <si>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</si>
  <si>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</si>
  <si>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</si>
  <si>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</si>
  <si>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</si>
  <si>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</si>
  <si>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</si>
  <si>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</si>
  <si>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</si>
  <si>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</si>
  <si>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</si>
  <si>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</si>
  <si>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</si>
  <si>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</si>
  <si>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</si>
  <si>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</si>
  <si>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</si>
  <si>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</si>
  <si>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</si>
  <si>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</si>
  <si>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</si>
  <si>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</si>
  <si>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</si>
  <si>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</si>
  <si>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</si>
  <si>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</si>
  <si>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</si>
  <si>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</si>
  <si>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</si>
  <si>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</si>
  <si>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</si>
  <si>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</si>
  <si>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</si>
  <si>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</si>
  <si>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</si>
  <si>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</si>
  <si>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</si>
  <si>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</si>
  <si>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</si>
  <si>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</si>
  <si>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</si>
  <si>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</si>
  <si>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</si>
  <si>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</si>
  <si>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</si>
  <si>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</si>
  <si>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</si>
  <si>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</si>
  <si>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</si>
  <si>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</si>
  <si>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</si>
  <si>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</si>
  <si>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</si>
  <si>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</si>
  <si>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</si>
  <si>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</si>
  <si>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</si>
  <si>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</si>
  <si>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Aashiyana Store</t>
  </si>
  <si>
    <t xml:space="preserve">Address: Cavelary </t>
  </si>
  <si>
    <t xml:space="preserve">Ahmad Usman Mart </t>
  </si>
  <si>
    <t xml:space="preserve">Al Falah Bakers </t>
  </si>
  <si>
    <t xml:space="preserve">Hassan Mart </t>
  </si>
  <si>
    <t>Al Sheikh Store</t>
  </si>
  <si>
    <t>Shreef Store</t>
  </si>
  <si>
    <t xml:space="preserve">Hamza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</si>
</sst>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E31" sqref="E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Aashiyana Store</v>
      </c>
      <c r="T3" s="301">
        <f>+'1'!P35</f>
        <v>1698.7886871292369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Ahmad Usman Mart </v>
      </c>
      <c r="T4" s="301">
        <f>+'2'!P35</f>
        <v>4991.8064043432205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Falah Bakers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Hassan Mart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65</v>
      </c>
      <c r="I7" s="235">
        <f>(G7*D7)*F7+H7*F7</f>
        <v>3410.0625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272.80500000000001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119.35218750000001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3017.9053125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644.49152542372849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18.311984189618641</v>
      </c>
      <c r="P7" s="310">
        <f>M7+N7+O7</f>
        <v>3680.7088221133472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35</v>
      </c>
      <c r="R7" s="313">
        <v>5</v>
      </c>
      <c r="S7" s="300" t="str">
        <f>+'5'!A6:A6</f>
        <v>Al Sheikh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>Shreef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77</v>
      </c>
      <c r="I9" s="236">
        <f t="shared" si="0"/>
        <v>4039.6124999999997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323.16899999999998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141.3864375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3575.0570624999996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763.47457627118615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21.69265819385593</v>
      </c>
      <c r="P9" s="311">
        <f t="shared" si="2"/>
        <v>4360.2242969650415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3">
        <v>7</v>
      </c>
      <c r="S9" s="300" t="str">
        <f>+'7'!A6:A6</f>
        <v xml:space="preserve">Hamza Mart </v>
      </c>
      <c r="T9" s="301">
        <f>+'7'!P35</f>
        <v>13938.737920932204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</v>
      </c>
      <c r="I10" s="236">
        <f t="shared" si="0"/>
        <v>6682.88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534.63040000000001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233.9008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5914.3487999999998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35.88699823728814</v>
      </c>
      <c r="P10" s="311">
        <f t="shared" si="2"/>
        <v>7213.286645694915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46</v>
      </c>
      <c r="I11" s="236">
        <f t="shared" si="0"/>
        <v>3341.44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267.3152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116.95040000000002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2957.1743999999999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631.52542372881362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17.94349911864407</v>
      </c>
      <c r="P11" s="311">
        <f t="shared" si="2"/>
        <v>3606.6433228474575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61</v>
      </c>
      <c r="I12" s="236">
        <f t="shared" si="0"/>
        <v>4431.04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354.48320000000001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155.08640000000003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3921.4704000000002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837.45762711864415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23.79464013559322</v>
      </c>
      <c r="P12" s="311">
        <f t="shared" si="2"/>
        <v>4782.7226672542374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9.0250000000000004</v>
      </c>
      <c r="H16" s="113">
        <f t="shared" ref="H16:M16" si="3">SUM(H7:H15)</f>
        <v>361</v>
      </c>
      <c r="I16" s="114">
        <f t="shared" si="3"/>
        <v>22954.285</v>
      </c>
      <c r="J16" s="274">
        <f>SUM(J7:J15)</f>
        <v>1836.3427999999999</v>
      </c>
      <c r="K16" s="275">
        <f t="shared" si="3"/>
        <v>803.39997500000004</v>
      </c>
      <c r="L16" s="276">
        <f t="shared" si="3"/>
        <v>0</v>
      </c>
      <c r="M16" s="232">
        <f t="shared" si="3"/>
        <v>20314.542224999997</v>
      </c>
      <c r="N16" s="233">
        <f>SUM(N7:N15)</f>
        <v>4338.3050847457625</v>
      </c>
      <c r="O16" s="101">
        <f>SUM(O7:O15)</f>
        <v>123.2642365487288</v>
      </c>
      <c r="P16" s="113">
        <f>SUM(P7:P15)</f>
        <v>24776.111546294491</v>
      </c>
      <c r="Q16" s="128">
        <f>SUM(Q7:Q15)</f>
        <v>60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22954.285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1836.3427999999999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803.39997500000004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20314.542225000001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4338.3050847457625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24652.847309745765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123.2642365487288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24776.111546294494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24776.111546294491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1573.875</v>
      </c>
      <c r="J25" s="274">
        <f>SUM(J16:J24)</f>
        <v>125.91</v>
      </c>
      <c r="K25" s="275">
        <f t="shared" si="10"/>
        <v>55.085625000000007</v>
      </c>
      <c r="L25" s="276">
        <f t="shared" si="10"/>
        <v>0</v>
      </c>
      <c r="M25" s="232">
        <f t="shared" si="10"/>
        <v>1392.879375</v>
      </c>
      <c r="N25" s="233">
        <f>SUM(N16:N24)</f>
        <v>297.45762711864393</v>
      </c>
      <c r="O25" s="101">
        <f>SUM(O16:O24)</f>
        <v>8.45168501059322</v>
      </c>
      <c r="P25" s="234">
        <f>SUM(P16:P24)</f>
        <v>1698.7886871292371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8.45168501059322</v>
      </c>
    </row>
    <row r="35" spans="2:16" ht="15.75" customHeight="1" thickBot="1" x14ac:dyDescent="0.4">
      <c r="N35" s="374" t="s">
        <v>88</v>
      </c>
      <c r="O35" s="375"/>
      <c r="P35" s="297">
        <f>+P33+P34</f>
        <v>1698.7886871292369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67</v>
      </c>
      <c r="I25" s="114">
        <f t="shared" si="7"/>
        <v>4624.75</v>
      </c>
      <c r="J25" s="274">
        <f>SUM(J16:J24)</f>
        <v>369.98</v>
      </c>
      <c r="K25" s="275">
        <f t="shared" si="7"/>
        <v>161.86625000000001</v>
      </c>
      <c r="L25" s="276">
        <f t="shared" si="7"/>
        <v>0</v>
      </c>
      <c r="M25" s="232">
        <f t="shared" si="7"/>
        <v>4092.9037499999999</v>
      </c>
      <c r="N25" s="233">
        <f>SUM(N16:N24)</f>
        <v>874.06779661016947</v>
      </c>
      <c r="O25" s="101">
        <f>SUM(O16:O24)</f>
        <v>24.83485773305085</v>
      </c>
      <c r="P25" s="234">
        <f>SUM(P16:P24)</f>
        <v>4991.8064043432205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4624.75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369.98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161.86625000000001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4092.9037500000004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874.06779661016947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4966.9715466101698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24.83485773305085</v>
      </c>
    </row>
    <row r="35" spans="2:16" ht="15.75" customHeight="1" thickBot="1" x14ac:dyDescent="0.4">
      <c r="N35" s="374" t="s">
        <v>88</v>
      </c>
      <c r="O35" s="375"/>
      <c r="P35" s="297">
        <f>+P33+P34</f>
        <v>4991.8064043432205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1033.104</v>
      </c>
      <c r="K25" s="275">
        <f t="shared" si="7"/>
        <v>451.98300000000006</v>
      </c>
      <c r="L25" s="276">
        <f t="shared" si="7"/>
        <v>0</v>
      </c>
      <c r="M25" s="232">
        <f t="shared" si="7"/>
        <v>11428.713000000002</v>
      </c>
      <c r="N25" s="233">
        <f>SUM(N16:N24)</f>
        <v>2440.6779661016944</v>
      </c>
      <c r="O25" s="101">
        <f>SUM(O16:O24)</f>
        <v>69.346954830508466</v>
      </c>
      <c r="P25" s="234">
        <f>SUM(P16:P24)</f>
        <v>13938.737920932204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12913.800000000001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1033.104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451.98300000000006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11428.713000000002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13869.390966101695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74" t="s">
        <v>88</v>
      </c>
      <c r="O35" s="375"/>
      <c r="P35" s="297">
        <f>+P33+P34</f>
        <v>13938.737920932204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2026-10-13T10:53:55Z</dcterms:modified>
</cp:coreProperties>
</file>