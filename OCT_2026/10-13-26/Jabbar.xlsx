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FF55C8-D326-4103-A63F-88C47A82CC5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<sst xmlns="http://schemas.openxmlformats.org/spreadsheetml/2006/main" count="3948" uniqueCount="529">
  <si>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</si>
  <si>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</si>
  <si>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</si>
  <si>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</si>
  <si>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</si>
  <si>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</si>
  <si>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</si>
  <si>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</si>
  <si>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</si>
  <si>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</si>
  <si>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</si>
  <si>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</si>
  <si>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</si>
  <si>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</si>
  <si>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</si>
  <si>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</si>
  <si>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</si>
  <si>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</si>
  <si>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</si>
  <si>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</si>
  <si>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</si>
  <si>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</si>
  <si>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</si>
  <si>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</si>
  <si>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</si>
  <si>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</si>
  <si>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</si>
  <si>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</si>
  <si>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</si>
  <si>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</si>
  <si>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</si>
  <si>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</si>
  <si>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</si>
  <si>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</si>
  <si>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</si>
  <si>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</si>
  <si>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</si>
  <si>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</si>
  <si>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</si>
  <si>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</si>
  <si>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</si>
  <si>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</si>
  <si>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</si>
  <si>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</si>
  <si>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</si>
  <si>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</si>
  <si>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</si>
  <si>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</si>
  <si>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</si>
  <si>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</si>
  <si>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</si>
  <si>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</si>
  <si>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</si>
  <si>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</si>
  <si>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</si>
  <si>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</si>
  <si>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</si>
  <si>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</si>
  <si>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</si>
  <si>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</si>
  <si>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</si>
  <si>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</si>
  <si>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</si>
  <si>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</si>
  <si>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</si>
  <si>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</si>
  <si>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</si>
  <si>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</si>
  <si>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</si>
  <si>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</si>
  <si>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</si>
  <si>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</si>
  <si>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</si>
  <si>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</si>
  <si>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</si>
  <si>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</si>
  <si>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</si>
  <si>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</si>
  <si>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</si>
  <si>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</si>
  <si>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</si>
  <si>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</si>
  <si>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</si>
  <si>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</si>
  <si>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</si>
  <si>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</si>
  <si>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</si>
  <si>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</si>
  <si>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</si>
  <si>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</si>
  <si>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</si>
  <si>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</si>
  <si>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</si>
  <si>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</si>
  <si>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</si>
  <si>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</si>
  <si>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</si>
  <si>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</si>
  <si>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</si>
  <si>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</si>
  <si>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</si>
  <si>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</si>
  <si>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</si>
  <si>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</si>
  <si>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</si>
  <si>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</si>
  <si>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</si>
  <si>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</si>
  <si>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</si>
  <si>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</si>
  <si>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</si>
  <si>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</si>
  <si>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</si>
  <si>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</si>
  <si>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</si>
  <si>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</si>
  <si>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</si>
  <si>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</si>
  <si>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</si>
  <si>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</si>
  <si>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</si>
  <si>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</si>
  <si>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</si>
  <si>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</si>
  <si>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</si>
  <si>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</si>
  <si>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</si>
  <si>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</si>
  <si>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</si>
  <si>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</si>
  <si>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</si>
  <si>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</si>
  <si>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</si>
  <si>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</si>
  <si>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</si>
  <si>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</si>
  <si>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</si>
  <si>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</si>
  <si>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</si>
  <si>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</si>
  <si>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</si>
  <si>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</si>
  <si>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</si>
  <si>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</si>
  <si>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</si>
  <si>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</si>
  <si>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</si>
  <si>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</si>
  <si>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</si>
  <si>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</si>
  <si>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</si>
  <si>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</si>
  <si>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</si>
  <si>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</si>
  <si>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</si>
  <si>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</si>
  <si>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</si>
  <si>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</si>
  <si>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</si>
  <si>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</si>
  <si>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</si>
  <si>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</si>
  <si>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</si>
  <si>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</si>
  <si>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</si>
  <si>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</si>
  <si>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</si>
  <si>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</si>
  <si>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</si>
  <si>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</si>
  <si>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</si>
  <si>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</si>
  <si>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</si>
  <si>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</si>
  <si>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</si>
  <si>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</si>
  <si>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</si>
  <si>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</si>
  <si>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</si>
  <si>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</si>
  <si>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</si>
  <si>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</si>
  <si>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</si>
  <si>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</si>
  <si>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</si>
  <si>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</si>
  <si>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</si>
  <si>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</si>
  <si>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</si>
  <si>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</si>
  <si>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</si>
  <si>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</si>
  <si>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</si>
  <si>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</si>
  <si>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</si>
  <si>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</si>
  <si>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</si>
  <si>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</si>
  <si>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</si>
  <si>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</si>
  <si>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</si>
  <si>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</si>
  <si>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</si>
  <si>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</si>
  <si>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</si>
  <si>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</si>
  <si>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</si>
  <si>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</si>
  <si>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</si>
  <si>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</si>
  <si>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</si>
  <si>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</si>
  <si>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</si>
  <si>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</si>
  <si>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</si>
  <si>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</si>
  <si>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</si>
  <si>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</si>
  <si>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</si>
  <si>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</si>
  <si>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</si>
  <si>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</si>
  <si>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</si>
  <si>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</si>
  <si>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</si>
  <si>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</si>
  <si>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</si>
  <si>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</si>
  <si>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</si>
  <si>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</si>
  <si>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</si>
  <si>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</si>
  <si>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</si>
  <si>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</si>
  <si>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</si>
  <si>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</si>
  <si>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</si>
  <si>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</si>
  <si>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</si>
  <si>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</si>
  <si>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</si>
  <si>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</si>
  <si>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</si>
  <si>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</si>
  <si>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</si>
  <si>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</si>
  <si>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</si>
  <si>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</si>
  <si>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</si>
  <si>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</si>
  <si>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</si>
  <si>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</si>
  <si>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</si>
  <si>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</si>
  <si>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</si>
  <si>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</si>
  <si>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</si>
  <si>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</si>
  <si>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</si>
  <si>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</si>
  <si>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</si>
  <si>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</si>
  <si>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</si>
  <si>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</si>
  <si>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</si>
  <si>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</si>
  <si>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</si>
  <si>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</si>
  <si>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</si>
  <si>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</si>
  <si>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</si>
  <si>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</si>
  <si>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</si>
  <si>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</si>
  <si>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</si>
  <si>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</si>
  <si>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</si>
  <si>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</si>
  <si>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</si>
  <si>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</si>
  <si>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</si>
  <si>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</si>
  <si>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</si>
  <si>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</si>
  <si>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</si>
  <si>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</si>
  <si>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</si>
  <si>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</si>
  <si>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</si>
  <si>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</si>
  <si>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</si>
  <si>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</si>
  <si>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</si>
  <si>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</si>
  <si>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</si>
  <si>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</si>
  <si>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</si>
  <si>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</si>
  <si>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</si>
  <si>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</si>
  <si>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</si>
  <si>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</si>
  <si>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</si>
  <si>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</si>
  <si>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</si>
  <si>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</si>
  <si>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</si>
  <si>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</si>
  <si>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</si>
  <si>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</si>
  <si>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</si>
  <si>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</si>
  <si>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</si>
  <si>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</si>
  <si>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</si>
  <si>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</si>
  <si>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</si>
  <si>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</si>
  <si>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</si>
  <si>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</si>
  <si>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</si>
  <si>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</si>
  <si>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</si>
  <si>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</si>
  <si>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</si>
  <si>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</si>
  <si>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</si>
  <si>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</si>
  <si>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</si>
  <si>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</si>
  <si>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</si>
  <si>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</si>
  <si>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</si>
  <si>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</si>
  <si>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</si>
  <si>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</si>
  <si>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</si>
  <si>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</si>
  <si>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</si>
  <si>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</si>
  <si>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</si>
  <si>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</si>
  <si>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</si>
  <si>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</si>
  <si>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</si>
  <si>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</si>
  <si>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</si>
  <si>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</si>
  <si>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</si>
  <si>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</si>
  <si>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</si>
  <si>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</si>
  <si>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</si>
  <si>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</si>
  <si>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</si>
  <si>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</si>
  <si>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</si>
  <si>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</si>
  <si>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</si>
  <si>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</si>
  <si>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</si>
  <si>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</si>
  <si>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</si>
  <si>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</si>
  <si>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</si>
  <si>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</si>
  <si>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</si>
  <si>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</si>
  <si>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</si>
  <si>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</si>
  <si>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</si>
  <si>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</si>
  <si>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</si>
  <si>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</si>
  <si>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</si>
  <si>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</si>
  <si>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</si>
  <si>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</si>
  <si>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</si>
  <si>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</si>
  <si>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</si>
  <si>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</si>
  <si>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</si>
  <si>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</si>
  <si>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</si>
  <si>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</si>
  <si>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</si>
  <si>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</si>
  <si>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</si>
  <si>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</si>
  <si>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</si>
  <si>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</si>
  <si>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</si>
  <si>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</si>
  <si>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</si>
  <si>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</si>
  <si>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</si>
  <si>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</si>
  <si>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</si>
  <si>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</si>
  <si>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</si>
  <si>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</si>
  <si>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</si>
  <si>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</si>
  <si>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</si>
  <si>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</si>
  <si>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</si>
  <si>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</si>
  <si>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</si>
  <si>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</si>
  <si>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</si>
  <si>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</si>
  <si>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</si>
  <si>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</si>
  <si>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</si>
  <si>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</si>
  <si>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</si>
  <si>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</si>
  <si>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</si>
  <si>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</si>
  <si>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</si>
  <si>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</si>
  <si>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</si>
  <si>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</si>
  <si>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</si>
  <si>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</si>
  <si>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</si>
  <si>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</si>
  <si>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</si>
  <si>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</si>
  <si>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</si>
  <si>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</si>
  <si>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</si>
  <si>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</si>
  <si>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</si>
  <si>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</si>
  <si>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</si>
  <si>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</si>
  <si>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</si>
  <si>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</si>
  <si>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</si>
  <si>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</si>
  <si>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</si>
  <si>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</si>
  <si>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</si>
  <si>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</si>
  <si>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</si>
  <si>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</si>
  <si>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</si>
  <si>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</si>
  <si>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</si>
  <si>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</si>
  <si>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</si>
  <si>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</si>
  <si>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</si>
  <si>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</si>
  <si>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</si>
  <si>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</si>
  <si>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</si>
  <si>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</si>
  <si>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</si>
  <si>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</si>
  <si>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</si>
  <si>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</si>
  <si>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</si>
  <si>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</si>
  <si>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</si>
  <si>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</si>
  <si>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</si>
  <si>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</si>
  <si>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</si>
  <si>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</si>
  <si>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</si>
  <si>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</si>
  <si>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</si>
  <si>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</si>
  <si>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</si>
  <si>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</si>
  <si>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</si>
  <si>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</si>
  <si>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</si>
  <si>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</si>
  <si>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</si>
  <si>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</si>
  <si>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</si>
  <si>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</si>
  <si>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</si>
  <si>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</si>
  <si>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</si>
  <si>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</si>
  <si>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</si>
  <si>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</si>
  <si>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</si>
  <si>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</si>
  <si>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</si>
  <si>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</si>
  <si>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</si>
  <si>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</si>
  <si>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</si>
  <si>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</si>
  <si>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</si>
  <si>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</si>
  <si>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</si>
  <si>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</si>
  <si>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</si>
  <si>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</si>
  <si>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</si>
  <si>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</si>
  <si>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</si>
  <si>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</si>
  <si>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</si>
  <si>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</si>
  <si>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</si>
  <si>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</si>
  <si>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</si>
  <si>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Sajid Garden </t>
  </si>
  <si>
    <t>SMS Store</t>
  </si>
  <si>
    <t>Zam zam Store</t>
  </si>
  <si>
    <t xml:space="preserve">Attae Haq </t>
  </si>
  <si>
    <t xml:space="preserve">Smokie Mart </t>
  </si>
  <si>
    <t xml:space="preserve">Amas Mart </t>
  </si>
  <si>
    <t xml:space="preserve">Address: Hafeez Garden </t>
  </si>
  <si>
    <t>Classic Store</t>
  </si>
  <si>
    <t xml:space="preserve">Smoke Mart </t>
  </si>
  <si>
    <t>Address: Canal Fort</t>
  </si>
  <si>
    <t xml:space="preserve">Ali Mart </t>
  </si>
  <si>
    <t xml:space="preserve">City Mart </t>
  </si>
  <si>
    <t>Sohail Store</t>
  </si>
  <si>
    <t xml:space="preserve">Address: gawal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</si>
</sst>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9" sqref="J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Zam zam Store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Attae Haq </v>
      </c>
      <c r="T5" s="301">
        <f>+'3'!P35</f>
        <v>9233.4270752542379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Smokie Mart </v>
      </c>
      <c r="T6" s="301">
        <f>+'4'!P35</f>
        <v>1176.0793444067797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23</v>
      </c>
      <c r="I7" s="235">
        <f>(G7*D7)*F7+H7*F7</f>
        <v>1206.6375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96.531000000000006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42.232312500000006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1067.8741875000001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228.05084745762701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6.4796251747881346</v>
      </c>
      <c r="P7" s="310">
        <f>M7+N7+O7</f>
        <v>1302.4046601324153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Amas Mart </v>
      </c>
      <c r="T7" s="301">
        <f>+'5'!P35</f>
        <v>4325.3636660752118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71.349000000000004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311">
        <f t="shared" ref="P8:P15" si="2">M8+N8+O8</f>
        <v>962.64692270656758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Classic Store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33</v>
      </c>
      <c r="I9" s="236">
        <f t="shared" si="0"/>
        <v>1731.2625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138.501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60.594187500000004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1532.1673125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327.20338983050834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9.2968535116525413</v>
      </c>
      <c r="P9" s="311">
        <f t="shared" si="2"/>
        <v>1868.6675558421607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Smoke Mart </v>
      </c>
      <c r="T9" s="301">
        <f>+'7'!P35</f>
        <v>1724.9163717966101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154</v>
      </c>
      <c r="I10" s="236">
        <f t="shared" si="0"/>
        <v>11186.56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953.0368000000002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391.52959999999996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9841.9935999999998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2114.2372881355932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59.781154440677966</v>
      </c>
      <c r="P10" s="311">
        <f t="shared" si="2"/>
        <v>12016.012042576271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Ali Mart </v>
      </c>
      <c r="T10" s="301">
        <f>+'8'!P35</f>
        <v>1620.3789503771186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557.87519999999995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5470.5183999999999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33.255981830508482</v>
      </c>
      <c r="P11" s="311">
        <f t="shared" si="2"/>
        <v>6684.4523479322033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City Mart 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113</v>
      </c>
      <c r="I12" s="236">
        <f t="shared" si="0"/>
        <v>8208.32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714.77760000000012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287.2912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7206.2511999999997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1551.3559322033898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43.788035661016949</v>
      </c>
      <c r="P12" s="311">
        <f t="shared" si="2"/>
        <v>8801.3951678644062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Sohail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10.65</v>
      </c>
      <c r="H16" s="113">
        <f t="shared" ref="H16:M16" si="3">SUM(H7:H15)</f>
        <v>426</v>
      </c>
      <c r="I16" s="114">
        <f t="shared" si="3"/>
        <v>29471.682499999999</v>
      </c>
      <c r="J16" s="274">
        <f>SUM(J7:J15)</f>
        <v>2532.0706</v>
      </c>
      <c r="K16" s="275">
        <f t="shared" si="3"/>
        <v>1031.5088874999999</v>
      </c>
      <c r="L16" s="276">
        <f t="shared" si="3"/>
        <v>0</v>
      </c>
      <c r="M16" s="232">
        <f t="shared" si="3"/>
        <v>25908.1030125</v>
      </c>
      <c r="N16" s="233">
        <f>SUM(N7:N15)</f>
        <v>5570.0847457627115</v>
      </c>
      <c r="O16" s="101">
        <f>SUM(O7:O15)</f>
        <v>157.39093879131357</v>
      </c>
      <c r="P16" s="113">
        <f>SUM(P7:P15)</f>
        <v>31635.578697054028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29471.682499999999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2532.0706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1031.5088874999999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25908.1030125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5570.0847457627115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31478.187758262713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157.39093879131357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31635.578697054025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31635.578697054028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871.68000000000006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7540.0319999999992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9187.4896271186444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5" t="s">
        <v>88</v>
      </c>
      <c r="O35" s="346"/>
      <c r="P35" s="297">
        <f>+P33+P34</f>
        <v>9233.4270752542379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</v>
      </c>
      <c r="I16" s="235">
        <f>(G16*D16)*F16+H16*F16</f>
        <v>367.23750000000001</v>
      </c>
      <c r="J16" s="271">
        <f>$I16*S16</f>
        <v>29.379000000000001</v>
      </c>
      <c r="K16" s="127">
        <f>$I16*T16</f>
        <v>12.853312500000001</v>
      </c>
      <c r="L16" s="118">
        <f>$I16*U16</f>
        <v>0</v>
      </c>
      <c r="M16" s="229">
        <f>I16-SUM(J16:L16)</f>
        <v>325.00518750000003</v>
      </c>
      <c r="N16" s="248">
        <f>+(G16*D16+H16)*V16</f>
        <v>69.406779661016913</v>
      </c>
      <c r="O16" s="238">
        <f>(N16+M16)*$O$15</f>
        <v>1.9720598358050847</v>
      </c>
      <c r="P16" s="118">
        <f>M16+N16+O16</f>
        <v>396.38402699682206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119">
        <f t="shared" ref="P17:P24" si="5">M17+N17+O17</f>
        <v>396.38402699682206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si="0"/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119">
        <f t="shared" si="5"/>
        <v>396.38402699682206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61</v>
      </c>
      <c r="I25" s="114">
        <f t="shared" si="7"/>
        <v>4007.3125</v>
      </c>
      <c r="J25" s="274">
        <f>SUM(J16:J24)</f>
        <v>320.58499999999998</v>
      </c>
      <c r="K25" s="275">
        <f t="shared" si="7"/>
        <v>140.25593750000002</v>
      </c>
      <c r="L25" s="276">
        <f t="shared" si="7"/>
        <v>0</v>
      </c>
      <c r="M25" s="232">
        <f t="shared" si="7"/>
        <v>3546.4715625000003</v>
      </c>
      <c r="N25" s="233">
        <f>SUM(N16:N24)</f>
        <v>757.37288135593212</v>
      </c>
      <c r="O25" s="101">
        <f>SUM(O16:O24)</f>
        <v>21.519222219279662</v>
      </c>
      <c r="P25" s="234">
        <f>SUM(P16:P24)</f>
        <v>4325.3636660752118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4007.3125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320.58499999999998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140.25593750000002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3546.4715624999999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757.37288135593212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4303.8444438559318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21.519222219279659</v>
      </c>
    </row>
    <row r="35" spans="2:16" ht="15.75" customHeight="1" thickBot="1" x14ac:dyDescent="0.4">
      <c r="N35" s="345" t="s">
        <v>88</v>
      </c>
      <c r="O35" s="346"/>
      <c r="P35" s="297">
        <f>+P33+P34</f>
        <v>4325.3636660752118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22</v>
      </c>
      <c r="I25" s="114">
        <f t="shared" si="7"/>
        <v>1598.08</v>
      </c>
      <c r="J25" s="274">
        <f>SUM(J16:J24)</f>
        <v>127.84640000000002</v>
      </c>
      <c r="K25" s="275">
        <f t="shared" si="7"/>
        <v>55.932800000000007</v>
      </c>
      <c r="L25" s="276">
        <f t="shared" si="7"/>
        <v>0</v>
      </c>
      <c r="M25" s="232">
        <f t="shared" si="7"/>
        <v>1414.3008</v>
      </c>
      <c r="N25" s="233">
        <f>SUM(N16:N24)</f>
        <v>302.03389830508479</v>
      </c>
      <c r="O25" s="101">
        <f>SUM(O16:O24)</f>
        <v>8.5816734915254251</v>
      </c>
      <c r="P25" s="234">
        <f>SUM(P16:P24)</f>
        <v>1724.9163717966103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1598.08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127.84640000000002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55.932800000000007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1414.3008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302.03389830508479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1716.3346983050847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8.5816734915254234</v>
      </c>
    </row>
    <row r="35" spans="2:16" ht="15.75" customHeight="1" thickBot="1" x14ac:dyDescent="0.4">
      <c r="N35" s="345" t="s">
        <v>88</v>
      </c>
      <c r="O35" s="346"/>
      <c r="P35" s="297">
        <f>+P33+P34</f>
        <v>1724.9163717966101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2026-10-12T12:02:31Z</dcterms:modified>
</cp:coreProperties>
</file>