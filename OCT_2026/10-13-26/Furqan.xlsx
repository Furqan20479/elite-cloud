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F33DC82-3267-45D7-9837-16D93311CD2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2" l="1"/>
  <c r="O21" i="52" s="1"/>
  <c r="P21" i="52" s="1"/>
  <c r="M21" i="51"/>
  <c r="J7" i="62"/>
  <c r="M21" i="47"/>
  <c r="O21" i="47" s="1"/>
  <c r="P21" i="47" s="1"/>
  <c r="M20" i="47"/>
  <c r="O20" i="47" s="1"/>
  <c r="P20" i="47" s="1"/>
  <c r="R20" i="47" s="1"/>
  <c r="K12" i="62"/>
  <c r="M17" i="44"/>
  <c r="O17" i="44" s="1"/>
  <c r="P17" i="44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P12" i="6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<sst xmlns="http://schemas.openxmlformats.org/spreadsheetml/2006/main" count="3948" uniqueCount="530">
  <si>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</si>
  <si>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</si>
  <si>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</si>
  <si>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</si>
  <si>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</si>
  <si>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</si>
  <si>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</si>
  <si>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</si>
  <si>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</si>
  <si>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</si>
  <si>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</si>
  <si>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</si>
  <si>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</si>
  <si>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</si>
  <si>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</si>
  <si>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</si>
  <si>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</si>
  <si>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</si>
  <si>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</si>
  <si>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</si>
  <si>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</si>
  <si>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</si>
  <si>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</si>
  <si>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</si>
  <si>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</si>
  <si>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</si>
  <si>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</si>
  <si>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</si>
  <si>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</si>
  <si>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</si>
  <si>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</si>
  <si>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</si>
  <si>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</si>
  <si>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</si>
  <si>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</si>
  <si>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</si>
  <si>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</si>
  <si>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</si>
  <si>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</si>
  <si>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</si>
  <si>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</si>
  <si>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</si>
  <si>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</si>
  <si>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</si>
  <si>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</si>
  <si>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</si>
  <si>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</si>
  <si>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</si>
  <si>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</si>
  <si>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</si>
  <si>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</si>
  <si>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</si>
  <si>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</si>
  <si>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</si>
  <si>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</si>
  <si>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</si>
  <si>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</si>
  <si>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</si>
  <si>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</si>
  <si>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</si>
  <si>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</si>
  <si>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</si>
  <si>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</si>
  <si>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</si>
  <si>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</si>
  <si>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</si>
  <si>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</si>
  <si>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</si>
  <si>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</si>
  <si>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</si>
  <si>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</si>
  <si>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</si>
  <si>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</si>
  <si>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</si>
  <si>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</si>
  <si>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</si>
  <si>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</si>
  <si>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</si>
  <si>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</si>
  <si>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</si>
  <si>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</si>
  <si>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</si>
  <si>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</si>
  <si>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</si>
  <si>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</si>
  <si>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</si>
  <si>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</si>
  <si>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</si>
  <si>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</si>
  <si>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</si>
  <si>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</si>
  <si>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</si>
  <si>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</si>
  <si>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</si>
  <si>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</si>
  <si>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</si>
  <si>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</si>
  <si>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</si>
  <si>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</si>
  <si>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</si>
  <si>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</si>
  <si>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</si>
  <si>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</si>
  <si>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</si>
  <si>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</si>
  <si>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</si>
  <si>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</si>
  <si>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</si>
  <si>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</si>
  <si>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</si>
  <si>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</si>
  <si>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</si>
  <si>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</si>
  <si>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</si>
  <si>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</si>
  <si>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</si>
  <si>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</si>
  <si>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</si>
  <si>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</si>
  <si>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</si>
  <si>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</si>
  <si>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</si>
  <si>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</si>
  <si>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</si>
  <si>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</si>
  <si>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</si>
  <si>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</si>
  <si>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</si>
  <si>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</si>
  <si>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</si>
  <si>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</si>
  <si>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</si>
  <si>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</si>
  <si>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</si>
  <si>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</si>
  <si>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</si>
  <si>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</si>
  <si>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</si>
  <si>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</si>
  <si>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</si>
  <si>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</si>
  <si>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</si>
  <si>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</si>
  <si>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</si>
  <si>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</si>
  <si>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</si>
  <si>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</si>
  <si>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</si>
  <si>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</si>
  <si>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</si>
  <si>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</si>
  <si>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</si>
  <si>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</si>
  <si>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</si>
  <si>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</si>
  <si>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</si>
  <si>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</si>
  <si>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</si>
  <si>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</si>
  <si>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</si>
  <si>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</si>
  <si>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</si>
  <si>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</si>
  <si>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</si>
  <si>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</si>
  <si>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</si>
  <si>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</si>
  <si>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</si>
  <si>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</si>
  <si>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</si>
  <si>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</si>
  <si>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</si>
  <si>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</si>
  <si>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</si>
  <si>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</si>
  <si>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</si>
  <si>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</si>
  <si>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</si>
  <si>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</si>
  <si>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</si>
  <si>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</si>
  <si>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</si>
  <si>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</si>
  <si>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</si>
  <si>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</si>
  <si>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</si>
  <si>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</si>
  <si>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</si>
  <si>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</si>
  <si>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</si>
  <si>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</si>
  <si>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</si>
  <si>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</si>
  <si>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</si>
  <si>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</si>
  <si>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</si>
  <si>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</si>
  <si>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</si>
  <si>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</si>
  <si>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</si>
  <si>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</si>
  <si>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</si>
  <si>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</si>
  <si>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</si>
  <si>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</si>
  <si>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</si>
  <si>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</si>
  <si>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</si>
  <si>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</si>
  <si>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</si>
  <si>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</si>
  <si>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</si>
  <si>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</si>
  <si>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</si>
  <si>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</si>
  <si>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</si>
  <si>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</si>
  <si>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</si>
  <si>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</si>
  <si>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</si>
  <si>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</si>
  <si>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</si>
  <si>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</si>
  <si>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</si>
  <si>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</si>
  <si>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</si>
  <si>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</si>
  <si>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</si>
  <si>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</si>
  <si>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</si>
  <si>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</si>
  <si>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</si>
  <si>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</si>
  <si>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</si>
  <si>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</si>
  <si>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</si>
  <si>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</si>
  <si>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</si>
  <si>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</si>
  <si>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</si>
  <si>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</si>
  <si>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</si>
  <si>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</si>
  <si>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</si>
  <si>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</si>
  <si>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</si>
  <si>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</si>
  <si>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</si>
  <si>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</si>
  <si>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</si>
  <si>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</si>
  <si>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</si>
  <si>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</si>
  <si>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</si>
  <si>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</si>
  <si>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</si>
  <si>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</si>
  <si>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</si>
  <si>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</si>
  <si>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</si>
  <si>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</si>
  <si>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</si>
  <si>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</si>
  <si>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</si>
  <si>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</si>
  <si>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</si>
  <si>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</si>
  <si>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</si>
  <si>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</si>
  <si>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</si>
  <si>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</si>
  <si>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</si>
  <si>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</si>
  <si>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</si>
  <si>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</si>
  <si>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</si>
  <si>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</si>
  <si>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</si>
  <si>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</si>
  <si>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</si>
  <si>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</si>
  <si>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</si>
  <si>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</si>
  <si>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</si>
  <si>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</si>
  <si>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</si>
  <si>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</si>
  <si>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</si>
  <si>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</si>
  <si>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</si>
  <si>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</si>
  <si>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</si>
  <si>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</si>
  <si>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</si>
  <si>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</si>
  <si>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</si>
  <si>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</si>
  <si>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</si>
  <si>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</si>
  <si>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</si>
  <si>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</si>
  <si>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</si>
  <si>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</si>
  <si>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</si>
  <si>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</si>
  <si>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</si>
  <si>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</si>
  <si>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</si>
  <si>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</si>
  <si>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</si>
  <si>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</si>
  <si>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</si>
  <si>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</si>
  <si>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</si>
  <si>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</si>
  <si>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</si>
  <si>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</si>
  <si>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</si>
  <si>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</si>
  <si>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</si>
  <si>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</si>
  <si>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</si>
  <si>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</si>
  <si>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</si>
  <si>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</si>
  <si>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</si>
  <si>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</si>
  <si>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</si>
  <si>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</si>
  <si>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</si>
  <si>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</si>
  <si>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</si>
  <si>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</si>
  <si>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</si>
  <si>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</si>
  <si>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</si>
  <si>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</si>
  <si>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</si>
  <si>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</si>
  <si>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</si>
  <si>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</si>
  <si>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</si>
  <si>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</si>
  <si>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</si>
  <si>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</si>
  <si>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</si>
  <si>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</si>
  <si>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</si>
  <si>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</si>
  <si>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</si>
  <si>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</si>
  <si>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</si>
  <si>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</si>
  <si>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</si>
  <si>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</si>
  <si>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</si>
  <si>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</si>
  <si>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</si>
  <si>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</si>
  <si>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</si>
  <si>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</si>
  <si>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</si>
  <si>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</si>
  <si>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</si>
  <si>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</si>
  <si>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</si>
  <si>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</si>
  <si>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</si>
  <si>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</si>
  <si>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</si>
  <si>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</si>
  <si>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</si>
  <si>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</si>
  <si>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</si>
  <si>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</si>
  <si>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</si>
  <si>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</si>
  <si>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</si>
  <si>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</si>
  <si>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</si>
  <si>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</si>
  <si>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</si>
  <si>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</si>
  <si>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</si>
  <si>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</si>
  <si>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</si>
  <si>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</si>
  <si>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</si>
  <si>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</si>
  <si>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</si>
  <si>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</si>
  <si>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</si>
  <si>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</si>
  <si>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</si>
  <si>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</si>
  <si>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</si>
  <si>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</si>
  <si>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</si>
  <si>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</si>
  <si>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</si>
  <si>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</si>
  <si>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</si>
  <si>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</si>
  <si>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</si>
  <si>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</si>
  <si>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</si>
  <si>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</si>
  <si>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</si>
  <si>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</si>
  <si>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</si>
  <si>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</si>
  <si>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</si>
  <si>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</si>
  <si>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</si>
  <si>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</si>
  <si>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</si>
  <si>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</si>
  <si>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</si>
  <si>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</si>
  <si>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</si>
  <si>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</si>
  <si>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</si>
  <si>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</si>
  <si>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</si>
  <si>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</si>
  <si>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</si>
  <si>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</si>
  <si>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</si>
  <si>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</si>
  <si>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</si>
  <si>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</si>
  <si>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</si>
  <si>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</si>
  <si>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</si>
  <si>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</si>
  <si>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</si>
  <si>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</si>
  <si>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</si>
  <si>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</si>
  <si>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</si>
  <si>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</si>
  <si>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</si>
  <si>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</si>
  <si>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</si>
  <si>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</si>
  <si>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</si>
  <si>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</si>
  <si>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</si>
  <si>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</si>
  <si>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</si>
  <si>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</si>
  <si>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</si>
  <si>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</si>
  <si>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</si>
  <si>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</si>
  <si>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</si>
  <si>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</si>
  <si>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</si>
  <si>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</si>
  <si>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</si>
  <si>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</si>
  <si>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</si>
  <si>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</si>
  <si>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</si>
  <si>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</si>
  <si>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</si>
  <si>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</si>
  <si>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</si>
  <si>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</si>
  <si>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</si>
  <si>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</si>
  <si>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</si>
  <si>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</si>
  <si>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</si>
  <si>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</si>
  <si>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</si>
  <si>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</si>
  <si>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</si>
  <si>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</si>
  <si>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</si>
  <si>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</si>
  <si>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</si>
  <si>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</si>
  <si>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</si>
  <si>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</si>
  <si>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</si>
  <si>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</si>
  <si>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</si>
  <si>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</si>
  <si>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</si>
  <si>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</si>
  <si>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</si>
  <si>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</si>
  <si>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</si>
  <si>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</si>
  <si>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</si>
  <si>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</si>
  <si>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</si>
  <si>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</si>
  <si>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</si>
  <si>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</si>
  <si>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</si>
  <si>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</si>
  <si>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</si>
  <si>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</si>
  <si>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</si>
  <si>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</si>
  <si>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</si>
  <si>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</si>
  <si>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</si>
  <si>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</si>
  <si>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</si>
  <si>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</si>
  <si>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</si>
  <si>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</si>
  <si>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Address: Guru Mangat</t>
  </si>
  <si>
    <t>SM Store</t>
  </si>
  <si>
    <t>Aziz Groccery Store</t>
  </si>
  <si>
    <t>Address: Walton Road</t>
  </si>
  <si>
    <t>Bulley Shah Store</t>
  </si>
  <si>
    <t>Address: Shadab Colony</t>
  </si>
  <si>
    <t>Madina Medical Store</t>
  </si>
  <si>
    <t>Awan Super Store</t>
  </si>
  <si>
    <t>Ahmad GS</t>
  </si>
  <si>
    <t>Al Noor Dilshat Store</t>
  </si>
  <si>
    <t>TLP Store</t>
  </si>
  <si>
    <t>Ghosia GS</t>
  </si>
  <si>
    <t>Address: Qanchi Bazar Abid Market</t>
  </si>
  <si>
    <t>Tahir Medical Store</t>
  </si>
  <si>
    <t>M Sadiq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</si>
</sst>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1" workbookViewId="0">
      <selection activeCell="Q16" sqref="Q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SM Store</v>
      </c>
      <c r="T3" s="301">
        <f>+'1'!P35</f>
        <v>2770.3261629915255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Aziz Groccery Store</v>
      </c>
      <c r="T4" s="301">
        <f>+'2'!P35</f>
        <v>7666.3147507627118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Bulley Shah Store</v>
      </c>
      <c r="T5" s="301">
        <f>+'3'!P35</f>
        <v>339.75773742584738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Madina Medical Store</v>
      </c>
      <c r="T6" s="301">
        <f>+'4'!P35</f>
        <v>679.51547485169476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73.447500000000019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Awan Super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39</v>
      </c>
      <c r="I8" s="236">
        <f t="shared" ref="I8:I14" si="0">(G8*D8)*F8+H8*F8</f>
        <v>2046.0374999999999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163.68299999999999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71.611312499999997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1810.7431875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386.69491525423717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10.987190513771184</v>
      </c>
      <c r="P8" s="311">
        <f t="shared" ref="P8:P15" si="2">M8+N8+O8</f>
        <v>2208.4252932680083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Ahmad GS</v>
      </c>
      <c r="T8" s="301">
        <f>+'6'!P35</f>
        <v>1411.2952132881355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101</v>
      </c>
      <c r="I9" s="236">
        <f t="shared" si="0"/>
        <v>5298.7124999999996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423.89699999999999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185.4549375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4689.3605625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1001.4406779661012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28.454006202330511</v>
      </c>
      <c r="P9" s="311">
        <f t="shared" si="2"/>
        <v>5719.2552466684319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 Noor Dilshat Store</v>
      </c>
      <c r="T9" s="301">
        <f>+'7'!P35</f>
        <v>1149.9472126144067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101</v>
      </c>
      <c r="I10" s="236">
        <f t="shared" si="0"/>
        <v>7336.64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586.93119999999999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256.7824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6492.9264000000003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1386.6101694915255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39.397682847457631</v>
      </c>
      <c r="P10" s="311">
        <f t="shared" si="2"/>
        <v>7918.9342523389832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TLP Store</v>
      </c>
      <c r="T10" s="301">
        <f>+'8'!P35</f>
        <v>574.97360630720334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67</v>
      </c>
      <c r="I11" s="236">
        <f t="shared" si="0"/>
        <v>4866.88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389.35039999999998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170.3408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4307.1887999999999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919.83050847457639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26.135096542372885</v>
      </c>
      <c r="P11" s="311">
        <f t="shared" si="2"/>
        <v>5253.1544050169487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Ghosia GS</v>
      </c>
      <c r="T11" s="301">
        <f>+'9'!P35</f>
        <v>5401.2631679237284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97</v>
      </c>
      <c r="I12" s="236">
        <f t="shared" si="0"/>
        <v>7046.08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563.68639999999994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246.61280000000002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6235.7808000000005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1331.6949152542375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37.837378576271192</v>
      </c>
      <c r="P12" s="311">
        <f t="shared" si="2"/>
        <v>7605.3130938305094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Tahir Medical Store</v>
      </c>
      <c r="T12" s="301">
        <f>+'10'!P35</f>
        <v>6272.4231701694916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M Sadiq Store</v>
      </c>
      <c r="T13" s="301">
        <f>+'11'!P35</f>
        <v>1568.1057925423729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11.125</v>
      </c>
      <c r="H16" s="113">
        <f t="shared" ref="H16:M16" si="3">SUM(H7:H15)</f>
        <v>445</v>
      </c>
      <c r="I16" s="114">
        <f t="shared" si="3"/>
        <v>28692.85</v>
      </c>
      <c r="J16" s="274">
        <f>SUM(J7:J15)</f>
        <v>2295.4279999999999</v>
      </c>
      <c r="K16" s="275">
        <f t="shared" si="3"/>
        <v>1004.2497500000001</v>
      </c>
      <c r="L16" s="276">
        <f t="shared" si="3"/>
        <v>0</v>
      </c>
      <c r="M16" s="232">
        <f t="shared" si="3"/>
        <v>25393.17225</v>
      </c>
      <c r="N16" s="233">
        <f>SUM(N7:N15)</f>
        <v>5422.8813559322034</v>
      </c>
      <c r="O16" s="101">
        <f>SUM(O7:O15)</f>
        <v>154.08026802966103</v>
      </c>
      <c r="P16" s="113">
        <f>SUM(P7:P15)</f>
        <v>30970.133873961866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28692.85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2295.4279999999999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1004.2497500000001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25393.17225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5422.8813559322034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30816.053605932204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154.08026802966103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30970.133873961866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30970.133873961866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118">
        <f>M16+N16+O16</f>
        <v>453.01031656779651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ref="I18:I21" si="7">(G18*D18)*F18+H18*F18</f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119">
        <f t="shared" si="5"/>
        <v>453.01031656779651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42</v>
      </c>
      <c r="I25" s="114">
        <f t="shared" ref="I25:M25" si="10">SUM(I16:I24)</f>
        <v>2566.6200000000003</v>
      </c>
      <c r="J25" s="274">
        <f>SUM(J16:J24)</f>
        <v>205.3296</v>
      </c>
      <c r="K25" s="275">
        <f t="shared" si="10"/>
        <v>89.831700000000012</v>
      </c>
      <c r="L25" s="276">
        <f t="shared" si="10"/>
        <v>0</v>
      </c>
      <c r="M25" s="232">
        <f t="shared" si="10"/>
        <v>2271.4587000000001</v>
      </c>
      <c r="N25" s="233">
        <f>SUM(N16:N24)</f>
        <v>485.0847457627118</v>
      </c>
      <c r="O25" s="101">
        <f>SUM(O16:O24)</f>
        <v>13.78271722881356</v>
      </c>
      <c r="P25" s="234">
        <f>SUM(P16:P24)</f>
        <v>2770.3261629915251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2566.6200000000003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205.3296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89.831700000000012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2271.4587000000001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485.0847457627118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2756.5434457627121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13.78271722881356</v>
      </c>
    </row>
    <row r="35" spans="2:16" ht="15.75" customHeight="1" thickBot="1" x14ac:dyDescent="0.4">
      <c r="N35" s="345" t="s">
        <v>88</v>
      </c>
      <c r="O35" s="346"/>
      <c r="P35" s="297">
        <f>+P33+P34</f>
        <v>2770.3261629915255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55</v>
      </c>
      <c r="I18" s="236">
        <f t="shared" si="0"/>
        <v>2885.4375</v>
      </c>
      <c r="J18" s="272">
        <f t="shared" si="1"/>
        <v>230.83500000000001</v>
      </c>
      <c r="K18" s="128">
        <f t="shared" si="1"/>
        <v>100.99031250000002</v>
      </c>
      <c r="L18" s="119">
        <f t="shared" si="1"/>
        <v>0</v>
      </c>
      <c r="M18" s="230">
        <f t="shared" si="2"/>
        <v>2553.6121874999999</v>
      </c>
      <c r="N18" s="277">
        <f t="shared" si="3"/>
        <v>545.33898305084722</v>
      </c>
      <c r="O18" s="239">
        <f t="shared" si="4"/>
        <v>15.494755852754237</v>
      </c>
      <c r="P18" s="119">
        <f t="shared" si="5"/>
        <v>3114.4459264036013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568.20799999999997</v>
      </c>
      <c r="K25" s="275">
        <f t="shared" si="7"/>
        <v>248.59100000000004</v>
      </c>
      <c r="L25" s="276">
        <f t="shared" si="7"/>
        <v>0</v>
      </c>
      <c r="M25" s="232">
        <f t="shared" si="7"/>
        <v>6285.8009999999995</v>
      </c>
      <c r="N25" s="233">
        <f>SUM(N16:N24)</f>
        <v>1342.3728813559319</v>
      </c>
      <c r="O25" s="101">
        <f>SUM(O16:O24)</f>
        <v>38.140869406779657</v>
      </c>
      <c r="P25" s="234">
        <f>SUM(P16:P24)</f>
        <v>7666.31475076271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7102.6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568.20799999999997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248.59100000000004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6285.8010000000004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7628.1738813559323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38.140869406779665</v>
      </c>
    </row>
    <row r="35" spans="2:16" ht="15.75" customHeight="1" thickBot="1" x14ac:dyDescent="0.4">
      <c r="N35" s="345" t="s">
        <v>88</v>
      </c>
      <c r="O35" s="346"/>
      <c r="P35" s="297">
        <f>+P33+P34</f>
        <v>7666.3147507627118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119">
        <f t="shared" si="5"/>
        <v>113.25257914194913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339.75773742584738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629.54999999999995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50.363999999999997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22.03425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557.15174999999988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676.13480084745743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5" t="s">
        <v>88</v>
      </c>
      <c r="O35" s="346"/>
      <c r="P35" s="297">
        <f>+P33+P34</f>
        <v>679.51547485169476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1307.52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104.60160000000002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45.763200000000005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1157.1551999999999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1404.2738440677965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45" t="s">
        <v>88</v>
      </c>
      <c r="O35" s="346"/>
      <c r="P35" s="297">
        <f>+P33+P34</f>
        <v>1411.2952132881355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1065.3899999999999</v>
      </c>
      <c r="J25" s="274">
        <f>SUM(J16:J24)</f>
        <v>85.231200000000001</v>
      </c>
      <c r="K25" s="275">
        <f t="shared" si="7"/>
        <v>37.288650000000004</v>
      </c>
      <c r="L25" s="276">
        <f t="shared" si="7"/>
        <v>0</v>
      </c>
      <c r="M25" s="232">
        <f t="shared" si="7"/>
        <v>942.87014999999997</v>
      </c>
      <c r="N25" s="233">
        <f>SUM(N16:N24)</f>
        <v>201.35593220338978</v>
      </c>
      <c r="O25" s="101">
        <f>SUM(O16:O24)</f>
        <v>5.721130411016949</v>
      </c>
      <c r="P25" s="234">
        <f>SUM(P16:P24)</f>
        <v>1149.9472126144067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1065.3899999999999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85.231200000000001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37.288650000000004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942.87014999999997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201.35593220338978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1144.2260822033898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5.721130411016949</v>
      </c>
    </row>
    <row r="35" spans="2:16" ht="15.75" customHeight="1" thickBot="1" x14ac:dyDescent="0.4">
      <c r="N35" s="345" t="s">
        <v>88</v>
      </c>
      <c r="O35" s="346"/>
      <c r="P35" s="297">
        <f>+P33+P34</f>
        <v>1149.9472126144067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9</v>
      </c>
      <c r="I25" s="114">
        <f t="shared" si="7"/>
        <v>532.69499999999994</v>
      </c>
      <c r="J25" s="274">
        <f>SUM(J16:J24)</f>
        <v>42.615600000000001</v>
      </c>
      <c r="K25" s="275">
        <f t="shared" si="7"/>
        <v>18.644325000000002</v>
      </c>
      <c r="L25" s="276">
        <f t="shared" si="7"/>
        <v>0</v>
      </c>
      <c r="M25" s="232">
        <f t="shared" si="7"/>
        <v>471.43507499999998</v>
      </c>
      <c r="N25" s="233">
        <f>SUM(N16:N24)</f>
        <v>100.67796610169489</v>
      </c>
      <c r="O25" s="101">
        <f>SUM(O16:O24)</f>
        <v>2.8605652055084745</v>
      </c>
      <c r="P25" s="234">
        <f>SUM(P16:P24)</f>
        <v>574.97360630720334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532.69499999999994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42.615600000000001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18.644325000000002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471.43507499999998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100.67796610169489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572.11304110169488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2.8605652055084745</v>
      </c>
    </row>
    <row r="35" spans="2:16" ht="15.75" customHeight="1" thickBot="1" x14ac:dyDescent="0.4">
      <c r="N35" s="345" t="s">
        <v>88</v>
      </c>
      <c r="O35" s="346"/>
      <c r="P35" s="297">
        <f>+P33+P34</f>
        <v>574.97360630720334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119">
        <f t="shared" si="5"/>
        <v>2352.1586888135594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</v>
      </c>
      <c r="L25" s="276">
        <f t="shared" si="7"/>
        <v>0</v>
      </c>
      <c r="M25" s="232">
        <f t="shared" si="7"/>
        <v>5142.9119999999994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464.89599999999996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2026-10-12T12:15:01Z</dcterms:modified>
</cp:coreProperties>
</file>