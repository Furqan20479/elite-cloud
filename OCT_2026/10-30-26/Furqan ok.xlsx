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7C74D5EF-3B27-4D80-9AEC-B8D925A01931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B23" i="43" l="1"/>
  <c r="M13" i="6" l="1"/>
  <c r="K13" i="6" s="1"/>
  <c r="K48" i="11"/>
  <c r="M46" i="11"/>
  <c r="K46" i="11"/>
  <c r="H13" i="6"/>
  <c r="E23" i="11"/>
  <c r="D23" i="11"/>
  <c r="B23" i="11"/>
  <c r="C23" i="11" s="1"/>
  <c r="F23" i="11" l="1"/>
  <c r="J13" i="6"/>
  <c r="B14" i="62"/>
  <c r="H12" i="6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5" i="70" s="1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C11" i="69" s="1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E16" i="69"/>
  <c r="V16" i="69" s="1"/>
  <c r="D16" i="69"/>
  <c r="C16" i="69"/>
  <c r="B16" i="69"/>
  <c r="O15" i="69"/>
  <c r="C12" i="69"/>
  <c r="O34" i="68"/>
  <c r="C11" i="68" s="1"/>
  <c r="H25" i="68"/>
  <c r="G25" i="68"/>
  <c r="A25" i="68"/>
  <c r="E24" i="68"/>
  <c r="V24" i="68" s="1"/>
  <c r="D24" i="68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O34" i="67"/>
  <c r="C11" i="67" s="1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E16" i="67"/>
  <c r="V16" i="67" s="1"/>
  <c r="D16" i="67"/>
  <c r="C16" i="67"/>
  <c r="B16" i="67"/>
  <c r="O15" i="67"/>
  <c r="C12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E22" i="66"/>
  <c r="V22" i="66" s="1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O34" i="65"/>
  <c r="C11" i="65" s="1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24" i="66" l="1"/>
  <c r="N24" i="68"/>
  <c r="N24" i="70"/>
  <c r="N20" i="69"/>
  <c r="N4" i="60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C14" i="62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C11" i="61" s="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E16" i="61"/>
  <c r="V16" i="61" s="1"/>
  <c r="D16" i="61"/>
  <c r="C16" i="61"/>
  <c r="B16" i="61"/>
  <c r="O15" i="61"/>
  <c r="C12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B20" i="60"/>
  <c r="C20" i="60" s="1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E16" i="59"/>
  <c r="V16" i="59" s="1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C11" i="57" s="1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E16" i="57"/>
  <c r="V16" i="57" s="1"/>
  <c r="D16" i="57"/>
  <c r="C16" i="57"/>
  <c r="B16" i="57"/>
  <c r="O15" i="57"/>
  <c r="C12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E16" i="55"/>
  <c r="V16" i="55" s="1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E16" i="53"/>
  <c r="V16" i="53" s="1"/>
  <c r="D16" i="53"/>
  <c r="C16" i="53"/>
  <c r="B16" i="53"/>
  <c r="O15" i="53"/>
  <c r="C12" i="53"/>
  <c r="N5" i="53"/>
  <c r="O34" i="52"/>
  <c r="C11" i="52" s="1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B20" i="51"/>
  <c r="C20" i="51" s="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E16" i="50"/>
  <c r="V16" i="50" s="1"/>
  <c r="D16" i="50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E16" i="48"/>
  <c r="V16" i="48" s="1"/>
  <c r="D16" i="48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E16" i="44"/>
  <c r="V16" i="44" s="1"/>
  <c r="D16" i="44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4" i="43"/>
  <c r="T24" i="43"/>
  <c r="E23" i="43"/>
  <c r="V23" i="43" s="1"/>
  <c r="D23" i="43"/>
  <c r="C23" i="43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6" l="1"/>
  <c r="N24" i="48"/>
  <c r="N24" i="50"/>
  <c r="N16" i="44"/>
  <c r="N16" i="53"/>
  <c r="N16" i="48"/>
  <c r="N16" i="59"/>
  <c r="N16" i="50"/>
  <c r="N16" i="56"/>
  <c r="N16" i="58"/>
  <c r="N16" i="63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J21" i="41"/>
  <c r="L21" i="41" s="1"/>
  <c r="K21" i="41" s="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4" i="11"/>
  <c r="U24" i="1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K15" i="41"/>
  <c r="K18" i="41"/>
  <c r="M18" i="41"/>
  <c r="M35" i="41"/>
  <c r="K35" i="41"/>
  <c r="K46" i="41"/>
  <c r="M46" i="41"/>
  <c r="K13" i="41"/>
  <c r="M13" i="41"/>
  <c r="M28" i="41"/>
  <c r="K28" i="41"/>
  <c r="M5" i="4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L11" i="41"/>
  <c r="M12" i="41"/>
  <c r="N13" i="41"/>
  <c r="O13" i="41" s="1"/>
  <c r="P13" i="41" s="1"/>
  <c r="L16" i="41"/>
  <c r="M17" i="41"/>
  <c r="N18" i="41"/>
  <c r="L20" i="41"/>
  <c r="M21" i="41"/>
  <c r="N22" i="41"/>
  <c r="L24" i="41"/>
  <c r="M25" i="41"/>
  <c r="N26" i="41"/>
  <c r="M30" i="41"/>
  <c r="N31" i="41"/>
  <c r="M34" i="41"/>
  <c r="O34" i="41" s="1"/>
  <c r="P34" i="41" s="1"/>
  <c r="N35" i="41"/>
  <c r="M39" i="41"/>
  <c r="N40" i="41"/>
  <c r="M44" i="41"/>
  <c r="N46" i="41"/>
  <c r="M49" i="41"/>
  <c r="N50" i="41"/>
  <c r="N10" i="41"/>
  <c r="O10" i="41" s="1"/>
  <c r="P10" i="41" s="1"/>
  <c r="N23" i="41"/>
  <c r="N28" i="41"/>
  <c r="N47" i="41"/>
  <c r="O47" i="41" s="1"/>
  <c r="P47" i="41" s="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9" i="41"/>
  <c r="P49" i="41" s="1"/>
  <c r="O39" i="41"/>
  <c r="P39" i="41" s="1"/>
  <c r="O26" i="41"/>
  <c r="P26" i="41" s="1"/>
  <c r="O9" i="41"/>
  <c r="P9" i="41" s="1"/>
  <c r="O5" i="41"/>
  <c r="P5" i="41" s="1"/>
  <c r="O35" i="41"/>
  <c r="P35" i="41" s="1"/>
  <c r="O15" i="41"/>
  <c r="P15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E24" i="11" l="1"/>
  <c r="V24" i="11" s="1"/>
  <c r="V23" i="11"/>
  <c r="N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2" i="11"/>
  <c r="D21" i="11"/>
  <c r="D20" i="11"/>
  <c r="D19" i="11"/>
  <c r="D18" i="11"/>
  <c r="D17" i="11"/>
  <c r="D16" i="11"/>
  <c r="C16" i="11"/>
  <c r="B24" i="11"/>
  <c r="C24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AA12" i="6"/>
  <c r="M12" i="6"/>
  <c r="AA11" i="6"/>
  <c r="M11" i="6"/>
  <c r="H11" i="6"/>
  <c r="AA10" i="6"/>
  <c r="M10" i="6"/>
  <c r="F20" i="11" s="1"/>
  <c r="H10" i="6"/>
  <c r="AA9" i="6"/>
  <c r="M9" i="6"/>
  <c r="F19" i="11" s="1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K12" i="6" l="1"/>
  <c r="F22" i="47"/>
  <c r="N19" i="11"/>
  <c r="N10" i="62" s="1"/>
  <c r="N14" i="62"/>
  <c r="N18" i="11"/>
  <c r="N9" i="62" s="1"/>
  <c r="N22" i="11"/>
  <c r="N13" i="62" s="1"/>
  <c r="F16" i="11"/>
  <c r="I16" i="11" s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F17" i="16"/>
  <c r="I17" i="16" s="1"/>
  <c r="Q7" i="6"/>
  <c r="Q8" i="6"/>
  <c r="Q9" i="6"/>
  <c r="Q10" i="6"/>
  <c r="Q11" i="6"/>
  <c r="Q12" i="6"/>
  <c r="Q13" i="6"/>
  <c r="Q14" i="6"/>
  <c r="N16" i="11"/>
  <c r="N7" i="62" s="1"/>
  <c r="N20" i="11"/>
  <c r="N11" i="62" s="1"/>
  <c r="N24" i="11"/>
  <c r="N15" i="62" s="1"/>
  <c r="F18" i="11"/>
  <c r="I18" i="11" s="1"/>
  <c r="F22" i="11"/>
  <c r="I20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J12" i="6"/>
  <c r="K14" i="6"/>
  <c r="J14" i="6" s="1"/>
  <c r="K6" i="6"/>
  <c r="J6" i="6" s="1"/>
  <c r="N8" i="6"/>
  <c r="O6" i="6"/>
  <c r="U7" i="6" l="1"/>
  <c r="N16" i="62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M23" i="69" s="1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3" i="54" l="1"/>
  <c r="O23" i="54" s="1"/>
  <c r="P23" i="54" s="1"/>
  <c r="M24" i="66"/>
  <c r="O24" i="66" s="1"/>
  <c r="P24" i="66" s="1"/>
  <c r="M24" i="71"/>
  <c r="M23" i="64"/>
  <c r="O23" i="64" s="1"/>
  <c r="P23" i="64" s="1"/>
  <c r="M23" i="53"/>
  <c r="O23" i="53" s="1"/>
  <c r="P23" i="53" s="1"/>
  <c r="M23" i="48"/>
  <c r="M23" i="66"/>
  <c r="M23" i="65"/>
  <c r="O23" i="65" s="1"/>
  <c r="P23" i="65" s="1"/>
  <c r="M23" i="61"/>
  <c r="O23" i="61" s="1"/>
  <c r="P23" i="61" s="1"/>
  <c r="M23" i="58"/>
  <c r="O23" i="58" s="1"/>
  <c r="P23" i="58" s="1"/>
  <c r="M23" i="56"/>
  <c r="M23" i="52"/>
  <c r="O23" i="52" s="1"/>
  <c r="P23" i="52" s="1"/>
  <c r="M23" i="49"/>
  <c r="O23" i="49" s="1"/>
  <c r="P23" i="49" s="1"/>
  <c r="M23" i="44"/>
  <c r="O23" i="44" s="1"/>
  <c r="P23" i="44" s="1"/>
  <c r="M22" i="51"/>
  <c r="O22" i="51" s="1"/>
  <c r="P22" i="51" s="1"/>
  <c r="M18" i="48"/>
  <c r="O18" i="48" s="1"/>
  <c r="P18" i="48" s="1"/>
  <c r="M22" i="56"/>
  <c r="O22" i="56" s="1"/>
  <c r="P22" i="56" s="1"/>
  <c r="M16" i="52"/>
  <c r="O16" i="52" s="1"/>
  <c r="P16" i="52" s="1"/>
  <c r="M22" i="70"/>
  <c r="O22" i="70" s="1"/>
  <c r="P22" i="70" s="1"/>
  <c r="M20" i="50"/>
  <c r="O20" i="50" s="1"/>
  <c r="P20" i="50" s="1"/>
  <c r="M24" i="56"/>
  <c r="O24" i="56" s="1"/>
  <c r="P24" i="56" s="1"/>
  <c r="M24" i="72"/>
  <c r="K15" i="62"/>
  <c r="M24" i="45"/>
  <c r="O24" i="45" s="1"/>
  <c r="P24" i="45" s="1"/>
  <c r="M20" i="43"/>
  <c r="O20" i="43" s="1"/>
  <c r="P20" i="43" s="1"/>
  <c r="M24" i="53"/>
  <c r="O24" i="53" s="1"/>
  <c r="P24" i="53" s="1"/>
  <c r="M24" i="65"/>
  <c r="O24" i="65" s="1"/>
  <c r="P24" i="65" s="1"/>
  <c r="M24" i="50"/>
  <c r="O24" i="50" s="1"/>
  <c r="P24" i="50" s="1"/>
  <c r="M24" i="47"/>
  <c r="O24" i="47" s="1"/>
  <c r="P24" i="47" s="1"/>
  <c r="M24" i="58"/>
  <c r="M24" i="43"/>
  <c r="O24" i="43" s="1"/>
  <c r="P24" i="43" s="1"/>
  <c r="M24" i="44"/>
  <c r="O24" i="44" s="1"/>
  <c r="P24" i="44" s="1"/>
  <c r="J15" i="62"/>
  <c r="M24" i="46"/>
  <c r="O24" i="46" s="1"/>
  <c r="P24" i="46" s="1"/>
  <c r="M24" i="63"/>
  <c r="O24" i="63" s="1"/>
  <c r="P24" i="63" s="1"/>
  <c r="M23" i="51"/>
  <c r="O23" i="51" s="1"/>
  <c r="P23" i="51" s="1"/>
  <c r="M20" i="61"/>
  <c r="O20" i="61" s="1"/>
  <c r="P20" i="61" s="1"/>
  <c r="K12" i="62"/>
  <c r="M20" i="71"/>
  <c r="O20" i="71" s="1"/>
  <c r="P20" i="71" s="1"/>
  <c r="M16" i="58"/>
  <c r="O16" i="58" s="1"/>
  <c r="P16" i="58" s="1"/>
  <c r="M16" i="43"/>
  <c r="O16" i="43" s="1"/>
  <c r="J7" i="62"/>
  <c r="L22" i="16"/>
  <c r="M22" i="16" s="1"/>
  <c r="N22" i="16" s="1"/>
  <c r="M21" i="43"/>
  <c r="O21" i="43" s="1"/>
  <c r="P21" i="43" s="1"/>
  <c r="M16" i="59"/>
  <c r="O16" i="59" s="1"/>
  <c r="P16" i="59" s="1"/>
  <c r="M20" i="48"/>
  <c r="O20" i="48" s="1"/>
  <c r="P20" i="48" s="1"/>
  <c r="L21" i="16"/>
  <c r="M21" i="16" s="1"/>
  <c r="N21" i="16" s="1"/>
  <c r="O21" i="16" s="1"/>
  <c r="M17" i="61"/>
  <c r="O17" i="61" s="1"/>
  <c r="P17" i="61" s="1"/>
  <c r="M22" i="67"/>
  <c r="O22" i="67" s="1"/>
  <c r="P22" i="67" s="1"/>
  <c r="M20" i="57"/>
  <c r="O20" i="57" s="1"/>
  <c r="P20" i="57" s="1"/>
  <c r="M20" i="53"/>
  <c r="O20" i="53" s="1"/>
  <c r="P20" i="53" s="1"/>
  <c r="M21" i="52"/>
  <c r="O21" i="52" s="1"/>
  <c r="P21" i="52" s="1"/>
  <c r="M22" i="52"/>
  <c r="O22" i="52" s="1"/>
  <c r="P22" i="52" s="1"/>
  <c r="M21" i="69"/>
  <c r="O21" i="69" s="1"/>
  <c r="P21" i="69" s="1"/>
  <c r="M23" i="60"/>
  <c r="O23" i="60" s="1"/>
  <c r="P23" i="60" s="1"/>
  <c r="J25" i="61"/>
  <c r="P29" i="61" s="1"/>
  <c r="M17" i="56"/>
  <c r="O17" i="56" s="1"/>
  <c r="P17" i="56" s="1"/>
  <c r="M17" i="44"/>
  <c r="O17" i="44" s="1"/>
  <c r="P17" i="44" s="1"/>
  <c r="M22" i="64"/>
  <c r="O22" i="64" s="1"/>
  <c r="P22" i="64" s="1"/>
  <c r="M20" i="47"/>
  <c r="O20" i="47" s="1"/>
  <c r="P20" i="47" s="1"/>
  <c r="M18" i="53"/>
  <c r="O18" i="53" s="1"/>
  <c r="P18" i="53" s="1"/>
  <c r="M21" i="44"/>
  <c r="O21" i="44" s="1"/>
  <c r="P21" i="44" s="1"/>
  <c r="M21" i="47"/>
  <c r="O21" i="47" s="1"/>
  <c r="P21" i="47" s="1"/>
  <c r="M20" i="70"/>
  <c r="O20" i="70" s="1"/>
  <c r="P20" i="70" s="1"/>
  <c r="M17" i="72"/>
  <c r="O17" i="72" s="1"/>
  <c r="P17" i="72" s="1"/>
  <c r="M16" i="64"/>
  <c r="O16" i="64" s="1"/>
  <c r="P16" i="64" s="1"/>
  <c r="M17" i="60"/>
  <c r="O17" i="60" s="1"/>
  <c r="P17" i="60" s="1"/>
  <c r="M22" i="43"/>
  <c r="O22" i="43" s="1"/>
  <c r="P22" i="43" s="1"/>
  <c r="M16" i="65"/>
  <c r="O16" i="65" s="1"/>
  <c r="M22" i="63"/>
  <c r="O22" i="63" s="1"/>
  <c r="P22" i="63" s="1"/>
  <c r="M16" i="60"/>
  <c r="O16" i="60" s="1"/>
  <c r="P16" i="60" s="1"/>
  <c r="M21" i="51"/>
  <c r="O21" i="51" s="1"/>
  <c r="P21" i="51" s="1"/>
  <c r="M23" i="72"/>
  <c r="O23" i="72" s="1"/>
  <c r="P23" i="72" s="1"/>
  <c r="M23" i="59"/>
  <c r="O23" i="59" s="1"/>
  <c r="P23" i="59" s="1"/>
  <c r="M16" i="66"/>
  <c r="O16" i="66" s="1"/>
  <c r="M16" i="44"/>
  <c r="O16" i="44" s="1"/>
  <c r="M16" i="48"/>
  <c r="O16" i="48" s="1"/>
  <c r="P16" i="48" s="1"/>
  <c r="L17" i="16"/>
  <c r="M17" i="16" s="1"/>
  <c r="N17" i="16" s="1"/>
  <c r="L20" i="16"/>
  <c r="M20" i="16" s="1"/>
  <c r="N20" i="16" s="1"/>
  <c r="O20" i="16" s="1"/>
  <c r="L23" i="16"/>
  <c r="M23" i="16" s="1"/>
  <c r="N23" i="16" s="1"/>
  <c r="M16" i="72"/>
  <c r="O16" i="72" s="1"/>
  <c r="P16" i="72" s="1"/>
  <c r="M18" i="67"/>
  <c r="O18" i="67" s="1"/>
  <c r="P18" i="67" s="1"/>
  <c r="M21" i="53"/>
  <c r="O21" i="53" s="1"/>
  <c r="P21" i="53" s="1"/>
  <c r="M21" i="68"/>
  <c r="O21" i="68" s="1"/>
  <c r="P21" i="68" s="1"/>
  <c r="M20" i="46"/>
  <c r="O20" i="46" s="1"/>
  <c r="P20" i="46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4" i="71"/>
  <c r="P24" i="71" s="1"/>
  <c r="O23" i="69"/>
  <c r="P23" i="69" s="1"/>
  <c r="O24" i="48"/>
  <c r="P24" i="48" s="1"/>
  <c r="O23" i="66"/>
  <c r="P23" i="66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 s="1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L25" i="43"/>
  <c r="L25" i="65"/>
  <c r="J25" i="44"/>
  <c r="P29" i="44" s="1"/>
  <c r="L25" i="57"/>
  <c r="K25" i="52"/>
  <c r="J25" i="54"/>
  <c r="P29" i="54" s="1"/>
  <c r="K11" i="62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K25" i="16"/>
  <c r="O29" i="16" s="1"/>
  <c r="L19" i="16"/>
  <c r="M21" i="11"/>
  <c r="O21" i="11" s="1"/>
  <c r="J25" i="16"/>
  <c r="O30" i="16" s="1"/>
  <c r="M24" i="16"/>
  <c r="N24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O24" i="16" l="1"/>
  <c r="M15" i="62"/>
  <c r="M12" i="62"/>
  <c r="P16" i="43"/>
  <c r="P25" i="43" s="1"/>
  <c r="P21" i="50"/>
  <c r="O31" i="16"/>
  <c r="O32" i="16" s="1"/>
  <c r="O33" i="16" s="1"/>
  <c r="O34" i="16" s="1"/>
  <c r="O35" i="16" s="1"/>
  <c r="O22" i="16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O25" i="64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 s="1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O25" i="54"/>
  <c r="O25" i="70"/>
  <c r="O25" i="55"/>
  <c r="O15" i="62"/>
  <c r="P15" i="62" s="1"/>
  <c r="O25" i="52"/>
  <c r="O18" i="16"/>
  <c r="O25" i="48"/>
  <c r="P16" i="70"/>
  <c r="P25" i="70" s="1"/>
  <c r="P16" i="53"/>
  <c r="P25" i="53" s="1"/>
  <c r="P23" i="55"/>
  <c r="P25" i="55" s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4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M22" i="11"/>
  <c r="M23" i="11"/>
  <c r="J25" i="11"/>
  <c r="P29" i="11" s="1"/>
  <c r="M17" i="11"/>
  <c r="W12" i="6"/>
  <c r="Y12" i="6" s="1"/>
  <c r="T12" i="6"/>
  <c r="V11" i="6"/>
  <c r="X11" i="6" s="1"/>
  <c r="U13" i="6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J16" i="62" l="1"/>
  <c r="P20" i="62" s="1"/>
  <c r="P21" i="62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22" i="62" l="1"/>
  <c r="P24" i="62" s="1"/>
  <c r="P30" i="1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<sst xmlns="http://schemas.openxmlformats.org/spreadsheetml/2006/main" count="3948" uniqueCount="530">
  <si>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</si>
  <si>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</si>
  <si>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</si>
  <si>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</si>
  <si>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</si>
  <si>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</si>
  <si>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</si>
  <si>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</si>
  <si>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</si>
  <si>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</si>
  <si>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</si>
  <si>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</si>
  <si>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</si>
  <si>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</si>
  <si>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</si>
  <si>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</si>
  <si>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</si>
  <si>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</si>
  <si>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</si>
  <si>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</si>
  <si>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</si>
  <si>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</si>
  <si>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</si>
  <si>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</si>
  <si>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</si>
  <si>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</si>
  <si>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</si>
  <si>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</si>
  <si>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</si>
  <si>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</si>
  <si>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</si>
  <si>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</si>
  <si>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</si>
  <si>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</si>
  <si>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</si>
  <si>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</si>
  <si>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</si>
  <si>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</si>
  <si>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</si>
  <si>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</si>
  <si>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</si>
  <si>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</si>
  <si>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</si>
  <si>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</si>
  <si>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</si>
  <si>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</si>
  <si>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</si>
  <si>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</si>
  <si>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</si>
  <si>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</si>
  <si>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</si>
  <si>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</si>
  <si>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</si>
  <si>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</si>
  <si>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</si>
  <si>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</si>
  <si>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</si>
  <si>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</si>
  <si>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</si>
  <si>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</si>
  <si>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</si>
  <si>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</si>
  <si>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</si>
  <si>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</si>
  <si>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</si>
  <si>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</si>
  <si>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</si>
  <si>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</si>
  <si>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</si>
  <si>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</si>
  <si>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</si>
  <si>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</si>
  <si>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</si>
  <si>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</si>
  <si>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</si>
  <si>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</si>
  <si>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</si>
  <si>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</si>
  <si>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</si>
  <si>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</si>
  <si>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</si>
  <si>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</si>
  <si>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</si>
  <si>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</si>
  <si>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</si>
  <si>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</si>
  <si>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</si>
  <si>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</si>
  <si>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</si>
  <si>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</si>
  <si>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</si>
  <si>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</si>
  <si>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</si>
  <si>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</si>
  <si>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</si>
  <si>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</si>
  <si>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</si>
  <si>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</si>
  <si>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</si>
  <si>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</si>
  <si>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</si>
  <si>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</si>
  <si>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</si>
  <si>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</si>
  <si>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</si>
  <si>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</si>
  <si>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</si>
  <si>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</si>
  <si>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</si>
  <si>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</si>
  <si>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</si>
  <si>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</si>
  <si>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</si>
  <si>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</si>
  <si>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</si>
  <si>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</si>
  <si>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</si>
  <si>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</si>
  <si>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</si>
  <si>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</si>
  <si>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</si>
  <si>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</si>
  <si>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</si>
  <si>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</si>
  <si>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</si>
  <si>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</si>
  <si>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</si>
  <si>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</si>
  <si>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</si>
  <si>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</si>
  <si>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</si>
  <si>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</si>
  <si>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</si>
  <si>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</si>
  <si>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</si>
  <si>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</si>
  <si>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</si>
  <si>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</si>
  <si>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</si>
  <si>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</si>
  <si>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</si>
  <si>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</si>
  <si>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</si>
  <si>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</si>
  <si>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</si>
  <si>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</si>
  <si>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</si>
  <si>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</si>
  <si>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</si>
  <si>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</si>
  <si>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</si>
  <si>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</si>
  <si>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</si>
  <si>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</si>
  <si>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</si>
  <si>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</si>
  <si>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</si>
  <si>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</si>
  <si>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</si>
  <si>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</si>
  <si>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</si>
  <si>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</si>
  <si>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</si>
  <si>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</si>
  <si>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</si>
  <si>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</si>
  <si>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</si>
  <si>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</si>
  <si>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</si>
  <si>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</si>
  <si>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</si>
  <si>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</si>
  <si>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</si>
  <si>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</si>
  <si>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</si>
  <si>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</si>
  <si>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</si>
  <si>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</si>
  <si>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</si>
  <si>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</si>
  <si>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</si>
  <si>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</si>
  <si>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</si>
  <si>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</si>
  <si>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</si>
  <si>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</si>
  <si>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</si>
  <si>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</si>
  <si>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</si>
  <si>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</si>
  <si>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</si>
  <si>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</si>
  <si>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</si>
  <si>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</si>
  <si>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</si>
  <si>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</si>
  <si>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</si>
  <si>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</si>
  <si>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</si>
  <si>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</si>
  <si>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</si>
  <si>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</si>
  <si>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</si>
  <si>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</si>
  <si>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</si>
  <si>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</si>
  <si>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</si>
  <si>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</si>
  <si>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</si>
  <si>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</si>
  <si>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</si>
  <si>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</si>
  <si>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</si>
  <si>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</si>
  <si>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</si>
  <si>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</si>
  <si>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</si>
  <si>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</si>
  <si>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</si>
  <si>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</si>
  <si>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</si>
  <si>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</si>
  <si>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</si>
  <si>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</si>
  <si>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</si>
  <si>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</si>
  <si>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</si>
  <si>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</si>
  <si>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</si>
  <si>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</si>
  <si>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</si>
  <si>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</si>
  <si>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</si>
  <si>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</si>
  <si>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</si>
  <si>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</si>
  <si>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</si>
  <si>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</si>
  <si>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</si>
  <si>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</si>
  <si>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</si>
  <si>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</si>
  <si>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</si>
  <si>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</si>
  <si>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</si>
  <si>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</si>
  <si>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</si>
  <si>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</si>
  <si>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</si>
  <si>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</si>
  <si>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</si>
  <si>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</si>
  <si>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</si>
  <si>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</si>
  <si>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</si>
  <si>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</si>
  <si>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</si>
  <si>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</si>
  <si>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</si>
  <si>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</si>
  <si>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</si>
  <si>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</si>
  <si>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</si>
  <si>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</si>
  <si>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</si>
  <si>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</si>
  <si>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</si>
  <si>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</si>
  <si>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</si>
  <si>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</si>
  <si>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</si>
  <si>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</si>
  <si>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</si>
  <si>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</si>
  <si>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</si>
  <si>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</si>
  <si>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</si>
  <si>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</si>
  <si>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</si>
  <si>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</si>
  <si>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</si>
  <si>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</si>
  <si>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</si>
  <si>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</si>
  <si>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</si>
  <si>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</si>
  <si>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</si>
  <si>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</si>
  <si>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</si>
  <si>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</si>
  <si>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</si>
  <si>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</si>
  <si>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</si>
  <si>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</si>
  <si>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</si>
  <si>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</si>
  <si>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</si>
  <si>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</si>
  <si>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</si>
  <si>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</si>
  <si>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</si>
  <si>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</si>
  <si>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</si>
  <si>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</si>
  <si>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</si>
  <si>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</si>
  <si>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</si>
  <si>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</si>
  <si>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</si>
  <si>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</si>
  <si>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</si>
  <si>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</si>
  <si>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</si>
  <si>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</si>
  <si>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</si>
  <si>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</si>
  <si>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</si>
  <si>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</si>
  <si>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</si>
  <si>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</si>
  <si>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</si>
  <si>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</si>
  <si>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</si>
  <si>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</si>
  <si>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</si>
  <si>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</si>
  <si>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</si>
  <si>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</si>
  <si>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</si>
  <si>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</si>
  <si>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</si>
  <si>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</si>
  <si>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</si>
  <si>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</si>
  <si>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</si>
  <si>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</si>
  <si>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</si>
  <si>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</si>
  <si>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</si>
  <si>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</si>
  <si>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</si>
  <si>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</si>
  <si>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</si>
  <si>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</si>
  <si>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</si>
  <si>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</si>
  <si>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</si>
  <si>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</si>
  <si>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</si>
  <si>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</si>
  <si>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</si>
  <si>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</si>
  <si>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</si>
  <si>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</si>
  <si>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</si>
  <si>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</si>
  <si>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</si>
  <si>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</si>
  <si>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</si>
  <si>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</si>
  <si>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</si>
  <si>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</si>
  <si>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</si>
  <si>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</si>
  <si>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</si>
  <si>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</si>
  <si>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</si>
  <si>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</si>
  <si>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</si>
  <si>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</si>
  <si>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</si>
  <si>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</si>
  <si>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</si>
  <si>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</si>
  <si>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</si>
  <si>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</si>
  <si>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</si>
  <si>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</si>
  <si>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</si>
  <si>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</si>
  <si>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</si>
  <si>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</si>
  <si>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</si>
  <si>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</si>
  <si>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</si>
  <si>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</si>
  <si>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</si>
  <si>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</si>
  <si>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</si>
  <si>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</si>
  <si>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</si>
  <si>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</si>
  <si>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</si>
  <si>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</si>
  <si>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</si>
  <si>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</si>
  <si>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</si>
  <si>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</si>
  <si>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</si>
  <si>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</si>
  <si>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</si>
  <si>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</si>
  <si>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</si>
  <si>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</si>
  <si>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</si>
  <si>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</si>
  <si>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</si>
  <si>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</si>
  <si>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</si>
  <si>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</si>
  <si>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</si>
  <si>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</si>
  <si>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</si>
  <si>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</si>
  <si>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</si>
  <si>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</si>
  <si>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</si>
  <si>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</si>
  <si>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</si>
  <si>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</si>
  <si>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</si>
  <si>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</si>
  <si>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</si>
  <si>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</si>
  <si>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</si>
  <si>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</si>
  <si>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</si>
  <si>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</si>
  <si>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</si>
  <si>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</si>
  <si>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</si>
  <si>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</si>
  <si>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</si>
  <si>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</si>
  <si>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</si>
  <si>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</si>
  <si>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</si>
  <si>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</si>
  <si>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</si>
  <si>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</si>
  <si>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</si>
  <si>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</si>
  <si>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</si>
  <si>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</si>
  <si>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</si>
  <si>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</si>
  <si>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</si>
  <si>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</si>
  <si>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</si>
  <si>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</si>
  <si>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</si>
  <si>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</si>
  <si>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</si>
  <si>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</si>
  <si>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</si>
  <si>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</si>
  <si>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</si>
  <si>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</si>
  <si>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</si>
  <si>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</si>
  <si>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</si>
  <si>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</si>
  <si>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</si>
  <si>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</si>
  <si>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</si>
  <si>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</si>
  <si>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</si>
  <si>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</si>
  <si>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</si>
  <si>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</si>
  <si>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</si>
  <si>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</si>
  <si>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</si>
  <si>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</si>
  <si>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</si>
  <si>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</si>
  <si>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</si>
  <si>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</si>
  <si>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</si>
  <si>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</si>
  <si>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</si>
  <si>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</si>
  <si>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</si>
  <si>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</si>
  <si>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</si>
  <si>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</si>
  <si>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</si>
  <si>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</si>
  <si>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</si>
  <si>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</si>
  <si>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</si>
  <si>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</si>
  <si>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</si>
  <si>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</si>
  <si>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</si>
  <si>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</si>
  <si>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</si>
  <si>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</si>
  <si>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</si>
  <si>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</si>
  <si>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</si>
  <si>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</si>
  <si>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</si>
  <si>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</si>
  <si>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</si>
  <si>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</si>
  <si>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</si>
  <si>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</si>
  <si>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</si>
  <si>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</si>
  <si>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</si>
  <si>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</si>
  <si>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</si>
  <si>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 xml:space="preserve">CCN PROMO </t>
  </si>
  <si>
    <t>Indomie Chicken ® 4 in 1</t>
  </si>
  <si>
    <t>Furqan</t>
  </si>
  <si>
    <t>Hikma Super Store</t>
  </si>
  <si>
    <t>Address: Askari 5</t>
  </si>
  <si>
    <t>Sanwal Store</t>
  </si>
  <si>
    <t>Quality Store</t>
  </si>
  <si>
    <t xml:space="preserve">Pak Bakery </t>
  </si>
  <si>
    <t>Address: Naseera Abad</t>
  </si>
  <si>
    <t xml:space="preserve">New Kashmir Bakery </t>
  </si>
  <si>
    <t xml:space="preserve">Address: Gopal Nager </t>
  </si>
  <si>
    <t xml:space="preserve">Fazale Kabeer </t>
  </si>
  <si>
    <t>Ramzan GS</t>
  </si>
  <si>
    <t xml:space="preserve">Address: Gopal Nager Filter Wli Park </t>
  </si>
  <si>
    <t xml:space="preserve">Al Madina Photo Copy </t>
  </si>
  <si>
    <t>Saleem store</t>
  </si>
  <si>
    <t>Saleem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</si>
</sst>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R8" activePane="bottomRight" state="frozen"/>
      <selection activeCell="I11" sqref="I11"/>
      <selection pane="topRight" activeCell="I11" sqref="I11"/>
      <selection pane="bottomLeft" activeCell="I11" sqref="I11"/>
      <selection pane="bottomRight" activeCell="C15" sqref="C15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3" width="11.81640625" style="163" bestFit="1" customWidth="1"/>
    <col min="4" max="4" width="13.81640625" style="163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3.81640625" style="164" bestFit="1" customWidth="1"/>
    <col min="10" max="10" width="4.81640625" bestFit="1" customWidth="1"/>
    <col min="11" max="11" width="3.81640625" bestFit="1" customWidth="1"/>
    <col min="12" max="12" width="7.453125" bestFit="1" customWidth="1"/>
    <col min="13" max="13" width="6.453125" bestFit="1" customWidth="1"/>
    <col min="14" max="14" width="6.81640625" bestFit="1" customWidth="1"/>
    <col min="15" max="15" width="3.453125" bestFit="1" customWidth="1"/>
    <col min="16" max="16" width="3.26953125" bestFit="1" customWidth="1"/>
    <col min="17" max="17" width="3.453125" bestFit="1" customWidth="1"/>
    <col min="18" max="18" width="4.81640625" bestFit="1" customWidth="1"/>
    <col min="19" max="19" width="3.453125" bestFit="1" customWidth="1"/>
    <col min="20" max="20" width="7.453125" bestFit="1" customWidth="1"/>
    <col min="21" max="22" width="6.453125" bestFit="1" customWidth="1"/>
    <col min="23" max="23" width="5.453125" bestFit="1" customWidth="1"/>
    <col min="24" max="24" width="7.453125" bestFit="1" customWidth="1"/>
    <col min="25" max="25" width="6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457</v>
      </c>
      <c r="D6" s="166" t="s">
        <v>457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453</v>
      </c>
      <c r="D8" s="166" t="s">
        <v>453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463</v>
      </c>
      <c r="D9" s="166" t="s">
        <v>463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459</v>
      </c>
      <c r="D11" s="166" t="s">
        <v>459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513</v>
      </c>
      <c r="D13" s="166" t="s">
        <v>513</v>
      </c>
      <c r="E13" s="178" t="s">
        <v>514</v>
      </c>
      <c r="F13" s="179">
        <v>70</v>
      </c>
      <c r="G13" s="180">
        <v>12</v>
      </c>
      <c r="H13" s="180">
        <f t="shared" si="2"/>
        <v>2400</v>
      </c>
      <c r="I13" s="181">
        <v>200</v>
      </c>
      <c r="J13" s="181">
        <f t="shared" si="3"/>
        <v>2363.1887999999999</v>
      </c>
      <c r="K13" s="181">
        <f t="shared" si="12"/>
        <v>196.93239999999997</v>
      </c>
      <c r="L13" s="182">
        <v>1937.04</v>
      </c>
      <c r="M13" s="182">
        <f t="shared" si="4"/>
        <v>161.41999999999999</v>
      </c>
      <c r="N13" s="183">
        <v>0.12</v>
      </c>
      <c r="O13" s="184">
        <v>5.8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1867.4399999999996</v>
      </c>
      <c r="U13" s="182">
        <f t="shared" si="9"/>
        <v>155.61999999999998</v>
      </c>
      <c r="V13" s="182">
        <f t="shared" si="10"/>
        <v>336.1391999999999</v>
      </c>
      <c r="W13" s="182">
        <f t="shared" si="10"/>
        <v>28.011599999999994</v>
      </c>
      <c r="X13" s="182">
        <f t="shared" si="0"/>
        <v>2203.5791999999997</v>
      </c>
      <c r="Y13" s="182">
        <f t="shared" si="0"/>
        <v>183.63159999999996</v>
      </c>
      <c r="AA13" s="182">
        <f t="shared" si="1"/>
        <v>0.84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468</v>
      </c>
      <c r="D14" s="166" t="s">
        <v>468</v>
      </c>
      <c r="E14" s="178" t="s">
        <v>469</v>
      </c>
      <c r="F14" s="179">
        <v>60</v>
      </c>
      <c r="G14" s="180">
        <v>48</v>
      </c>
      <c r="H14" s="180">
        <f t="shared" si="2"/>
        <v>2400</v>
      </c>
      <c r="I14" s="181">
        <v>50</v>
      </c>
      <c r="J14" s="181">
        <f t="shared" si="3"/>
        <v>1914.424</v>
      </c>
      <c r="K14" s="181">
        <f t="shared" si="12"/>
        <v>39.883833333333335</v>
      </c>
      <c r="L14" s="182">
        <v>1569.2</v>
      </c>
      <c r="M14" s="182">
        <f t="shared" si="4"/>
        <v>32.69166666666667</v>
      </c>
      <c r="N14" s="183">
        <f t="shared" si="13"/>
        <v>0.12</v>
      </c>
      <c r="O14" s="184">
        <f t="shared" si="5"/>
        <v>3.923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1380.8960000000002</v>
      </c>
      <c r="U14" s="182">
        <f t="shared" si="9"/>
        <v>28.768666666666668</v>
      </c>
      <c r="V14" s="182">
        <f t="shared" si="10"/>
        <v>248.56128000000001</v>
      </c>
      <c r="W14" s="182">
        <f t="shared" si="10"/>
        <v>5.1783600000000005</v>
      </c>
      <c r="X14" s="182">
        <f t="shared" si="0"/>
        <v>1629.4572800000001</v>
      </c>
      <c r="Y14" s="182">
        <f t="shared" si="0"/>
        <v>33.947026666666666</v>
      </c>
      <c r="AA14" s="182">
        <f t="shared" si="1"/>
        <v>2.88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bestFit="1" customWidth="1"/>
    <col min="10" max="10" width="10.8164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5429687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497</v>
      </c>
      <c r="F2" s="357"/>
      <c r="G2" s="357"/>
      <c r="H2" s="354" t="s">
        <v>515</v>
      </c>
      <c r="I2" s="354"/>
      <c r="J2" s="355"/>
      <c r="R2" s="351" t="s">
        <v>496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507</v>
      </c>
      <c r="F3" s="361"/>
      <c r="G3" s="361"/>
      <c r="H3" s="358">
        <v>46325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Hikma Super Store</v>
      </c>
      <c r="T3" s="301">
        <f>+'1'!P35</f>
        <v>1620.3789503771186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Sanwal Store</v>
      </c>
      <c r="T4" s="301">
        <f>+'2'!P35</f>
        <v>1359.0309497033895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494</v>
      </c>
      <c r="O5" s="103" t="s">
        <v>89</v>
      </c>
      <c r="P5" s="115" t="s">
        <v>56</v>
      </c>
      <c r="Q5" s="314" t="s">
        <v>506</v>
      </c>
      <c r="R5" s="313">
        <v>3</v>
      </c>
      <c r="S5" s="300" t="str">
        <f>+'3'!A6:A6</f>
        <v>Quality Store</v>
      </c>
      <c r="T5" s="301">
        <f>+'3'!P35</f>
        <v>1568.1057925423729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493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492</v>
      </c>
      <c r="M6" s="363"/>
      <c r="N6" s="365"/>
      <c r="O6" s="228" t="e">
        <f>IF(#REF!="Filer",0.5%,2.5%)</f>
        <v>#REF!</v>
      </c>
      <c r="P6" s="111" t="s">
        <v>38</v>
      </c>
      <c r="Q6" s="314" t="s">
        <v>505</v>
      </c>
      <c r="R6" s="313">
        <v>4</v>
      </c>
      <c r="S6" s="300" t="str">
        <f>+'4'!A6:A6</f>
        <v xml:space="preserve">Pak Bakery </v>
      </c>
      <c r="T6" s="301">
        <f>+'4'!P35</f>
        <v>470.43173776271186</v>
      </c>
      <c r="XEX6" t="s">
        <v>72</v>
      </c>
    </row>
    <row r="7" spans="1:20 16377:16378" ht="21.75" customHeight="1" x14ac:dyDescent="0.35">
      <c r="A7" s="104" t="s">
        <v>457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54</v>
      </c>
      <c r="I7" s="235">
        <f>(G7*D7)*F7+H7*F7</f>
        <v>2832.9749999999999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226.63800000000001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99.154125000000008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2507.182875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535.42372881355914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15.213033019067794</v>
      </c>
      <c r="P7" s="310">
        <f>M7+N7+O7</f>
        <v>3057.8196368326271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New Kashmir Bakery </v>
      </c>
      <c r="T7" s="301">
        <f>+'5'!P35</f>
        <v>2160.5052671694912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42</v>
      </c>
      <c r="I8" s="236">
        <f t="shared" ref="I8:I14" si="0">(G8*D8)*F8+H8*F8</f>
        <v>2203.4249999999997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176.274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77.119875000000008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1950.0311249999997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416.44067796610148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11.832359014830509</v>
      </c>
      <c r="P8" s="311">
        <f t="shared" ref="P8:P15" si="2">M8+N8+O8</f>
        <v>2378.3041619809319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 xml:space="preserve">Fazale Kabeer </v>
      </c>
      <c r="T8" s="301">
        <f>+'6'!P35</f>
        <v>940.86347552542372</v>
      </c>
      <c r="XEX8" t="s">
        <v>108</v>
      </c>
    </row>
    <row r="9" spans="1:20 16377:16378" ht="21.75" customHeight="1" x14ac:dyDescent="0.35">
      <c r="A9" s="82" t="s">
        <v>453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Ramzan GS</v>
      </c>
      <c r="T9" s="301">
        <f>+'7'!P35</f>
        <v>766.63147507627116</v>
      </c>
    </row>
    <row r="10" spans="1:20 16377:16378" ht="21.75" customHeight="1" x14ac:dyDescent="0.35">
      <c r="A10" s="82" t="s">
        <v>463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 xml:space="preserve">Al Madina Photo Copy </v>
      </c>
      <c r="T10" s="301">
        <f>+'8'!P35</f>
        <v>1704.4668629466098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42</v>
      </c>
      <c r="I11" s="236">
        <f t="shared" si="0"/>
        <v>3050.88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244.07040000000001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106.78080000000001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2700.0288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576.61016949152543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16.383194847457627</v>
      </c>
      <c r="P11" s="311">
        <f t="shared" si="2"/>
        <v>3293.0221643389832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Saleem store</v>
      </c>
      <c r="T11" s="301">
        <f>+'9'!P35</f>
        <v>3240.7579007542372</v>
      </c>
    </row>
    <row r="12" spans="1:20 16377:16378" ht="21.75" customHeight="1" x14ac:dyDescent="0.35">
      <c r="A12" s="82" t="s">
        <v>459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52</v>
      </c>
      <c r="I12" s="236">
        <f t="shared" si="0"/>
        <v>3777.28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302.18240000000003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132.20480000000001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3342.8928000000001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713.89830508474597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20.283955525423732</v>
      </c>
      <c r="P12" s="311">
        <f t="shared" si="2"/>
        <v>4077.0750606101697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Saleem Store</v>
      </c>
      <c r="T12" s="301">
        <f>+'10'!P35</f>
        <v>512.47569404745752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513</v>
      </c>
      <c r="B14" s="307" t="str">
        <f>VLOOKUP($A14,'Cust. Price List'!$D$6:$O$14,2,0)</f>
        <v>Indomie Chicken ® 4 in 1</v>
      </c>
      <c r="C14" s="106">
        <f>VLOOKUP(B14,'Cust. Price List'!E13:P21,2,0)</f>
        <v>70</v>
      </c>
      <c r="D14" s="284">
        <f>VLOOKUP(A14,'Cust. Price List'!D13:M21,4,0)</f>
        <v>12</v>
      </c>
      <c r="E14" s="291">
        <f>VLOOKUP(A14,'Cust. Price List'!D13:M21,6,0)</f>
        <v>200</v>
      </c>
      <c r="F14" s="292">
        <f>VLOOKUP(A14,'Cust. Price List'!D13:M21,10,0)</f>
        <v>161.41999999999999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9</v>
      </c>
      <c r="I14" s="236">
        <f t="shared" si="0"/>
        <v>1452.78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72.63900000000001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50.847300000000004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74.091779999999986</v>
      </c>
      <c r="M14" s="230">
        <f t="shared" si="1"/>
        <v>1255.20192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274.57627118644052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7.6488909559322025</v>
      </c>
      <c r="P14" s="311">
        <f t="shared" si="2"/>
        <v>1537.4270821423727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468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48</v>
      </c>
      <c r="E15" s="293">
        <f>VLOOKUP(A15,'Cust. Price List'!D14:M22,6,0)</f>
        <v>50</v>
      </c>
      <c r="F15" s="294">
        <f>VLOOKUP(A15,'Cust. Price List'!D14:M22,10,0)</f>
        <v>32.69166666666667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4.9749999999999996</v>
      </c>
      <c r="H16" s="113">
        <f t="shared" ref="H16:M16" si="3">SUM(H7:H15)</f>
        <v>199</v>
      </c>
      <c r="I16" s="114">
        <f t="shared" si="3"/>
        <v>13317.34</v>
      </c>
      <c r="J16" s="274">
        <f>SUM(J7:J15)</f>
        <v>1021.8038000000001</v>
      </c>
      <c r="K16" s="275">
        <f t="shared" si="3"/>
        <v>466.1069</v>
      </c>
      <c r="L16" s="276">
        <f t="shared" si="3"/>
        <v>74.091779999999986</v>
      </c>
      <c r="M16" s="232">
        <f t="shared" si="3"/>
        <v>11755.337519999999</v>
      </c>
      <c r="N16" s="233">
        <f>SUM(N7:N15)</f>
        <v>2516.9491525423723</v>
      </c>
      <c r="O16" s="101">
        <f>SUM(O7:O15)</f>
        <v>71.361433362711864</v>
      </c>
      <c r="P16" s="113">
        <f>SUM(P7:P15)</f>
        <v>14343.648105905086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13317.34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1021.8038000000001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540.19867999999997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11755.337520000001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2516.9491525423723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14272.286672542374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71.361433362711864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14343.648105905086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495</v>
      </c>
      <c r="T33" s="304">
        <f>SUM(T3:T32)</f>
        <v>14343.648105905084</v>
      </c>
    </row>
    <row r="44" spans="2:20" x14ac:dyDescent="0.35">
      <c r="B44" t="s">
        <v>499</v>
      </c>
    </row>
    <row r="45" spans="2:20" x14ac:dyDescent="0.35">
      <c r="B45" t="s">
        <v>500</v>
      </c>
    </row>
    <row r="46" spans="2:20" x14ac:dyDescent="0.35">
      <c r="B46" t="s">
        <v>501</v>
      </c>
    </row>
    <row r="47" spans="2:20" x14ac:dyDescent="0.35">
      <c r="B47" t="s">
        <v>502</v>
      </c>
    </row>
    <row r="48" spans="2:20" x14ac:dyDescent="0.35">
      <c r="B48" t="s">
        <v>503</v>
      </c>
    </row>
    <row r="49" spans="2:2" x14ac:dyDescent="0.35">
      <c r="B49" t="s">
        <v>508</v>
      </c>
    </row>
    <row r="50" spans="2:2" x14ac:dyDescent="0.35">
      <c r="B50" t="s">
        <v>510</v>
      </c>
    </row>
    <row r="51" spans="2:2" x14ac:dyDescent="0.35">
      <c r="B51" t="s">
        <v>509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48"/>
  <sheetViews>
    <sheetView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9.453125" bestFit="1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7.2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17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7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0.08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/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24</v>
      </c>
      <c r="I25" s="114">
        <f t="shared" ref="I25:M25" si="10">SUM(I16:I24)</f>
        <v>1501.23</v>
      </c>
      <c r="J25" s="274">
        <f>SUM(J16:J24)</f>
        <v>120.0984</v>
      </c>
      <c r="K25" s="275">
        <f t="shared" si="10"/>
        <v>52.543050000000008</v>
      </c>
      <c r="L25" s="276">
        <f t="shared" si="10"/>
        <v>0</v>
      </c>
      <c r="M25" s="232">
        <f t="shared" si="10"/>
        <v>1328.5885499999999</v>
      </c>
      <c r="N25" s="233">
        <f>SUM(N16:N24)</f>
        <v>283.72881355932202</v>
      </c>
      <c r="O25" s="101">
        <f>SUM(O16:O24)</f>
        <v>8.0615868177966092</v>
      </c>
      <c r="P25" s="234">
        <f>SUM(P16:P24)</f>
        <v>1620.3789503771186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1501.23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120.0984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52.543050000000008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1328.5885499999999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283.72881355932202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1612.3173635593221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8.061586817796611</v>
      </c>
    </row>
    <row r="35" spans="2:16" ht="15.75" customHeight="1" thickBot="1" x14ac:dyDescent="0.4">
      <c r="N35" s="345" t="s">
        <v>88</v>
      </c>
      <c r="O35" s="346"/>
      <c r="P35" s="297">
        <f>+P33+P34</f>
        <v>1620.3789503771186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  <row r="46" spans="2:16" x14ac:dyDescent="0.35">
      <c r="H46">
        <v>161.41999999999999</v>
      </c>
      <c r="I46" s="131">
        <v>0.08</v>
      </c>
      <c r="J46" s="131"/>
      <c r="K46">
        <f>H46*I46</f>
        <v>12.913599999999999</v>
      </c>
      <c r="M46">
        <f>200*12</f>
        <v>2400</v>
      </c>
    </row>
    <row r="48" spans="2:16" x14ac:dyDescent="0.35">
      <c r="K48">
        <f>H46-K46</f>
        <v>148.50639999999999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6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119">
        <f t="shared" ref="P17:P24" si="5">M17+N17+O17</f>
        <v>679.51547485169488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/>
      <c r="U23" s="270"/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</v>
      </c>
      <c r="I25" s="114">
        <f t="shared" si="7"/>
        <v>1259.0999999999999</v>
      </c>
      <c r="J25" s="274">
        <f>SUM(J16:J24)</f>
        <v>100.72799999999999</v>
      </c>
      <c r="K25" s="275">
        <f t="shared" si="7"/>
        <v>44.0685</v>
      </c>
      <c r="L25" s="276">
        <f t="shared" si="7"/>
        <v>0</v>
      </c>
      <c r="M25" s="232">
        <f t="shared" si="7"/>
        <v>1114.3035</v>
      </c>
      <c r="N25" s="233">
        <f>SUM(N16:N24)</f>
        <v>237.96610169491515</v>
      </c>
      <c r="O25" s="101">
        <f>SUM(O16:O24)</f>
        <v>6.7613480084745756</v>
      </c>
      <c r="P25" s="234">
        <f>SUM(P16:P24)</f>
        <v>1359.0309497033898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1259.0999999999999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100.72799999999999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44.0685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1114.3034999999998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237.96610169491515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1352.2696016949149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6.7613480084745747</v>
      </c>
    </row>
    <row r="35" spans="2:16" ht="15.75" customHeight="1" thickBot="1" x14ac:dyDescent="0.4">
      <c r="N35" s="345" t="s">
        <v>88</v>
      </c>
      <c r="O35" s="346"/>
      <c r="P35" s="297">
        <f>+P33+P34</f>
        <v>1359.0309497033895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7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8.7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1452.8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116.224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50.848000000000006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1285.7280000000001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1560.3042711864407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45" t="s">
        <v>88</v>
      </c>
      <c r="O35" s="346"/>
      <c r="P35" s="297">
        <f>+P33+P34</f>
        <v>1568.1057925423729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7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521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</v>
      </c>
      <c r="I20" s="236">
        <f t="shared" si="0"/>
        <v>217.92000000000002</v>
      </c>
      <c r="J20" s="272">
        <f t="shared" si="1"/>
        <v>17.433600000000002</v>
      </c>
      <c r="K20" s="128">
        <f t="shared" si="1"/>
        <v>7.6272000000000011</v>
      </c>
      <c r="L20" s="119">
        <f t="shared" si="1"/>
        <v>0</v>
      </c>
      <c r="M20" s="230">
        <f t="shared" si="2"/>
        <v>192.85920000000002</v>
      </c>
      <c r="N20" s="277">
        <f t="shared" si="3"/>
        <v>41.186440677966104</v>
      </c>
      <c r="O20" s="239">
        <f t="shared" si="4"/>
        <v>1.1702282033898306</v>
      </c>
      <c r="P20" s="119">
        <f t="shared" si="5"/>
        <v>235.21586888135593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</v>
      </c>
      <c r="I21" s="236">
        <f t="shared" si="0"/>
        <v>217.92000000000002</v>
      </c>
      <c r="J21" s="272">
        <f t="shared" si="1"/>
        <v>17.433600000000002</v>
      </c>
      <c r="K21" s="128">
        <f t="shared" si="1"/>
        <v>7.6272000000000011</v>
      </c>
      <c r="L21" s="119">
        <f t="shared" si="1"/>
        <v>0</v>
      </c>
      <c r="M21" s="230">
        <f t="shared" si="2"/>
        <v>192.85920000000002</v>
      </c>
      <c r="N21" s="277">
        <f t="shared" si="3"/>
        <v>41.186440677966104</v>
      </c>
      <c r="O21" s="239">
        <f t="shared" si="4"/>
        <v>1.1702282033898306</v>
      </c>
      <c r="P21" s="119">
        <f t="shared" si="5"/>
        <v>235.21586888135593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435.84000000000003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34.867200000000004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15.254400000000002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385.71840000000003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468.09128135593221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45" t="s">
        <v>88</v>
      </c>
      <c r="O35" s="346"/>
      <c r="P35" s="297">
        <f>+P33+P34</f>
        <v>470.43173776271186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11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523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</v>
      </c>
      <c r="I16" s="235">
        <f>(G16*D16)*F16+H16*F16</f>
        <v>419.7</v>
      </c>
      <c r="J16" s="271">
        <f>$I16*S16</f>
        <v>33.576000000000001</v>
      </c>
      <c r="K16" s="127">
        <f>$I16*T16</f>
        <v>14.689500000000001</v>
      </c>
      <c r="L16" s="118">
        <f>$I16*U16</f>
        <v>0</v>
      </c>
      <c r="M16" s="229">
        <f>I16-SUM(J16:L16)</f>
        <v>371.43449999999996</v>
      </c>
      <c r="N16" s="248">
        <f>+(G16*D16+H16)*V16</f>
        <v>79.322033898305051</v>
      </c>
      <c r="O16" s="238">
        <f>(N16+M16)*$O$15</f>
        <v>2.2537826694915251</v>
      </c>
      <c r="P16" s="118">
        <f>M16+N16+O16</f>
        <v>453.01031656779651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</v>
      </c>
      <c r="I17" s="236">
        <f t="shared" ref="I17:I23" si="0">(G17*D17)*F17+H17*F17</f>
        <v>419.7</v>
      </c>
      <c r="J17" s="272">
        <f t="shared" ref="J17:L24" si="1">$I17*S17</f>
        <v>33.576000000000001</v>
      </c>
      <c r="K17" s="128">
        <f>$I17*T17</f>
        <v>14.689500000000001</v>
      </c>
      <c r="L17" s="119">
        <f>$I17*U17</f>
        <v>0</v>
      </c>
      <c r="M17" s="230">
        <f t="shared" ref="M17:M24" si="2">I17-SUM(J17:L17)</f>
        <v>371.43449999999996</v>
      </c>
      <c r="N17" s="277">
        <f t="shared" ref="N17:N24" si="3">+(G17*D17+H17)*V17</f>
        <v>79.322033898305051</v>
      </c>
      <c r="O17" s="239">
        <f t="shared" ref="O17:O24" si="4">(N17+M17)*$O$15</f>
        <v>2.2537826694915251</v>
      </c>
      <c r="P17" s="119">
        <f t="shared" ref="P17:P24" si="5">M17+N17+O17</f>
        <v>453.01031656779651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</v>
      </c>
      <c r="I20" s="236">
        <f t="shared" si="0"/>
        <v>581.12</v>
      </c>
      <c r="J20" s="272">
        <f t="shared" si="1"/>
        <v>46.489600000000003</v>
      </c>
      <c r="K20" s="128">
        <f t="shared" si="1"/>
        <v>20.339200000000002</v>
      </c>
      <c r="L20" s="119">
        <f t="shared" si="1"/>
        <v>0</v>
      </c>
      <c r="M20" s="230">
        <f t="shared" si="2"/>
        <v>514.2912</v>
      </c>
      <c r="N20" s="277">
        <f t="shared" si="3"/>
        <v>109.83050847457628</v>
      </c>
      <c r="O20" s="239">
        <f t="shared" si="4"/>
        <v>3.1206085423728815</v>
      </c>
      <c r="P20" s="119">
        <f t="shared" si="5"/>
        <v>627.24231701694919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</v>
      </c>
      <c r="I21" s="236">
        <f t="shared" si="0"/>
        <v>581.12</v>
      </c>
      <c r="J21" s="272">
        <f t="shared" si="1"/>
        <v>46.489600000000003</v>
      </c>
      <c r="K21" s="128">
        <f t="shared" si="1"/>
        <v>20.339200000000002</v>
      </c>
      <c r="L21" s="119">
        <f t="shared" si="1"/>
        <v>0</v>
      </c>
      <c r="M21" s="230">
        <f t="shared" si="2"/>
        <v>514.2912</v>
      </c>
      <c r="N21" s="277">
        <f t="shared" si="3"/>
        <v>109.83050847457628</v>
      </c>
      <c r="O21" s="239">
        <f t="shared" si="4"/>
        <v>3.1206085423728815</v>
      </c>
      <c r="P21" s="119">
        <f t="shared" si="5"/>
        <v>627.24231701694919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32</v>
      </c>
      <c r="I25" s="114">
        <f t="shared" si="7"/>
        <v>2001.6399999999999</v>
      </c>
      <c r="J25" s="274">
        <f>SUM(J16:J24)</f>
        <v>160.13120000000001</v>
      </c>
      <c r="K25" s="275">
        <f t="shared" si="7"/>
        <v>70.057400000000001</v>
      </c>
      <c r="L25" s="276">
        <f t="shared" si="7"/>
        <v>0</v>
      </c>
      <c r="M25" s="232">
        <f t="shared" si="7"/>
        <v>1771.4513999999999</v>
      </c>
      <c r="N25" s="233">
        <f>SUM(N16:N24)</f>
        <v>378.30508474576266</v>
      </c>
      <c r="O25" s="101">
        <f>SUM(O16:O24)</f>
        <v>10.748782423728812</v>
      </c>
      <c r="P25" s="234">
        <f>SUM(P16:P24)</f>
        <v>2160.5052671694912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2001.6399999999999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160.13120000000001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70.057400000000001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1771.4513999999999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378.30508474576266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2149.7564847457625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10.748782423728812</v>
      </c>
    </row>
    <row r="35" spans="2:16" ht="15.75" customHeight="1" thickBot="1" x14ac:dyDescent="0.4">
      <c r="N35" s="345" t="s">
        <v>88</v>
      </c>
      <c r="O35" s="346"/>
      <c r="P35" s="297">
        <f>+P33+P34</f>
        <v>2160.5052671694912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9</v>
      </c>
      <c r="I20" s="236">
        <f t="shared" si="0"/>
        <v>653.76</v>
      </c>
      <c r="J20" s="272">
        <f t="shared" si="1"/>
        <v>52.300800000000002</v>
      </c>
      <c r="K20" s="128">
        <f t="shared" si="1"/>
        <v>22.881600000000002</v>
      </c>
      <c r="L20" s="119">
        <f t="shared" si="1"/>
        <v>0</v>
      </c>
      <c r="M20" s="230">
        <f t="shared" si="2"/>
        <v>578.57759999999996</v>
      </c>
      <c r="N20" s="277">
        <f t="shared" si="3"/>
        <v>123.55932203389831</v>
      </c>
      <c r="O20" s="239">
        <f t="shared" si="4"/>
        <v>3.5106846101694913</v>
      </c>
      <c r="P20" s="119">
        <f t="shared" si="5"/>
        <v>705.64760664406776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</v>
      </c>
      <c r="I21" s="236">
        <f t="shared" si="0"/>
        <v>217.92000000000002</v>
      </c>
      <c r="J21" s="272">
        <f t="shared" si="1"/>
        <v>17.433600000000002</v>
      </c>
      <c r="K21" s="128">
        <f t="shared" si="1"/>
        <v>7.6272000000000011</v>
      </c>
      <c r="L21" s="119">
        <f t="shared" si="1"/>
        <v>0</v>
      </c>
      <c r="M21" s="230">
        <f t="shared" si="2"/>
        <v>192.85920000000002</v>
      </c>
      <c r="N21" s="277">
        <f t="shared" si="3"/>
        <v>41.186440677966104</v>
      </c>
      <c r="O21" s="239">
        <f t="shared" si="4"/>
        <v>1.1702282033898306</v>
      </c>
      <c r="P21" s="119">
        <f t="shared" si="5"/>
        <v>235.21586888135593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</v>
      </c>
      <c r="I25" s="114">
        <f t="shared" si="7"/>
        <v>871.68000000000006</v>
      </c>
      <c r="J25" s="274">
        <f>SUM(J16:J24)</f>
        <v>69.734400000000008</v>
      </c>
      <c r="K25" s="275">
        <f t="shared" si="7"/>
        <v>30.508800000000004</v>
      </c>
      <c r="L25" s="276">
        <f t="shared" si="7"/>
        <v>0</v>
      </c>
      <c r="M25" s="232">
        <f t="shared" si="7"/>
        <v>771.43679999999995</v>
      </c>
      <c r="N25" s="233">
        <f>SUM(N16:N24)</f>
        <v>164.74576271186442</v>
      </c>
      <c r="O25" s="101">
        <f>SUM(O16:O24)</f>
        <v>4.6809128135593223</v>
      </c>
      <c r="P25" s="234">
        <f>SUM(P16:P24)</f>
        <v>940.86347552542372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871.68000000000006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69.734400000000008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30.508800000000004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771.43680000000006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164.74576271186442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936.18256271186442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4.6809128135593223</v>
      </c>
    </row>
    <row r="35" spans="2:16" ht="15.75" customHeight="1" thickBot="1" x14ac:dyDescent="0.4">
      <c r="N35" s="345" t="s">
        <v>88</v>
      </c>
      <c r="O35" s="346"/>
      <c r="P35" s="297">
        <f>+P33+P34</f>
        <v>940.86347552542372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526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</v>
      </c>
      <c r="I16" s="235">
        <f>(G16*D16)*F16+H16*F16</f>
        <v>209.85</v>
      </c>
      <c r="J16" s="271">
        <f>$I16*S16</f>
        <v>16.788</v>
      </c>
      <c r="K16" s="127">
        <f>$I16*T16</f>
        <v>7.3447500000000003</v>
      </c>
      <c r="L16" s="118">
        <f>$I16*U16</f>
        <v>0</v>
      </c>
      <c r="M16" s="229">
        <f>I16-SUM(J16:L16)</f>
        <v>185.71724999999998</v>
      </c>
      <c r="N16" s="248">
        <f>+(G16*D16+H16)*V16</f>
        <v>39.661016949152526</v>
      </c>
      <c r="O16" s="238">
        <f>(N16+M16)*$O$15</f>
        <v>1.1268913347457625</v>
      </c>
      <c r="P16" s="118">
        <f>M16+N16+O16</f>
        <v>226.50515828389825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</v>
      </c>
      <c r="I17" s="236">
        <f t="shared" ref="I17:I23" si="0">(G17*D17)*F17+H17*F17</f>
        <v>209.85</v>
      </c>
      <c r="J17" s="272">
        <f t="shared" ref="J17:L24" si="1">$I17*S17</f>
        <v>16.788</v>
      </c>
      <c r="K17" s="128">
        <f>$I17*T17</f>
        <v>7.3447500000000003</v>
      </c>
      <c r="L17" s="119">
        <f>$I17*U17</f>
        <v>0</v>
      </c>
      <c r="M17" s="230">
        <f t="shared" ref="M17:M24" si="2">I17-SUM(J17:L17)</f>
        <v>185.71724999999998</v>
      </c>
      <c r="N17" s="277">
        <f t="shared" ref="N17:N24" si="3">+(G17*D17+H17)*V17</f>
        <v>39.661016949152526</v>
      </c>
      <c r="O17" s="239">
        <f t="shared" ref="O17:O24" si="4">(N17+M17)*$O$15</f>
        <v>1.1268913347457625</v>
      </c>
      <c r="P17" s="119">
        <f t="shared" ref="P17:P24" si="5">M17+N17+O17</f>
        <v>226.50515828389825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</v>
      </c>
      <c r="I21" s="236">
        <f t="shared" si="0"/>
        <v>290.56</v>
      </c>
      <c r="J21" s="272">
        <f t="shared" si="1"/>
        <v>23.244800000000001</v>
      </c>
      <c r="K21" s="128">
        <f t="shared" si="1"/>
        <v>10.169600000000001</v>
      </c>
      <c r="L21" s="119">
        <f t="shared" si="1"/>
        <v>0</v>
      </c>
      <c r="M21" s="230">
        <f t="shared" si="2"/>
        <v>257.1456</v>
      </c>
      <c r="N21" s="277">
        <f t="shared" si="3"/>
        <v>54.915254237288138</v>
      </c>
      <c r="O21" s="239">
        <f t="shared" si="4"/>
        <v>1.5603042711864408</v>
      </c>
      <c r="P21" s="119">
        <f t="shared" si="5"/>
        <v>313.62115850847459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</v>
      </c>
      <c r="I25" s="114">
        <f t="shared" si="7"/>
        <v>710.26</v>
      </c>
      <c r="J25" s="274">
        <f>SUM(J16:J24)</f>
        <v>56.820800000000006</v>
      </c>
      <c r="K25" s="275">
        <f t="shared" si="7"/>
        <v>24.859100000000002</v>
      </c>
      <c r="L25" s="276">
        <f t="shared" si="7"/>
        <v>0</v>
      </c>
      <c r="M25" s="232">
        <f t="shared" si="7"/>
        <v>628.5800999999999</v>
      </c>
      <c r="N25" s="233">
        <f>SUM(N16:N24)</f>
        <v>134.23728813559319</v>
      </c>
      <c r="O25" s="101">
        <f>SUM(O16:O24)</f>
        <v>3.8140869406779658</v>
      </c>
      <c r="P25" s="234">
        <f>SUM(P16:P24)</f>
        <v>766.63147507627104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710.26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56.820800000000006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24.859100000000002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628.58010000000002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134.23728813559319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762.81738813559321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3.8140869406779663</v>
      </c>
    </row>
    <row r="35" spans="2:16" ht="15.75" customHeight="1" thickBot="1" x14ac:dyDescent="0.4">
      <c r="N35" s="345" t="s">
        <v>88</v>
      </c>
      <c r="O35" s="346"/>
      <c r="P35" s="297">
        <f>+P33+P34</f>
        <v>766.63147507627116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9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>
        <v>6</v>
      </c>
      <c r="I23" s="236">
        <f t="shared" si="0"/>
        <v>968.52</v>
      </c>
      <c r="J23" s="272">
        <f t="shared" si="1"/>
        <v>48.426000000000002</v>
      </c>
      <c r="K23" s="128">
        <f t="shared" si="1"/>
        <v>33.898200000000003</v>
      </c>
      <c r="L23" s="119">
        <f t="shared" si="1"/>
        <v>49.394519999999993</v>
      </c>
      <c r="M23" s="230">
        <f t="shared" si="2"/>
        <v>836.80128000000002</v>
      </c>
      <c r="N23" s="277">
        <f t="shared" si="3"/>
        <v>183.05084745762701</v>
      </c>
      <c r="O23" s="239">
        <f t="shared" si="4"/>
        <v>5.0992606372881353</v>
      </c>
      <c r="P23" s="119">
        <f t="shared" si="5"/>
        <v>1024.9513880949153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18</v>
      </c>
      <c r="I25" s="114">
        <f t="shared" si="7"/>
        <v>1598.07</v>
      </c>
      <c r="J25" s="274">
        <f>SUM(J16:J24)</f>
        <v>98.789999999999992</v>
      </c>
      <c r="K25" s="275">
        <f t="shared" si="7"/>
        <v>55.932450000000003</v>
      </c>
      <c r="L25" s="276">
        <f t="shared" si="7"/>
        <v>49.394519999999993</v>
      </c>
      <c r="M25" s="232">
        <f t="shared" si="7"/>
        <v>1393.9530300000001</v>
      </c>
      <c r="N25" s="233">
        <f>SUM(N16:N24)</f>
        <v>302.03389830508456</v>
      </c>
      <c r="O25" s="101">
        <f>SUM(O16:O24)</f>
        <v>8.4799346415254231</v>
      </c>
      <c r="P25" s="234">
        <f>SUM(P16:P24)</f>
        <v>1704.46686294661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1598.07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98.789999999999992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105.32696999999999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1393.9530299999999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302.03389830508456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1695.9869283050843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8.4799346415254213</v>
      </c>
    </row>
    <row r="35" spans="2:16" ht="15.75" customHeight="1" thickBot="1" x14ac:dyDescent="0.4">
      <c r="N35" s="345" t="s">
        <v>88</v>
      </c>
      <c r="O35" s="346"/>
      <c r="P35" s="297">
        <f>+P33+P34</f>
        <v>1704.4668629466098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20" workbookViewId="0">
      <selection activeCell="H27" sqref="H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119">
        <f t="shared" ref="P17:P24" si="5">M17+N17+O17</f>
        <v>679.51547485169488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48</v>
      </c>
      <c r="I25" s="114">
        <f t="shared" si="7"/>
        <v>3002.46</v>
      </c>
      <c r="J25" s="274">
        <f>SUM(J16:J24)</f>
        <v>240.1968</v>
      </c>
      <c r="K25" s="275">
        <f t="shared" si="7"/>
        <v>105.08610000000002</v>
      </c>
      <c r="L25" s="276">
        <f t="shared" si="7"/>
        <v>0</v>
      </c>
      <c r="M25" s="232">
        <f t="shared" si="7"/>
        <v>2657.1770999999999</v>
      </c>
      <c r="N25" s="233">
        <f>SUM(N16:N24)</f>
        <v>567.45762711864404</v>
      </c>
      <c r="O25" s="101">
        <f>SUM(O16:O24)</f>
        <v>16.123173635593218</v>
      </c>
      <c r="P25" s="234">
        <f>SUM(P16:P24)</f>
        <v>3240.7579007542372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3002.46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240.1968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105.08610000000002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2657.1770999999999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567.45762711864404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3224.6347271186442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16.123173635593222</v>
      </c>
    </row>
    <row r="35" spans="2:16" ht="15.75" customHeight="1" thickBot="1" x14ac:dyDescent="0.4">
      <c r="N35" s="345" t="s">
        <v>88</v>
      </c>
      <c r="O35" s="346"/>
      <c r="P35" s="297">
        <f>+P33+P34</f>
        <v>3240.7579007542372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7"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>
        <v>3</v>
      </c>
      <c r="I23" s="236">
        <f t="shared" si="0"/>
        <v>484.26</v>
      </c>
      <c r="J23" s="272">
        <f t="shared" si="1"/>
        <v>24.213000000000001</v>
      </c>
      <c r="K23" s="128">
        <f t="shared" si="1"/>
        <v>16.949100000000001</v>
      </c>
      <c r="L23" s="119">
        <f t="shared" si="1"/>
        <v>24.697259999999996</v>
      </c>
      <c r="M23" s="230">
        <f t="shared" si="2"/>
        <v>418.40064000000001</v>
      </c>
      <c r="N23" s="277">
        <f t="shared" si="3"/>
        <v>91.525423728813507</v>
      </c>
      <c r="O23" s="239">
        <f t="shared" si="4"/>
        <v>2.5496303186440676</v>
      </c>
      <c r="P23" s="119">
        <f t="shared" si="5"/>
        <v>512.47569404745764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3</v>
      </c>
      <c r="I25" s="114">
        <f t="shared" si="7"/>
        <v>484.26</v>
      </c>
      <c r="J25" s="274">
        <f>SUM(J16:J24)</f>
        <v>24.213000000000001</v>
      </c>
      <c r="K25" s="275">
        <f t="shared" si="7"/>
        <v>16.949100000000001</v>
      </c>
      <c r="L25" s="276">
        <f t="shared" si="7"/>
        <v>24.697259999999996</v>
      </c>
      <c r="M25" s="232">
        <f t="shared" si="7"/>
        <v>418.40064000000001</v>
      </c>
      <c r="N25" s="233">
        <f>SUM(N16:N24)</f>
        <v>91.525423728813507</v>
      </c>
      <c r="O25" s="101">
        <f>SUM(O16:O24)</f>
        <v>2.5496303186440676</v>
      </c>
      <c r="P25" s="234">
        <f>SUM(P16:P24)</f>
        <v>512.47569404745764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484.26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24.213000000000001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41.646360000000001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418.40063999999995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509.92606372881346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2.5496303186440672</v>
      </c>
    </row>
    <row r="35" spans="2:16" ht="15.75" customHeight="1" thickBot="1" x14ac:dyDescent="0.4">
      <c r="N35" s="345" t="s">
        <v>88</v>
      </c>
      <c r="O35" s="346"/>
      <c r="P35" s="297">
        <f>+P33+P34</f>
        <v>512.47569404745752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8.7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topLeftCell="A13"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46326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46325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479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480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>Chicken Chatkhara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 xml:space="preserve">Meat Masala </v>
      </c>
      <c r="C18" s="106" t="e">
        <f>VLOOKUP(B18,'Cust. Price List'!E8:P16,2,0)</f>
        <v>#N/A</v>
      </c>
      <c r="D18" s="92" t="e">
        <f>VLOOKUP(A18,'Cust. Price List'!D8:M16,4,0)</f>
        <v>#N/A</v>
      </c>
      <c r="E18" s="92" t="e">
        <f>VLOOKUP(A18,'Cust. Price List'!D8:M16,6,0)</f>
        <v>#N/A</v>
      </c>
      <c r="F18" s="263" t="e">
        <f>VLOOKUP(A18,'Cust. Price List'!D8:M16,10,0)</f>
        <v>#N/A</v>
      </c>
      <c r="G18" s="83"/>
      <c r="H18" s="96"/>
      <c r="I18" s="236" t="e">
        <f t="shared" si="4"/>
        <v>#N/A</v>
      </c>
      <c r="J18" s="128" t="e">
        <f t="shared" si="0"/>
        <v>#N/A</v>
      </c>
      <c r="K18" s="119" t="e">
        <f t="shared" si="1"/>
        <v>#N/A</v>
      </c>
      <c r="L18" s="230" t="e">
        <f t="shared" si="2"/>
        <v>#N/A</v>
      </c>
      <c r="M18" s="230" t="e">
        <f t="shared" si="5"/>
        <v>#N/A</v>
      </c>
      <c r="N18" s="239" t="e">
        <f t="shared" si="6"/>
        <v>#N/A</v>
      </c>
      <c r="O18" s="119" t="e">
        <f t="shared" si="3"/>
        <v>#N/A</v>
      </c>
    </row>
    <row r="19" spans="1:18 16383:16383" x14ac:dyDescent="0.35">
      <c r="A19" s="82" t="s">
        <v>459</v>
      </c>
      <c r="B19" s="109" t="str">
        <f>VLOOKUP($A19,'Cust. Price List'!$D$6:$O$14,2,0)</f>
        <v>Chicken Chatkhara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Meat Masala (Jumbo)</v>
      </c>
      <c r="C21" s="106" t="e">
        <f>VLOOKUP(B21,'Cust. Price List'!E11:P19,2,0)</f>
        <v>#N/A</v>
      </c>
      <c r="D21" s="92" t="e">
        <f>VLOOKUP(A21,'Cust. Price List'!D11:M19,4,0)</f>
        <v>#N/A</v>
      </c>
      <c r="E21" s="92" t="e">
        <f>VLOOKUP(A21,'Cust. Price List'!D11:M19,6,0)</f>
        <v>#N/A</v>
      </c>
      <c r="F21" s="263" t="e">
        <f>VLOOKUP(A21,'Cust. Price List'!D11:M19,10,0)</f>
        <v>#N/A</v>
      </c>
      <c r="G21" s="83"/>
      <c r="H21" s="96"/>
      <c r="I21" s="236" t="e">
        <f t="shared" si="4"/>
        <v>#N/A</v>
      </c>
      <c r="J21" s="128" t="e">
        <f t="shared" si="0"/>
        <v>#N/A</v>
      </c>
      <c r="K21" s="119" t="e">
        <f t="shared" si="1"/>
        <v>#N/A</v>
      </c>
      <c r="L21" s="230" t="e">
        <f t="shared" si="2"/>
        <v>#N/A</v>
      </c>
      <c r="M21" s="230" t="e">
        <f t="shared" si="5"/>
        <v>#N/A</v>
      </c>
      <c r="N21" s="239" t="e">
        <f t="shared" si="6"/>
        <v>#N/A</v>
      </c>
      <c r="O21" s="119" t="e">
        <f t="shared" si="3"/>
        <v>#N/A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e">
        <f>VLOOKUP($A23,'Cust. Price List'!$D$6:$O$14,2,0)</f>
        <v>#N/A</v>
      </c>
      <c r="C23" s="106" t="e">
        <f>VLOOKUP(B23,'Cust. Price List'!E13:P21,2,0)</f>
        <v>#N/A</v>
      </c>
      <c r="D23" s="92" t="e">
        <f>VLOOKUP(A23,'Cust. Price List'!D13:M21,4,0)</f>
        <v>#N/A</v>
      </c>
      <c r="E23" s="92" t="e">
        <f>VLOOKUP(A23,'Cust. Price List'!D13:M21,6,0)</f>
        <v>#N/A</v>
      </c>
      <c r="F23" s="263" t="e">
        <f>VLOOKUP(A23,'Cust. Price List'!D13:M21,10,0)</f>
        <v>#N/A</v>
      </c>
      <c r="G23" s="83"/>
      <c r="H23" s="96"/>
      <c r="I23" s="236" t="e">
        <f t="shared" si="4"/>
        <v>#N/A</v>
      </c>
      <c r="J23" s="128" t="e">
        <f t="shared" si="0"/>
        <v>#N/A</v>
      </c>
      <c r="K23" s="119" t="e">
        <f t="shared" si="1"/>
        <v>#N/A</v>
      </c>
      <c r="L23" s="230" t="e">
        <f t="shared" si="2"/>
        <v>#N/A</v>
      </c>
      <c r="M23" s="230" t="e">
        <f t="shared" si="5"/>
        <v>#N/A</v>
      </c>
      <c r="N23" s="239" t="e">
        <f t="shared" si="6"/>
        <v>#N/A</v>
      </c>
      <c r="O23" s="119" t="e">
        <f t="shared" si="3"/>
        <v>#N/A</v>
      </c>
    </row>
    <row r="24" spans="1:18 16383:16383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48</v>
      </c>
      <c r="E24" s="98">
        <f>VLOOKUP(A24,'Cust. Price List'!D14:M22,6,0)</f>
        <v>50</v>
      </c>
      <c r="F24" s="264">
        <f>VLOOKUP(A24,'Cust. Price List'!D14:M22,10,0)</f>
        <v>32.69166666666667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 t="e">
        <f t="shared" si="7"/>
        <v>#N/A</v>
      </c>
      <c r="J25" s="101" t="e">
        <f t="shared" si="7"/>
        <v>#N/A</v>
      </c>
      <c r="K25" s="102" t="e">
        <f t="shared" si="7"/>
        <v>#N/A</v>
      </c>
      <c r="L25" s="232" t="e">
        <f t="shared" si="7"/>
        <v>#N/A</v>
      </c>
      <c r="M25" s="233" t="e">
        <f>SUM(M16:M24)</f>
        <v>#N/A</v>
      </c>
      <c r="N25" s="101" t="e">
        <f>SUM(N16:N24)</f>
        <v>#N/A</v>
      </c>
      <c r="O25" s="234" t="e">
        <f>SUM(O16:O24)</f>
        <v>#N/A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 t="e">
        <f>I25</f>
        <v>#N/A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 t="e">
        <f>K25</f>
        <v>#N/A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 t="e">
        <f>J25</f>
        <v>#N/A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 t="e">
        <f>O28-O29-O30</f>
        <v>#N/A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 t="e">
        <f>N32*O31</f>
        <v>#N/A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 t="e">
        <f>O31+O32</f>
        <v>#N/A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 t="e">
        <f>N34*O33</f>
        <v>#N/A</v>
      </c>
    </row>
    <row r="35" spans="2:15" ht="15.75" customHeight="1" thickBot="1" x14ac:dyDescent="0.4">
      <c r="M35" s="345" t="s">
        <v>88</v>
      </c>
      <c r="N35" s="346"/>
      <c r="O35" s="141" t="e">
        <f>O28-O29+O31+O34</f>
        <v>#N/A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483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470</v>
      </c>
      <c r="N2" s="242" t="s">
        <v>481</v>
      </c>
      <c r="O2" s="242" t="s">
        <v>482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475</v>
      </c>
      <c r="D6" s="409"/>
      <c r="E6" s="409"/>
      <c r="F6" s="409"/>
      <c r="G6" s="409"/>
      <c r="T6" s="257" t="s">
        <v>486</v>
      </c>
      <c r="U6" s="257" t="s">
        <v>487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483</v>
      </c>
      <c r="N7" s="407"/>
      <c r="O7" s="408"/>
      <c r="P7" s="256" t="s">
        <v>474</v>
      </c>
      <c r="Q7" s="242" t="s">
        <v>472</v>
      </c>
      <c r="R7" s="404" t="s">
        <v>474</v>
      </c>
      <c r="S7" s="404" t="s">
        <v>484</v>
      </c>
      <c r="T7" s="402" t="s">
        <v>485</v>
      </c>
      <c r="U7" s="402" t="s">
        <v>485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470</v>
      </c>
      <c r="N8" s="242" t="s">
        <v>481</v>
      </c>
      <c r="O8" s="242" t="s">
        <v>482</v>
      </c>
      <c r="P8" s="242" t="s">
        <v>471</v>
      </c>
      <c r="Q8" s="242" t="s">
        <v>473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476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483</v>
      </c>
      <c r="N13" s="407"/>
      <c r="O13" s="408"/>
      <c r="P13" s="256" t="s">
        <v>474</v>
      </c>
      <c r="Q13" s="242" t="s">
        <v>472</v>
      </c>
      <c r="R13" s="404" t="s">
        <v>474</v>
      </c>
      <c r="S13" s="404" t="s">
        <v>484</v>
      </c>
      <c r="T13" s="402" t="s">
        <v>485</v>
      </c>
      <c r="U13" s="402" t="s">
        <v>485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470</v>
      </c>
      <c r="N14" s="242" t="s">
        <v>481</v>
      </c>
      <c r="O14" s="242" t="s">
        <v>482</v>
      </c>
      <c r="P14" s="242" t="s">
        <v>471</v>
      </c>
      <c r="Q14" s="242" t="s">
        <v>473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477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483</v>
      </c>
      <c r="N20" s="407"/>
      <c r="O20" s="408"/>
      <c r="P20" s="256" t="s">
        <v>474</v>
      </c>
      <c r="Q20" s="242" t="s">
        <v>472</v>
      </c>
      <c r="R20" s="404" t="s">
        <v>474</v>
      </c>
      <c r="S20" s="404" t="s">
        <v>484</v>
      </c>
      <c r="T20" s="402" t="s">
        <v>485</v>
      </c>
      <c r="U20" s="402" t="s">
        <v>485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470</v>
      </c>
      <c r="N21" s="242" t="s">
        <v>481</v>
      </c>
      <c r="O21" s="242" t="s">
        <v>482</v>
      </c>
      <c r="P21" s="242" t="s">
        <v>488</v>
      </c>
      <c r="Q21" s="242" t="s">
        <v>473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478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483</v>
      </c>
      <c r="N27" s="407"/>
      <c r="O27" s="408"/>
      <c r="P27" s="256" t="s">
        <v>474</v>
      </c>
      <c r="Q27" s="242" t="s">
        <v>472</v>
      </c>
      <c r="R27" s="404" t="s">
        <v>474</v>
      </c>
      <c r="S27" s="404" t="s">
        <v>484</v>
      </c>
      <c r="T27" s="402" t="s">
        <v>485</v>
      </c>
      <c r="U27" s="402" t="s">
        <v>485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470</v>
      </c>
      <c r="N28" s="242" t="s">
        <v>481</v>
      </c>
      <c r="O28" s="242" t="s">
        <v>482</v>
      </c>
      <c r="P28" s="242" t="s">
        <v>488</v>
      </c>
      <c r="Q28" s="242" t="s">
        <v>473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483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470</v>
      </c>
      <c r="M2" s="242" t="s">
        <v>481</v>
      </c>
      <c r="N2" s="242" t="s">
        <v>482</v>
      </c>
      <c r="P2" s="242" t="s">
        <v>489</v>
      </c>
      <c r="Q2" s="259" t="s">
        <v>490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2026-10-30T11:02:58Z</dcterms:modified>
</cp:coreProperties>
</file>