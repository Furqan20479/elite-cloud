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982CE11-5865-4F38-90F9-A87BDFB36C2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5" i="70" s="1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<sst xmlns="http://schemas.openxmlformats.org/spreadsheetml/2006/main" count="3948" uniqueCount="530">
  <si>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</si>
  <si>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</si>
  <si>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</si>
  <si>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</si>
  <si>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</si>
  <si>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</si>
  <si>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</si>
  <si>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</si>
  <si>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</si>
  <si>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</si>
  <si>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</si>
  <si>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</si>
  <si>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</si>
  <si>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</si>
  <si>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</si>
  <si>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</si>
  <si>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</si>
  <si>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</si>
  <si>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</si>
  <si>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</si>
  <si>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</si>
  <si>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</si>
  <si>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</si>
  <si>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</si>
  <si>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</si>
  <si>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</si>
  <si>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</si>
  <si>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</si>
  <si>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</si>
  <si>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</si>
  <si>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</si>
  <si>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</si>
  <si>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</si>
  <si>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</si>
  <si>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</si>
  <si>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</si>
  <si>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</si>
  <si>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</si>
  <si>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</si>
  <si>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</si>
  <si>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</si>
  <si>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</si>
  <si>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</si>
  <si>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</si>
  <si>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</si>
  <si>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</si>
  <si>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</si>
  <si>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</si>
  <si>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</si>
  <si>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</si>
  <si>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</si>
  <si>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</si>
  <si>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</si>
  <si>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</si>
  <si>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</si>
  <si>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</si>
  <si>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</si>
  <si>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</si>
  <si>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</si>
  <si>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</si>
  <si>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</si>
  <si>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</si>
  <si>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</si>
  <si>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</si>
  <si>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</si>
  <si>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</si>
  <si>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</si>
  <si>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</si>
  <si>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</si>
  <si>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</si>
  <si>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</si>
  <si>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</si>
  <si>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</si>
  <si>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</si>
  <si>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</si>
  <si>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</si>
  <si>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</si>
  <si>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</si>
  <si>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</si>
  <si>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</si>
  <si>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</si>
  <si>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</si>
  <si>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</si>
  <si>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</si>
  <si>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</si>
  <si>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</si>
  <si>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</si>
  <si>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</si>
  <si>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</si>
  <si>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</si>
  <si>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</si>
  <si>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</si>
  <si>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</si>
  <si>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</si>
  <si>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</si>
  <si>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</si>
  <si>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</si>
  <si>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</si>
  <si>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</si>
  <si>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</si>
  <si>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</si>
  <si>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</si>
  <si>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</si>
  <si>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</si>
  <si>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</si>
  <si>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</si>
  <si>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</si>
  <si>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</si>
  <si>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</si>
  <si>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</si>
  <si>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</si>
  <si>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</si>
  <si>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</si>
  <si>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</si>
  <si>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</si>
  <si>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</si>
  <si>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</si>
  <si>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</si>
  <si>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</si>
  <si>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</si>
  <si>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</si>
  <si>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</si>
  <si>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</si>
  <si>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</si>
  <si>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</si>
  <si>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</si>
  <si>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</si>
  <si>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</si>
  <si>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</si>
  <si>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</si>
  <si>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</si>
  <si>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</si>
  <si>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</si>
  <si>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</si>
  <si>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</si>
  <si>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</si>
  <si>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</si>
  <si>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</si>
  <si>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</si>
  <si>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</si>
  <si>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</si>
  <si>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</si>
  <si>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</si>
  <si>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</si>
  <si>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</si>
  <si>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</si>
  <si>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</si>
  <si>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</si>
  <si>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</si>
  <si>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</si>
  <si>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</si>
  <si>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</si>
  <si>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</si>
  <si>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</si>
  <si>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</si>
  <si>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</si>
  <si>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</si>
  <si>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</si>
  <si>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</si>
  <si>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</si>
  <si>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</si>
  <si>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</si>
  <si>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</si>
  <si>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</si>
  <si>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</si>
  <si>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</si>
  <si>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</si>
  <si>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</si>
  <si>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</si>
  <si>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</si>
  <si>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</si>
  <si>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</si>
  <si>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</si>
  <si>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</si>
  <si>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</si>
  <si>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</si>
  <si>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</si>
  <si>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</si>
  <si>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</si>
  <si>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</si>
  <si>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</si>
  <si>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</si>
  <si>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</si>
  <si>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</si>
  <si>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</si>
  <si>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</si>
  <si>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</si>
  <si>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</si>
  <si>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</si>
  <si>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</si>
  <si>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</si>
  <si>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</si>
  <si>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</si>
  <si>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</si>
  <si>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</si>
  <si>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</si>
  <si>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</si>
  <si>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</si>
  <si>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</si>
  <si>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</si>
  <si>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</si>
  <si>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</si>
  <si>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</si>
  <si>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</si>
  <si>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</si>
  <si>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</si>
  <si>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</si>
  <si>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</si>
  <si>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</si>
  <si>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</si>
  <si>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</si>
  <si>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</si>
  <si>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</si>
  <si>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</si>
  <si>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</si>
  <si>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</si>
  <si>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</si>
  <si>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</si>
  <si>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</si>
  <si>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</si>
  <si>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</si>
  <si>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</si>
  <si>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</si>
  <si>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</si>
  <si>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</si>
  <si>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</si>
  <si>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</si>
  <si>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</si>
  <si>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</si>
  <si>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</si>
  <si>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</si>
  <si>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</si>
  <si>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</si>
  <si>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</si>
  <si>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</si>
  <si>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</si>
  <si>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</si>
  <si>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</si>
  <si>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</si>
  <si>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</si>
  <si>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</si>
  <si>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</si>
  <si>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</si>
  <si>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</si>
  <si>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</si>
  <si>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</si>
  <si>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</si>
  <si>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</si>
  <si>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</si>
  <si>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</si>
  <si>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</si>
  <si>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</si>
  <si>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</si>
  <si>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</si>
  <si>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</si>
  <si>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</si>
  <si>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</si>
  <si>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</si>
  <si>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</si>
  <si>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</si>
  <si>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</si>
  <si>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</si>
  <si>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</si>
  <si>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</si>
  <si>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</si>
  <si>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</si>
  <si>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</si>
  <si>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</si>
  <si>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</si>
  <si>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</si>
  <si>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</si>
  <si>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</si>
  <si>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</si>
  <si>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</si>
  <si>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</si>
  <si>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</si>
  <si>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</si>
  <si>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</si>
  <si>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</si>
  <si>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</si>
  <si>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</si>
  <si>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</si>
  <si>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</si>
  <si>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</si>
  <si>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</si>
  <si>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</si>
  <si>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</si>
  <si>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</si>
  <si>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</si>
  <si>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</si>
  <si>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</si>
  <si>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</si>
  <si>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</si>
  <si>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</si>
  <si>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</si>
  <si>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</si>
  <si>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</si>
  <si>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</si>
  <si>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</si>
  <si>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</si>
  <si>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</si>
  <si>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</si>
  <si>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</si>
  <si>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</si>
  <si>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</si>
  <si>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</si>
  <si>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</si>
  <si>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</si>
  <si>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</si>
  <si>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</si>
  <si>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</si>
  <si>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</si>
  <si>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</si>
  <si>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</si>
  <si>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</si>
  <si>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</si>
  <si>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</si>
  <si>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</si>
  <si>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</si>
  <si>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</si>
  <si>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</si>
  <si>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</si>
  <si>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</si>
  <si>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</si>
  <si>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</si>
  <si>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</si>
  <si>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</si>
  <si>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</si>
  <si>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</si>
  <si>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</si>
  <si>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</si>
  <si>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</si>
  <si>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</si>
  <si>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</si>
  <si>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</si>
  <si>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</si>
  <si>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</si>
  <si>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</si>
  <si>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</si>
  <si>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</si>
  <si>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</si>
  <si>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</si>
  <si>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</si>
  <si>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</si>
  <si>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</si>
  <si>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</si>
  <si>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</si>
  <si>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</si>
  <si>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</si>
  <si>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</si>
  <si>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</si>
  <si>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</si>
  <si>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</si>
  <si>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</si>
  <si>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</si>
  <si>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</si>
  <si>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</si>
  <si>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</si>
  <si>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</si>
  <si>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</si>
  <si>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</si>
  <si>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</si>
  <si>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</si>
  <si>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</si>
  <si>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</si>
  <si>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</si>
  <si>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</si>
  <si>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</si>
  <si>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</si>
  <si>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</si>
  <si>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</si>
  <si>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</si>
  <si>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</si>
  <si>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</si>
  <si>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</si>
  <si>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</si>
  <si>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</si>
  <si>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</si>
  <si>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</si>
  <si>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</si>
  <si>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</si>
  <si>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</si>
  <si>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</si>
  <si>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</si>
  <si>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</si>
  <si>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</si>
  <si>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</si>
  <si>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</si>
  <si>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</si>
  <si>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</si>
  <si>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</si>
  <si>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</si>
  <si>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</si>
  <si>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</si>
  <si>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</si>
  <si>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</si>
  <si>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</si>
  <si>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</si>
  <si>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</si>
  <si>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</si>
  <si>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</si>
  <si>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</si>
  <si>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</si>
  <si>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</si>
  <si>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</si>
  <si>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</si>
  <si>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</si>
  <si>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</si>
  <si>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</si>
  <si>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</si>
  <si>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</si>
  <si>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</si>
  <si>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</si>
  <si>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</si>
  <si>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</si>
  <si>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</si>
  <si>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</si>
  <si>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</si>
  <si>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</si>
  <si>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</si>
  <si>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</si>
  <si>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</si>
  <si>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</si>
  <si>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</si>
  <si>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</si>
  <si>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</si>
  <si>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</si>
  <si>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</si>
  <si>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</si>
  <si>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</si>
  <si>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</si>
  <si>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</si>
  <si>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</si>
  <si>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</si>
  <si>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</si>
  <si>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</si>
  <si>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</si>
  <si>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</si>
  <si>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</si>
  <si>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</si>
  <si>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</si>
  <si>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</si>
  <si>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</si>
  <si>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</si>
  <si>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</si>
  <si>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</si>
  <si>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</si>
  <si>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</si>
  <si>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</si>
  <si>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</si>
  <si>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</si>
  <si>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</si>
  <si>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</si>
  <si>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</si>
  <si>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</si>
  <si>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</si>
  <si>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</si>
  <si>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</si>
  <si>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</si>
  <si>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</si>
  <si>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</si>
  <si>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</si>
  <si>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</si>
  <si>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</si>
  <si>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</si>
  <si>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</si>
  <si>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</si>
  <si>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</si>
  <si>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</si>
  <si>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</si>
  <si>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</si>
  <si>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</si>
  <si>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</si>
  <si>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</si>
  <si>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</si>
  <si>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</si>
  <si>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</si>
  <si>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</si>
  <si>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</si>
  <si>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</si>
  <si>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</si>
  <si>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</si>
  <si>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</si>
  <si>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</si>
  <si>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</si>
  <si>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</si>
  <si>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</si>
  <si>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</si>
  <si>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</si>
  <si>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</si>
  <si>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</si>
  <si>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</si>
  <si>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</si>
  <si>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</si>
  <si>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</si>
  <si>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</si>
  <si>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</si>
  <si>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</si>
  <si>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</si>
  <si>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</si>
  <si>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</si>
  <si>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</si>
  <si>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</si>
  <si>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</si>
  <si>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</si>
  <si>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</si>
  <si>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</si>
  <si>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</si>
  <si>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</si>
  <si>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</si>
  <si>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</si>
  <si>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</si>
  <si>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</si>
  <si>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</si>
  <si>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</si>
  <si>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>Furqan</t>
  </si>
  <si>
    <t>Hikma Super Store</t>
  </si>
  <si>
    <t>Address: Askari 5</t>
  </si>
  <si>
    <t>Sanwal Store</t>
  </si>
  <si>
    <t>Quality Store</t>
  </si>
  <si>
    <t xml:space="preserve">Pak Bakery </t>
  </si>
  <si>
    <t>Address: Naseera Abad</t>
  </si>
  <si>
    <t xml:space="preserve">New Kashmir Bakery </t>
  </si>
  <si>
    <t xml:space="preserve">Address: Gopal Nager </t>
  </si>
  <si>
    <t xml:space="preserve">Fazale Kabeer </t>
  </si>
  <si>
    <t>Ramzan GS</t>
  </si>
  <si>
    <t xml:space="preserve">Address: Gopal Nager Filter Wli Park </t>
  </si>
  <si>
    <t xml:space="preserve">Al Madina Photo Copy </t>
  </si>
  <si>
    <t>Saleem store</t>
  </si>
  <si>
    <t>Saleem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</si>
</sst>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497</v>
      </c>
      <c r="F2" s="386"/>
      <c r="G2" s="386"/>
      <c r="H2" s="383" t="s">
        <v>515</v>
      </c>
      <c r="I2" s="383"/>
      <c r="J2" s="384"/>
      <c r="R2" s="380" t="s">
        <v>496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507</v>
      </c>
      <c r="F3" s="390"/>
      <c r="G3" s="390"/>
      <c r="H3" s="387">
        <v>46325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Hikma Super Store</v>
      </c>
      <c r="T3" s="301">
        <f>+'1'!P35</f>
        <v>1620.3789503771186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Sanwal Store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Quality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492</v>
      </c>
      <c r="M6" s="348"/>
      <c r="N6" s="356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 xml:space="preserve">Pak Bakery 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54</v>
      </c>
      <c r="I7" s="235">
        <f>(G7*D7)*F7+H7*F7</f>
        <v>2832.9749999999999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226.63800000000001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99.154125000000008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2507.182875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535.42372881355914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15.213033019067794</v>
      </c>
      <c r="P7" s="310">
        <f>M7+N7+O7</f>
        <v>3057.8196368326271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New Kashmir Bakery </v>
      </c>
      <c r="T7" s="301">
        <f>+'5'!P35</f>
        <v>2160.5052671694912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42</v>
      </c>
      <c r="I8" s="236">
        <f t="shared" ref="I8:I14" si="0">(G8*D8)*F8+H8*F8</f>
        <v>2203.4249999999997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176.274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77.119875000000008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1950.0311249999997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416.44067796610148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11.832359014830509</v>
      </c>
      <c r="P8" s="311">
        <f t="shared" ref="P8:P15" si="2">M8+N8+O8</f>
        <v>2378.3041619809319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Fazale Kabeer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Ramzan GS</v>
      </c>
      <c r="T9" s="301">
        <f>+'7'!P35</f>
        <v>766.63147507627116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Al Madina Photo Copy </v>
      </c>
      <c r="T10" s="301">
        <f>+'8'!P35</f>
        <v>1704.4668629466098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42</v>
      </c>
      <c r="I11" s="236">
        <f t="shared" si="0"/>
        <v>3050.88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244.07040000000001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106.78080000000001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2700.0288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576.61016949152543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16.383194847457627</v>
      </c>
      <c r="P11" s="311">
        <f t="shared" si="2"/>
        <v>3293.0221643389832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Saleem store</v>
      </c>
      <c r="T11" s="301">
        <f>+'9'!P35</f>
        <v>3240.7579007542372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</v>
      </c>
      <c r="I12" s="236">
        <f t="shared" si="0"/>
        <v>3777.28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302.18240000000003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132.20480000000001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3342.8928000000001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713.89830508474597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20.283955525423732</v>
      </c>
      <c r="P12" s="311">
        <f t="shared" si="2"/>
        <v>4077.0750606101697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Saleem Store</v>
      </c>
      <c r="T12" s="301">
        <f>+'10'!P35</f>
        <v>512.47569404745752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9</v>
      </c>
      <c r="I14" s="236">
        <f t="shared" si="0"/>
        <v>1452.78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72.63900000000001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50.847300000000004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74.091779999999986</v>
      </c>
      <c r="M14" s="230">
        <f t="shared" si="1"/>
        <v>1255.20192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274.57627118644052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7.6488909559322025</v>
      </c>
      <c r="P14" s="311">
        <f t="shared" si="2"/>
        <v>1537.4270821423727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4.9749999999999996</v>
      </c>
      <c r="H16" s="113">
        <f t="shared" ref="H16:M16" si="3">SUM(H7:H15)</f>
        <v>199</v>
      </c>
      <c r="I16" s="114">
        <f t="shared" si="3"/>
        <v>13317.34</v>
      </c>
      <c r="J16" s="274">
        <f>SUM(J7:J15)</f>
        <v>1021.8038000000001</v>
      </c>
      <c r="K16" s="275">
        <f t="shared" si="3"/>
        <v>466.1069</v>
      </c>
      <c r="L16" s="276">
        <f t="shared" si="3"/>
        <v>74.091779999999986</v>
      </c>
      <c r="M16" s="232">
        <f t="shared" si="3"/>
        <v>11755.337519999999</v>
      </c>
      <c r="N16" s="233">
        <f>SUM(N7:N15)</f>
        <v>2516.9491525423723</v>
      </c>
      <c r="O16" s="101">
        <f>SUM(O7:O15)</f>
        <v>71.361433362711864</v>
      </c>
      <c r="P16" s="113">
        <f>SUM(P7:P15)</f>
        <v>14343.648105905086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13317.34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1021.8038000000001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540.19867999999997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11755.337520000001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2516.9491525423723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14272.286672542374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71.361433362711864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14343.648105905086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14343.648105905084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1501.23</v>
      </c>
      <c r="J25" s="274">
        <f>SUM(J16:J24)</f>
        <v>120.0984</v>
      </c>
      <c r="K25" s="275">
        <f t="shared" si="10"/>
        <v>52.543050000000008</v>
      </c>
      <c r="L25" s="276">
        <f t="shared" si="10"/>
        <v>0</v>
      </c>
      <c r="M25" s="232">
        <f t="shared" si="10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1501.23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120.0984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52.543050000000008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1328.5885499999999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1612.3173635593221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74" t="s">
        <v>88</v>
      </c>
      <c r="O35" s="375"/>
      <c r="P35" s="297">
        <f>+P33+P34</f>
        <v>1620.3789503771186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</v>
      </c>
      <c r="I25" s="114">
        <f t="shared" si="7"/>
        <v>2001.6399999999999</v>
      </c>
      <c r="J25" s="274">
        <f>SUM(J16:J24)</f>
        <v>160.13120000000001</v>
      </c>
      <c r="K25" s="275">
        <f t="shared" si="7"/>
        <v>70.057400000000001</v>
      </c>
      <c r="L25" s="276">
        <f t="shared" si="7"/>
        <v>0</v>
      </c>
      <c r="M25" s="232">
        <f t="shared" si="7"/>
        <v>1771.4513999999999</v>
      </c>
      <c r="N25" s="233">
        <f>SUM(N16:N24)</f>
        <v>378.30508474576266</v>
      </c>
      <c r="O25" s="101">
        <f>SUM(O16:O24)</f>
        <v>10.748782423728812</v>
      </c>
      <c r="P25" s="234">
        <f>SUM(P16:P24)</f>
        <v>2160.5052671694912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2001.6399999999999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160.13120000000001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70.057400000000001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1771.4513999999999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378.30508474576266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2149.7564847457625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10.748782423728812</v>
      </c>
    </row>
    <row r="35" spans="2:16" ht="15.75" customHeight="1" thickBot="1" x14ac:dyDescent="0.4">
      <c r="N35" s="374" t="s">
        <v>88</v>
      </c>
      <c r="O35" s="375"/>
      <c r="P35" s="297">
        <f>+P33+P34</f>
        <v>2160.5052671694912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9</v>
      </c>
      <c r="I20" s="236">
        <f t="shared" si="0"/>
        <v>653.76</v>
      </c>
      <c r="J20" s="272">
        <f t="shared" si="1"/>
        <v>52.300800000000002</v>
      </c>
      <c r="K20" s="128">
        <f t="shared" si="1"/>
        <v>22.881600000000002</v>
      </c>
      <c r="L20" s="119">
        <f t="shared" si="1"/>
        <v>0</v>
      </c>
      <c r="M20" s="230">
        <f t="shared" si="2"/>
        <v>578.57759999999996</v>
      </c>
      <c r="N20" s="277">
        <f t="shared" si="3"/>
        <v>123.55932203389831</v>
      </c>
      <c r="O20" s="239">
        <f t="shared" si="4"/>
        <v>3.5106846101694913</v>
      </c>
      <c r="P20" s="119">
        <f t="shared" si="5"/>
        <v>705.64760664406776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710.26</v>
      </c>
      <c r="J25" s="274">
        <f>SUM(J16:J24)</f>
        <v>56.820800000000006</v>
      </c>
      <c r="K25" s="275">
        <f t="shared" si="7"/>
        <v>24.859100000000002</v>
      </c>
      <c r="L25" s="276">
        <f t="shared" si="7"/>
        <v>0</v>
      </c>
      <c r="M25" s="232">
        <f t="shared" si="7"/>
        <v>628.5800999999999</v>
      </c>
      <c r="N25" s="233">
        <f>SUM(N16:N24)</f>
        <v>134.23728813559319</v>
      </c>
      <c r="O25" s="101">
        <f>SUM(O16:O24)</f>
        <v>3.8140869406779658</v>
      </c>
      <c r="P25" s="234">
        <f>SUM(P16:P24)</f>
        <v>766.63147507627104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710.26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56.820800000000006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24.859100000000002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628.58010000000002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134.23728813559319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762.81738813559321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3.8140869406779663</v>
      </c>
    </row>
    <row r="35" spans="2:16" ht="15.75" customHeight="1" thickBot="1" x14ac:dyDescent="0.4">
      <c r="N35" s="374" t="s">
        <v>88</v>
      </c>
      <c r="O35" s="375"/>
      <c r="P35" s="297">
        <f>+P33+P34</f>
        <v>766.63147507627116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6</v>
      </c>
      <c r="I23" s="236">
        <f t="shared" si="0"/>
        <v>968.52</v>
      </c>
      <c r="J23" s="272">
        <f t="shared" si="1"/>
        <v>48.426000000000002</v>
      </c>
      <c r="K23" s="128">
        <f t="shared" si="1"/>
        <v>33.898200000000003</v>
      </c>
      <c r="L23" s="119">
        <f t="shared" si="1"/>
        <v>49.394519999999993</v>
      </c>
      <c r="M23" s="230">
        <f t="shared" si="2"/>
        <v>836.80128000000002</v>
      </c>
      <c r="N23" s="277">
        <f t="shared" si="3"/>
        <v>183.05084745762701</v>
      </c>
      <c r="O23" s="239">
        <f t="shared" si="4"/>
        <v>5.0992606372881353</v>
      </c>
      <c r="P23" s="119">
        <f t="shared" si="5"/>
        <v>1024.9513880949153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1598.07</v>
      </c>
      <c r="J25" s="274">
        <f>SUM(J16:J24)</f>
        <v>98.789999999999992</v>
      </c>
      <c r="K25" s="275">
        <f t="shared" si="7"/>
        <v>55.932450000000003</v>
      </c>
      <c r="L25" s="276">
        <f t="shared" si="7"/>
        <v>49.394519999999993</v>
      </c>
      <c r="M25" s="232">
        <f t="shared" si="7"/>
        <v>1393.9530300000001</v>
      </c>
      <c r="N25" s="233">
        <f>SUM(N16:N24)</f>
        <v>302.03389830508456</v>
      </c>
      <c r="O25" s="101">
        <f>SUM(O16:O24)</f>
        <v>8.4799346415254231</v>
      </c>
      <c r="P25" s="234">
        <f>SUM(P16:P24)</f>
        <v>1704.46686294661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1598.07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98.789999999999992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105.32696999999999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1393.9530299999999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302.03389830508456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1695.9869283050843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8.4799346415254213</v>
      </c>
    </row>
    <row r="35" spans="2:16" ht="15.75" customHeight="1" thickBot="1" x14ac:dyDescent="0.4">
      <c r="N35" s="374" t="s">
        <v>88</v>
      </c>
      <c r="O35" s="375"/>
      <c r="P35" s="297">
        <f>+P33+P34</f>
        <v>1704.4668629466098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0" workbookViewId="0">
      <selection activeCell="H27" sqref="H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48</v>
      </c>
      <c r="I25" s="114">
        <f t="shared" si="7"/>
        <v>3002.46</v>
      </c>
      <c r="J25" s="274">
        <f>SUM(J16:J24)</f>
        <v>240.1968</v>
      </c>
      <c r="K25" s="275">
        <f t="shared" si="7"/>
        <v>105.08610000000002</v>
      </c>
      <c r="L25" s="276">
        <f t="shared" si="7"/>
        <v>0</v>
      </c>
      <c r="M25" s="232">
        <f t="shared" si="7"/>
        <v>2657.1770999999999</v>
      </c>
      <c r="N25" s="233">
        <f>SUM(N16:N24)</f>
        <v>567.45762711864404</v>
      </c>
      <c r="O25" s="101">
        <f>SUM(O16:O24)</f>
        <v>16.123173635593218</v>
      </c>
      <c r="P25" s="234">
        <f>SUM(P16:P24)</f>
        <v>3240.7579007542372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3002.46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240.1968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105.08610000000002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2657.1770999999999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567.45762711864404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3224.6347271186442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16.123173635593222</v>
      </c>
    </row>
    <row r="35" spans="2:16" ht="15.75" customHeight="1" thickBot="1" x14ac:dyDescent="0.4">
      <c r="N35" s="374" t="s">
        <v>88</v>
      </c>
      <c r="O35" s="375"/>
      <c r="P35" s="297">
        <f>+P33+P34</f>
        <v>3240.7579007542372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3</v>
      </c>
      <c r="I23" s="236">
        <f t="shared" si="0"/>
        <v>484.26</v>
      </c>
      <c r="J23" s="272">
        <f t="shared" si="1"/>
        <v>24.213000000000001</v>
      </c>
      <c r="K23" s="128">
        <f t="shared" si="1"/>
        <v>16.949100000000001</v>
      </c>
      <c r="L23" s="119">
        <f t="shared" si="1"/>
        <v>24.697259999999996</v>
      </c>
      <c r="M23" s="230">
        <f t="shared" si="2"/>
        <v>418.40064000000001</v>
      </c>
      <c r="N23" s="277">
        <f t="shared" si="3"/>
        <v>91.525423728813507</v>
      </c>
      <c r="O23" s="239">
        <f t="shared" si="4"/>
        <v>2.5496303186440676</v>
      </c>
      <c r="P23" s="119">
        <f t="shared" si="5"/>
        <v>512.47569404745764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484.26</v>
      </c>
      <c r="J25" s="274">
        <f>SUM(J16:J24)</f>
        <v>24.213000000000001</v>
      </c>
      <c r="K25" s="275">
        <f t="shared" si="7"/>
        <v>16.949100000000001</v>
      </c>
      <c r="L25" s="276">
        <f t="shared" si="7"/>
        <v>24.697259999999996</v>
      </c>
      <c r="M25" s="232">
        <f t="shared" si="7"/>
        <v>418.40064000000001</v>
      </c>
      <c r="N25" s="233">
        <f>SUM(N16:N24)</f>
        <v>91.525423728813507</v>
      </c>
      <c r="O25" s="101">
        <f>SUM(O16:O24)</f>
        <v>2.5496303186440676</v>
      </c>
      <c r="P25" s="234">
        <f>SUM(P16:P24)</f>
        <v>512.47569404745764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484.26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24.213000000000001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41.646360000000001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418.40063999999995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509.92606372881346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2.5496303186440672</v>
      </c>
    </row>
    <row r="35" spans="2:16" ht="15.75" customHeight="1" thickBot="1" x14ac:dyDescent="0.4">
      <c r="N35" s="374" t="s">
        <v>88</v>
      </c>
      <c r="O35" s="375"/>
      <c r="P35" s="297">
        <f>+P33+P34</f>
        <v>512.47569404745752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 t="e">
        <f>I25</f>
        <v>#N/A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 t="e">
        <f>K25</f>
        <v>#N/A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 t="e">
        <f>J25</f>
        <v>#N/A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 t="e">
        <f>O28-O29-O30</f>
        <v>#N/A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 t="e">
        <f>O31+O32</f>
        <v>#N/A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74" t="s">
        <v>88</v>
      </c>
      <c r="N35" s="375"/>
      <c r="O35" s="141" t="e">
        <f>O28-O29+O31+O34</f>
        <v>#N/A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483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475</v>
      </c>
      <c r="D6" s="407"/>
      <c r="E6" s="407"/>
      <c r="F6" s="407"/>
      <c r="G6" s="407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483</v>
      </c>
      <c r="N7" s="403"/>
      <c r="O7" s="404"/>
      <c r="P7" s="256" t="s">
        <v>474</v>
      </c>
      <c r="Q7" s="242" t="s">
        <v>472</v>
      </c>
      <c r="R7" s="405" t="s">
        <v>474</v>
      </c>
      <c r="S7" s="405" t="s">
        <v>484</v>
      </c>
      <c r="T7" s="411" t="s">
        <v>485</v>
      </c>
      <c r="U7" s="411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476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483</v>
      </c>
      <c r="N13" s="403"/>
      <c r="O13" s="404"/>
      <c r="P13" s="256" t="s">
        <v>474</v>
      </c>
      <c r="Q13" s="242" t="s">
        <v>472</v>
      </c>
      <c r="R13" s="405" t="s">
        <v>474</v>
      </c>
      <c r="S13" s="405" t="s">
        <v>484</v>
      </c>
      <c r="T13" s="411" t="s">
        <v>485</v>
      </c>
      <c r="U13" s="411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477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483</v>
      </c>
      <c r="N20" s="403"/>
      <c r="O20" s="404"/>
      <c r="P20" s="256" t="s">
        <v>474</v>
      </c>
      <c r="Q20" s="242" t="s">
        <v>472</v>
      </c>
      <c r="R20" s="405" t="s">
        <v>474</v>
      </c>
      <c r="S20" s="405" t="s">
        <v>484</v>
      </c>
      <c r="T20" s="411" t="s">
        <v>485</v>
      </c>
      <c r="U20" s="411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478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483</v>
      </c>
      <c r="N27" s="403"/>
      <c r="O27" s="404"/>
      <c r="P27" s="256" t="s">
        <v>474</v>
      </c>
      <c r="Q27" s="242" t="s">
        <v>472</v>
      </c>
      <c r="R27" s="405" t="s">
        <v>474</v>
      </c>
      <c r="S27" s="405" t="s">
        <v>484</v>
      </c>
      <c r="T27" s="411" t="s">
        <v>485</v>
      </c>
      <c r="U27" s="411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483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2026-10-30T12:47:15Z</dcterms:modified>
</cp:coreProperties>
</file>