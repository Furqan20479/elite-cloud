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FFBD0C-FBCE-416D-A039-2B3844DC6320}" xr6:coauthVersionLast="47" xr6:coauthVersionMax="47" xr10:uidLastSave="{00000000-0000-0000-0000-000000000000}"/>
  <bookViews>
    <workbookView xWindow="-110" yWindow="-110" windowWidth="19420" windowHeight="10420" tabRatio="594" firstSheet="3" activeTab="1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0" i="11" l="1"/>
  <c r="H11" i="62" s="1"/>
  <c r="H15" i="62"/>
  <c r="H14" i="62"/>
  <c r="H13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O16" i="52" s="1"/>
  <c r="P16" i="52" s="1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<sst xmlns="http://schemas.openxmlformats.org/spreadsheetml/2006/main" count="3920" uniqueCount="529">
  <si>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</si>
  <si>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</si>
  <si>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</si>
  <si>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</si>
  <si>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</si>
  <si>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</si>
  <si>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</si>
  <si>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</si>
  <si>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</si>
  <si>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</si>
  <si>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</si>
  <si>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</si>
  <si>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</si>
  <si>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</si>
  <si>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</si>
  <si>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</si>
  <si>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</si>
  <si>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</si>
  <si>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</si>
  <si>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</si>
  <si>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</si>
  <si>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</si>
  <si>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</si>
  <si>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</si>
  <si>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</si>
  <si>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</si>
  <si>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</si>
  <si>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</si>
  <si>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</si>
  <si>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</si>
  <si>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</si>
  <si>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</si>
  <si>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</si>
  <si>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</si>
  <si>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</si>
  <si>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</si>
  <si>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</si>
  <si>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</si>
  <si>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</si>
  <si>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</si>
  <si>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</si>
  <si>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</si>
  <si>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</si>
  <si>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</si>
  <si>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</si>
  <si>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</si>
  <si>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</si>
  <si>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</si>
  <si>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</si>
  <si>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</si>
  <si>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</si>
  <si>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</si>
  <si>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</si>
  <si>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</si>
  <si>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</si>
  <si>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</si>
  <si>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</si>
  <si>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</si>
  <si>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</si>
  <si>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</si>
  <si>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</si>
  <si>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</si>
  <si>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</si>
  <si>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</si>
  <si>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</si>
  <si>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</si>
  <si>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</si>
  <si>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</si>
  <si>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</si>
  <si>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</si>
  <si>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</si>
  <si>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</si>
  <si>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</si>
  <si>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</si>
  <si>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</si>
  <si>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</si>
  <si>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</si>
  <si>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</si>
  <si>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</si>
  <si>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</si>
  <si>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</si>
  <si>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</si>
  <si>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</si>
  <si>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</si>
  <si>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</si>
  <si>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</si>
  <si>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</si>
  <si>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</si>
  <si>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</si>
  <si>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</si>
  <si>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</si>
  <si>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</si>
  <si>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</si>
  <si>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</si>
  <si>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</si>
  <si>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</si>
  <si>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</si>
  <si>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</si>
  <si>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</si>
  <si>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</si>
  <si>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</si>
  <si>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</si>
  <si>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</si>
  <si>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</si>
  <si>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</si>
  <si>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</si>
  <si>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</si>
  <si>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</si>
  <si>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</si>
  <si>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</si>
  <si>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</si>
  <si>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</si>
  <si>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</si>
  <si>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</si>
  <si>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</si>
  <si>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</si>
  <si>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</si>
  <si>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</si>
  <si>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</si>
  <si>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</si>
  <si>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</si>
  <si>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</si>
  <si>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</si>
  <si>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</si>
  <si>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</si>
  <si>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</si>
  <si>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</si>
  <si>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</si>
  <si>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</si>
  <si>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</si>
  <si>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</si>
  <si>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</si>
  <si>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</si>
  <si>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</si>
  <si>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</si>
  <si>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</si>
  <si>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</si>
  <si>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</si>
  <si>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</si>
  <si>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</si>
  <si>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</si>
  <si>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</si>
  <si>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</si>
  <si>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</si>
  <si>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</si>
  <si>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</si>
  <si>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</si>
  <si>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</si>
  <si>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</si>
  <si>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</si>
  <si>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</si>
  <si>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</si>
  <si>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</si>
  <si>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</si>
  <si>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</si>
  <si>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</si>
  <si>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</si>
  <si>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</si>
  <si>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</si>
  <si>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</si>
  <si>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</si>
  <si>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</si>
  <si>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</si>
  <si>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</si>
  <si>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</si>
  <si>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</si>
  <si>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</si>
  <si>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</si>
  <si>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</si>
  <si>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</si>
  <si>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</si>
  <si>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</si>
  <si>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</si>
  <si>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</si>
  <si>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</si>
  <si>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</si>
  <si>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</si>
  <si>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</si>
  <si>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</si>
  <si>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</si>
  <si>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</si>
  <si>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</si>
  <si>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</si>
  <si>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</si>
  <si>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</si>
  <si>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</si>
  <si>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</si>
  <si>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</si>
  <si>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</si>
  <si>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</si>
  <si>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</si>
  <si>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</si>
  <si>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</si>
  <si>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</si>
  <si>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</si>
  <si>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</si>
  <si>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</si>
  <si>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</si>
  <si>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</si>
  <si>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</si>
  <si>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</si>
  <si>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</si>
  <si>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</si>
  <si>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</si>
  <si>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</si>
  <si>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</si>
  <si>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</si>
  <si>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</si>
  <si>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</si>
  <si>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</si>
  <si>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</si>
  <si>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</si>
  <si>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</si>
  <si>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</si>
  <si>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</si>
  <si>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</si>
  <si>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</si>
  <si>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</si>
  <si>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</si>
  <si>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</si>
  <si>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</si>
  <si>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</si>
  <si>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</si>
  <si>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</si>
  <si>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</si>
  <si>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</si>
  <si>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</si>
  <si>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</si>
  <si>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</si>
  <si>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</si>
  <si>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</si>
  <si>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</si>
  <si>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</si>
  <si>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</si>
  <si>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</si>
  <si>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</si>
  <si>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</si>
  <si>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</si>
  <si>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</si>
  <si>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</si>
  <si>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</si>
  <si>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</si>
  <si>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</si>
  <si>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</si>
  <si>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</si>
  <si>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</si>
  <si>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</si>
  <si>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</si>
  <si>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</si>
  <si>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</si>
  <si>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</si>
  <si>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</si>
  <si>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</si>
  <si>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</si>
  <si>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</si>
  <si>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</si>
  <si>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</si>
  <si>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</si>
  <si>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</si>
  <si>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</si>
  <si>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</si>
  <si>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</si>
  <si>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</si>
  <si>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</si>
  <si>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</si>
  <si>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</si>
  <si>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</si>
  <si>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</si>
  <si>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</si>
  <si>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</si>
  <si>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</si>
  <si>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</si>
  <si>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</si>
  <si>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</si>
  <si>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</si>
  <si>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</si>
  <si>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</si>
  <si>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</si>
  <si>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</si>
  <si>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</si>
  <si>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</si>
  <si>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</si>
  <si>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</si>
  <si>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</si>
  <si>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</si>
  <si>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</si>
  <si>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</si>
  <si>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</si>
  <si>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</si>
  <si>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</si>
  <si>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</si>
  <si>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</si>
  <si>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</si>
  <si>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</si>
  <si>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</si>
  <si>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</si>
  <si>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</si>
  <si>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</si>
  <si>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</si>
  <si>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</si>
  <si>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</si>
  <si>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</si>
  <si>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</si>
  <si>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</si>
  <si>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</si>
  <si>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</si>
  <si>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</si>
  <si>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</si>
  <si>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</si>
  <si>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</si>
  <si>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</si>
  <si>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</si>
  <si>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</si>
  <si>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</si>
  <si>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</si>
  <si>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</si>
  <si>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</si>
  <si>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</si>
  <si>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</si>
  <si>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</si>
  <si>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</si>
  <si>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</si>
  <si>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</si>
  <si>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</si>
  <si>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</si>
  <si>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</si>
  <si>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</si>
  <si>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</si>
  <si>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</si>
  <si>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</si>
  <si>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</si>
  <si>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</si>
  <si>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</si>
  <si>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</si>
  <si>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</si>
  <si>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</si>
  <si>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</si>
  <si>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</si>
  <si>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</si>
  <si>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</si>
  <si>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</si>
  <si>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</si>
  <si>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</si>
  <si>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</si>
  <si>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</si>
  <si>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</si>
  <si>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</si>
  <si>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</si>
  <si>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</si>
  <si>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</si>
  <si>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</si>
  <si>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</si>
  <si>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</si>
  <si>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</si>
  <si>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</si>
  <si>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</si>
  <si>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</si>
  <si>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</si>
  <si>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</si>
  <si>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</si>
  <si>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</si>
  <si>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</si>
  <si>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</si>
  <si>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</si>
  <si>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</si>
  <si>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</si>
  <si>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</si>
  <si>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</si>
  <si>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</si>
  <si>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</si>
  <si>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</si>
  <si>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</si>
  <si>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</si>
  <si>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</si>
  <si>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</si>
  <si>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</si>
  <si>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</si>
  <si>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</si>
  <si>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</si>
  <si>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</si>
  <si>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</si>
  <si>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</si>
  <si>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</si>
  <si>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</si>
  <si>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</si>
  <si>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</si>
  <si>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</si>
  <si>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</si>
  <si>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</si>
  <si>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</si>
  <si>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</si>
  <si>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</si>
  <si>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</si>
  <si>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</si>
  <si>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</si>
  <si>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</si>
  <si>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</si>
  <si>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</si>
  <si>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</si>
  <si>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</si>
  <si>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</si>
  <si>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</si>
  <si>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</si>
  <si>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</si>
  <si>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</si>
  <si>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</si>
  <si>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</si>
  <si>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</si>
  <si>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</si>
  <si>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</si>
  <si>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</si>
  <si>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</si>
  <si>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</si>
  <si>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</si>
  <si>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</si>
  <si>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</si>
  <si>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</si>
  <si>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</si>
  <si>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</si>
  <si>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</si>
  <si>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</si>
  <si>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</si>
  <si>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</si>
  <si>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</si>
  <si>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</si>
  <si>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</si>
  <si>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</si>
  <si>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</si>
  <si>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</si>
  <si>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</si>
  <si>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</si>
  <si>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</si>
  <si>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</si>
  <si>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</si>
  <si>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</si>
  <si>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</si>
  <si>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</si>
  <si>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</si>
  <si>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</si>
  <si>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</si>
  <si>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</si>
  <si>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</si>
  <si>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</si>
  <si>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</si>
  <si>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</si>
  <si>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</si>
  <si>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</si>
  <si>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</si>
  <si>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</si>
  <si>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</si>
  <si>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</si>
  <si>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</si>
  <si>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</si>
  <si>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</si>
  <si>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</si>
  <si>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</si>
  <si>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</si>
  <si>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</si>
  <si>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</si>
  <si>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</si>
  <si>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</si>
  <si>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</si>
  <si>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</si>
  <si>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</si>
  <si>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</si>
  <si>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</si>
  <si>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</si>
  <si>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</si>
  <si>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</si>
  <si>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</si>
  <si>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</si>
  <si>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</si>
  <si>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</si>
  <si>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</si>
  <si>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</si>
  <si>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</si>
  <si>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</si>
  <si>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</si>
  <si>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</si>
  <si>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</si>
  <si>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</si>
  <si>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</si>
  <si>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</si>
  <si>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</si>
  <si>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</si>
  <si>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</si>
  <si>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</si>
  <si>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</si>
  <si>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</si>
  <si>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</si>
  <si>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</si>
  <si>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</si>
  <si>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</si>
  <si>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</si>
  <si>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</si>
  <si>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</si>
  <si>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</si>
  <si>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</si>
  <si>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</si>
  <si>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</si>
  <si>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</si>
  <si>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</si>
  <si>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</si>
  <si>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</si>
  <si>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</si>
  <si>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</si>
  <si>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</si>
  <si>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</si>
  <si>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</si>
  <si>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</si>
  <si>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</si>
  <si>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Invoice No # :4512348</t>
  </si>
  <si>
    <t>NTN #: 8316307-2</t>
  </si>
  <si>
    <t>Invoice No # : 001245</t>
  </si>
  <si>
    <t>Address:  Shekhpura</t>
  </si>
  <si>
    <t xml:space="preserve">Address: Model Town </t>
  </si>
  <si>
    <t xml:space="preserve">Address: Wapda Town </t>
  </si>
  <si>
    <t>M/S Hadayat Traders</t>
  </si>
  <si>
    <t xml:space="preserve">Return </t>
  </si>
  <si>
    <t>QTY</t>
  </si>
  <si>
    <t>Address: Barki Road</t>
  </si>
  <si>
    <t xml:space="preserve">Address: Shadra </t>
  </si>
  <si>
    <t xml:space="preserve">Address: Gujjranwala </t>
  </si>
  <si>
    <t>Address: EME</t>
  </si>
  <si>
    <t xml:space="preserve">Address: Behria Town </t>
  </si>
  <si>
    <t>Address: Defence Road</t>
  </si>
  <si>
    <t>Invoice No # :00015</t>
  </si>
  <si>
    <t>Invoice No # :0012425161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</si>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</sst>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4" t="s">
        <v>24</v>
      </c>
      <c r="B2" s="314"/>
      <c r="C2" s="314"/>
      <c r="D2" s="314"/>
      <c r="E2" s="314"/>
      <c r="F2" s="314"/>
      <c r="G2" s="314"/>
      <c r="H2" s="314"/>
    </row>
    <row r="3" spans="1:21" ht="18" thickBot="1" x14ac:dyDescent="0.35">
      <c r="A3" s="315" t="s">
        <v>15</v>
      </c>
      <c r="B3" s="315"/>
      <c r="C3" s="315"/>
      <c r="D3" s="315"/>
      <c r="E3" s="315"/>
      <c r="F3" s="315"/>
      <c r="G3" s="315"/>
      <c r="H3" s="31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6" t="s">
        <v>37</v>
      </c>
      <c r="P3" s="31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8" t="s">
        <v>25</v>
      </c>
      <c r="D4" s="31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2" t="s">
        <v>30</v>
      </c>
      <c r="H13" s="31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2" t="s">
        <v>30</v>
      </c>
      <c r="H26" s="31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2" t="s">
        <v>30</v>
      </c>
      <c r="H37" s="31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4" t="s">
        <v>24</v>
      </c>
      <c r="B2" s="314"/>
      <c r="C2" s="314"/>
      <c r="D2" s="314"/>
      <c r="E2" s="314"/>
      <c r="F2" s="314"/>
      <c r="G2" s="314"/>
      <c r="H2" s="314"/>
    </row>
    <row r="3" spans="1:21" ht="18" thickBot="1" x14ac:dyDescent="0.35">
      <c r="A3" s="315" t="s">
        <v>15</v>
      </c>
      <c r="B3" s="315"/>
      <c r="C3" s="315"/>
      <c r="D3" s="315"/>
      <c r="E3" s="315"/>
      <c r="F3" s="315"/>
      <c r="G3" s="315"/>
      <c r="H3" s="31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6" t="s">
        <v>37</v>
      </c>
      <c r="P3" s="31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8" t="s">
        <v>25</v>
      </c>
      <c r="D4" s="31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2" t="s">
        <v>30</v>
      </c>
      <c r="H13" s="31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2" t="s">
        <v>30</v>
      </c>
      <c r="H26" s="31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2" t="s">
        <v>30</v>
      </c>
      <c r="H37" s="31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0"/>
      <c r="B3" s="320"/>
      <c r="C3" s="320"/>
      <c r="D3" s="320"/>
      <c r="E3" s="320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</row>
    <row r="4" spans="1:29" x14ac:dyDescent="0.35">
      <c r="A4" s="322" t="s">
        <v>436</v>
      </c>
      <c r="B4" s="165" t="s">
        <v>437</v>
      </c>
      <c r="C4" s="165"/>
      <c r="D4" s="324" t="s">
        <v>438</v>
      </c>
      <c r="E4" s="326" t="s">
        <v>439</v>
      </c>
      <c r="F4" s="328" t="s">
        <v>58</v>
      </c>
      <c r="G4" s="328"/>
      <c r="H4" s="329" t="s">
        <v>440</v>
      </c>
      <c r="I4" s="329"/>
      <c r="J4" s="330" t="s">
        <v>441</v>
      </c>
      <c r="K4" s="331"/>
      <c r="L4" s="330" t="s">
        <v>442</v>
      </c>
      <c r="M4" s="331"/>
      <c r="N4" s="332" t="s">
        <v>443</v>
      </c>
      <c r="O4" s="332"/>
      <c r="P4" s="330" t="s">
        <v>86</v>
      </c>
      <c r="Q4" s="331"/>
      <c r="R4" s="330" t="s">
        <v>444</v>
      </c>
      <c r="S4" s="331"/>
      <c r="T4" s="333" t="s">
        <v>445</v>
      </c>
      <c r="U4" s="333"/>
      <c r="V4" s="334" t="s">
        <v>446</v>
      </c>
      <c r="W4" s="335"/>
      <c r="X4" s="334" t="s">
        <v>447</v>
      </c>
      <c r="Y4" s="335"/>
    </row>
    <row r="5" spans="1:29" ht="26.25" customHeight="1" thickBot="1" x14ac:dyDescent="0.4">
      <c r="A5" s="323"/>
      <c r="B5" s="167" t="s">
        <v>448</v>
      </c>
      <c r="C5" s="167" t="s">
        <v>438</v>
      </c>
      <c r="D5" s="325"/>
      <c r="E5" s="32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3" t="s">
        <v>91</v>
      </c>
      <c r="B2" s="383"/>
      <c r="C2" s="383"/>
      <c r="E2" s="376" t="s">
        <v>497</v>
      </c>
      <c r="F2" s="374"/>
      <c r="G2" s="374"/>
      <c r="H2" s="374" t="s">
        <v>507</v>
      </c>
      <c r="I2" s="374"/>
      <c r="J2" s="375"/>
      <c r="R2" s="371" t="s">
        <v>506</v>
      </c>
      <c r="S2" s="372"/>
      <c r="T2" s="373"/>
    </row>
    <row r="3" spans="1:20 16377:16378" ht="21.75" customHeight="1" thickBot="1" x14ac:dyDescent="0.4">
      <c r="A3" s="384" t="s">
        <v>92</v>
      </c>
      <c r="B3" s="384"/>
      <c r="C3" s="384"/>
      <c r="E3" s="379" t="s">
        <v>498</v>
      </c>
      <c r="F3" s="380"/>
      <c r="G3" s="380"/>
      <c r="H3" s="377">
        <v>46297</v>
      </c>
      <c r="I3" s="377"/>
      <c r="J3" s="378"/>
      <c r="K3" s="385" t="s">
        <v>43</v>
      </c>
      <c r="L3" s="385"/>
      <c r="M3" s="385"/>
      <c r="N3" s="384"/>
      <c r="O3" s="384"/>
      <c r="P3" s="384"/>
      <c r="R3" s="299">
        <v>1</v>
      </c>
      <c r="S3" s="300" t="str">
        <f>+'1'!A6:A6</f>
        <v>Rainbow Cash &amp; Carry</v>
      </c>
      <c r="T3" s="301">
        <f>+'1'!P35</f>
        <v>11671.31803004237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M/S Hadayat Traders</v>
      </c>
      <c r="T4" s="301">
        <f>+'2'!P35</f>
        <v>5922.0078101694908</v>
      </c>
      <c r="XEX4" t="s">
        <v>105</v>
      </c>
    </row>
    <row r="5" spans="1:20 16377:16378" ht="21.75" customHeight="1" thickBot="1" x14ac:dyDescent="0.4">
      <c r="A5" s="336" t="s">
        <v>51</v>
      </c>
      <c r="B5" s="337"/>
      <c r="C5" s="340" t="s">
        <v>90</v>
      </c>
      <c r="D5" s="115" t="s">
        <v>52</v>
      </c>
      <c r="E5" s="342" t="s">
        <v>58</v>
      </c>
      <c r="F5" s="343"/>
      <c r="G5" s="344" t="s">
        <v>54</v>
      </c>
      <c r="H5" s="345"/>
      <c r="I5" s="346" t="s">
        <v>77</v>
      </c>
      <c r="J5" s="382" t="s">
        <v>55</v>
      </c>
      <c r="K5" s="344"/>
      <c r="L5" s="345"/>
      <c r="M5" s="337" t="s">
        <v>84</v>
      </c>
      <c r="N5" s="38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11021.523748093221</v>
      </c>
      <c r="XEX5" t="s">
        <v>106</v>
      </c>
    </row>
    <row r="6" spans="1:20 16377:16378" ht="21.75" customHeight="1" thickBot="1" x14ac:dyDescent="0.4">
      <c r="A6" s="338"/>
      <c r="B6" s="339"/>
      <c r="C6" s="34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7"/>
      <c r="J6" s="143" t="s">
        <v>59</v>
      </c>
      <c r="K6" s="144" t="s">
        <v>39</v>
      </c>
      <c r="L6" s="145" t="s">
        <v>493</v>
      </c>
      <c r="M6" s="339"/>
      <c r="N6" s="347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12337.543908686441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106.39363347457626</v>
      </c>
      <c r="P7" s="118">
        <f>M7+N7+O7</f>
        <v>21385.120328389832</v>
      </c>
      <c r="Q7" s="142"/>
      <c r="R7" s="299">
        <v>5</v>
      </c>
      <c r="S7" s="300" t="str">
        <f>+'5'!A6:A6</f>
        <v>Rainbow Cash &amp; Carry</v>
      </c>
      <c r="T7" s="301">
        <f>+'5'!P35</f>
        <v>7238.0279707627124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1762.74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10387.575000000001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63.836180084745756</v>
      </c>
      <c r="P8" s="119">
        <f t="shared" ref="P8:P15" si="2">M8+N8+O8</f>
        <v>12831.072197033896</v>
      </c>
      <c r="R8" s="299">
        <v>6</v>
      </c>
      <c r="S8" s="300" t="str">
        <f>+'6'!A6:A6</f>
        <v>Rainbow Cash &amp; Carry</v>
      </c>
      <c r="T8" s="301">
        <f>+'6'!P35</f>
        <v>10199.031875847457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5099.5159379237284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Rainbow Cash &amp; Carry</v>
      </c>
      <c r="T10" s="301">
        <f>+'8'!P35</f>
        <v>54614.090452118646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311</v>
      </c>
      <c r="I11" s="236">
        <f t="shared" si="0"/>
        <v>22591.040000000001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3162.7456000000002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790.68640000000005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18637.608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4269.6610169491523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114.53634508474576</v>
      </c>
      <c r="P11" s="119">
        <f t="shared" si="2"/>
        <v>23021.805362033901</v>
      </c>
      <c r="R11" s="299">
        <v>9</v>
      </c>
      <c r="S11" s="300" t="str">
        <f>+'9'!A6:A6</f>
        <v>Rainbow Cash &amp; Carry</v>
      </c>
      <c r="T11" s="301">
        <f>+'9'!P35</f>
        <v>19082.043591101698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1080</v>
      </c>
      <c r="I12" s="236">
        <f t="shared" si="0"/>
        <v>78451.199999999997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10983.168000000001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2745.7920000000004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64722.239999999991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14827.118644067798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397.74679322033899</v>
      </c>
      <c r="P12" s="119">
        <f t="shared" si="2"/>
        <v>79947.105437288134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6">
        <f>COUNT(A7:A15)</f>
        <v>0</v>
      </c>
      <c r="B16" s="348"/>
      <c r="C16" s="348" t="s">
        <v>40</v>
      </c>
      <c r="D16" s="348"/>
      <c r="E16" s="348"/>
      <c r="F16" s="349"/>
      <c r="G16" s="117">
        <f t="shared" ref="G16:M16" si="3">SUM(G7:G15)</f>
        <v>0</v>
      </c>
      <c r="H16" s="113">
        <f t="shared" si="3"/>
        <v>2031</v>
      </c>
      <c r="I16" s="114">
        <f t="shared" si="3"/>
        <v>134618.23999999999</v>
      </c>
      <c r="J16" s="274">
        <f>SUM(J7:J15)</f>
        <v>18846.553600000003</v>
      </c>
      <c r="K16" s="275">
        <f t="shared" si="3"/>
        <v>4711.6384000000007</v>
      </c>
      <c r="L16" s="276">
        <f t="shared" si="3"/>
        <v>0</v>
      </c>
      <c r="M16" s="232">
        <f t="shared" si="3"/>
        <v>111060.048</v>
      </c>
      <c r="N16" s="233">
        <f>SUM(N7:N15)</f>
        <v>25442.542372881355</v>
      </c>
      <c r="O16" s="101">
        <f>SUM(O7:O15)</f>
        <v>682.51295186440677</v>
      </c>
      <c r="P16" s="234">
        <f>SUM(P7:P15)</f>
        <v>137185.10332474578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0" t="s">
        <v>64</v>
      </c>
      <c r="C19" s="351"/>
      <c r="D19" s="351"/>
      <c r="E19" s="351"/>
      <c r="F19" s="351"/>
      <c r="G19" s="351"/>
      <c r="H19" s="351"/>
      <c r="I19" s="351"/>
      <c r="J19" s="351"/>
      <c r="K19" s="351"/>
      <c r="L19" s="352"/>
      <c r="N19" s="359" t="s">
        <v>60</v>
      </c>
      <c r="O19" s="360"/>
      <c r="P19" s="139">
        <f>I16</f>
        <v>134618.23999999999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3"/>
      <c r="C20" s="354"/>
      <c r="D20" s="354"/>
      <c r="E20" s="354"/>
      <c r="F20" s="354"/>
      <c r="G20" s="354"/>
      <c r="H20" s="354"/>
      <c r="I20" s="354"/>
      <c r="J20" s="354"/>
      <c r="K20" s="354"/>
      <c r="L20" s="355"/>
      <c r="N20" s="361" t="s">
        <v>85</v>
      </c>
      <c r="O20" s="362"/>
      <c r="P20" s="140">
        <f>+J16</f>
        <v>18846.553600000003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3"/>
      <c r="C21" s="354"/>
      <c r="D21" s="354"/>
      <c r="E21" s="354"/>
      <c r="F21" s="354"/>
      <c r="G21" s="354"/>
      <c r="H21" s="354"/>
      <c r="I21" s="354"/>
      <c r="J21" s="354"/>
      <c r="K21" s="354"/>
      <c r="L21" s="355"/>
      <c r="N21" s="361" t="s">
        <v>86</v>
      </c>
      <c r="O21" s="362"/>
      <c r="P21" s="140">
        <f>+K16+L16</f>
        <v>4711.6384000000007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3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131"/>
      <c r="N22" s="361" t="s">
        <v>87</v>
      </c>
      <c r="O22" s="362"/>
      <c r="P22" s="140">
        <f>P19-P20-P21</f>
        <v>111060.048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3"/>
      <c r="C23" s="354"/>
      <c r="D23" s="354"/>
      <c r="E23" s="354"/>
      <c r="F23" s="354"/>
      <c r="G23" s="354"/>
      <c r="H23" s="354"/>
      <c r="I23" s="354"/>
      <c r="J23" s="354"/>
      <c r="K23" s="354"/>
      <c r="L23" s="355"/>
      <c r="M23" s="131"/>
      <c r="N23" s="136" t="s">
        <v>61</v>
      </c>
      <c r="O23" s="133">
        <v>0.18</v>
      </c>
      <c r="P23" s="140">
        <f>+N16</f>
        <v>25442.542372881355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3"/>
      <c r="C24" s="354"/>
      <c r="D24" s="354"/>
      <c r="E24" s="354"/>
      <c r="F24" s="354"/>
      <c r="G24" s="354"/>
      <c r="H24" s="354"/>
      <c r="I24" s="354"/>
      <c r="J24" s="354"/>
      <c r="K24" s="354"/>
      <c r="L24" s="355"/>
      <c r="M24" s="131"/>
      <c r="N24" s="363" t="s">
        <v>76</v>
      </c>
      <c r="O24" s="364"/>
      <c r="P24" s="140">
        <f>P22+P23</f>
        <v>136502.59037288136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6"/>
      <c r="C25" s="357"/>
      <c r="D25" s="357"/>
      <c r="E25" s="357"/>
      <c r="F25" s="357"/>
      <c r="G25" s="357"/>
      <c r="H25" s="357"/>
      <c r="I25" s="357"/>
      <c r="J25" s="357"/>
      <c r="K25" s="357"/>
      <c r="L25" s="358"/>
      <c r="M25" s="99"/>
      <c r="N25" s="138" t="s">
        <v>83</v>
      </c>
      <c r="O25" s="137" t="e">
        <f>IF(#REF!="Filer",0.5%,2.5%)</f>
        <v>#REF!</v>
      </c>
      <c r="P25" s="140">
        <f>+O16</f>
        <v>682.51295186440677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5" t="s">
        <v>88</v>
      </c>
      <c r="O26" s="366"/>
      <c r="P26" s="297">
        <f>+P24+P25</f>
        <v>137185.10332474575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7"/>
      <c r="D27" s="367"/>
      <c r="E27" s="367"/>
      <c r="F27" s="367"/>
      <c r="G27" s="367"/>
      <c r="H27" s="367"/>
      <c r="I27" s="368"/>
      <c r="J27" s="369"/>
      <c r="K27" s="370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137185.10332474578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526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7.2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520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307">
        <v>0.14000000000000001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f>40-9</f>
        <v>31</v>
      </c>
      <c r="I20" s="236">
        <f t="shared" si="7"/>
        <v>2251.84</v>
      </c>
      <c r="J20" s="272">
        <f t="shared" si="1"/>
        <v>315.25760000000002</v>
      </c>
      <c r="K20" s="128">
        <f t="shared" si="1"/>
        <v>78.814400000000006</v>
      </c>
      <c r="L20" s="119">
        <f t="shared" si="1"/>
        <v>0</v>
      </c>
      <c r="M20" s="230">
        <f t="shared" si="2"/>
        <v>1857.768</v>
      </c>
      <c r="N20" s="277">
        <f t="shared" si="3"/>
        <v>425.59322033898309</v>
      </c>
      <c r="O20" s="239">
        <f t="shared" si="4"/>
        <v>11.416806101694915</v>
      </c>
      <c r="P20" s="119">
        <f t="shared" si="5"/>
        <v>2294.7780264406779</v>
      </c>
      <c r="Q20" s="311">
        <v>9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" si="8">SUM(G16:G24)</f>
        <v>0</v>
      </c>
      <c r="H25" s="113">
        <f t="shared" ref="H25" si="9">SUM(H16:H24)</f>
        <v>191</v>
      </c>
      <c r="I25" s="114">
        <f t="shared" ref="I25:M25" si="10">SUM(I16:I24)</f>
        <v>11452.94</v>
      </c>
      <c r="J25" s="274">
        <f>SUM(J16:J24)</f>
        <v>1603.4116000000004</v>
      </c>
      <c r="K25" s="275">
        <f t="shared" si="10"/>
        <v>400.85290000000009</v>
      </c>
      <c r="L25" s="276">
        <f t="shared" si="10"/>
        <v>0</v>
      </c>
      <c r="M25" s="232">
        <f t="shared" si="10"/>
        <v>9448.6755000000012</v>
      </c>
      <c r="N25" s="233">
        <f>SUM(N16:N24)</f>
        <v>2164.57627118644</v>
      </c>
      <c r="O25" s="101">
        <f>SUM(O16:O24)</f>
        <v>58.066258855932197</v>
      </c>
      <c r="P25" s="234">
        <f>SUM(P16:P24)</f>
        <v>11671.31803004237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11452.94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1603.4116000000004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400.85290000000009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9448.6754999999994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2164.57627118644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11613.251771186438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58.06625885593219</v>
      </c>
    </row>
    <row r="35" spans="2:16" ht="15.75" customHeight="1" thickBot="1" x14ac:dyDescent="0.4">
      <c r="N35" s="365" t="s">
        <v>88</v>
      </c>
      <c r="O35" s="366"/>
      <c r="P35" s="297">
        <f>+P33+P34</f>
        <v>11671.31803004237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527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517</v>
      </c>
      <c r="B6" s="390"/>
      <c r="C6" s="390"/>
      <c r="F6" s="85"/>
      <c r="G6" s="86"/>
      <c r="K6" s="385" t="s">
        <v>69</v>
      </c>
      <c r="L6" s="385"/>
      <c r="M6" s="385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514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307">
        <v>0.14000000000000001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813.5680000000001</v>
      </c>
      <c r="K25" s="275">
        <f t="shared" si="7"/>
        <v>203.39200000000002</v>
      </c>
      <c r="L25" s="276">
        <f t="shared" si="7"/>
        <v>0</v>
      </c>
      <c r="M25" s="232">
        <f t="shared" si="7"/>
        <v>4794.24</v>
      </c>
      <c r="N25" s="233">
        <f>SUM(N16:N24)</f>
        <v>1098.3050847457628</v>
      </c>
      <c r="O25" s="101">
        <f>SUM(O16:O24)</f>
        <v>29.462725423728813</v>
      </c>
      <c r="P25" s="234">
        <f>SUM(P16:P24)</f>
        <v>5922.0078101694908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5811.2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813.5680000000001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203.39200000000002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4794.24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5892.5450847457623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29.462725423728813</v>
      </c>
    </row>
    <row r="35" spans="2:16" ht="15.75" customHeight="1" thickBot="1" x14ac:dyDescent="0.4">
      <c r="N35" s="365" t="s">
        <v>88</v>
      </c>
      <c r="O35" s="366"/>
      <c r="P35" s="297">
        <f>+P33+P34</f>
        <v>5922.0078101694908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6" workbookViewId="0">
      <selection activeCell="I21" sqref="I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513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521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307">
        <v>0.14000000000000001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1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</v>
      </c>
      <c r="J25" s="274">
        <f>SUM(J16:J24)</f>
        <v>1514.1420000000003</v>
      </c>
      <c r="K25" s="275">
        <f t="shared" si="7"/>
        <v>378.53550000000007</v>
      </c>
      <c r="L25" s="276">
        <f t="shared" si="7"/>
        <v>0</v>
      </c>
      <c r="M25" s="232">
        <f t="shared" si="7"/>
        <v>8922.6224999999995</v>
      </c>
      <c r="N25" s="233">
        <f>SUM(N16:N24)</f>
        <v>2044.0677966101694</v>
      </c>
      <c r="O25" s="101">
        <f>SUM(O16:O24)</f>
        <v>54.833451483050844</v>
      </c>
      <c r="P25" s="234">
        <f>SUM(P16:P24)</f>
        <v>11021.523748093219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10815.3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1514.1420000000003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378.53550000000007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8922.6224999999995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10966.69029661017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54.833451483050851</v>
      </c>
    </row>
    <row r="35" spans="2:16" ht="15.75" customHeight="1" thickBot="1" x14ac:dyDescent="0.4">
      <c r="N35" s="365" t="s">
        <v>88</v>
      </c>
      <c r="O35" s="366"/>
      <c r="P35" s="297">
        <f>+P33+P34</f>
        <v>11021.523748093221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38"/>
  <sheetViews>
    <sheetView topLeftCell="A5" workbookViewId="0">
      <selection activeCell="I22" sqref="I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511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522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307">
        <v>0.14000000000000001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0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0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0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0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0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0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1694.9380000000001</v>
      </c>
      <c r="K25" s="275">
        <f t="shared" si="7"/>
        <v>423.73450000000003</v>
      </c>
      <c r="L25" s="276">
        <f t="shared" si="7"/>
        <v>0</v>
      </c>
      <c r="M25" s="232">
        <f t="shared" si="7"/>
        <v>9988.0275000000001</v>
      </c>
      <c r="N25" s="233">
        <f>SUM(N16:N24)</f>
        <v>2288.1355932203387</v>
      </c>
      <c r="O25" s="101">
        <f>SUM(O16:O24)</f>
        <v>61.380815466101694</v>
      </c>
      <c r="P25" s="234">
        <f>SUM(P16:P24)</f>
        <v>12337.543908686439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12106.7</v>
      </c>
      <c r="Q28" s="308"/>
      <c r="S28" s="309"/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1694.9380000000001</v>
      </c>
      <c r="Q29" s="308"/>
      <c r="S29" s="309"/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423.73450000000003</v>
      </c>
      <c r="Q30" s="308"/>
      <c r="S30" s="309"/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9988.0275000000001</v>
      </c>
      <c r="Q31" s="308"/>
      <c r="S31" s="309"/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2288.1355932203387</v>
      </c>
      <c r="Q32" s="308"/>
      <c r="S32" s="309"/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12276.163093220339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61.380815466101694</v>
      </c>
    </row>
    <row r="35" spans="2:16" ht="15.75" customHeight="1" thickBot="1" x14ac:dyDescent="0.4">
      <c r="N35" s="365" t="s">
        <v>88</v>
      </c>
      <c r="O35" s="366"/>
      <c r="P35" s="297">
        <f>+P33+P34</f>
        <v>12337.543908686441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L23" sqref="L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510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307">
        <v>0.14000000000000001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994.36400000000003</v>
      </c>
      <c r="K25" s="275">
        <f t="shared" si="7"/>
        <v>248.59100000000001</v>
      </c>
      <c r="L25" s="276">
        <f t="shared" si="7"/>
        <v>0</v>
      </c>
      <c r="M25" s="232">
        <f t="shared" si="7"/>
        <v>5859.6450000000004</v>
      </c>
      <c r="N25" s="233">
        <f>SUM(N16:N24)</f>
        <v>1342.3728813559319</v>
      </c>
      <c r="O25" s="101">
        <f>SUM(O16:O24)</f>
        <v>36.010089406779656</v>
      </c>
      <c r="P25" s="234">
        <f>SUM(P16:P24)</f>
        <v>7238.0279707627114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7102.6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994.36400000000003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248.59100000000001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5859.6450000000004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7202.0178813559323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65" t="s">
        <v>88</v>
      </c>
      <c r="O35" s="366"/>
      <c r="P35" s="297">
        <f>+P33+P34</f>
        <v>7238.0279707627124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N14" sqref="N14:N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523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1401.1480000000001</v>
      </c>
      <c r="K25" s="275">
        <f t="shared" si="7"/>
        <v>350.28700000000003</v>
      </c>
      <c r="L25" s="276">
        <f t="shared" si="7"/>
        <v>0</v>
      </c>
      <c r="M25" s="232">
        <f t="shared" si="7"/>
        <v>8256.7649999999994</v>
      </c>
      <c r="N25" s="233">
        <f>SUM(N16:N24)</f>
        <v>1891.5254237288132</v>
      </c>
      <c r="O25" s="101">
        <f>SUM(O16:O24)</f>
        <v>50.741452118644062</v>
      </c>
      <c r="P25" s="234">
        <f>SUM(P16:P24)</f>
        <v>10199.031875847457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10008.200000000001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1401.1480000000001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350.28700000000003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8256.7649999999994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10148.290423728813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65" t="s">
        <v>88</v>
      </c>
      <c r="O35" s="366"/>
      <c r="P35" s="297">
        <f>+P33+P34</f>
        <v>10199.031875847457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524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1">
        <v>40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700.57400000000007</v>
      </c>
      <c r="K25" s="275">
        <f t="shared" si="7"/>
        <v>175.14350000000002</v>
      </c>
      <c r="L25" s="276">
        <f t="shared" si="7"/>
        <v>0</v>
      </c>
      <c r="M25" s="232">
        <f t="shared" si="7"/>
        <v>4128.3824999999997</v>
      </c>
      <c r="N25" s="233">
        <f>SUM(N16:N24)</f>
        <v>945.76271186440658</v>
      </c>
      <c r="O25" s="101">
        <f>SUM(O16:O24)</f>
        <v>25.370726059322031</v>
      </c>
      <c r="P25" s="234">
        <f>SUM(P16:P24)</f>
        <v>5099.5159379237284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5004.1000000000004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700.57400000000007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175.14350000000002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4128.3824999999997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5074.1452118644065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25.370726059322035</v>
      </c>
    </row>
    <row r="35" spans="2:16" ht="15.75" customHeight="1" thickBot="1" x14ac:dyDescent="0.4">
      <c r="N35" s="365" t="s">
        <v>88</v>
      </c>
      <c r="O35" s="366"/>
      <c r="P35" s="297">
        <f>+P33+P34</f>
        <v>5099.5159379237284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M22" sqref="M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Q15" s="153" t="s">
        <v>519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119">
        <f t="shared" si="5"/>
        <v>11844.015620338982</v>
      </c>
      <c r="Q20" s="311"/>
      <c r="R20">
        <f>P20/21</f>
        <v>564.00074382566584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520</v>
      </c>
      <c r="I21" s="236">
        <f t="shared" si="0"/>
        <v>37772.800000000003</v>
      </c>
      <c r="J21" s="272">
        <f t="shared" si="1"/>
        <v>5288.1920000000009</v>
      </c>
      <c r="K21" s="128">
        <f t="shared" si="1"/>
        <v>1322.0480000000002</v>
      </c>
      <c r="L21" s="119">
        <f t="shared" si="1"/>
        <v>0</v>
      </c>
      <c r="M21" s="230">
        <f t="shared" si="2"/>
        <v>31162.560000000001</v>
      </c>
      <c r="N21" s="277">
        <f t="shared" si="3"/>
        <v>7138.9830508474579</v>
      </c>
      <c r="O21" s="239">
        <f t="shared" si="4"/>
        <v>191.5077152542373</v>
      </c>
      <c r="P21" s="119">
        <f t="shared" si="5"/>
        <v>38493.050766101696</v>
      </c>
      <c r="Q21" s="311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760</v>
      </c>
      <c r="I25" s="114">
        <f t="shared" si="7"/>
        <v>53592.200000000004</v>
      </c>
      <c r="J25" s="274">
        <f>SUM(J16:J24)</f>
        <v>7502.9080000000013</v>
      </c>
      <c r="K25" s="275">
        <f t="shared" si="7"/>
        <v>1875.7270000000003</v>
      </c>
      <c r="L25" s="276">
        <f t="shared" si="7"/>
        <v>0</v>
      </c>
      <c r="M25" s="232">
        <f t="shared" si="7"/>
        <v>44213.565000000002</v>
      </c>
      <c r="N25" s="233">
        <f>SUM(N16:N24)</f>
        <v>10128.813559322034</v>
      </c>
      <c r="O25" s="101">
        <f>SUM(O16:O24)</f>
        <v>271.71189279661019</v>
      </c>
      <c r="P25" s="234">
        <f>SUM(P16:P24)</f>
        <v>54614.090452118646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53592.200000000004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7502.9080000000013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1875.7270000000003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44213.565000000002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10128.813559322034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54342.378559322038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271.71189279661019</v>
      </c>
    </row>
    <row r="35" spans="2:16" ht="15.75" customHeight="1" thickBot="1" x14ac:dyDescent="0.4">
      <c r="N35" s="365" t="s">
        <v>88</v>
      </c>
      <c r="O35" s="366"/>
      <c r="P35" s="297">
        <f>+P33+P34</f>
        <v>54614.090452118646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topLeftCell="A8" workbookViewId="0">
      <selection activeCell="P25" sqref="P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46325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46324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516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280</v>
      </c>
      <c r="I25" s="114">
        <f t="shared" si="7"/>
        <v>18725</v>
      </c>
      <c r="J25" s="274">
        <f>SUM(J16:J24)</f>
        <v>2621.5000000000005</v>
      </c>
      <c r="K25" s="275">
        <f t="shared" si="7"/>
        <v>655.37500000000011</v>
      </c>
      <c r="L25" s="276">
        <f t="shared" si="7"/>
        <v>0</v>
      </c>
      <c r="M25" s="232">
        <f t="shared" si="7"/>
        <v>15448.124999999998</v>
      </c>
      <c r="N25" s="233">
        <f>SUM(N16:N24)</f>
        <v>3538.9830508474574</v>
      </c>
      <c r="O25" s="101">
        <f>SUM(O16:O24)</f>
        <v>94.935540254237281</v>
      </c>
      <c r="P25" s="234">
        <f>SUM(P16:P24)</f>
        <v>19082.043591101694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18725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2621.5000000000005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655.37500000000011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15448.125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18987.108050847459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94.935540254237296</v>
      </c>
    </row>
    <row r="35" spans="2:16" ht="15.75" customHeight="1" thickBot="1" x14ac:dyDescent="0.4">
      <c r="N35" s="365" t="s">
        <v>88</v>
      </c>
      <c r="O35" s="366"/>
      <c r="P35" s="297">
        <f>+P33+P34</f>
        <v>19082.043591101698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46297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46296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46297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46296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46297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46296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46297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46296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43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499</v>
      </c>
      <c r="B4" s="384"/>
      <c r="C4" s="384"/>
      <c r="F4" s="85"/>
      <c r="G4" s="1"/>
      <c r="K4" s="385" t="s">
        <v>44</v>
      </c>
      <c r="L4" s="385"/>
      <c r="M4" s="385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46258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509</v>
      </c>
      <c r="B7" s="385"/>
      <c r="C7" s="385"/>
      <c r="F7" s="85"/>
      <c r="G7" s="86"/>
      <c r="K7" s="385" t="s">
        <v>66</v>
      </c>
      <c r="L7" s="385"/>
      <c r="M7" s="385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85" t="s">
        <v>67</v>
      </c>
      <c r="L8" s="385"/>
      <c r="M8" s="385"/>
      <c r="N8" s="387" t="s">
        <v>505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6" t="s">
        <v>51</v>
      </c>
      <c r="B14" s="337"/>
      <c r="C14" s="340" t="s">
        <v>90</v>
      </c>
      <c r="D14" s="115" t="s">
        <v>52</v>
      </c>
      <c r="E14" s="342" t="s">
        <v>58</v>
      </c>
      <c r="F14" s="343"/>
      <c r="G14" s="344" t="s">
        <v>54</v>
      </c>
      <c r="H14" s="345"/>
      <c r="I14" s="346" t="s">
        <v>77</v>
      </c>
      <c r="J14" s="382" t="s">
        <v>55</v>
      </c>
      <c r="K14" s="344"/>
      <c r="L14" s="345"/>
      <c r="M14" s="337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8"/>
      <c r="B15" s="339"/>
      <c r="C15" s="34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7"/>
      <c r="J15" s="143" t="s">
        <v>59</v>
      </c>
      <c r="K15" s="144" t="s">
        <v>39</v>
      </c>
      <c r="L15" s="145" t="s">
        <v>493</v>
      </c>
      <c r="M15" s="339"/>
      <c r="N15" s="347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2"/>
      <c r="N28" s="359" t="s">
        <v>60</v>
      </c>
      <c r="O28" s="360"/>
      <c r="P28" s="139">
        <f>I25</f>
        <v>0</v>
      </c>
    </row>
    <row r="29" spans="1:22 16384:16384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5"/>
      <c r="N29" s="361" t="s">
        <v>85</v>
      </c>
      <c r="O29" s="362"/>
      <c r="P29" s="140">
        <f>+J25</f>
        <v>0</v>
      </c>
    </row>
    <row r="30" spans="1:22 16384:16384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N30" s="361" t="s">
        <v>86</v>
      </c>
      <c r="O30" s="362"/>
      <c r="P30" s="140">
        <f>+K25+L25</f>
        <v>0</v>
      </c>
    </row>
    <row r="31" spans="1:22 16384:16384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5"/>
      <c r="M31" s="131"/>
      <c r="N31" s="361" t="s">
        <v>87</v>
      </c>
      <c r="O31" s="362"/>
      <c r="P31" s="140">
        <f>P28-P29-P30</f>
        <v>0</v>
      </c>
    </row>
    <row r="32" spans="1:22 16384:16384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5"/>
      <c r="M33" s="131"/>
      <c r="N33" s="363" t="s">
        <v>76</v>
      </c>
      <c r="O33" s="364"/>
      <c r="P33" s="140">
        <f>P31+P32</f>
        <v>0</v>
      </c>
    </row>
    <row r="34" spans="2:16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5" t="s">
        <v>88</v>
      </c>
      <c r="O35" s="366"/>
      <c r="P35" s="297">
        <f>+P33+P34</f>
        <v>0</v>
      </c>
    </row>
    <row r="36" spans="2:16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369"/>
      <c r="K36" s="37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3" t="s">
        <v>91</v>
      </c>
      <c r="B2" s="383"/>
      <c r="C2" s="383"/>
    </row>
    <row r="3" spans="1:18 16382:16383" ht="15" customHeight="1" x14ac:dyDescent="0.35">
      <c r="A3" s="384" t="s">
        <v>92</v>
      </c>
      <c r="B3" s="384"/>
      <c r="C3" s="384"/>
      <c r="F3" s="85"/>
      <c r="G3" s="1"/>
      <c r="J3" s="385" t="s">
        <v>43</v>
      </c>
      <c r="K3" s="385"/>
      <c r="L3" s="385"/>
      <c r="M3" s="384"/>
      <c r="N3" s="384"/>
      <c r="O3" s="38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4" t="s">
        <v>65</v>
      </c>
      <c r="B4" s="384"/>
      <c r="C4" s="384"/>
      <c r="F4" s="85"/>
      <c r="G4" s="1"/>
      <c r="J4" s="385" t="s">
        <v>44</v>
      </c>
      <c r="K4" s="385"/>
      <c r="L4" s="385"/>
      <c r="M4" s="388">
        <f ca="1">TODAY()+1</f>
        <v>46327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9" t="s">
        <v>93</v>
      </c>
      <c r="B5" s="389"/>
      <c r="C5" s="389"/>
      <c r="F5" s="85"/>
      <c r="G5" s="1"/>
      <c r="J5" s="385" t="s">
        <v>45</v>
      </c>
      <c r="K5" s="385"/>
      <c r="L5" s="385"/>
      <c r="M5" s="388">
        <f ca="1">M4-1</f>
        <v>46326</v>
      </c>
      <c r="N5" s="384"/>
      <c r="O5" s="384"/>
      <c r="Q5" s="85"/>
      <c r="R5" s="1"/>
    </row>
    <row r="6" spans="1:18 16382:16383" ht="15" customHeight="1" x14ac:dyDescent="0.35">
      <c r="A6" s="385" t="s">
        <v>94</v>
      </c>
      <c r="B6" s="385"/>
      <c r="C6" s="385"/>
      <c r="F6" s="85"/>
      <c r="G6" s="86"/>
      <c r="J6" s="385" t="s">
        <v>69</v>
      </c>
      <c r="K6" s="385"/>
      <c r="L6" s="385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5" t="s">
        <v>73</v>
      </c>
      <c r="B7" s="385"/>
      <c r="C7" s="385"/>
      <c r="F7" s="85"/>
      <c r="G7" s="86"/>
      <c r="J7" s="385" t="s">
        <v>66</v>
      </c>
      <c r="K7" s="385"/>
      <c r="L7" s="385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85" t="s">
        <v>67</v>
      </c>
      <c r="K8" s="385"/>
      <c r="L8" s="385"/>
      <c r="M8" s="387" t="s">
        <v>71</v>
      </c>
      <c r="N8" s="387"/>
      <c r="O8" s="387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85" t="s">
        <v>68</v>
      </c>
      <c r="K9" s="385"/>
      <c r="L9" s="385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85" t="s">
        <v>46</v>
      </c>
      <c r="K10" s="385"/>
      <c r="L10" s="385"/>
      <c r="M10" s="384" t="s">
        <v>47</v>
      </c>
      <c r="N10" s="384"/>
      <c r="O10" s="38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5" t="s">
        <v>48</v>
      </c>
      <c r="K11" s="385"/>
      <c r="L11" s="385"/>
      <c r="M11" s="384" t="s">
        <v>49</v>
      </c>
      <c r="N11" s="384"/>
      <c r="O11" s="38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5" t="s">
        <v>50</v>
      </c>
      <c r="K12" s="385"/>
      <c r="L12" s="385"/>
      <c r="M12" s="384"/>
      <c r="N12" s="384"/>
      <c r="O12" s="38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6" t="s">
        <v>51</v>
      </c>
      <c r="B14" s="337"/>
      <c r="C14" s="340" t="s">
        <v>90</v>
      </c>
      <c r="D14" s="88" t="s">
        <v>52</v>
      </c>
      <c r="E14" s="95" t="s">
        <v>74</v>
      </c>
      <c r="F14" s="115" t="s">
        <v>53</v>
      </c>
      <c r="G14" s="382" t="s">
        <v>54</v>
      </c>
      <c r="H14" s="345"/>
      <c r="I14" s="346" t="s">
        <v>77</v>
      </c>
      <c r="J14" s="344" t="s">
        <v>55</v>
      </c>
      <c r="K14" s="345"/>
      <c r="L14" s="34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8"/>
      <c r="B15" s="339"/>
      <c r="C15" s="34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7"/>
      <c r="J15" s="144" t="s">
        <v>39</v>
      </c>
      <c r="K15" s="145" t="s">
        <v>59</v>
      </c>
      <c r="L15" s="34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6">
        <f>COUNT(A16:A24)</f>
        <v>0</v>
      </c>
      <c r="B25" s="348"/>
      <c r="C25" s="348" t="s">
        <v>40</v>
      </c>
      <c r="D25" s="348"/>
      <c r="E25" s="348"/>
      <c r="F25" s="34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0" t="s">
        <v>64</v>
      </c>
      <c r="C28" s="351"/>
      <c r="D28" s="351"/>
      <c r="E28" s="351"/>
      <c r="F28" s="351"/>
      <c r="G28" s="351"/>
      <c r="H28" s="351"/>
      <c r="I28" s="351"/>
      <c r="J28" s="351"/>
      <c r="K28" s="352"/>
      <c r="M28" s="359" t="s">
        <v>60</v>
      </c>
      <c r="N28" s="360"/>
      <c r="O28" s="139">
        <f>I25</f>
        <v>1452.8</v>
      </c>
    </row>
    <row r="29" spans="1:18 16383:16383" ht="15" customHeight="1" x14ac:dyDescent="0.35">
      <c r="B29" s="353"/>
      <c r="C29" s="354"/>
      <c r="D29" s="354"/>
      <c r="E29" s="354"/>
      <c r="F29" s="354"/>
      <c r="G29" s="354"/>
      <c r="H29" s="354"/>
      <c r="I29" s="354"/>
      <c r="J29" s="354"/>
      <c r="K29" s="355"/>
      <c r="M29" s="361" t="s">
        <v>85</v>
      </c>
      <c r="N29" s="362"/>
      <c r="O29" s="140">
        <f>K25</f>
        <v>0</v>
      </c>
    </row>
    <row r="30" spans="1:18 16383:16383" ht="15" customHeight="1" x14ac:dyDescent="0.35">
      <c r="B30" s="353"/>
      <c r="C30" s="354"/>
      <c r="D30" s="354"/>
      <c r="E30" s="354"/>
      <c r="F30" s="354"/>
      <c r="G30" s="354"/>
      <c r="H30" s="354"/>
      <c r="I30" s="354"/>
      <c r="J30" s="354"/>
      <c r="K30" s="355"/>
      <c r="M30" s="361" t="s">
        <v>86</v>
      </c>
      <c r="N30" s="362"/>
      <c r="O30" s="140">
        <f>J25</f>
        <v>50.848000000000006</v>
      </c>
    </row>
    <row r="31" spans="1:18 16383:16383" ht="15" customHeight="1" x14ac:dyDescent="0.35">
      <c r="B31" s="353"/>
      <c r="C31" s="354"/>
      <c r="D31" s="354"/>
      <c r="E31" s="354"/>
      <c r="F31" s="354"/>
      <c r="G31" s="354"/>
      <c r="H31" s="354"/>
      <c r="I31" s="354"/>
      <c r="J31" s="354"/>
      <c r="K31" s="355"/>
      <c r="L31" s="131"/>
      <c r="M31" s="361" t="s">
        <v>87</v>
      </c>
      <c r="N31" s="362"/>
      <c r="O31" s="140">
        <f>O28-O29-O30</f>
        <v>1401.952</v>
      </c>
    </row>
    <row r="32" spans="1:18 16383:16383" ht="15" customHeight="1" x14ac:dyDescent="0.35">
      <c r="B32" s="353"/>
      <c r="C32" s="354"/>
      <c r="D32" s="354"/>
      <c r="E32" s="354"/>
      <c r="F32" s="354"/>
      <c r="G32" s="354"/>
      <c r="H32" s="354"/>
      <c r="I32" s="354"/>
      <c r="J32" s="354"/>
      <c r="K32" s="35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3"/>
      <c r="C33" s="354"/>
      <c r="D33" s="354"/>
      <c r="E33" s="354"/>
      <c r="F33" s="354"/>
      <c r="G33" s="354"/>
      <c r="H33" s="354"/>
      <c r="I33" s="354"/>
      <c r="J33" s="354"/>
      <c r="K33" s="355"/>
      <c r="L33" s="131"/>
      <c r="M33" s="363" t="s">
        <v>76</v>
      </c>
      <c r="N33" s="364"/>
      <c r="O33" s="140">
        <f>O31+O32</f>
        <v>1710.3814400000001</v>
      </c>
    </row>
    <row r="34" spans="2:15" ht="15" customHeight="1" thickBot="1" x14ac:dyDescent="0.4">
      <c r="B34" s="356"/>
      <c r="C34" s="357"/>
      <c r="D34" s="357"/>
      <c r="E34" s="357"/>
      <c r="F34" s="357"/>
      <c r="G34" s="357"/>
      <c r="H34" s="357"/>
      <c r="I34" s="357"/>
      <c r="J34" s="357"/>
      <c r="K34" s="35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5" t="s">
        <v>88</v>
      </c>
      <c r="N35" s="366"/>
      <c r="O35" s="141">
        <f>O28-O29+O31+O34</f>
        <v>2897.511536</v>
      </c>
    </row>
    <row r="36" spans="2:15" ht="15" thickBot="1" x14ac:dyDescent="0.4">
      <c r="B36" s="121" t="s">
        <v>63</v>
      </c>
      <c r="C36" s="367"/>
      <c r="D36" s="367"/>
      <c r="E36" s="367"/>
      <c r="F36" s="367"/>
      <c r="G36" s="367"/>
      <c r="H36" s="367"/>
      <c r="I36" s="36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8" t="s">
        <v>438</v>
      </c>
      <c r="D1" s="395" t="s">
        <v>439</v>
      </c>
      <c r="E1" s="328" t="s">
        <v>58</v>
      </c>
      <c r="F1" s="328"/>
      <c r="G1" s="329" t="s">
        <v>440</v>
      </c>
      <c r="H1" s="329"/>
      <c r="I1" s="396" t="s">
        <v>441</v>
      </c>
      <c r="J1" s="396"/>
      <c r="K1" s="396" t="s">
        <v>442</v>
      </c>
      <c r="L1" s="396"/>
      <c r="M1" s="392" t="s">
        <v>484</v>
      </c>
      <c r="N1" s="393"/>
      <c r="O1" s="394"/>
    </row>
    <row r="2" spans="3:24" ht="29" x14ac:dyDescent="0.35">
      <c r="C2" s="328"/>
      <c r="D2" s="39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3" t="s">
        <v>438</v>
      </c>
      <c r="D7" s="327" t="s">
        <v>439</v>
      </c>
      <c r="E7" s="399" t="s">
        <v>58</v>
      </c>
      <c r="F7" s="399"/>
      <c r="G7" s="400" t="s">
        <v>440</v>
      </c>
      <c r="H7" s="329"/>
      <c r="I7" s="330" t="s">
        <v>441</v>
      </c>
      <c r="J7" s="331"/>
      <c r="K7" s="330" t="s">
        <v>442</v>
      </c>
      <c r="L7" s="331"/>
      <c r="M7" s="392" t="s">
        <v>484</v>
      </c>
      <c r="N7" s="393"/>
      <c r="O7" s="394"/>
      <c r="P7" s="256" t="s">
        <v>475</v>
      </c>
      <c r="Q7" s="242" t="s">
        <v>473</v>
      </c>
      <c r="R7" s="395" t="s">
        <v>475</v>
      </c>
      <c r="S7" s="395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25"/>
      <c r="D8" s="32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5"/>
      <c r="S8" s="395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4" t="s">
        <v>438</v>
      </c>
      <c r="D13" s="326" t="s">
        <v>439</v>
      </c>
      <c r="E13" s="328" t="s">
        <v>58</v>
      </c>
      <c r="F13" s="328"/>
      <c r="G13" s="329" t="s">
        <v>440</v>
      </c>
      <c r="H13" s="329"/>
      <c r="I13" s="330" t="s">
        <v>441</v>
      </c>
      <c r="J13" s="331"/>
      <c r="K13" s="330" t="s">
        <v>442</v>
      </c>
      <c r="L13" s="331"/>
      <c r="M13" s="392" t="s">
        <v>484</v>
      </c>
      <c r="N13" s="393"/>
      <c r="O13" s="394"/>
      <c r="P13" s="256" t="s">
        <v>475</v>
      </c>
      <c r="Q13" s="242" t="s">
        <v>473</v>
      </c>
      <c r="R13" s="395" t="s">
        <v>475</v>
      </c>
      <c r="S13" s="395" t="s">
        <v>485</v>
      </c>
      <c r="T13" s="401" t="s">
        <v>486</v>
      </c>
      <c r="U13" s="401" t="s">
        <v>486</v>
      </c>
    </row>
    <row r="14" spans="3:24" ht="29.5" thickBot="1" x14ac:dyDescent="0.4">
      <c r="C14" s="325"/>
      <c r="D14" s="32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5"/>
      <c r="S14" s="395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4" t="s">
        <v>438</v>
      </c>
      <c r="D20" s="326" t="s">
        <v>439</v>
      </c>
      <c r="E20" s="328" t="s">
        <v>58</v>
      </c>
      <c r="F20" s="328"/>
      <c r="G20" s="329" t="s">
        <v>440</v>
      </c>
      <c r="H20" s="329"/>
      <c r="I20" s="330" t="s">
        <v>441</v>
      </c>
      <c r="J20" s="331"/>
      <c r="K20" s="330" t="s">
        <v>442</v>
      </c>
      <c r="L20" s="331"/>
      <c r="M20" s="392" t="s">
        <v>484</v>
      </c>
      <c r="N20" s="393"/>
      <c r="O20" s="394"/>
      <c r="P20" s="256" t="s">
        <v>475</v>
      </c>
      <c r="Q20" s="242" t="s">
        <v>473</v>
      </c>
      <c r="R20" s="395" t="s">
        <v>475</v>
      </c>
      <c r="S20" s="395" t="s">
        <v>485</v>
      </c>
      <c r="T20" s="401" t="s">
        <v>486</v>
      </c>
      <c r="U20" s="401" t="s">
        <v>486</v>
      </c>
    </row>
    <row r="21" spans="3:21" ht="29.5" thickBot="1" x14ac:dyDescent="0.4">
      <c r="C21" s="325"/>
      <c r="D21" s="32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5"/>
      <c r="S21" s="395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4" t="s">
        <v>438</v>
      </c>
      <c r="D27" s="326" t="s">
        <v>439</v>
      </c>
      <c r="E27" s="328" t="s">
        <v>58</v>
      </c>
      <c r="F27" s="328"/>
      <c r="G27" s="329" t="s">
        <v>440</v>
      </c>
      <c r="H27" s="329"/>
      <c r="I27" s="330" t="s">
        <v>441</v>
      </c>
      <c r="J27" s="331"/>
      <c r="K27" s="330" t="s">
        <v>442</v>
      </c>
      <c r="L27" s="331"/>
      <c r="M27" s="392" t="s">
        <v>484</v>
      </c>
      <c r="N27" s="393"/>
      <c r="O27" s="394"/>
      <c r="P27" s="256" t="s">
        <v>475</v>
      </c>
      <c r="Q27" s="242" t="s">
        <v>473</v>
      </c>
      <c r="R27" s="395" t="s">
        <v>475</v>
      </c>
      <c r="S27" s="395" t="s">
        <v>485</v>
      </c>
      <c r="T27" s="401" t="s">
        <v>486</v>
      </c>
      <c r="U27" s="401" t="s">
        <v>486</v>
      </c>
    </row>
    <row r="28" spans="3:21" ht="29.5" thickBot="1" x14ac:dyDescent="0.4">
      <c r="C28" s="325"/>
      <c r="D28" s="32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5"/>
      <c r="S28" s="395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8" t="s">
        <v>438</v>
      </c>
      <c r="C1" s="395" t="s">
        <v>439</v>
      </c>
      <c r="D1" s="328" t="s">
        <v>58</v>
      </c>
      <c r="E1" s="328"/>
      <c r="F1" s="329" t="s">
        <v>440</v>
      </c>
      <c r="G1" s="329"/>
      <c r="H1" s="396" t="s">
        <v>441</v>
      </c>
      <c r="I1" s="396"/>
      <c r="J1" s="396" t="s">
        <v>442</v>
      </c>
      <c r="K1" s="396"/>
      <c r="L1" s="392" t="s">
        <v>484</v>
      </c>
      <c r="M1" s="393"/>
      <c r="N1" s="394"/>
    </row>
    <row r="2" spans="2:17" ht="29" x14ac:dyDescent="0.35">
      <c r="B2" s="328"/>
      <c r="C2" s="39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4"/>
      <c r="G60" s="160" t="s">
        <v>195</v>
      </c>
      <c r="H60" s="161" t="s">
        <v>100</v>
      </c>
    </row>
    <row r="61" spans="5:8" x14ac:dyDescent="0.35">
      <c r="E61" s="159" t="s">
        <v>192</v>
      </c>
      <c r="F61" s="404"/>
      <c r="G61" s="160" t="s">
        <v>196</v>
      </c>
      <c r="H61" s="161" t="s">
        <v>98</v>
      </c>
    </row>
    <row r="62" spans="5:8" x14ac:dyDescent="0.35">
      <c r="E62" s="159" t="s">
        <v>192</v>
      </c>
      <c r="F62" s="404"/>
      <c r="G62" s="160" t="s">
        <v>197</v>
      </c>
      <c r="H62" s="161" t="s">
        <v>101</v>
      </c>
    </row>
    <row r="63" spans="5:8" x14ac:dyDescent="0.35">
      <c r="E63" s="159" t="s">
        <v>192</v>
      </c>
      <c r="F63" s="404"/>
      <c r="G63" s="160" t="s">
        <v>198</v>
      </c>
      <c r="H63" s="161" t="s">
        <v>102</v>
      </c>
    </row>
    <row r="64" spans="5:8" x14ac:dyDescent="0.35">
      <c r="E64" s="159" t="s">
        <v>192</v>
      </c>
      <c r="F64" s="404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4"/>
      <c r="G121" s="160" t="s">
        <v>273</v>
      </c>
      <c r="H121" s="161" t="s">
        <v>98</v>
      </c>
    </row>
    <row r="122" spans="5:8" x14ac:dyDescent="0.35">
      <c r="E122" s="159" t="s">
        <v>269</v>
      </c>
      <c r="F122" s="40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4"/>
      <c r="G241" s="160" t="s">
        <v>432</v>
      </c>
      <c r="H241" s="161" t="s">
        <v>98</v>
      </c>
    </row>
    <row r="242" spans="5:8" x14ac:dyDescent="0.35">
      <c r="E242" s="159" t="s">
        <v>428</v>
      </c>
      <c r="F242" s="40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2026-10-31T04:15:28Z</dcterms:modified>
</cp:coreProperties>
</file>