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0C87E8B-BBB2-4822-8ED4-7A34B6736F56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8" i="1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J20" i="53"/>
  <c r="K20" i="43"/>
  <c r="L20" i="43"/>
  <c r="M20" i="43" s="1"/>
  <c r="O20" i="43" s="1"/>
  <c r="P20" i="43" s="1"/>
  <c r="R20" i="43" s="1"/>
  <c r="J20" i="43"/>
  <c r="K20" i="57"/>
  <c r="J20" i="57"/>
  <c r="L20" i="57"/>
  <c r="K20" i="61"/>
  <c r="J20" i="61"/>
  <c r="L20" i="61"/>
  <c r="M20" i="61" s="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60" l="1"/>
  <c r="M16" i="48"/>
  <c r="M20" i="71"/>
  <c r="O20" i="71" s="1"/>
  <c r="P20" i="71" s="1"/>
  <c r="R20" i="71" s="1"/>
  <c r="M20" i="48"/>
  <c r="O20" i="48" s="1"/>
  <c r="P20" i="48" s="1"/>
  <c r="R20" i="48" s="1"/>
  <c r="M22" i="52"/>
  <c r="O22" i="52" s="1"/>
  <c r="P22" i="52" s="1"/>
  <c r="M21" i="69"/>
  <c r="O21" i="69" s="1"/>
  <c r="P21" i="69" s="1"/>
  <c r="M23" i="56"/>
  <c r="O23" i="56" s="1"/>
  <c r="P23" i="56" s="1"/>
  <c r="M16" i="65"/>
  <c r="M16" i="72"/>
  <c r="M22" i="43"/>
  <c r="O22" i="43" s="1"/>
  <c r="P22" i="43" s="1"/>
  <c r="M23" i="59"/>
  <c r="M23" i="44"/>
  <c r="O23" i="44" s="1"/>
  <c r="P23" i="44" s="1"/>
  <c r="M16" i="44"/>
  <c r="M20" i="70"/>
  <c r="O20" i="70" s="1"/>
  <c r="P20" i="70" s="1"/>
  <c r="R20" i="70" s="1"/>
  <c r="M23" i="65"/>
  <c r="J7" i="62"/>
  <c r="K12" i="62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0" i="53"/>
  <c r="O20" i="53" s="1"/>
  <c r="P20" i="53" s="1"/>
  <c r="R20" i="53" s="1"/>
  <c r="M21" i="43"/>
  <c r="O21" i="43" s="1"/>
  <c r="P21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1" i="51"/>
  <c r="M23" i="72"/>
  <c r="O23" i="72" s="1"/>
  <c r="P23" i="72" s="1"/>
  <c r="M23" i="64"/>
  <c r="O23" i="64" s="1"/>
  <c r="P23" i="64" s="1"/>
  <c r="M23" i="53"/>
  <c r="O23" i="53" s="1"/>
  <c r="P23" i="53" s="1"/>
  <c r="M21" i="68"/>
  <c r="O21" i="68" s="1"/>
  <c r="P21" i="68" s="1"/>
  <c r="M20" i="46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O16" i="66" s="1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4" i="71"/>
  <c r="P24" i="71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3" i="59" l="1"/>
  <c r="P23" i="59" s="1"/>
  <c r="P25" i="59" s="1"/>
  <c r="M12" i="62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<sst xmlns="http://schemas.openxmlformats.org/spreadsheetml/2006/main" count="3950" uniqueCount="520">
  <si>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</si>
  <si>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</si>
  <si>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</si>
  <si>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</si>
  <si>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</si>
  <si>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</si>
  <si>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</si>
  <si>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</si>
  <si>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</si>
  <si>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</si>
  <si>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</si>
  <si>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</si>
  <si>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</si>
  <si>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</si>
  <si>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</si>
  <si>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</si>
  <si>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</si>
  <si>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</si>
  <si>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</si>
  <si>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</si>
  <si>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</si>
  <si>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</si>
  <si>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</si>
  <si>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</si>
  <si>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</si>
  <si>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</si>
  <si>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</si>
  <si>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</si>
  <si>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</si>
  <si>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</si>
  <si>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</si>
  <si>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</si>
  <si>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</si>
  <si>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</si>
  <si>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</si>
  <si>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</si>
  <si>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</si>
  <si>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</si>
  <si>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</si>
  <si>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</si>
  <si>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</si>
  <si>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</si>
  <si>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</si>
  <si>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</si>
  <si>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</si>
  <si>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</si>
  <si>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</si>
  <si>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</si>
  <si>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</si>
  <si>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</si>
  <si>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</si>
  <si>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</si>
  <si>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</si>
  <si>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</si>
  <si>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</si>
  <si>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</si>
  <si>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</si>
  <si>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</si>
  <si>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</si>
  <si>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</si>
  <si>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</si>
  <si>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</si>
  <si>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</si>
  <si>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</si>
  <si>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</si>
  <si>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</si>
  <si>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</si>
  <si>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</si>
  <si>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</si>
  <si>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</si>
  <si>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</si>
  <si>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</si>
  <si>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</si>
  <si>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</si>
  <si>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</si>
  <si>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</si>
  <si>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</si>
  <si>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</si>
  <si>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</si>
  <si>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</si>
  <si>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</si>
  <si>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</si>
  <si>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</si>
  <si>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</si>
  <si>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</si>
  <si>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</si>
  <si>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</si>
  <si>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</si>
  <si>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</si>
  <si>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</si>
  <si>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</si>
  <si>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</si>
  <si>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</si>
  <si>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</si>
  <si>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</si>
  <si>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</si>
  <si>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</si>
  <si>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</si>
  <si>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</si>
  <si>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</si>
  <si>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</si>
  <si>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</si>
  <si>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</si>
  <si>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</si>
  <si>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</si>
  <si>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</si>
  <si>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</si>
  <si>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</si>
  <si>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</si>
  <si>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</si>
  <si>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</si>
  <si>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</si>
  <si>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</si>
  <si>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</si>
  <si>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</si>
  <si>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</si>
  <si>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</si>
  <si>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</si>
  <si>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</si>
  <si>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</si>
  <si>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</si>
  <si>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</si>
  <si>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</si>
  <si>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</si>
  <si>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</si>
  <si>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</si>
  <si>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</si>
  <si>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</si>
  <si>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</si>
  <si>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</si>
  <si>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</si>
  <si>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</si>
  <si>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</si>
  <si>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</si>
  <si>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</si>
  <si>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</si>
  <si>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</si>
  <si>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</si>
  <si>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</si>
  <si>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</si>
  <si>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</si>
  <si>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</si>
  <si>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</si>
  <si>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</si>
  <si>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</si>
  <si>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</si>
  <si>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</si>
  <si>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</si>
  <si>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</si>
  <si>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</si>
  <si>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</si>
  <si>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</si>
  <si>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</si>
  <si>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</si>
  <si>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</si>
  <si>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</si>
  <si>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</si>
  <si>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</si>
  <si>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</si>
  <si>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</si>
  <si>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</si>
  <si>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</si>
  <si>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</si>
  <si>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</si>
  <si>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</si>
  <si>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</si>
  <si>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</si>
  <si>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</si>
  <si>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</si>
  <si>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</si>
  <si>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</si>
  <si>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</si>
  <si>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</si>
  <si>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</si>
  <si>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</si>
  <si>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</si>
  <si>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</si>
  <si>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</si>
  <si>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</si>
  <si>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</si>
  <si>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</si>
  <si>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</si>
  <si>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</si>
  <si>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</si>
  <si>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</si>
  <si>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</si>
  <si>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</si>
  <si>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</si>
  <si>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</si>
  <si>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</si>
  <si>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</si>
  <si>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</si>
  <si>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</si>
  <si>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</si>
  <si>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</si>
  <si>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</si>
  <si>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</si>
  <si>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</si>
  <si>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</si>
  <si>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</si>
  <si>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</si>
  <si>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</si>
  <si>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</si>
  <si>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</si>
  <si>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</si>
  <si>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</si>
  <si>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</si>
  <si>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</si>
  <si>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</si>
  <si>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</si>
  <si>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</si>
  <si>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</si>
  <si>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</si>
  <si>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</si>
  <si>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</si>
  <si>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</si>
  <si>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</si>
  <si>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</si>
  <si>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</si>
  <si>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</si>
  <si>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</si>
  <si>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</si>
  <si>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</si>
  <si>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</si>
  <si>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</si>
  <si>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</si>
  <si>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</si>
  <si>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</si>
  <si>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</si>
  <si>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</si>
  <si>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</si>
  <si>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</si>
  <si>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</si>
  <si>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</si>
  <si>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</si>
  <si>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</si>
  <si>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</si>
  <si>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</si>
  <si>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</si>
  <si>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</si>
  <si>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</si>
  <si>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</si>
  <si>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</si>
  <si>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</si>
  <si>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</si>
  <si>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</si>
  <si>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</si>
  <si>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</si>
  <si>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</si>
  <si>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</si>
  <si>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</si>
  <si>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</si>
  <si>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</si>
  <si>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</si>
  <si>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</si>
  <si>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</si>
  <si>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</si>
  <si>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</si>
  <si>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</si>
  <si>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</si>
  <si>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</si>
  <si>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</si>
  <si>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</si>
  <si>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</si>
  <si>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</si>
  <si>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</si>
  <si>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</si>
  <si>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</si>
  <si>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</si>
  <si>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</si>
  <si>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</si>
  <si>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</si>
  <si>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</si>
  <si>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</si>
  <si>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</si>
  <si>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</si>
  <si>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</si>
  <si>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</si>
  <si>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</si>
  <si>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</si>
  <si>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</si>
  <si>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</si>
  <si>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</si>
  <si>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</si>
  <si>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</si>
  <si>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</si>
  <si>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</si>
  <si>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</si>
  <si>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</si>
  <si>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</si>
  <si>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</si>
  <si>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</si>
  <si>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</si>
  <si>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</si>
  <si>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</si>
  <si>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</si>
  <si>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</si>
  <si>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</si>
  <si>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</si>
  <si>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</si>
  <si>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</si>
  <si>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</si>
  <si>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</si>
  <si>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</si>
  <si>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</si>
  <si>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</si>
  <si>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</si>
  <si>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</si>
  <si>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</si>
  <si>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</si>
  <si>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</si>
  <si>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</si>
  <si>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</si>
  <si>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</si>
  <si>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</si>
  <si>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</si>
  <si>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</si>
  <si>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</si>
  <si>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</si>
  <si>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</si>
  <si>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</si>
  <si>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</si>
  <si>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</si>
  <si>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</si>
  <si>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</si>
  <si>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</si>
  <si>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</si>
  <si>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</si>
  <si>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</si>
  <si>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</si>
  <si>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</si>
  <si>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</si>
  <si>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</si>
  <si>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</si>
  <si>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</si>
  <si>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</si>
  <si>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</si>
  <si>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</si>
  <si>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</si>
  <si>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</si>
  <si>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</si>
  <si>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</si>
  <si>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</si>
  <si>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</si>
  <si>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</si>
  <si>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</si>
  <si>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</si>
  <si>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</si>
  <si>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</si>
  <si>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</si>
  <si>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</si>
  <si>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</si>
  <si>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</si>
  <si>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</si>
  <si>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</si>
  <si>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</si>
  <si>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</si>
  <si>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</si>
  <si>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</si>
  <si>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</si>
  <si>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</si>
  <si>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</si>
  <si>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</si>
  <si>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</si>
  <si>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</si>
  <si>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</si>
  <si>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</si>
  <si>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</si>
  <si>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</si>
  <si>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</si>
  <si>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</si>
  <si>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</si>
  <si>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</si>
  <si>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</si>
  <si>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</si>
  <si>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</si>
  <si>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</si>
  <si>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</si>
  <si>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</si>
  <si>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</si>
  <si>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</si>
  <si>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</si>
  <si>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</si>
  <si>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</si>
  <si>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</si>
  <si>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</si>
  <si>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</si>
  <si>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</si>
  <si>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</si>
  <si>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</si>
  <si>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</si>
  <si>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</si>
  <si>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</si>
  <si>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</si>
  <si>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</si>
  <si>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</si>
  <si>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</si>
  <si>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</si>
  <si>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</si>
  <si>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</si>
  <si>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</si>
  <si>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</si>
  <si>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</si>
  <si>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</si>
  <si>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</si>
  <si>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</si>
  <si>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</si>
  <si>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</si>
  <si>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</si>
  <si>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</si>
  <si>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</si>
  <si>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</si>
  <si>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</si>
  <si>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</si>
  <si>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</si>
  <si>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</si>
  <si>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</si>
  <si>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</si>
  <si>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</si>
  <si>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</si>
  <si>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</si>
  <si>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</si>
  <si>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</si>
  <si>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</si>
  <si>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</si>
  <si>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</si>
  <si>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</si>
  <si>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</si>
  <si>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</si>
  <si>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</si>
  <si>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</si>
  <si>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</si>
  <si>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</si>
  <si>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</si>
  <si>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</si>
  <si>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</si>
  <si>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</si>
  <si>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</si>
  <si>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</si>
  <si>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</si>
  <si>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</si>
  <si>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</si>
  <si>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</si>
  <si>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</si>
  <si>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</si>
  <si>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</si>
  <si>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</si>
  <si>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</si>
  <si>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</si>
  <si>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</si>
  <si>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</si>
  <si>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</si>
  <si>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</si>
  <si>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</si>
  <si>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</si>
  <si>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</si>
  <si>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</si>
  <si>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</si>
  <si>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</si>
  <si>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</si>
  <si>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</si>
  <si>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</si>
  <si>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</si>
  <si>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</si>
  <si>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</si>
  <si>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</si>
  <si>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</si>
  <si>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</si>
  <si>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</si>
  <si>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</si>
  <si>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</si>
  <si>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</si>
  <si>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</si>
  <si>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</si>
  <si>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</si>
  <si>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</si>
  <si>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</si>
  <si>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</si>
  <si>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</si>
  <si>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</si>
  <si>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</si>
  <si>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</si>
  <si>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</si>
  <si>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</si>
  <si>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</si>
  <si>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</si>
  <si>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</si>
  <si>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</si>
  <si>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</si>
  <si>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</si>
  <si>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</si>
  <si>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</si>
  <si>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</si>
  <si>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</si>
  <si>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</si>
  <si>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</si>
  <si>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</si>
  <si>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</si>
  <si>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</si>
  <si>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</si>
  <si>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</si>
  <si>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</si>
  <si>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</si>
  <si>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</si>
  <si>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</si>
  <si>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</si>
  <si>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</si>
  <si>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</si>
  <si>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</si>
  <si>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</si>
  <si>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</si>
  <si>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</si>
  <si>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Rafaqat Sons</t>
  </si>
  <si>
    <t>Number</t>
  </si>
  <si>
    <t>327787628553-1</t>
  </si>
  <si>
    <t xml:space="preserve">SB Traders </t>
  </si>
  <si>
    <t xml:space="preserve">NTN #: 4655329-3 </t>
  </si>
  <si>
    <t xml:space="preserve">Address: Shadbagh </t>
  </si>
  <si>
    <t>Invoice No # :01210</t>
  </si>
  <si>
    <t>Invoice No # :01156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</si>
</sst>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0" fontId="18" fillId="0" borderId="42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 t="s">
        <v>512</v>
      </c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46325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 xml:space="preserve">SB Traders </v>
      </c>
      <c r="T3" s="301">
        <f>+'1'!P35</f>
        <v>20591.577080847459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SB Traders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SB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SB Traders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293.79000000000002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1804.71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11.006600847457626</v>
      </c>
      <c r="P7" s="310">
        <f>M7+N7+O7</f>
        <v>2212.3267703389829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SB Traders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SB Traders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SB Traders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SB Traders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1220.3520000000001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7496.4479999999994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45.719528135593222</v>
      </c>
      <c r="P11" s="311">
        <f t="shared" si="2"/>
        <v>9189.6251552542362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SB Traders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1220.3520000000001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7496.4479999999994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45.719528135593222</v>
      </c>
      <c r="P12" s="311">
        <f t="shared" si="2"/>
        <v>9189.6251552542362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SB Traders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SB Traders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SB Traders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SB Traders 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7</v>
      </c>
      <c r="H16" s="113">
        <f t="shared" ref="H16:M16" si="3">SUM(H7:H15)</f>
        <v>280</v>
      </c>
      <c r="I16" s="114">
        <f t="shared" si="3"/>
        <v>19532.099999999999</v>
      </c>
      <c r="J16" s="274">
        <f>SUM(J7:J15)</f>
        <v>2734.4940000000001</v>
      </c>
      <c r="K16" s="275">
        <f t="shared" si="3"/>
        <v>0</v>
      </c>
      <c r="L16" s="276">
        <f t="shared" si="3"/>
        <v>0</v>
      </c>
      <c r="M16" s="232">
        <f t="shared" si="3"/>
        <v>16797.606</v>
      </c>
      <c r="N16" s="233">
        <f>SUM(N7:N15)</f>
        <v>3691.5254237288136</v>
      </c>
      <c r="O16" s="101">
        <f>SUM(O7:O15)</f>
        <v>102.44565711864408</v>
      </c>
      <c r="P16" s="113">
        <f>SUM(P7:P15)</f>
        <v>20591.577080847455</v>
      </c>
      <c r="Q16" s="128">
        <f>SUM(Q7:Q15)</f>
        <v>0</v>
      </c>
      <c r="R16" s="314">
        <v>14</v>
      </c>
      <c r="S16" s="300" t="str">
        <f>+'14'!A6:A6</f>
        <v xml:space="preserve">SB Traders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SB Traders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SB Traders 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19532.099999999999</v>
      </c>
      <c r="R19" s="299">
        <v>17</v>
      </c>
      <c r="S19" s="300" t="str">
        <f>+'17'!A6:A6</f>
        <v xml:space="preserve">SB Traders 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2734.4940000000001</v>
      </c>
      <c r="R20" s="299">
        <v>18</v>
      </c>
      <c r="S20" s="300" t="str">
        <f>+'18'!A6:A6</f>
        <v xml:space="preserve">SB Traders 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0</v>
      </c>
      <c r="R21" s="299">
        <v>19</v>
      </c>
      <c r="S21" s="300" t="str">
        <f>+'19'!A6:A6</f>
        <v xml:space="preserve">SB Traders 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16797.606</v>
      </c>
      <c r="R22" s="299">
        <v>20</v>
      </c>
      <c r="S22" s="300" t="str">
        <f>+'20'!A6:A6</f>
        <v xml:space="preserve">SB Traders 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3691.5254237288136</v>
      </c>
      <c r="R23" s="299">
        <v>21</v>
      </c>
      <c r="S23" s="300" t="str">
        <f>+'21'!A6:A6</f>
        <v xml:space="preserve">SB Traders 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20489.131423728813</v>
      </c>
      <c r="R24" s="299">
        <v>22</v>
      </c>
      <c r="S24" s="300" t="str">
        <f>+'22'!A6:A6</f>
        <v xml:space="preserve">SB Traders 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102.44565711864408</v>
      </c>
      <c r="R25" s="299">
        <v>23</v>
      </c>
      <c r="S25" s="300" t="str">
        <f>+'23'!A6:A6</f>
        <v xml:space="preserve">SB Traders 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20591.577080847459</v>
      </c>
      <c r="R26" s="299">
        <v>24</v>
      </c>
      <c r="S26" s="300" t="str">
        <f>+'24'!A6:A6</f>
        <v xml:space="preserve">SB Traders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 xml:space="preserve">SB Traders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SB Traders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SB Traders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SB Traders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SB Traders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SB Traders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20591.577080847459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0" workbookViewId="0">
      <selection activeCell="H27" sqref="H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46325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46324</v>
      </c>
      <c r="O5" s="392"/>
      <c r="P5" s="392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500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A13" t="s">
        <v>513</v>
      </c>
      <c r="B13" t="s">
        <v>514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89" t="s">
        <v>56</v>
      </c>
      <c r="Q14" s="413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318">
        <v>0</v>
      </c>
      <c r="L15" s="145" t="s">
        <v>493</v>
      </c>
      <c r="M15" s="346"/>
      <c r="N15" s="354"/>
      <c r="O15" s="228">
        <f>IF(B11="Filer",0.5%,2.5%)</f>
        <v>5.0000000000000001E-3</v>
      </c>
      <c r="P15" s="91" t="s">
        <v>38</v>
      </c>
      <c r="Q15" s="413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0</v>
      </c>
      <c r="L16" s="118">
        <f>$I16*U16</f>
        <v>0</v>
      </c>
      <c r="M16" s="229">
        <f>I16-SUM(J16:L16)</f>
        <v>1804.71</v>
      </c>
      <c r="N16" s="248">
        <f>+(G16*D16+H16)*V16</f>
        <v>396.61016949152526</v>
      </c>
      <c r="O16" s="238">
        <f>(N16+M16)*$O$15</f>
        <v>11.006600847457626</v>
      </c>
      <c r="P16" s="118">
        <f>M16+N16+O16</f>
        <v>2212.3267703389829</v>
      </c>
      <c r="Q16" s="414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5"/>
      <c r="S17" s="269">
        <f>+S16</f>
        <v>0.14000000000000001</v>
      </c>
      <c r="T17" s="270"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5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5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1220.3520000000001</v>
      </c>
      <c r="K20" s="128">
        <f t="shared" si="1"/>
        <v>0</v>
      </c>
      <c r="L20" s="119">
        <f t="shared" si="1"/>
        <v>0</v>
      </c>
      <c r="M20" s="230">
        <f t="shared" si="2"/>
        <v>7496.4479999999994</v>
      </c>
      <c r="N20" s="277">
        <f t="shared" si="3"/>
        <v>1647.4576271186443</v>
      </c>
      <c r="O20" s="239">
        <f t="shared" si="4"/>
        <v>45.719528135593222</v>
      </c>
      <c r="P20" s="119">
        <f t="shared" si="5"/>
        <v>9189.6251552542362</v>
      </c>
      <c r="Q20" s="415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1220.3520000000001</v>
      </c>
      <c r="K21" s="128">
        <f t="shared" si="1"/>
        <v>0</v>
      </c>
      <c r="L21" s="119">
        <f t="shared" si="1"/>
        <v>0</v>
      </c>
      <c r="M21" s="230">
        <f t="shared" si="2"/>
        <v>7496.4479999999994</v>
      </c>
      <c r="N21" s="277">
        <f t="shared" si="3"/>
        <v>1647.4576271186443</v>
      </c>
      <c r="O21" s="239">
        <f t="shared" si="4"/>
        <v>45.719528135593222</v>
      </c>
      <c r="P21" s="119">
        <f t="shared" si="5"/>
        <v>9189.6251552542362</v>
      </c>
      <c r="Q21" s="415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5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5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5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280</v>
      </c>
      <c r="I25" s="114">
        <f t="shared" ref="I25:M25" si="10">SUM(I16:I24)</f>
        <v>19532.099999999999</v>
      </c>
      <c r="J25" s="274">
        <f>SUM(J16:J24)</f>
        <v>2734.4940000000001</v>
      </c>
      <c r="K25" s="275">
        <f t="shared" si="10"/>
        <v>0</v>
      </c>
      <c r="L25" s="276">
        <f t="shared" si="10"/>
        <v>0</v>
      </c>
      <c r="M25" s="232">
        <f t="shared" si="10"/>
        <v>16797.606</v>
      </c>
      <c r="N25" s="233">
        <f>SUM(N16:N24)</f>
        <v>3691.5254237288136</v>
      </c>
      <c r="O25" s="101">
        <f>SUM(O16:O24)</f>
        <v>102.44565711864408</v>
      </c>
      <c r="P25" s="234">
        <f>SUM(P16:P24)</f>
        <v>20591.577080847455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19532.099999999999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2734.4940000000001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16797.606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3691.5254237288136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20489.131423728813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102.44565711864406</v>
      </c>
    </row>
    <row r="35" spans="2:16" ht="15.75" customHeight="1" thickBot="1" x14ac:dyDescent="0.4">
      <c r="N35" s="372" t="s">
        <v>88</v>
      </c>
      <c r="O35" s="373"/>
      <c r="P35" s="297">
        <f>+P33+P34</f>
        <v>20591.577080847459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A13" t="s">
        <v>513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8.7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8.7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518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46326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46325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2026-10-30T05:14:10Z</dcterms:modified>
</cp:coreProperties>
</file>