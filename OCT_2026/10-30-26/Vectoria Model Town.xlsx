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56B38CC-979D-44DA-943F-35834504F1F3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5" i="70" s="1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O24" i="71" s="1"/>
  <c r="P24" i="71" s="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1" i="70" s="1"/>
  <c r="P33" i="70" s="1"/>
  <c r="P34" i="70" s="1"/>
  <c r="P35" i="70" s="1"/>
  <c r="T30" i="62" s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<sst xmlns="http://schemas.openxmlformats.org/spreadsheetml/2006/main" count="3948" uniqueCount="518">
  <si>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</si>
  <si>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</si>
  <si>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</si>
  <si>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</si>
  <si>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</si>
  <si>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</si>
  <si>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</si>
  <si>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</si>
  <si>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</si>
  <si>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</si>
  <si>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</si>
  <si>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</si>
  <si>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</si>
  <si>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</si>
  <si>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</si>
  <si>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</si>
  <si>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</si>
  <si>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</si>
  <si>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</si>
  <si>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</si>
  <si>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</si>
  <si>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</si>
  <si>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</si>
  <si>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</si>
  <si>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</si>
  <si>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</si>
  <si>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</si>
  <si>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</si>
  <si>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</si>
  <si>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</si>
  <si>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</si>
  <si>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</si>
  <si>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</si>
  <si>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</si>
  <si>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</si>
  <si>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</si>
  <si>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</si>
  <si>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</si>
  <si>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</si>
  <si>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</si>
  <si>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</si>
  <si>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</si>
  <si>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</si>
  <si>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</si>
  <si>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</si>
  <si>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</si>
  <si>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</si>
  <si>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</si>
  <si>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</si>
  <si>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</si>
  <si>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</si>
  <si>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</si>
  <si>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</si>
  <si>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</si>
  <si>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</si>
  <si>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</si>
  <si>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</si>
  <si>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</si>
  <si>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</si>
  <si>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</si>
  <si>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</si>
  <si>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</si>
  <si>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</si>
  <si>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</si>
  <si>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</si>
  <si>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</si>
  <si>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</si>
  <si>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</si>
  <si>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</si>
  <si>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</si>
  <si>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</si>
  <si>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</si>
  <si>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</si>
  <si>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</si>
  <si>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</si>
  <si>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</si>
  <si>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</si>
  <si>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</si>
  <si>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</si>
  <si>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</si>
  <si>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</si>
  <si>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</si>
  <si>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</si>
  <si>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</si>
  <si>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</si>
  <si>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</si>
  <si>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</si>
  <si>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</si>
  <si>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</si>
  <si>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</si>
  <si>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</si>
  <si>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</si>
  <si>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</si>
  <si>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</si>
  <si>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</si>
  <si>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</si>
  <si>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</si>
  <si>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</si>
  <si>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</si>
  <si>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</si>
  <si>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</si>
  <si>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</si>
  <si>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</si>
  <si>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</si>
  <si>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</si>
  <si>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</si>
  <si>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</si>
  <si>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</si>
  <si>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</si>
  <si>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</si>
  <si>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</si>
  <si>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</si>
  <si>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</si>
  <si>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</si>
  <si>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</si>
  <si>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</si>
  <si>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</si>
  <si>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</si>
  <si>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</si>
  <si>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</si>
  <si>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</si>
  <si>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</si>
  <si>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</si>
  <si>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</si>
  <si>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</si>
  <si>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</si>
  <si>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</si>
  <si>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</si>
  <si>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</si>
  <si>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</si>
  <si>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</si>
  <si>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</si>
  <si>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</si>
  <si>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</si>
  <si>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</si>
  <si>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</si>
  <si>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</si>
  <si>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</si>
  <si>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</si>
  <si>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</si>
  <si>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</si>
  <si>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</si>
  <si>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</si>
  <si>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</si>
  <si>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</si>
  <si>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</si>
  <si>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</si>
  <si>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</si>
  <si>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</si>
  <si>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</si>
  <si>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</si>
  <si>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</si>
  <si>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</si>
  <si>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</si>
  <si>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</si>
  <si>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</si>
  <si>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</si>
  <si>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</si>
  <si>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</si>
  <si>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</si>
  <si>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</si>
  <si>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</si>
  <si>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</si>
  <si>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</si>
  <si>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</si>
  <si>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</si>
  <si>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</si>
  <si>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</si>
  <si>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</si>
  <si>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</si>
  <si>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</si>
  <si>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</si>
  <si>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</si>
  <si>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</si>
  <si>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</si>
  <si>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</si>
  <si>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</si>
  <si>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</si>
  <si>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</si>
  <si>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</si>
  <si>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</si>
  <si>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</si>
  <si>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</si>
  <si>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</si>
  <si>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</si>
  <si>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</si>
  <si>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</si>
  <si>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</si>
  <si>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</si>
  <si>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</si>
  <si>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</si>
  <si>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</si>
  <si>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</si>
  <si>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</si>
  <si>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</si>
  <si>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</si>
  <si>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</si>
  <si>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</si>
  <si>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</si>
  <si>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</si>
  <si>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</si>
  <si>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</si>
  <si>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</si>
  <si>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</si>
  <si>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</si>
  <si>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</si>
  <si>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</si>
  <si>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</si>
  <si>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</si>
  <si>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</si>
  <si>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</si>
  <si>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</si>
  <si>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</si>
  <si>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</si>
  <si>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</si>
  <si>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</si>
  <si>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</si>
  <si>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</si>
  <si>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</si>
  <si>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</si>
  <si>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</si>
  <si>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</si>
  <si>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</si>
  <si>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</si>
  <si>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</si>
  <si>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</si>
  <si>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</si>
  <si>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</si>
  <si>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</si>
  <si>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</si>
  <si>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</si>
  <si>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</si>
  <si>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</si>
  <si>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</si>
  <si>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</si>
  <si>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</si>
  <si>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</si>
  <si>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</si>
  <si>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</si>
  <si>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</si>
  <si>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</si>
  <si>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</si>
  <si>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</si>
  <si>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</si>
  <si>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</si>
  <si>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</si>
  <si>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</si>
  <si>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</si>
  <si>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</si>
  <si>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</si>
  <si>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</si>
  <si>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</si>
  <si>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</si>
  <si>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</si>
  <si>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</si>
  <si>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</si>
  <si>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</si>
  <si>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</si>
  <si>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</si>
  <si>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</si>
  <si>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</si>
  <si>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</si>
  <si>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</si>
  <si>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</si>
  <si>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</si>
  <si>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</si>
  <si>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</si>
  <si>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</si>
  <si>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</si>
  <si>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</si>
  <si>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</si>
  <si>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</si>
  <si>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</si>
  <si>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</si>
  <si>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</si>
  <si>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</si>
  <si>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</si>
  <si>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</si>
  <si>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</si>
  <si>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</si>
  <si>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</si>
  <si>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</si>
  <si>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</si>
  <si>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</si>
  <si>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</si>
  <si>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</si>
  <si>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</si>
  <si>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</si>
  <si>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</si>
  <si>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</si>
  <si>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</si>
  <si>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</si>
  <si>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</si>
  <si>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</si>
  <si>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</si>
  <si>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</si>
  <si>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</si>
  <si>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</si>
  <si>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</si>
  <si>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</si>
  <si>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</si>
  <si>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</si>
  <si>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</si>
  <si>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</si>
  <si>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</si>
  <si>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</si>
  <si>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</si>
  <si>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</si>
  <si>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</si>
  <si>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</si>
  <si>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</si>
  <si>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</si>
  <si>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</si>
  <si>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</si>
  <si>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</si>
  <si>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</si>
  <si>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</si>
  <si>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</si>
  <si>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</si>
  <si>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</si>
  <si>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</si>
  <si>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</si>
  <si>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</si>
  <si>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</si>
  <si>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</si>
  <si>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</si>
  <si>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</si>
  <si>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</si>
  <si>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</si>
  <si>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</si>
  <si>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</si>
  <si>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</si>
  <si>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</si>
  <si>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</si>
  <si>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</si>
  <si>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</si>
  <si>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</si>
  <si>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</si>
  <si>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</si>
  <si>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</si>
  <si>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</si>
  <si>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</si>
  <si>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</si>
  <si>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</si>
  <si>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</si>
  <si>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</si>
  <si>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</si>
  <si>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</si>
  <si>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</si>
  <si>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</si>
  <si>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</si>
  <si>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</si>
  <si>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</si>
  <si>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</si>
  <si>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</si>
  <si>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</si>
  <si>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</si>
  <si>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</si>
  <si>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</si>
  <si>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</si>
  <si>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</si>
  <si>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</si>
  <si>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</si>
  <si>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</si>
  <si>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</si>
  <si>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</si>
  <si>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</si>
  <si>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</si>
  <si>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</si>
  <si>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</si>
  <si>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</si>
  <si>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</si>
  <si>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</si>
  <si>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</si>
  <si>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</si>
  <si>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</si>
  <si>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</si>
  <si>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</si>
  <si>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</si>
  <si>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</si>
  <si>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</si>
  <si>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</si>
  <si>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</si>
  <si>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</si>
  <si>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</si>
  <si>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</si>
  <si>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</si>
  <si>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</si>
  <si>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</si>
  <si>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</si>
  <si>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</si>
  <si>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</si>
  <si>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</si>
  <si>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</si>
  <si>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</si>
  <si>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</si>
  <si>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</si>
  <si>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</si>
  <si>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</si>
  <si>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</si>
  <si>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</si>
  <si>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</si>
  <si>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</si>
  <si>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</si>
  <si>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</si>
  <si>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</si>
  <si>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</si>
  <si>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</si>
  <si>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</si>
  <si>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</si>
  <si>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</si>
  <si>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</si>
  <si>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</si>
  <si>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</si>
  <si>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</si>
  <si>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</si>
  <si>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</si>
  <si>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</si>
  <si>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</si>
  <si>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</si>
  <si>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</si>
  <si>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</si>
  <si>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</si>
  <si>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</si>
  <si>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</si>
  <si>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</si>
  <si>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</si>
  <si>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</si>
  <si>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</si>
  <si>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</si>
  <si>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</si>
  <si>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</si>
  <si>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</si>
  <si>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</si>
  <si>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</si>
  <si>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</si>
  <si>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</si>
  <si>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</si>
  <si>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</si>
  <si>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</si>
  <si>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</si>
  <si>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</si>
  <si>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</si>
  <si>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</si>
  <si>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</si>
  <si>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</si>
  <si>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</si>
  <si>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</si>
  <si>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</si>
  <si>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</si>
  <si>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</si>
  <si>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</si>
  <si>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</si>
  <si>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</si>
  <si>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</si>
  <si>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</si>
  <si>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</si>
  <si>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</si>
  <si>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</si>
  <si>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</si>
  <si>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</si>
  <si>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</si>
  <si>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</si>
  <si>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</si>
  <si>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</si>
  <si>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</si>
  <si>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</si>
  <si>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</si>
  <si>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</si>
  <si>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</si>
  <si>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</si>
  <si>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</si>
  <si>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</si>
  <si>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</si>
  <si>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</si>
  <si>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</si>
  <si>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</si>
  <si>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</si>
  <si>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</si>
  <si>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</si>
  <si>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</si>
  <si>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</si>
  <si>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</si>
  <si>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</si>
  <si>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</si>
  <si>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</si>
  <si>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</si>
  <si>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</si>
  <si>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</si>
  <si>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</si>
  <si>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</si>
  <si>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</si>
  <si>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</si>
  <si>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</si>
  <si>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</si>
  <si>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</si>
  <si>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</si>
  <si>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</si>
  <si>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</si>
  <si>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</si>
  <si>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</si>
  <si>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</si>
  <si>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</si>
  <si>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</si>
  <si>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</si>
  <si>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</si>
  <si>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</si>
  <si>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</si>
  <si>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</si>
  <si>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</si>
  <si>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</si>
  <si>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CCN PROMO </t>
  </si>
  <si>
    <t>Indomie Chicken ® 4 in 1</t>
  </si>
  <si>
    <t>Shakoor</t>
  </si>
  <si>
    <t>Victoria Departmental Store</t>
  </si>
  <si>
    <t>Address: Link Road</t>
  </si>
  <si>
    <t>NTN #: 1732069-7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</si>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</sst>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511</v>
      </c>
      <c r="D13" s="166" t="s">
        <v>511</v>
      </c>
      <c r="E13" s="178" t="s">
        <v>512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497</v>
      </c>
      <c r="F2" s="357"/>
      <c r="G2" s="357"/>
      <c r="H2" s="354" t="s">
        <v>513</v>
      </c>
      <c r="I2" s="354"/>
      <c r="J2" s="355"/>
      <c r="R2" s="351" t="s">
        <v>496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507</v>
      </c>
      <c r="F3" s="361"/>
      <c r="G3" s="361"/>
      <c r="H3" s="358">
        <v>46325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Victoria Departmental Store</v>
      </c>
      <c r="T3" s="301">
        <f>+'1'!P35</f>
        <v>10405.25189694915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Victoria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>Victoria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492</v>
      </c>
      <c r="M6" s="363"/>
      <c r="N6" s="365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>Victoria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Victoria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Victoria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Victoria Departmental Store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Victoria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Victoria Departmental Store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Victoria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Victoria Departmental Store</v>
      </c>
      <c r="T13" s="301">
        <f>+'11'!P35</f>
        <v>0</v>
      </c>
    </row>
    <row r="14" spans="1:20 16377:16378" ht="21.75" customHeight="1" x14ac:dyDescent="0.35">
      <c r="A14" s="82" t="s">
        <v>511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60</v>
      </c>
      <c r="I14" s="236">
        <f t="shared" si="0"/>
        <v>9685.1999999999989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1162.2239999999999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8522.9759999999987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1830.5084745762701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51.767422372881349</v>
      </c>
      <c r="P14" s="311">
        <f t="shared" si="2"/>
        <v>10405.25189694915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Victoria Departmental Store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Victoria Departmental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1.5</v>
      </c>
      <c r="H16" s="113">
        <f t="shared" ref="H16:M16" si="3">SUM(H7:H15)</f>
        <v>60</v>
      </c>
      <c r="I16" s="114">
        <f t="shared" si="3"/>
        <v>9685.1999999999989</v>
      </c>
      <c r="J16" s="274">
        <f>SUM(J7:J15)</f>
        <v>1162.2239999999999</v>
      </c>
      <c r="K16" s="275">
        <f t="shared" si="3"/>
        <v>0</v>
      </c>
      <c r="L16" s="276">
        <f t="shared" si="3"/>
        <v>0</v>
      </c>
      <c r="M16" s="232">
        <f t="shared" si="3"/>
        <v>8522.9759999999987</v>
      </c>
      <c r="N16" s="233">
        <f>SUM(N7:N15)</f>
        <v>1830.5084745762701</v>
      </c>
      <c r="O16" s="101">
        <f>SUM(O7:O15)</f>
        <v>51.767422372881349</v>
      </c>
      <c r="P16" s="113">
        <f>SUM(P7:P15)</f>
        <v>10405.25189694915</v>
      </c>
      <c r="Q16" s="128">
        <f>SUM(Q7:Q15)</f>
        <v>0</v>
      </c>
      <c r="R16" s="313">
        <v>14</v>
      </c>
      <c r="S16" s="315" t="str">
        <f>+'14'!A6:A6</f>
        <v>Victoria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Victoria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Victoria Departmental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9685.1999999999989</v>
      </c>
      <c r="R19" s="299">
        <v>17</v>
      </c>
      <c r="S19" s="300" t="str">
        <f>+'17'!A6:A6</f>
        <v>Victoria Departmental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1162.2239999999999</v>
      </c>
      <c r="R20" s="299">
        <v>18</v>
      </c>
      <c r="S20" s="300" t="str">
        <f>+'18'!A6:A6</f>
        <v>Victoria Departmental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Victoria Departmental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8522.9759999999987</v>
      </c>
      <c r="R22" s="299">
        <v>20</v>
      </c>
      <c r="S22" s="300" t="str">
        <f>+'20'!A6:A6</f>
        <v>Victoria Departmental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1830.5084745762701</v>
      </c>
      <c r="R23" s="299">
        <v>21</v>
      </c>
      <c r="S23" s="300" t="str">
        <f>+'21'!A6:A6</f>
        <v>Victoria Departmental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10353.484474576269</v>
      </c>
      <c r="R24" s="299">
        <v>22</v>
      </c>
      <c r="S24" s="300" t="str">
        <f>+'22'!A6:A6</f>
        <v>Victoria Departmental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51.767422372881349</v>
      </c>
      <c r="R25" s="299">
        <v>23</v>
      </c>
      <c r="S25" s="300" t="str">
        <f>+'23'!A6:A6</f>
        <v>Victoria Departmental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10405.25189694915</v>
      </c>
      <c r="R26" s="299">
        <v>24</v>
      </c>
      <c r="S26" s="300" t="str">
        <f>+'24'!A6:A6</f>
        <v>Victoria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Victoria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Victoria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Victoria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Victoria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Victoria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Victoria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10405.25189694915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tabSelected="1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60</v>
      </c>
      <c r="I23" s="236">
        <f t="shared" si="0"/>
        <v>9685.1999999999989</v>
      </c>
      <c r="J23" s="272">
        <f t="shared" si="1"/>
        <v>1162.2239999999999</v>
      </c>
      <c r="K23" s="128">
        <f t="shared" si="1"/>
        <v>0</v>
      </c>
      <c r="L23" s="119">
        <f t="shared" si="1"/>
        <v>0</v>
      </c>
      <c r="M23" s="230">
        <f t="shared" si="2"/>
        <v>8522.9759999999987</v>
      </c>
      <c r="N23" s="277">
        <f t="shared" si="3"/>
        <v>1830.5084745762701</v>
      </c>
      <c r="O23" s="239">
        <f t="shared" si="4"/>
        <v>51.767422372881349</v>
      </c>
      <c r="P23" s="119">
        <f t="shared" si="5"/>
        <v>10405.25189694915</v>
      </c>
      <c r="Q23" s="319"/>
      <c r="S23" s="269">
        <v>0.12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9685.1999999999989</v>
      </c>
      <c r="J25" s="274">
        <f>SUM(J16:J24)</f>
        <v>1162.2239999999999</v>
      </c>
      <c r="K25" s="275">
        <f t="shared" si="10"/>
        <v>0</v>
      </c>
      <c r="L25" s="276">
        <f t="shared" si="10"/>
        <v>0</v>
      </c>
      <c r="M25" s="232">
        <f t="shared" si="10"/>
        <v>8522.9759999999987</v>
      </c>
      <c r="N25" s="233">
        <f>SUM(N16:N24)</f>
        <v>1830.5084745762701</v>
      </c>
      <c r="O25" s="101">
        <f>SUM(O16:O24)</f>
        <v>51.767422372881349</v>
      </c>
      <c r="P25" s="234">
        <f>SUM(P16:P24)</f>
        <v>10405.25189694915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9685.1999999999989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1162.2239999999999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8522.9759999999987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1830.5084745762701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10353.484474576269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51.767422372881349</v>
      </c>
    </row>
    <row r="35" spans="2:16" ht="15.75" customHeight="1" thickBot="1" x14ac:dyDescent="0.4">
      <c r="N35" s="345" t="s">
        <v>88</v>
      </c>
      <c r="O35" s="346"/>
      <c r="P35" s="297">
        <f>+P33+P34</f>
        <v>10405.25189694915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 t="e">
        <f>I25</f>
        <v>#N/A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 t="e">
        <f>K25</f>
        <v>#N/A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 t="e">
        <f>J25</f>
        <v>#N/A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 t="e">
        <f>O28-O29-O30</f>
        <v>#N/A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 t="e">
        <f>O31+O32</f>
        <v>#N/A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45" t="s">
        <v>88</v>
      </c>
      <c r="N35" s="346"/>
      <c r="O35" s="141" t="e">
        <f>O28-O29+O31+O34</f>
        <v>#N/A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483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475</v>
      </c>
      <c r="D6" s="409"/>
      <c r="E6" s="409"/>
      <c r="F6" s="409"/>
      <c r="G6" s="409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483</v>
      </c>
      <c r="N7" s="407"/>
      <c r="O7" s="408"/>
      <c r="P7" s="256" t="s">
        <v>474</v>
      </c>
      <c r="Q7" s="242" t="s">
        <v>472</v>
      </c>
      <c r="R7" s="404" t="s">
        <v>474</v>
      </c>
      <c r="S7" s="404" t="s">
        <v>484</v>
      </c>
      <c r="T7" s="402" t="s">
        <v>485</v>
      </c>
      <c r="U7" s="402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476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483</v>
      </c>
      <c r="N13" s="407"/>
      <c r="O13" s="408"/>
      <c r="P13" s="256" t="s">
        <v>474</v>
      </c>
      <c r="Q13" s="242" t="s">
        <v>472</v>
      </c>
      <c r="R13" s="404" t="s">
        <v>474</v>
      </c>
      <c r="S13" s="404" t="s">
        <v>484</v>
      </c>
      <c r="T13" s="402" t="s">
        <v>485</v>
      </c>
      <c r="U13" s="402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477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483</v>
      </c>
      <c r="N20" s="407"/>
      <c r="O20" s="408"/>
      <c r="P20" s="256" t="s">
        <v>474</v>
      </c>
      <c r="Q20" s="242" t="s">
        <v>472</v>
      </c>
      <c r="R20" s="404" t="s">
        <v>474</v>
      </c>
      <c r="S20" s="404" t="s">
        <v>484</v>
      </c>
      <c r="T20" s="402" t="s">
        <v>485</v>
      </c>
      <c r="U20" s="402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478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483</v>
      </c>
      <c r="N27" s="407"/>
      <c r="O27" s="408"/>
      <c r="P27" s="256" t="s">
        <v>474</v>
      </c>
      <c r="Q27" s="242" t="s">
        <v>472</v>
      </c>
      <c r="R27" s="404" t="s">
        <v>474</v>
      </c>
      <c r="S27" s="404" t="s">
        <v>484</v>
      </c>
      <c r="T27" s="402" t="s">
        <v>485</v>
      </c>
      <c r="U27" s="402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483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2026-10-30T04:52:27Z</dcterms:modified>
</cp:coreProperties>
</file>