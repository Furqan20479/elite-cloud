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F3A03BD-DD7F-444B-91D5-D3ED0B846A6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<sst xmlns="http://schemas.openxmlformats.org/spreadsheetml/2006/main" count="3949" uniqueCount="518">
  <si>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</si>
  <si>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</si>
  <si>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</si>
  <si>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</si>
  <si>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</si>
  <si>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</si>
  <si>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</si>
  <si>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</si>
  <si>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</si>
  <si>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</si>
  <si>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</si>
  <si>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</si>
  <si>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</si>
  <si>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</si>
  <si>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</si>
  <si>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</si>
  <si>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</si>
  <si>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</si>
  <si>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</si>
  <si>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</si>
  <si>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</si>
  <si>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</si>
  <si>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</si>
  <si>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</si>
  <si>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</si>
  <si>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</si>
  <si>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</si>
  <si>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</si>
  <si>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</si>
  <si>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</si>
  <si>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</si>
  <si>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</si>
  <si>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</si>
  <si>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</si>
  <si>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</si>
  <si>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</si>
  <si>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</si>
  <si>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</si>
  <si>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</si>
  <si>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</si>
  <si>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</si>
  <si>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</si>
  <si>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</si>
  <si>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</si>
  <si>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</si>
  <si>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</si>
  <si>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</si>
  <si>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</si>
  <si>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</si>
  <si>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</si>
  <si>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</si>
  <si>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</si>
  <si>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</si>
  <si>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</si>
  <si>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</si>
  <si>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</si>
  <si>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</si>
  <si>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</si>
  <si>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</si>
  <si>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</si>
  <si>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</si>
  <si>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</si>
  <si>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</si>
  <si>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</si>
  <si>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</si>
  <si>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</si>
  <si>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</si>
  <si>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</si>
  <si>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</si>
  <si>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</si>
  <si>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</si>
  <si>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</si>
  <si>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</si>
  <si>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</si>
  <si>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</si>
  <si>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</si>
  <si>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</si>
  <si>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</si>
  <si>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</si>
  <si>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</si>
  <si>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</si>
  <si>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</si>
  <si>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</si>
  <si>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</si>
  <si>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</si>
  <si>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</si>
  <si>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</si>
  <si>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</si>
  <si>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</si>
  <si>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</si>
  <si>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</si>
  <si>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</si>
  <si>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</si>
  <si>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</si>
  <si>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</si>
  <si>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</si>
  <si>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</si>
  <si>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</si>
  <si>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</si>
  <si>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</si>
  <si>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</si>
  <si>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</si>
  <si>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</si>
  <si>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</si>
  <si>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</si>
  <si>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</si>
  <si>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</si>
  <si>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</si>
  <si>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</si>
  <si>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</si>
  <si>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</si>
  <si>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</si>
  <si>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</si>
  <si>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</si>
  <si>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</si>
  <si>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</si>
  <si>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</si>
  <si>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</si>
  <si>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</si>
  <si>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</si>
  <si>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</si>
  <si>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</si>
  <si>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</si>
  <si>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</si>
  <si>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</si>
  <si>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</si>
  <si>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</si>
  <si>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</si>
  <si>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</si>
  <si>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</si>
  <si>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</si>
  <si>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</si>
  <si>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</si>
  <si>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</si>
  <si>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</si>
  <si>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</si>
  <si>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</si>
  <si>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</si>
  <si>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</si>
  <si>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</si>
  <si>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</si>
  <si>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</si>
  <si>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</si>
  <si>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</si>
  <si>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</si>
  <si>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</si>
  <si>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</si>
  <si>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</si>
  <si>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</si>
  <si>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</si>
  <si>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</si>
  <si>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</si>
  <si>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</si>
  <si>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</si>
  <si>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</si>
  <si>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</si>
  <si>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</si>
  <si>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</si>
  <si>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</si>
  <si>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</si>
  <si>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</si>
  <si>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</si>
  <si>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</si>
  <si>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</si>
  <si>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</si>
  <si>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</si>
  <si>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</si>
  <si>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</si>
  <si>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</si>
  <si>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</si>
  <si>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</si>
  <si>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</si>
  <si>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</si>
  <si>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</si>
  <si>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</si>
  <si>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</si>
  <si>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</si>
  <si>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</si>
  <si>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</si>
  <si>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</si>
  <si>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</si>
  <si>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</si>
  <si>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</si>
  <si>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</si>
  <si>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</si>
  <si>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</si>
  <si>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</si>
  <si>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</si>
  <si>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</si>
  <si>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</si>
  <si>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</si>
  <si>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</si>
  <si>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</si>
  <si>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</si>
  <si>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</si>
  <si>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</si>
  <si>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</si>
  <si>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</si>
  <si>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</si>
  <si>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</si>
  <si>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</si>
  <si>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</si>
  <si>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</si>
  <si>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</si>
  <si>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</si>
  <si>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</si>
  <si>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</si>
  <si>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</si>
  <si>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</si>
  <si>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</si>
  <si>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</si>
  <si>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</si>
  <si>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</si>
  <si>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</si>
  <si>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</si>
  <si>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</si>
  <si>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</si>
  <si>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</si>
  <si>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</si>
  <si>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</si>
  <si>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</si>
  <si>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</si>
  <si>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</si>
  <si>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</si>
  <si>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</si>
  <si>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</si>
  <si>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</si>
  <si>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</si>
  <si>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</si>
  <si>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</si>
  <si>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</si>
  <si>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</si>
  <si>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</si>
  <si>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</si>
  <si>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</si>
  <si>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</si>
  <si>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</si>
  <si>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</si>
  <si>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</si>
  <si>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</si>
  <si>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</si>
  <si>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</si>
  <si>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</si>
  <si>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</si>
  <si>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</si>
  <si>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</si>
  <si>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</si>
  <si>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</si>
  <si>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</si>
  <si>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</si>
  <si>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</si>
  <si>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</si>
  <si>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</si>
  <si>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</si>
  <si>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</si>
  <si>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</si>
  <si>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</si>
  <si>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</si>
  <si>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</si>
  <si>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</si>
  <si>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</si>
  <si>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</si>
  <si>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</si>
  <si>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</si>
  <si>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</si>
  <si>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</si>
  <si>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</si>
  <si>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</si>
  <si>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</si>
  <si>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</si>
  <si>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</si>
  <si>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</si>
  <si>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</si>
  <si>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</si>
  <si>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</si>
  <si>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</si>
  <si>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</si>
  <si>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</si>
  <si>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</si>
  <si>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</si>
  <si>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</si>
  <si>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</si>
  <si>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</si>
  <si>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</si>
  <si>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</si>
  <si>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</si>
  <si>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</si>
  <si>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</si>
  <si>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</si>
  <si>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</si>
  <si>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</si>
  <si>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</si>
  <si>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</si>
  <si>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</si>
  <si>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</si>
  <si>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</si>
  <si>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</si>
  <si>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</si>
  <si>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</si>
  <si>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</si>
  <si>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</si>
  <si>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</si>
  <si>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</si>
  <si>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</si>
  <si>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</si>
  <si>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</si>
  <si>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</si>
  <si>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</si>
  <si>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</si>
  <si>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</si>
  <si>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</si>
  <si>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</si>
  <si>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</si>
  <si>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</si>
  <si>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</si>
  <si>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</si>
  <si>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</si>
  <si>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</si>
  <si>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</si>
  <si>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</si>
  <si>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</si>
  <si>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</si>
  <si>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</si>
  <si>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</si>
  <si>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</si>
  <si>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</si>
  <si>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</si>
  <si>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</si>
  <si>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</si>
  <si>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</si>
  <si>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</si>
  <si>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</si>
  <si>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</si>
  <si>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</si>
  <si>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</si>
  <si>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</si>
  <si>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</si>
  <si>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</si>
  <si>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</si>
  <si>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</si>
  <si>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</si>
  <si>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</si>
  <si>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</si>
  <si>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</si>
  <si>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</si>
  <si>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</si>
  <si>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</si>
  <si>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</si>
  <si>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</si>
  <si>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</si>
  <si>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</si>
  <si>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</si>
  <si>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</si>
  <si>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</si>
  <si>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</si>
  <si>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</si>
  <si>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</si>
  <si>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</si>
  <si>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</si>
  <si>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</si>
  <si>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</si>
  <si>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</si>
  <si>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</si>
  <si>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</si>
  <si>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</si>
  <si>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</si>
  <si>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</si>
  <si>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</si>
  <si>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</si>
  <si>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</si>
  <si>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</si>
  <si>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</si>
  <si>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</si>
  <si>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</si>
  <si>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</si>
  <si>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</si>
  <si>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</si>
  <si>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</si>
  <si>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</si>
  <si>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</si>
  <si>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</si>
  <si>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</si>
  <si>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</si>
  <si>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</si>
  <si>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</si>
  <si>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</si>
  <si>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</si>
  <si>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</si>
  <si>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</si>
  <si>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</si>
  <si>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</si>
  <si>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</si>
  <si>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</si>
  <si>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</si>
  <si>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</si>
  <si>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</si>
  <si>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</si>
  <si>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</si>
  <si>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</si>
  <si>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</si>
  <si>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</si>
  <si>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</si>
  <si>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</si>
  <si>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</si>
  <si>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</si>
  <si>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</si>
  <si>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</si>
  <si>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</si>
  <si>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</si>
  <si>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</si>
  <si>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</si>
  <si>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</si>
  <si>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</si>
  <si>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</si>
  <si>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</si>
  <si>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</si>
  <si>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</si>
  <si>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</si>
  <si>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</si>
  <si>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</si>
  <si>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</si>
  <si>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</si>
  <si>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</si>
  <si>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</si>
  <si>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</si>
  <si>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</si>
  <si>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</si>
  <si>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</si>
  <si>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</si>
  <si>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</si>
  <si>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</si>
  <si>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</si>
  <si>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</si>
  <si>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</si>
  <si>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</si>
  <si>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</si>
  <si>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</si>
  <si>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</si>
  <si>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</si>
  <si>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</si>
  <si>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</si>
  <si>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</si>
  <si>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</si>
  <si>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</si>
  <si>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</si>
  <si>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</si>
  <si>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</si>
  <si>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</si>
  <si>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</si>
  <si>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</si>
  <si>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</si>
  <si>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</si>
  <si>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</si>
  <si>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</si>
  <si>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</si>
  <si>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</si>
  <si>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</si>
  <si>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</si>
  <si>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</si>
  <si>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</si>
  <si>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</si>
  <si>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</si>
  <si>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</si>
  <si>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</si>
  <si>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</si>
  <si>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</si>
  <si>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</si>
  <si>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</si>
  <si>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</si>
  <si>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</si>
  <si>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</si>
  <si>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</si>
  <si>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</si>
  <si>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</si>
  <si>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</si>
  <si>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</si>
  <si>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</si>
  <si>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</si>
  <si>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</si>
  <si>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</si>
  <si>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</si>
  <si>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</si>
  <si>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</si>
  <si>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</si>
  <si>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</si>
  <si>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</si>
  <si>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</si>
  <si>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</si>
  <si>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</si>
  <si>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</si>
  <si>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</si>
  <si>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</si>
  <si>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</si>
  <si>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</si>
  <si>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</si>
  <si>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</si>
  <si>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</si>
  <si>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</si>
  <si>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</si>
  <si>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</si>
  <si>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</si>
  <si>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</si>
  <si>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</si>
  <si>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</si>
  <si>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</si>
  <si>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</si>
  <si>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</si>
  <si>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</si>
  <si>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</si>
  <si>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</si>
  <si>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</si>
  <si>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</si>
  <si>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</si>
  <si>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</si>
  <si>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 xml:space="preserve">CCN PROMO </t>
  </si>
  <si>
    <t>Indomie Chicken ® 4 in 1</t>
  </si>
  <si>
    <t>Shahid Sahb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</si>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</sst>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514</v>
      </c>
      <c r="D13" s="166" t="s">
        <v>514</v>
      </c>
      <c r="E13" s="178" t="s">
        <v>515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513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Shahid Sahb</v>
      </c>
      <c r="T3" s="301">
        <f>+'1'!P35</f>
        <v>2125.2659548347456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</v>
      </c>
      <c r="I7" s="235">
        <f>(G7*D7)*F7+H7*F7</f>
        <v>734.47500000000002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58.758000000000003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25.706625000000003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650.01037500000007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138.81355932203383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3.9441196716101694</v>
      </c>
      <c r="P7" s="310">
        <f>M7+N7+O7</f>
        <v>792.76805399364412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14</v>
      </c>
      <c r="I8" s="236">
        <f t="shared" ref="I8:I14" si="0">(G8*D8)*F8+H8*F8</f>
        <v>734.47500000000002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58.758000000000003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25.706625000000003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650.01037500000007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138.81355932203383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3.9441196716101694</v>
      </c>
      <c r="P8" s="311">
        <f t="shared" ref="P8:P15" si="2">M8+N8+O8</f>
        <v>792.76805399364412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514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3</v>
      </c>
      <c r="I14" s="236">
        <f t="shared" si="0"/>
        <v>484.26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38.7408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445.51920000000001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91.525423728813507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2.685223118644068</v>
      </c>
      <c r="P14" s="311">
        <f t="shared" si="2"/>
        <v>539.72984684745768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0.77500000000000002</v>
      </c>
      <c r="H16" s="113">
        <f t="shared" ref="H16:M16" si="3">SUM(H7:H15)</f>
        <v>31</v>
      </c>
      <c r="I16" s="114">
        <f t="shared" si="3"/>
        <v>1953.21</v>
      </c>
      <c r="J16" s="274">
        <f>SUM(J7:J15)</f>
        <v>156.2568</v>
      </c>
      <c r="K16" s="275">
        <f t="shared" si="3"/>
        <v>51.413250000000005</v>
      </c>
      <c r="L16" s="276">
        <f t="shared" si="3"/>
        <v>0</v>
      </c>
      <c r="M16" s="232">
        <f t="shared" si="3"/>
        <v>1745.5399500000001</v>
      </c>
      <c r="N16" s="233">
        <f>SUM(N7:N15)</f>
        <v>369.15254237288116</v>
      </c>
      <c r="O16" s="101">
        <f>SUM(O7:O15)</f>
        <v>10.573462461864407</v>
      </c>
      <c r="P16" s="113">
        <f>SUM(P7:P15)</f>
        <v>2125.265954834746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1953.21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156.2568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51.413250000000005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1745.5399499999999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369.15254237288116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2114.6924923728811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10.573462461864407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2125.2659548347456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2125.2659548347456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48"/>
  <sheetViews>
    <sheetView tabSelected="1" workbookViewId="0">
      <selection activeCell="I2" sqref="I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517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14</v>
      </c>
      <c r="I17" s="236">
        <f t="shared" ref="I17:I23" si="0">(G17*D17)*F17+H17*F17</f>
        <v>734.47500000000002</v>
      </c>
      <c r="J17" s="272">
        <f t="shared" ref="J17:L24" si="1">$I17*S17</f>
        <v>58.758000000000003</v>
      </c>
      <c r="K17" s="128">
        <f>$I17*T17</f>
        <v>25.706625000000003</v>
      </c>
      <c r="L17" s="119">
        <f>$I17*U17</f>
        <v>0</v>
      </c>
      <c r="M17" s="230">
        <f t="shared" ref="M17:M24" si="2">I17-SUM(J17:L17)</f>
        <v>650.01037500000007</v>
      </c>
      <c r="N17" s="277">
        <f t="shared" ref="N17:N24" si="3">+(G17*D17+H17)*V17</f>
        <v>138.81355932203383</v>
      </c>
      <c r="O17" s="239">
        <f t="shared" ref="O17:O24" si="4">(N17+M17)*$O$15</f>
        <v>3.9441196716101694</v>
      </c>
      <c r="P17" s="119">
        <f t="shared" ref="P17:P24" si="5">M17+N17+O17</f>
        <v>792.76805399364412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3</v>
      </c>
      <c r="I23" s="236">
        <f t="shared" si="0"/>
        <v>484.26</v>
      </c>
      <c r="J23" s="272">
        <f t="shared" si="1"/>
        <v>38.7408</v>
      </c>
      <c r="K23" s="128">
        <f t="shared" si="1"/>
        <v>0</v>
      </c>
      <c r="L23" s="119">
        <f t="shared" si="1"/>
        <v>0</v>
      </c>
      <c r="M23" s="230">
        <f t="shared" si="2"/>
        <v>445.51920000000001</v>
      </c>
      <c r="N23" s="277">
        <f t="shared" si="3"/>
        <v>91.525423728813507</v>
      </c>
      <c r="O23" s="239">
        <f t="shared" si="4"/>
        <v>2.685223118644068</v>
      </c>
      <c r="P23" s="119">
        <f t="shared" si="5"/>
        <v>539.72984684745768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31</v>
      </c>
      <c r="I25" s="114">
        <f t="shared" ref="I25:M25" si="10">SUM(I16:I24)</f>
        <v>1953.21</v>
      </c>
      <c r="J25" s="274">
        <f>SUM(J16:J24)</f>
        <v>156.2568</v>
      </c>
      <c r="K25" s="275">
        <f t="shared" si="10"/>
        <v>51.413250000000005</v>
      </c>
      <c r="L25" s="276">
        <f t="shared" si="10"/>
        <v>0</v>
      </c>
      <c r="M25" s="232">
        <f t="shared" si="10"/>
        <v>1745.5399500000001</v>
      </c>
      <c r="N25" s="233">
        <f>SUM(N16:N24)</f>
        <v>369.15254237288116</v>
      </c>
      <c r="O25" s="101">
        <f>SUM(O16:O24)</f>
        <v>10.573462461864407</v>
      </c>
      <c r="P25" s="234">
        <f>SUM(P16:P24)</f>
        <v>2125.265954834746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1953.21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156.2568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51.413250000000005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1745.5399499999999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369.15254237288116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2114.6924923728811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10.573462461864406</v>
      </c>
    </row>
    <row r="35" spans="2:16" ht="15.75" customHeight="1" thickBot="1" x14ac:dyDescent="0.4">
      <c r="N35" s="374" t="s">
        <v>88</v>
      </c>
      <c r="O35" s="375"/>
      <c r="P35" s="297">
        <f>+P33+P34</f>
        <v>2125.2659548347456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2026-10-31T04:17:02Z</dcterms:modified>
</cp:coreProperties>
</file>