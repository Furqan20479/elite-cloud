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70EE19-A2C3-40AE-87E2-74434E85925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<sst xmlns="http://schemas.openxmlformats.org/spreadsheetml/2006/main" count="3948" uniqueCount="522">
  <si>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</si>
  <si>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</si>
  <si>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</si>
  <si>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</si>
  <si>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</si>
  <si>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</si>
  <si>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</si>
  <si>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</si>
  <si>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</si>
  <si>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</si>
  <si>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</si>
  <si>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</si>
  <si>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</si>
  <si>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</si>
  <si>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</si>
  <si>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</si>
  <si>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</si>
  <si>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</si>
  <si>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</si>
  <si>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</si>
  <si>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</si>
  <si>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</si>
  <si>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</si>
  <si>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</si>
  <si>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</si>
  <si>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</si>
  <si>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</si>
  <si>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</si>
  <si>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</si>
  <si>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</si>
  <si>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</si>
  <si>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</si>
  <si>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</si>
  <si>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</si>
  <si>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</si>
  <si>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</si>
  <si>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</si>
  <si>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</si>
  <si>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</si>
  <si>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</si>
  <si>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</si>
  <si>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</si>
  <si>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</si>
  <si>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</si>
  <si>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</si>
  <si>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</si>
  <si>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</si>
  <si>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</si>
  <si>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</si>
  <si>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</si>
  <si>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</si>
  <si>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</si>
  <si>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</si>
  <si>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</si>
  <si>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</si>
  <si>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</si>
  <si>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</si>
  <si>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</si>
  <si>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</si>
  <si>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</si>
  <si>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</si>
  <si>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</si>
  <si>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</si>
  <si>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</si>
  <si>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</si>
  <si>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</si>
  <si>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</si>
  <si>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</si>
  <si>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</si>
  <si>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</si>
  <si>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</si>
  <si>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</si>
  <si>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</si>
  <si>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</si>
  <si>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</si>
  <si>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</si>
  <si>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</si>
  <si>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</si>
  <si>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</si>
  <si>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</si>
  <si>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</si>
  <si>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</si>
  <si>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</si>
  <si>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</si>
  <si>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</si>
  <si>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</si>
  <si>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</si>
  <si>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</si>
  <si>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</si>
  <si>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</si>
  <si>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</si>
  <si>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</si>
  <si>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</si>
  <si>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</si>
  <si>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</si>
  <si>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</si>
  <si>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</si>
  <si>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</si>
  <si>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</si>
  <si>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</si>
  <si>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</si>
  <si>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</si>
  <si>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</si>
  <si>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</si>
  <si>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</si>
  <si>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</si>
  <si>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</si>
  <si>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</si>
  <si>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</si>
  <si>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</si>
  <si>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</si>
  <si>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</si>
  <si>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</si>
  <si>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</si>
  <si>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</si>
  <si>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</si>
  <si>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</si>
  <si>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</si>
  <si>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</si>
  <si>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</si>
  <si>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</si>
  <si>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</si>
  <si>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</si>
  <si>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</si>
  <si>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</si>
  <si>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</si>
  <si>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</si>
  <si>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</si>
  <si>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</si>
  <si>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</si>
  <si>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</si>
  <si>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</si>
  <si>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</si>
  <si>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</si>
  <si>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</si>
  <si>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</si>
  <si>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</si>
  <si>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</si>
  <si>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</si>
  <si>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</si>
  <si>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</si>
  <si>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</si>
  <si>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</si>
  <si>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</si>
  <si>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</si>
  <si>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</si>
  <si>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</si>
  <si>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</si>
  <si>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</si>
  <si>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</si>
  <si>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</si>
  <si>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</si>
  <si>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</si>
  <si>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</si>
  <si>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</si>
  <si>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</si>
  <si>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</si>
  <si>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</si>
  <si>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</si>
  <si>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</si>
  <si>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</si>
  <si>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</si>
  <si>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</si>
  <si>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</si>
  <si>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</si>
  <si>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</si>
  <si>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</si>
  <si>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</si>
  <si>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</si>
  <si>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</si>
  <si>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</si>
  <si>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</si>
  <si>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</si>
  <si>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</si>
  <si>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</si>
  <si>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</si>
  <si>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</si>
  <si>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</si>
  <si>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</si>
  <si>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</si>
  <si>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</si>
  <si>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</si>
  <si>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</si>
  <si>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</si>
  <si>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</si>
  <si>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</si>
  <si>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</si>
  <si>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</si>
  <si>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</si>
  <si>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</si>
  <si>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</si>
  <si>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</si>
  <si>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</si>
  <si>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</si>
  <si>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</si>
  <si>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</si>
  <si>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</si>
  <si>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</si>
  <si>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</si>
  <si>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</si>
  <si>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</si>
  <si>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</si>
  <si>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</si>
  <si>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</si>
  <si>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</si>
  <si>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</si>
  <si>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</si>
  <si>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</si>
  <si>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</si>
  <si>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</si>
  <si>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</si>
  <si>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</si>
  <si>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</si>
  <si>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</si>
  <si>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</si>
  <si>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</si>
  <si>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</si>
  <si>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</si>
  <si>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</si>
  <si>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</si>
  <si>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</si>
  <si>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</si>
  <si>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</si>
  <si>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</si>
  <si>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</si>
  <si>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</si>
  <si>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</si>
  <si>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</si>
  <si>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</si>
  <si>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</si>
  <si>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</si>
  <si>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</si>
  <si>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</si>
  <si>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</si>
  <si>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</si>
  <si>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</si>
  <si>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</si>
  <si>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</si>
  <si>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</si>
  <si>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</si>
  <si>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</si>
  <si>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</si>
  <si>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</si>
  <si>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</si>
  <si>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</si>
  <si>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</si>
  <si>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</si>
  <si>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</si>
  <si>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</si>
  <si>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</si>
  <si>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</si>
  <si>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</si>
  <si>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</si>
  <si>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</si>
  <si>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</si>
  <si>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</si>
  <si>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</si>
  <si>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</si>
  <si>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</si>
  <si>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</si>
  <si>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</si>
  <si>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</si>
  <si>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</si>
  <si>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</si>
  <si>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</si>
  <si>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</si>
  <si>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</si>
  <si>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</si>
  <si>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</si>
  <si>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</si>
  <si>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</si>
  <si>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</si>
  <si>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</si>
  <si>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</si>
  <si>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</si>
  <si>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</si>
  <si>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</si>
  <si>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</si>
  <si>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</si>
  <si>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</si>
  <si>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</si>
  <si>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</si>
  <si>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</si>
  <si>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</si>
  <si>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</si>
  <si>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</si>
  <si>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</si>
  <si>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</si>
  <si>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</si>
  <si>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</si>
  <si>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</si>
  <si>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</si>
  <si>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</si>
  <si>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</si>
  <si>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</si>
  <si>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</si>
  <si>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</si>
  <si>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</si>
  <si>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</si>
  <si>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</si>
  <si>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</si>
  <si>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</si>
  <si>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</si>
  <si>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</si>
  <si>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</si>
  <si>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</si>
  <si>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</si>
  <si>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</si>
  <si>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</si>
  <si>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</si>
  <si>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</si>
  <si>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</si>
  <si>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</si>
  <si>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</si>
  <si>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</si>
  <si>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</si>
  <si>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</si>
  <si>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</si>
  <si>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</si>
  <si>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</si>
  <si>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</si>
  <si>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</si>
  <si>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</si>
  <si>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</si>
  <si>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</si>
  <si>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</si>
  <si>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</si>
  <si>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</si>
  <si>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</si>
  <si>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</si>
  <si>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</si>
  <si>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</si>
  <si>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</si>
  <si>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</si>
  <si>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</si>
  <si>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</si>
  <si>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</si>
  <si>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</si>
  <si>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</si>
  <si>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</si>
  <si>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</si>
  <si>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</si>
  <si>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</si>
  <si>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</si>
  <si>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</si>
  <si>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</si>
  <si>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</si>
  <si>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</si>
  <si>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</si>
  <si>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</si>
  <si>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</si>
  <si>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</si>
  <si>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</si>
  <si>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</si>
  <si>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</si>
  <si>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</si>
  <si>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</si>
  <si>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</si>
  <si>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</si>
  <si>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</si>
  <si>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</si>
  <si>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</si>
  <si>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</si>
  <si>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</si>
  <si>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</si>
  <si>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</si>
  <si>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</si>
  <si>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</si>
  <si>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</si>
  <si>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</si>
  <si>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</si>
  <si>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</si>
  <si>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</si>
  <si>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</si>
  <si>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</si>
  <si>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</si>
  <si>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</si>
  <si>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</si>
  <si>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</si>
  <si>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</si>
  <si>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</si>
  <si>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</si>
  <si>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</si>
  <si>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</si>
  <si>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</si>
  <si>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</si>
  <si>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</si>
  <si>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</si>
  <si>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</si>
  <si>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</si>
  <si>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</si>
  <si>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</si>
  <si>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</si>
  <si>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</si>
  <si>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</si>
  <si>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</si>
  <si>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</si>
  <si>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</si>
  <si>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</si>
  <si>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</si>
  <si>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</si>
  <si>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</si>
  <si>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</si>
  <si>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</si>
  <si>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</si>
  <si>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</si>
  <si>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</si>
  <si>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</si>
  <si>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</si>
  <si>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</si>
  <si>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</si>
  <si>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</si>
  <si>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</si>
  <si>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</si>
  <si>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</si>
  <si>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</si>
  <si>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</si>
  <si>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</si>
  <si>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</si>
  <si>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</si>
  <si>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</si>
  <si>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</si>
  <si>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</si>
  <si>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</si>
  <si>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</si>
  <si>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</si>
  <si>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</si>
  <si>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</si>
  <si>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</si>
  <si>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</si>
  <si>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</si>
  <si>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</si>
  <si>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</si>
  <si>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</si>
  <si>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</si>
  <si>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</si>
  <si>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</si>
  <si>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</si>
  <si>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</si>
  <si>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</si>
  <si>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</si>
  <si>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</si>
  <si>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</si>
  <si>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</si>
  <si>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</si>
  <si>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</si>
  <si>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</si>
  <si>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</si>
  <si>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</si>
  <si>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</si>
  <si>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</si>
  <si>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</si>
  <si>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</si>
  <si>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</si>
  <si>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</si>
  <si>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</si>
  <si>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</si>
  <si>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</si>
  <si>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</si>
  <si>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</si>
  <si>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</si>
  <si>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</si>
  <si>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</si>
  <si>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</si>
  <si>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</si>
  <si>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</si>
  <si>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</si>
  <si>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</si>
  <si>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</si>
  <si>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</si>
  <si>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</si>
  <si>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</si>
  <si>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</si>
  <si>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</si>
  <si>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</si>
  <si>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</si>
  <si>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</si>
  <si>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</si>
  <si>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</si>
  <si>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</si>
  <si>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</si>
  <si>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</si>
  <si>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</si>
  <si>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</si>
  <si>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</si>
  <si>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</si>
  <si>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</si>
  <si>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</si>
  <si>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</si>
  <si>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</si>
  <si>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</si>
  <si>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</si>
  <si>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</si>
  <si>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</si>
  <si>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</si>
  <si>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</si>
  <si>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</si>
  <si>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</si>
  <si>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</si>
  <si>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</si>
  <si>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</si>
  <si>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</si>
  <si>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</si>
  <si>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</si>
  <si>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</si>
  <si>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</si>
  <si>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</si>
  <si>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</si>
  <si>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</si>
  <si>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</si>
  <si>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</si>
  <si>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</si>
  <si>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</si>
  <si>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</si>
  <si>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</si>
  <si>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Jabbar</t>
  </si>
  <si>
    <t>Maima Store</t>
  </si>
  <si>
    <t xml:space="preserve">Address: Paragon </t>
  </si>
  <si>
    <t xml:space="preserve">ZB Mart </t>
  </si>
  <si>
    <t xml:space="preserve">Fresh Lane </t>
  </si>
  <si>
    <t xml:space="preserve">Mix up mart </t>
  </si>
  <si>
    <t>Al Mustafa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</si>
</sst>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Maima Store</v>
      </c>
      <c r="T3" s="301">
        <f>+'1'!P35</f>
        <v>7666.3147507627118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ZB Mart 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 xml:space="preserve">Fresh Lane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 xml:space="preserve">Mix up mart </v>
      </c>
      <c r="T6" s="301">
        <f>+'4'!P35</f>
        <v>7666.3147507627118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310">
        <f>M7+N7+O7</f>
        <v>6795.1547485169476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3">
        <v>5</v>
      </c>
      <c r="S7" s="300" t="str">
        <f>+'5'!A6:A6</f>
        <v>Al Mustafa Mart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</v>
      </c>
      <c r="H16" s="113">
        <f t="shared" ref="H16:M16" si="3">SUM(H7:H15)</f>
        <v>360</v>
      </c>
      <c r="I16" s="114">
        <f t="shared" si="3"/>
        <v>22114.9</v>
      </c>
      <c r="J16" s="274">
        <f>SUM(J7:J15)</f>
        <v>1769.192</v>
      </c>
      <c r="K16" s="275">
        <f t="shared" si="3"/>
        <v>774.02150000000006</v>
      </c>
      <c r="L16" s="276">
        <f t="shared" si="3"/>
        <v>0</v>
      </c>
      <c r="M16" s="232">
        <f t="shared" si="3"/>
        <v>19571.6865</v>
      </c>
      <c r="N16" s="233">
        <f>SUM(N7:N15)</f>
        <v>4179.6610169491514</v>
      </c>
      <c r="O16" s="101">
        <f>SUM(O7:O15)</f>
        <v>118.75673758474576</v>
      </c>
      <c r="P16" s="113">
        <f>SUM(P7:P15)</f>
        <v>23870.104254533897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22114.9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1769.192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774.02150000000006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19571.686500000003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4179.6610169491514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23751.347516949154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118.75673758474576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23870.104254533901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23870.104254533901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568.20799999999997</v>
      </c>
      <c r="K25" s="275">
        <f t="shared" si="10"/>
        <v>248.59100000000001</v>
      </c>
      <c r="L25" s="276">
        <f t="shared" si="10"/>
        <v>0</v>
      </c>
      <c r="M25" s="232">
        <f t="shared" si="10"/>
        <v>6285.8010000000004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568.20799999999997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6285.8010000000004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7628.1738813559323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5" t="s">
        <v>88</v>
      </c>
      <c r="O35" s="346"/>
      <c r="P35" s="297">
        <f>+P33+P34</f>
        <v>7666.3147507627118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248.59100000000004</v>
      </c>
      <c r="L25" s="276">
        <f t="shared" si="7"/>
        <v>0</v>
      </c>
      <c r="M25" s="232">
        <f t="shared" si="7"/>
        <v>6285.8010000000004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568.20799999999997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6285.8010000000004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7628.1738813559323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5" t="s">
        <v>88</v>
      </c>
      <c r="O35" s="346"/>
      <c r="P35" s="297">
        <f>+P33+P34</f>
        <v>7666.3147507627118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2026-10-31T04:09:33Z</dcterms:modified>
</cp:coreProperties>
</file>