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8E54AAD-EC71-43D6-8BF4-1166DAA34E3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<sst xmlns="http://schemas.openxmlformats.org/spreadsheetml/2006/main" count="3948" uniqueCount="523">
  <si>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</si>
  <si>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</si>
  <si>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</si>
  <si>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</si>
  <si>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</si>
  <si>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</si>
  <si>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</si>
  <si>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</si>
  <si>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</si>
  <si>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</si>
  <si>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</si>
  <si>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</si>
  <si>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</si>
  <si>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</si>
  <si>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</si>
  <si>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</si>
  <si>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</si>
  <si>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</si>
  <si>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</si>
  <si>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</si>
  <si>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</si>
  <si>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</si>
  <si>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</si>
  <si>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</si>
  <si>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</si>
  <si>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</si>
  <si>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</si>
  <si>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</si>
  <si>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</si>
  <si>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</si>
  <si>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</si>
  <si>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</si>
  <si>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</si>
  <si>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</si>
  <si>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</si>
  <si>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</si>
  <si>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</si>
  <si>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</si>
  <si>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</si>
  <si>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</si>
  <si>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</si>
  <si>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</si>
  <si>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</si>
  <si>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</si>
  <si>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</si>
  <si>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</si>
  <si>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</si>
  <si>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</si>
  <si>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</si>
  <si>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</si>
  <si>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</si>
  <si>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</si>
  <si>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</si>
  <si>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</si>
  <si>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</si>
  <si>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</si>
  <si>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</si>
  <si>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</si>
  <si>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</si>
  <si>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</si>
  <si>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</si>
  <si>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</si>
  <si>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</si>
  <si>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</si>
  <si>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</si>
  <si>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</si>
  <si>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</si>
  <si>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</si>
  <si>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</si>
  <si>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</si>
  <si>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</si>
  <si>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</si>
  <si>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</si>
  <si>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</si>
  <si>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</si>
  <si>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</si>
  <si>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</si>
  <si>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</si>
  <si>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</si>
  <si>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</si>
  <si>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</si>
  <si>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</si>
  <si>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</si>
  <si>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</si>
  <si>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</si>
  <si>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</si>
  <si>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</si>
  <si>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</si>
  <si>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</si>
  <si>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</si>
  <si>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</si>
  <si>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</si>
  <si>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</si>
  <si>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</si>
  <si>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</si>
  <si>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</si>
  <si>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</si>
  <si>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</si>
  <si>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</si>
  <si>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</si>
  <si>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</si>
  <si>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</si>
  <si>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</si>
  <si>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</si>
  <si>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</si>
  <si>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</si>
  <si>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</si>
  <si>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</si>
  <si>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</si>
  <si>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</si>
  <si>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</si>
  <si>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</si>
  <si>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</si>
  <si>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</si>
  <si>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</si>
  <si>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</si>
  <si>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</si>
  <si>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</si>
  <si>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</si>
  <si>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</si>
  <si>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</si>
  <si>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</si>
  <si>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</si>
  <si>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</si>
  <si>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</si>
  <si>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</si>
  <si>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</si>
  <si>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</si>
  <si>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</si>
  <si>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</si>
  <si>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</si>
  <si>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</si>
  <si>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</si>
  <si>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</si>
  <si>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</si>
  <si>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</si>
  <si>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</si>
  <si>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</si>
  <si>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</si>
  <si>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</si>
  <si>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</si>
  <si>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</si>
  <si>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</si>
  <si>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</si>
  <si>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</si>
  <si>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</si>
  <si>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</si>
  <si>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</si>
  <si>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</si>
  <si>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</si>
  <si>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</si>
  <si>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</si>
  <si>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</si>
  <si>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</si>
  <si>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</si>
  <si>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</si>
  <si>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</si>
  <si>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</si>
  <si>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</si>
  <si>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</si>
  <si>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</si>
  <si>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</si>
  <si>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</si>
  <si>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</si>
  <si>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</si>
  <si>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</si>
  <si>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</si>
  <si>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</si>
  <si>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</si>
  <si>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</si>
  <si>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</si>
  <si>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</si>
  <si>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</si>
  <si>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</si>
  <si>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</si>
  <si>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</si>
  <si>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</si>
  <si>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</si>
  <si>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</si>
  <si>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</si>
  <si>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</si>
  <si>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</si>
  <si>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</si>
  <si>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</si>
  <si>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</si>
  <si>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</si>
  <si>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</si>
  <si>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</si>
  <si>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</si>
  <si>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</si>
  <si>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</si>
  <si>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</si>
  <si>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</si>
  <si>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</si>
  <si>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</si>
  <si>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</si>
  <si>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</si>
  <si>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</si>
  <si>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</si>
  <si>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</si>
  <si>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</si>
  <si>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</si>
  <si>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</si>
  <si>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</si>
  <si>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</si>
  <si>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</si>
  <si>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</si>
  <si>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</si>
  <si>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</si>
  <si>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</si>
  <si>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</si>
  <si>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</si>
  <si>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</si>
  <si>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</si>
  <si>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</si>
  <si>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</si>
  <si>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</si>
  <si>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</si>
  <si>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</si>
  <si>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</si>
  <si>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</si>
  <si>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</si>
  <si>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</si>
  <si>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</si>
  <si>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</si>
  <si>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</si>
  <si>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</si>
  <si>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</si>
  <si>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</si>
  <si>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</si>
  <si>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</si>
  <si>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</si>
  <si>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</si>
  <si>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</si>
  <si>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</si>
  <si>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</si>
  <si>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</si>
  <si>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</si>
  <si>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</si>
  <si>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</si>
  <si>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</si>
  <si>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</si>
  <si>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</si>
  <si>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</si>
  <si>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</si>
  <si>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</si>
  <si>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</si>
  <si>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</si>
  <si>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</si>
  <si>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</si>
  <si>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</si>
  <si>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</si>
  <si>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</si>
  <si>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</si>
  <si>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</si>
  <si>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</si>
  <si>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</si>
  <si>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</si>
  <si>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</si>
  <si>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</si>
  <si>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</si>
  <si>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</si>
  <si>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</si>
  <si>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</si>
  <si>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</si>
  <si>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</si>
  <si>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</si>
  <si>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</si>
  <si>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</si>
  <si>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</si>
  <si>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</si>
  <si>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</si>
  <si>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</si>
  <si>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</si>
  <si>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</si>
  <si>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</si>
  <si>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</si>
  <si>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</si>
  <si>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</si>
  <si>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</si>
  <si>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</si>
  <si>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</si>
  <si>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</si>
  <si>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</si>
  <si>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</si>
  <si>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</si>
  <si>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</si>
  <si>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</si>
  <si>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</si>
  <si>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</si>
  <si>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</si>
  <si>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</si>
  <si>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</si>
  <si>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</si>
  <si>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</si>
  <si>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</si>
  <si>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</si>
  <si>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</si>
  <si>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</si>
  <si>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</si>
  <si>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</si>
  <si>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</si>
  <si>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</si>
  <si>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</si>
  <si>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</si>
  <si>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</si>
  <si>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</si>
  <si>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</si>
  <si>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</si>
  <si>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</si>
  <si>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</si>
  <si>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</si>
  <si>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</si>
  <si>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</si>
  <si>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</si>
  <si>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</si>
  <si>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</si>
  <si>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</si>
  <si>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</si>
  <si>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</si>
  <si>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</si>
  <si>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</si>
  <si>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</si>
  <si>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</si>
  <si>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</si>
  <si>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</si>
  <si>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</si>
  <si>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</si>
  <si>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</si>
  <si>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</si>
  <si>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</si>
  <si>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</si>
  <si>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</si>
  <si>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</si>
  <si>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</si>
  <si>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</si>
  <si>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</si>
  <si>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</si>
  <si>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</si>
  <si>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</si>
  <si>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</si>
  <si>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</si>
  <si>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</si>
  <si>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</si>
  <si>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</si>
  <si>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</si>
  <si>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</si>
  <si>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</si>
  <si>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</si>
  <si>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</si>
  <si>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</si>
  <si>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</si>
  <si>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</si>
  <si>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</si>
  <si>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</si>
  <si>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</si>
  <si>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</si>
  <si>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</si>
  <si>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</si>
  <si>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</si>
  <si>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</si>
  <si>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</si>
  <si>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</si>
  <si>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</si>
  <si>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</si>
  <si>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</si>
  <si>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</si>
  <si>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</si>
  <si>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</si>
  <si>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</si>
  <si>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</si>
  <si>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</si>
  <si>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</si>
  <si>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</si>
  <si>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</si>
  <si>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</si>
  <si>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</si>
  <si>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</si>
  <si>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</si>
  <si>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</si>
  <si>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</si>
  <si>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</si>
  <si>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</si>
  <si>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</si>
  <si>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</si>
  <si>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</si>
  <si>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</si>
  <si>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</si>
  <si>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</si>
  <si>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</si>
  <si>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</si>
  <si>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</si>
  <si>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</si>
  <si>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</si>
  <si>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</si>
  <si>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</si>
  <si>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</si>
  <si>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</si>
  <si>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</si>
  <si>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</si>
  <si>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</si>
  <si>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</si>
  <si>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</si>
  <si>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</si>
  <si>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</si>
  <si>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</si>
  <si>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</si>
  <si>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</si>
  <si>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</si>
  <si>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</si>
  <si>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</si>
  <si>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</si>
  <si>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</si>
  <si>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</si>
  <si>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</si>
  <si>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</si>
  <si>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</si>
  <si>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</si>
  <si>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</si>
  <si>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</si>
  <si>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</si>
  <si>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</si>
  <si>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</si>
  <si>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</si>
  <si>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</si>
  <si>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</si>
  <si>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</si>
  <si>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</si>
  <si>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</si>
  <si>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</si>
  <si>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</si>
  <si>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</si>
  <si>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</si>
  <si>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</si>
  <si>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</si>
  <si>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</si>
  <si>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</si>
  <si>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</si>
  <si>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</si>
  <si>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</si>
  <si>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</si>
  <si>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</si>
  <si>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</si>
  <si>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</si>
  <si>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</si>
  <si>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</si>
  <si>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</si>
  <si>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</si>
  <si>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</si>
  <si>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</si>
  <si>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</si>
  <si>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</si>
  <si>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</si>
  <si>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</si>
  <si>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</si>
  <si>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</si>
  <si>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</si>
  <si>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</si>
  <si>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</si>
  <si>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</si>
  <si>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</si>
  <si>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</si>
  <si>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</si>
  <si>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</si>
  <si>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</si>
  <si>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</si>
  <si>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</si>
  <si>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</si>
  <si>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</si>
  <si>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</si>
  <si>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</si>
  <si>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</si>
  <si>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</si>
  <si>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</si>
  <si>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</si>
  <si>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</si>
  <si>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</si>
  <si>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</si>
  <si>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</si>
  <si>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</si>
  <si>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</si>
  <si>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</si>
  <si>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</si>
  <si>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</si>
  <si>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</si>
  <si>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</si>
  <si>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</si>
  <si>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</si>
  <si>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</si>
  <si>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</si>
  <si>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</si>
  <si>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</si>
  <si>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</si>
  <si>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</si>
  <si>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</si>
  <si>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</si>
  <si>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</si>
  <si>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</si>
  <si>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</si>
  <si>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</si>
  <si>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</si>
  <si>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</si>
  <si>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</si>
  <si>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</si>
  <si>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</si>
  <si>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</si>
  <si>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</si>
  <si>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</si>
  <si>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</si>
  <si>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</si>
  <si>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</si>
  <si>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</si>
  <si>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</si>
  <si>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</si>
  <si>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</si>
  <si>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 xml:space="preserve">Salman </t>
  </si>
  <si>
    <t>Address: Sadar Cant</t>
  </si>
  <si>
    <t xml:space="preserve">Shaheen Bakers </t>
  </si>
  <si>
    <t>Cant Store</t>
  </si>
  <si>
    <t xml:space="preserve">Sitara Baekrs </t>
  </si>
  <si>
    <t xml:space="preserve">Salman Bakers </t>
  </si>
  <si>
    <t>Khan Super Store</t>
  </si>
  <si>
    <t>Khan Store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</si>
</sst>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4" workbookViewId="0">
      <selection activeCell="F31" sqref="F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Shaheen Bakers </v>
      </c>
      <c r="T3" s="301">
        <f>+'1'!P35</f>
        <v>4704.3173776271187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Cant Store</v>
      </c>
      <c r="T4" s="301">
        <f>+'2'!P35</f>
        <v>3077.8090250847458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 xml:space="preserve">Sitara Baekrs 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Salman Bakers </v>
      </c>
      <c r="T6" s="301">
        <f>+'4'!P35</f>
        <v>2049.9027761898301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Super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Store 2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5084.7999999999993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30.915525423728816</v>
      </c>
      <c r="P12" s="311">
        <f t="shared" si="2"/>
        <v>6214.0206101694903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12</v>
      </c>
      <c r="I14" s="236">
        <f t="shared" si="0"/>
        <v>1937.04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96.852000000000004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67.796400000000006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98.789039999999986</v>
      </c>
      <c r="M14" s="230">
        <f t="shared" si="1"/>
        <v>1673.60256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366.10169491525403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10.198521274576271</v>
      </c>
      <c r="P14" s="311">
        <f t="shared" si="2"/>
        <v>2049.9027761898305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6.8</v>
      </c>
      <c r="H16" s="113">
        <f t="shared" ref="H16:M16" si="3">SUM(H7:H15)</f>
        <v>272</v>
      </c>
      <c r="I16" s="114">
        <f t="shared" si="3"/>
        <v>18402.14</v>
      </c>
      <c r="J16" s="274">
        <f>SUM(J7:J15)</f>
        <v>1472.1720000000003</v>
      </c>
      <c r="K16" s="275">
        <f t="shared" si="3"/>
        <v>644.07490000000007</v>
      </c>
      <c r="L16" s="276">
        <f t="shared" si="3"/>
        <v>98.789039999999986</v>
      </c>
      <c r="M16" s="232">
        <f t="shared" si="3"/>
        <v>16187.104059999998</v>
      </c>
      <c r="N16" s="233">
        <f>SUM(N7:N15)</f>
        <v>3477.9661016949144</v>
      </c>
      <c r="O16" s="101">
        <f>SUM(O7:O15)</f>
        <v>98.325350808474568</v>
      </c>
      <c r="P16" s="113">
        <f>SUM(P7:P15)</f>
        <v>19763.39551250339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18402.14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1472.1720000000003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742.86394000000007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16187.104060000001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3477.9661016949144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19665.070161694915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98.325350808474568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19763.39551250339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19763.39551250339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2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7.2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4358.3999999999996</v>
      </c>
      <c r="J25" s="274">
        <f>SUM(J16:J24)</f>
        <v>348.67200000000003</v>
      </c>
      <c r="K25" s="275">
        <f t="shared" si="10"/>
        <v>152.54400000000001</v>
      </c>
      <c r="L25" s="276">
        <f t="shared" si="10"/>
        <v>0</v>
      </c>
      <c r="M25" s="232">
        <f t="shared" si="10"/>
        <v>3857.1840000000002</v>
      </c>
      <c r="N25" s="233">
        <f>SUM(N16:N24)</f>
        <v>823.72881355932213</v>
      </c>
      <c r="O25" s="101">
        <f>SUM(O16:O24)</f>
        <v>23.404564067796613</v>
      </c>
      <c r="P25" s="234">
        <f>SUM(P16:P24)</f>
        <v>4704.3173776271187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4358.3999999999996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348.67200000000003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152.54400000000001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3857.1839999999997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4680.9128135593219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45" t="s">
        <v>88</v>
      </c>
      <c r="O35" s="346"/>
      <c r="P35" s="297">
        <f>+P33+P34</f>
        <v>4704.3173776271187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290.56</v>
      </c>
      <c r="K25" s="275">
        <f t="shared" si="7"/>
        <v>101.69600000000001</v>
      </c>
      <c r="L25" s="276">
        <f t="shared" si="7"/>
        <v>0</v>
      </c>
      <c r="M25" s="232">
        <f t="shared" si="7"/>
        <v>2513.3440000000001</v>
      </c>
      <c r="N25" s="233">
        <f>SUM(N16:N24)</f>
        <v>549.15254237288138</v>
      </c>
      <c r="O25" s="101">
        <f>SUM(O16:O24)</f>
        <v>15.312482711864407</v>
      </c>
      <c r="P25" s="234">
        <f>SUM(P16:P24)</f>
        <v>3077.8090250847458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290.56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2513.3440000000001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3062.4965423728813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15.312482711864407</v>
      </c>
    </row>
    <row r="35" spans="2:16" ht="15.75" customHeight="1" thickBot="1" x14ac:dyDescent="0.4">
      <c r="N35" s="345" t="s">
        <v>88</v>
      </c>
      <c r="O35" s="346"/>
      <c r="P35" s="297">
        <f>+P33+P34</f>
        <v>3077.8090250847458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96.852000000000004</v>
      </c>
      <c r="K25" s="275">
        <f t="shared" si="7"/>
        <v>67.796400000000006</v>
      </c>
      <c r="L25" s="276">
        <f t="shared" si="7"/>
        <v>98.789039999999986</v>
      </c>
      <c r="M25" s="232">
        <f t="shared" si="7"/>
        <v>1673.60256</v>
      </c>
      <c r="N25" s="233">
        <f>SUM(N16:N24)</f>
        <v>366.10169491525403</v>
      </c>
      <c r="O25" s="101">
        <f>SUM(O16:O24)</f>
        <v>10.198521274576271</v>
      </c>
      <c r="P25" s="234">
        <f>SUM(P16:P24)</f>
        <v>2049.9027761898305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96.852000000000004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166.58544000000001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1673.6025599999998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2039.7042549152538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10.198521274576269</v>
      </c>
    </row>
    <row r="35" spans="2:16" ht="15.75" customHeight="1" thickBot="1" x14ac:dyDescent="0.4">
      <c r="N35" s="345" t="s">
        <v>88</v>
      </c>
      <c r="O35" s="346"/>
      <c r="P35" s="297">
        <f>+P33+P34</f>
        <v>2049.9027761898301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2026-10-30T04:44:09Z</dcterms:modified>
</cp:coreProperties>
</file>