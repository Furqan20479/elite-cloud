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60A0E33-82B0-4DB5-B680-396A723708E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5" i="70" s="1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1" i="70" s="1"/>
  <c r="P33" i="70" s="1"/>
  <c r="P34" i="70" s="1"/>
  <c r="P35" i="70" s="1"/>
  <c r="T30" i="62" s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<sst xmlns="http://schemas.openxmlformats.org/spreadsheetml/2006/main" count="3948" uniqueCount="544">
  <si>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</si>
  <si>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</si>
  <si>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</si>
  <si>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</si>
  <si>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</si>
  <si>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</si>
  <si>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</si>
  <si>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</si>
  <si>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</si>
  <si>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</si>
  <si>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</si>
  <si>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</si>
  <si>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</si>
  <si>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</si>
  <si>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</si>
  <si>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</si>
  <si>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</si>
  <si>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</si>
  <si>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</si>
  <si>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</si>
  <si>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</si>
  <si>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</si>
  <si>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</si>
  <si>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</si>
  <si>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</si>
  <si>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</si>
  <si>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</si>
  <si>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</si>
  <si>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</si>
  <si>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</si>
  <si>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</si>
  <si>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</si>
  <si>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</si>
  <si>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</si>
  <si>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</si>
  <si>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</si>
  <si>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</si>
  <si>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</si>
  <si>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</si>
  <si>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</si>
  <si>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</si>
  <si>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</si>
  <si>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</si>
  <si>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</si>
  <si>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</si>
  <si>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</si>
  <si>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</si>
  <si>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</si>
  <si>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</si>
  <si>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</si>
  <si>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</si>
  <si>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</si>
  <si>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</si>
  <si>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</si>
  <si>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</si>
  <si>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</si>
  <si>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</si>
  <si>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</si>
  <si>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</si>
  <si>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</si>
  <si>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</si>
  <si>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</si>
  <si>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</si>
  <si>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</si>
  <si>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</si>
  <si>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</si>
  <si>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</si>
  <si>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</si>
  <si>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</si>
  <si>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</si>
  <si>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</si>
  <si>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</si>
  <si>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</si>
  <si>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</si>
  <si>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</si>
  <si>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</si>
  <si>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</si>
  <si>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</si>
  <si>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</si>
  <si>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</si>
  <si>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</si>
  <si>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</si>
  <si>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</si>
  <si>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</si>
  <si>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</si>
  <si>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</si>
  <si>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</si>
  <si>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</si>
  <si>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</si>
  <si>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</si>
  <si>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</si>
  <si>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</si>
  <si>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</si>
  <si>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</si>
  <si>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</si>
  <si>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</si>
  <si>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</si>
  <si>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</si>
  <si>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</si>
  <si>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</si>
  <si>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</si>
  <si>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</si>
  <si>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</si>
  <si>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</si>
  <si>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</si>
  <si>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</si>
  <si>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</si>
  <si>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</si>
  <si>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</si>
  <si>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</si>
  <si>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</si>
  <si>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</si>
  <si>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</si>
  <si>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</si>
  <si>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</si>
  <si>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</si>
  <si>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</si>
  <si>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</si>
  <si>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</si>
  <si>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</si>
  <si>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</si>
  <si>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</si>
  <si>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</si>
  <si>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</si>
  <si>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</si>
  <si>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</si>
  <si>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</si>
  <si>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</si>
  <si>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</si>
  <si>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</si>
  <si>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</si>
  <si>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</si>
  <si>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</si>
  <si>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</si>
  <si>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</si>
  <si>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</si>
  <si>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</si>
  <si>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</si>
  <si>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</si>
  <si>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</si>
  <si>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</si>
  <si>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</si>
  <si>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</si>
  <si>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</si>
  <si>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</si>
  <si>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</si>
  <si>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</si>
  <si>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</si>
  <si>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</si>
  <si>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</si>
  <si>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</si>
  <si>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</si>
  <si>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</si>
  <si>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</si>
  <si>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</si>
  <si>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</si>
  <si>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</si>
  <si>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</si>
  <si>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</si>
  <si>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</si>
  <si>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</si>
  <si>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</si>
  <si>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</si>
  <si>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</si>
  <si>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</si>
  <si>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</si>
  <si>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</si>
  <si>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</si>
  <si>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</si>
  <si>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</si>
  <si>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</si>
  <si>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</si>
  <si>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</si>
  <si>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</si>
  <si>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</si>
  <si>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</si>
  <si>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</si>
  <si>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</si>
  <si>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</si>
  <si>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</si>
  <si>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</si>
  <si>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</si>
  <si>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</si>
  <si>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</si>
  <si>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</si>
  <si>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</si>
  <si>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</si>
  <si>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</si>
  <si>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</si>
  <si>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</si>
  <si>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</si>
  <si>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</si>
  <si>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</si>
  <si>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</si>
  <si>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</si>
  <si>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</si>
  <si>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</si>
  <si>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</si>
  <si>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</si>
  <si>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</si>
  <si>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</si>
  <si>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</si>
  <si>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</si>
  <si>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</si>
  <si>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</si>
  <si>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</si>
  <si>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</si>
  <si>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</si>
  <si>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</si>
  <si>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</si>
  <si>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</si>
  <si>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</si>
  <si>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</si>
  <si>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</si>
  <si>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</si>
  <si>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</si>
  <si>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</si>
  <si>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</si>
  <si>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</si>
  <si>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</si>
  <si>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</si>
  <si>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</si>
  <si>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</si>
  <si>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</si>
  <si>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</si>
  <si>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</si>
  <si>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</si>
  <si>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</si>
  <si>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</si>
  <si>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</si>
  <si>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</si>
  <si>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</si>
  <si>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</si>
  <si>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</si>
  <si>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</si>
  <si>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</si>
  <si>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</si>
  <si>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</si>
  <si>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</si>
  <si>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</si>
  <si>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</si>
  <si>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</si>
  <si>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</si>
  <si>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</si>
  <si>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</si>
  <si>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</si>
  <si>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</si>
  <si>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</si>
  <si>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</si>
  <si>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</si>
  <si>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</si>
  <si>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</si>
  <si>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</si>
  <si>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</si>
  <si>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</si>
  <si>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</si>
  <si>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</si>
  <si>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</si>
  <si>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</si>
  <si>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</si>
  <si>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</si>
  <si>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</si>
  <si>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</si>
  <si>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</si>
  <si>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</si>
  <si>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</si>
  <si>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</si>
  <si>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</si>
  <si>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</si>
  <si>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</si>
  <si>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</si>
  <si>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</si>
  <si>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</si>
  <si>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</si>
  <si>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</si>
  <si>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</si>
  <si>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</si>
  <si>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</si>
  <si>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</si>
  <si>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</si>
  <si>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</si>
  <si>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</si>
  <si>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</si>
  <si>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</si>
  <si>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</si>
  <si>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</si>
  <si>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</si>
  <si>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</si>
  <si>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</si>
  <si>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</si>
  <si>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</si>
  <si>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</si>
  <si>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</si>
  <si>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</si>
  <si>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</si>
  <si>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</si>
  <si>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</si>
  <si>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</si>
  <si>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</si>
  <si>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</si>
  <si>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</si>
  <si>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</si>
  <si>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</si>
  <si>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</si>
  <si>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</si>
  <si>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</si>
  <si>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</si>
  <si>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</si>
  <si>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</si>
  <si>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</si>
  <si>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</si>
  <si>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</si>
  <si>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</si>
  <si>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</si>
  <si>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</si>
  <si>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</si>
  <si>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</si>
  <si>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</si>
  <si>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</si>
  <si>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</si>
  <si>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</si>
  <si>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</si>
  <si>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</si>
  <si>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</si>
  <si>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</si>
  <si>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</si>
  <si>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</si>
  <si>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</si>
  <si>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</si>
  <si>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</si>
  <si>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</si>
  <si>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</si>
  <si>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</si>
  <si>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</si>
  <si>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</si>
  <si>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</si>
  <si>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</si>
  <si>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</si>
  <si>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</si>
  <si>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</si>
  <si>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</si>
  <si>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</si>
  <si>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</si>
  <si>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</si>
  <si>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</si>
  <si>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</si>
  <si>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</si>
  <si>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</si>
  <si>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</si>
  <si>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</si>
  <si>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</si>
  <si>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</si>
  <si>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</si>
  <si>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</si>
  <si>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</si>
  <si>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</si>
  <si>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</si>
  <si>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</si>
  <si>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</si>
  <si>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</si>
  <si>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</si>
  <si>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</si>
  <si>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</si>
  <si>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</si>
  <si>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</si>
  <si>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</si>
  <si>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</si>
  <si>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</si>
  <si>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</si>
  <si>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</si>
  <si>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</si>
  <si>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</si>
  <si>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</si>
  <si>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</si>
  <si>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</si>
  <si>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</si>
  <si>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</si>
  <si>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</si>
  <si>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</si>
  <si>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</si>
  <si>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</si>
  <si>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</si>
  <si>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</si>
  <si>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</si>
  <si>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</si>
  <si>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</si>
  <si>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</si>
  <si>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</si>
  <si>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</si>
  <si>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</si>
  <si>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</si>
  <si>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</si>
  <si>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</si>
  <si>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</si>
  <si>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</si>
  <si>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</si>
  <si>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</si>
  <si>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</si>
  <si>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</si>
  <si>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</si>
  <si>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</si>
  <si>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</si>
  <si>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</si>
  <si>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</si>
  <si>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</si>
  <si>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</si>
  <si>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</si>
  <si>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</si>
  <si>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</si>
  <si>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</si>
  <si>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</si>
  <si>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</si>
  <si>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</si>
  <si>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</si>
  <si>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</si>
  <si>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</si>
  <si>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</si>
  <si>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</si>
  <si>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</si>
  <si>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</si>
  <si>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</si>
  <si>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</si>
  <si>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</si>
  <si>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</si>
  <si>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</si>
  <si>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</si>
  <si>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</si>
  <si>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</si>
  <si>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</si>
  <si>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</si>
  <si>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</si>
  <si>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</si>
  <si>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</si>
  <si>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</si>
  <si>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</si>
  <si>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</si>
  <si>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</si>
  <si>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</si>
  <si>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</si>
  <si>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</si>
  <si>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</si>
  <si>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</si>
  <si>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</si>
  <si>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</si>
  <si>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</si>
  <si>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</si>
  <si>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</si>
  <si>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</si>
  <si>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</si>
  <si>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</si>
  <si>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</si>
  <si>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</si>
  <si>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</si>
  <si>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</si>
  <si>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</si>
  <si>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</si>
  <si>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</si>
  <si>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</si>
  <si>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</si>
  <si>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</si>
  <si>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</si>
  <si>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</si>
  <si>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</si>
  <si>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</si>
  <si>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</si>
  <si>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</si>
  <si>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</si>
  <si>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</si>
  <si>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</si>
  <si>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</si>
  <si>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</si>
  <si>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</si>
  <si>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</si>
  <si>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</si>
  <si>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</si>
  <si>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</si>
  <si>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</si>
  <si>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</si>
  <si>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</si>
  <si>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</si>
  <si>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</si>
  <si>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</si>
  <si>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</si>
  <si>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</si>
  <si>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</si>
  <si>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</si>
  <si>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</si>
  <si>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</si>
  <si>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</si>
  <si>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</si>
  <si>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</si>
  <si>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</si>
  <si>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</si>
  <si>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</si>
  <si>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</si>
  <si>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</si>
  <si>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</si>
  <si>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</si>
  <si>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</si>
  <si>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</si>
  <si>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</si>
  <si>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</si>
  <si>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</si>
  <si>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</si>
  <si>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</si>
  <si>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</si>
  <si>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</si>
  <si>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</si>
  <si>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</si>
  <si>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</si>
  <si>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</si>
  <si>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CCN PROMO </t>
  </si>
  <si>
    <t>Indomie Chicken ® 4 in 1</t>
  </si>
  <si>
    <t>Zeshan</t>
  </si>
  <si>
    <t>Ajwa Store</t>
  </si>
  <si>
    <t>shop Name</t>
  </si>
  <si>
    <t>Address: Ghazi Road</t>
  </si>
  <si>
    <t>Alied Store</t>
  </si>
  <si>
    <t>Imran Store</t>
  </si>
  <si>
    <t>Alhamd Store</t>
  </si>
  <si>
    <t>HR Store</t>
  </si>
  <si>
    <t>Ravi Store</t>
  </si>
  <si>
    <t>Hygeen Store</t>
  </si>
  <si>
    <t>Marhaba Store</t>
  </si>
  <si>
    <t>Al Barkat Store</t>
  </si>
  <si>
    <t>Madina Store</t>
  </si>
  <si>
    <t>Jameel Store</t>
  </si>
  <si>
    <t>Khan Store</t>
  </si>
  <si>
    <t>Bilal Store</t>
  </si>
  <si>
    <t>Ashraf Store</t>
  </si>
  <si>
    <t xml:space="preserve">Sun Rise </t>
  </si>
  <si>
    <t>A1 Store</t>
  </si>
  <si>
    <t>Ahmad Strore</t>
  </si>
  <si>
    <t>Hiker Store</t>
  </si>
  <si>
    <t xml:space="preserve">Best Mart </t>
  </si>
  <si>
    <t>Defene Store</t>
  </si>
  <si>
    <t>Hadi Store</t>
  </si>
  <si>
    <t>Luqman Store</t>
  </si>
  <si>
    <t>Shafi Store</t>
  </si>
  <si>
    <t>Iman Store</t>
  </si>
  <si>
    <t>Numan Store</t>
  </si>
  <si>
    <t>Qadri Store</t>
  </si>
  <si>
    <t>Al Makkah Store</t>
  </si>
  <si>
    <t>HAfiz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</si>
</sst>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511</v>
      </c>
      <c r="D13" s="166" t="s">
        <v>511</v>
      </c>
      <c r="E13" s="178" t="s">
        <v>512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I40" sqref="I4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497</v>
      </c>
      <c r="F2" s="386"/>
      <c r="G2" s="386"/>
      <c r="H2" s="383" t="s">
        <v>513</v>
      </c>
      <c r="I2" s="383"/>
      <c r="J2" s="384"/>
      <c r="R2" s="380" t="s">
        <v>496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507</v>
      </c>
      <c r="F3" s="390"/>
      <c r="G3" s="390"/>
      <c r="H3" s="387">
        <v>46325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Ajwa Store</v>
      </c>
      <c r="T3" s="301">
        <f>+'1'!P35</f>
        <v>4530.103165677966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Alied Store</v>
      </c>
      <c r="T4" s="301">
        <f>+'2'!P35</f>
        <v>539.72984684745768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>Imran Store</v>
      </c>
      <c r="T5" s="301">
        <f>+'3'!P35</f>
        <v>512.47569404745752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492</v>
      </c>
      <c r="M6" s="348"/>
      <c r="N6" s="356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>Alhamd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82</v>
      </c>
      <c r="I7" s="235">
        <f>(G7*D7)*F7+H7*F7</f>
        <v>4301.9250000000002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344.154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150.567375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3807.2036250000001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813.05084745762667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23.101272362288135</v>
      </c>
      <c r="P7" s="310">
        <f>M7+N7+O7</f>
        <v>4643.3557448199144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HR Store</v>
      </c>
      <c r="T7" s="301">
        <f>+'5'!P35</f>
        <v>512.47569404745752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70</v>
      </c>
      <c r="I8" s="236">
        <f t="shared" ref="I8:I14" si="0">(G8*D8)*F8+H8*F8</f>
        <v>3672.375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293.78999999999996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128.53312500000001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3250.0518750000001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694.06779661016913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19.720598358050847</v>
      </c>
      <c r="P8" s="311">
        <f t="shared" ref="P8:P15" si="2">M8+N8+O8</f>
        <v>3963.8402699682201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Ravi Store</v>
      </c>
      <c r="T8" s="301">
        <f>+'6'!P35</f>
        <v>512.47569404745752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Hygeen Store</v>
      </c>
      <c r="T9" s="301">
        <f>+'7'!P35</f>
        <v>0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Marhaba Store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142</v>
      </c>
      <c r="I11" s="236">
        <f t="shared" si="0"/>
        <v>10314.879999999999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825.19040000000007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361.02080000000007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9128.6687999999995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1949.4915254237292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55.390801627118648</v>
      </c>
      <c r="P11" s="311">
        <f t="shared" si="2"/>
        <v>11133.551127050847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 Barkat Store</v>
      </c>
      <c r="T11" s="301">
        <f>+'9'!P35</f>
        <v>3182.4285676093218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122</v>
      </c>
      <c r="I12" s="236">
        <f t="shared" si="0"/>
        <v>8862.08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708.96640000000014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310.17280000000005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7842.9407999999994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1674.9152542372881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47.589280271186439</v>
      </c>
      <c r="P12" s="311">
        <f t="shared" si="2"/>
        <v>9565.445334508473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Madina Store</v>
      </c>
      <c r="T12" s="301">
        <f>+'10'!P35</f>
        <v>1024.951388094915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Jameel Store</v>
      </c>
      <c r="T13" s="301">
        <f>+'11'!P35</f>
        <v>1024.951388094915</v>
      </c>
    </row>
    <row r="14" spans="1:20 16377:16378" ht="21.75" customHeight="1" x14ac:dyDescent="0.35">
      <c r="A14" s="82" t="s">
        <v>511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84</v>
      </c>
      <c r="I14" s="236">
        <f t="shared" si="0"/>
        <v>13559.279999999999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692.4917999999999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457.62570000000005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666.82601999999997</v>
      </c>
      <c r="M14" s="230">
        <f t="shared" si="1"/>
        <v>11742.336479999998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2562.7118644067782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71.525241722033897</v>
      </c>
      <c r="P14" s="311">
        <f t="shared" si="2"/>
        <v>14376.57358612881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12</v>
      </c>
      <c r="R14" s="313">
        <v>12</v>
      </c>
      <c r="S14" s="300" t="str">
        <f>+'12'!A6:A6</f>
        <v>Khan Store</v>
      </c>
      <c r="T14" s="301">
        <f>+'12'!P35</f>
        <v>784.05289627118646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Bilal Store</v>
      </c>
      <c r="T15" s="301">
        <f>+'13'!P35</f>
        <v>784.05289627118646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13.5</v>
      </c>
      <c r="H16" s="113">
        <f t="shared" ref="H16:M16" si="3">SUM(H7:H15)</f>
        <v>540</v>
      </c>
      <c r="I16" s="114">
        <f t="shared" si="3"/>
        <v>42809.04</v>
      </c>
      <c r="J16" s="274">
        <f>SUM(J7:J15)</f>
        <v>3032.4726000000001</v>
      </c>
      <c r="K16" s="275">
        <f t="shared" si="3"/>
        <v>1481.3673000000001</v>
      </c>
      <c r="L16" s="276">
        <f t="shared" si="3"/>
        <v>666.82601999999997</v>
      </c>
      <c r="M16" s="232">
        <f t="shared" si="3"/>
        <v>37628.374079999994</v>
      </c>
      <c r="N16" s="233">
        <f>SUM(N7:N15)</f>
        <v>8090.8474576271165</v>
      </c>
      <c r="O16" s="101">
        <f>SUM(O7:O15)</f>
        <v>228.59610768813559</v>
      </c>
      <c r="P16" s="113">
        <f>SUM(P7:P15)</f>
        <v>45947.817645315248</v>
      </c>
      <c r="Q16" s="128">
        <f>SUM(Q7:Q15)</f>
        <v>12</v>
      </c>
      <c r="R16" s="313">
        <v>14</v>
      </c>
      <c r="S16" s="315" t="str">
        <f>+'14'!A6:A6</f>
        <v>Ashraf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Sun Rise 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A1 Store</v>
      </c>
      <c r="T18" s="301">
        <f>+'16'!P35</f>
        <v>784.05289627118646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42809.04</v>
      </c>
      <c r="R19" s="299">
        <v>17</v>
      </c>
      <c r="S19" s="300" t="str">
        <f>+'17'!A6:A6</f>
        <v>Ahmad Strore</v>
      </c>
      <c r="T19" s="301">
        <f>+'17'!P35</f>
        <v>784.05289627118646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3032.4726000000001</v>
      </c>
      <c r="R20" s="299">
        <v>18</v>
      </c>
      <c r="S20" s="300" t="str">
        <f>+'18'!A6:A6</f>
        <v>Hiker Store</v>
      </c>
      <c r="T20" s="301">
        <f>+'18'!P35</f>
        <v>784.05289627118646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2148.1933200000003</v>
      </c>
      <c r="R21" s="299">
        <v>19</v>
      </c>
      <c r="S21" s="300" t="str">
        <f>+'19'!A6:A6</f>
        <v xml:space="preserve">Best Mart </v>
      </c>
      <c r="T21" s="301">
        <f>+'19'!P35</f>
        <v>784.05289627118646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37628.374080000001</v>
      </c>
      <c r="R22" s="299">
        <v>20</v>
      </c>
      <c r="S22" s="300" t="str">
        <f>+'20'!A6:A6</f>
        <v>Defene Store</v>
      </c>
      <c r="T22" s="301">
        <f>+'20'!P35</f>
        <v>2049.9027761898301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8090.8474576271165</v>
      </c>
      <c r="R23" s="299">
        <v>21</v>
      </c>
      <c r="S23" s="300" t="str">
        <f>+'21'!A6:A6</f>
        <v>Hadi Store</v>
      </c>
      <c r="T23" s="301">
        <f>+'21'!P35</f>
        <v>2049.9027761898301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45719.22153762712</v>
      </c>
      <c r="R24" s="299">
        <v>22</v>
      </c>
      <c r="S24" s="300" t="str">
        <f>+'22'!A6:A6</f>
        <v>Luqman Store</v>
      </c>
      <c r="T24" s="301">
        <f>+'22'!P35</f>
        <v>1132.5257914194915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228.59610768813559</v>
      </c>
      <c r="R25" s="299">
        <v>23</v>
      </c>
      <c r="S25" s="300" t="str">
        <f>+'23'!A6:A6</f>
        <v>Shafi Store</v>
      </c>
      <c r="T25" s="301">
        <f>+'23'!P35</f>
        <v>1568.1057925423729</v>
      </c>
    </row>
    <row r="26" spans="1:20" ht="21.75" customHeight="1" thickBot="1" x14ac:dyDescent="0.4">
      <c r="N26" s="374" t="s">
        <v>88</v>
      </c>
      <c r="O26" s="375"/>
      <c r="P26" s="297">
        <f>+P24+P25</f>
        <v>45947.817645315256</v>
      </c>
      <c r="R26" s="299">
        <v>24</v>
      </c>
      <c r="S26" s="300" t="str">
        <f>+'24'!A6:A6</f>
        <v>Iman Store</v>
      </c>
      <c r="T26" s="301">
        <f>+'24'!P35</f>
        <v>784.05289627118646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Numan Store</v>
      </c>
      <c r="T27" s="301">
        <f>+'25'!P35</f>
        <v>784.05289627118646</v>
      </c>
    </row>
    <row r="28" spans="1:20" ht="21.75" customHeight="1" x14ac:dyDescent="0.35">
      <c r="R28" s="299">
        <v>26</v>
      </c>
      <c r="S28" s="300" t="str">
        <f>+'26'!A6:A6</f>
        <v>Qadri Store</v>
      </c>
      <c r="T28" s="301">
        <f>+'26'!P35</f>
        <v>2049.9027761898301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Al Makkah Store</v>
      </c>
      <c r="T29" s="301">
        <f>+'27'!P35</f>
        <v>2561.242425902542</v>
      </c>
    </row>
    <row r="30" spans="1:20" ht="21.75" customHeight="1" x14ac:dyDescent="0.35">
      <c r="R30" s="299">
        <v>28</v>
      </c>
      <c r="S30" s="300" t="str">
        <f>+'28'!A6:A6</f>
        <v>HR Store</v>
      </c>
      <c r="T30" s="301">
        <f>+'28'!P35</f>
        <v>6318.6401526940681</v>
      </c>
    </row>
    <row r="31" spans="1:20" ht="21.75" customHeight="1" x14ac:dyDescent="0.35">
      <c r="R31" s="299">
        <v>29</v>
      </c>
      <c r="S31" s="300" t="str">
        <f>+'29'!A6:A6</f>
        <v>HAfiz Store</v>
      </c>
      <c r="T31" s="301">
        <f>+'29'!P35</f>
        <v>2265.051582838983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45947.817645315263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topLeftCell="A1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4197</v>
      </c>
      <c r="J25" s="274">
        <f>SUM(J16:J24)</f>
        <v>335.76</v>
      </c>
      <c r="K25" s="275">
        <f t="shared" si="10"/>
        <v>146.89500000000001</v>
      </c>
      <c r="L25" s="276">
        <f t="shared" si="10"/>
        <v>0</v>
      </c>
      <c r="M25" s="232">
        <f t="shared" si="10"/>
        <v>3714.3450000000003</v>
      </c>
      <c r="N25" s="233">
        <f>SUM(N16:N24)</f>
        <v>793.22033898305051</v>
      </c>
      <c r="O25" s="101">
        <f>SUM(O16:O24)</f>
        <v>22.537826694915253</v>
      </c>
      <c r="P25" s="234">
        <f>SUM(P16:P24)</f>
        <v>4530.103165677966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4197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335.76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146.89500000000001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3714.3449999999998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4507.5653389830504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74" t="s">
        <v>88</v>
      </c>
      <c r="O35" s="375"/>
      <c r="P35" s="297">
        <f>+P33+P34</f>
        <v>4530.103165677966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3</v>
      </c>
      <c r="I23" s="236">
        <f t="shared" si="0"/>
        <v>484.26</v>
      </c>
      <c r="J23" s="272">
        <f t="shared" si="1"/>
        <v>38.7408</v>
      </c>
      <c r="K23" s="128">
        <f t="shared" si="1"/>
        <v>0</v>
      </c>
      <c r="L23" s="119">
        <f t="shared" si="1"/>
        <v>0</v>
      </c>
      <c r="M23" s="230">
        <f t="shared" si="2"/>
        <v>445.51920000000001</v>
      </c>
      <c r="N23" s="277">
        <f t="shared" si="3"/>
        <v>91.525423728813507</v>
      </c>
      <c r="O23" s="239">
        <f t="shared" si="4"/>
        <v>2.685223118644068</v>
      </c>
      <c r="P23" s="119">
        <f t="shared" si="5"/>
        <v>539.72984684745768</v>
      </c>
      <c r="Q23" s="319"/>
      <c r="S23" s="269">
        <v>0.08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</v>
      </c>
      <c r="I25" s="114">
        <f t="shared" si="7"/>
        <v>484.26</v>
      </c>
      <c r="J25" s="274">
        <f>SUM(J16:J24)</f>
        <v>38.7408</v>
      </c>
      <c r="K25" s="275">
        <f t="shared" si="7"/>
        <v>0</v>
      </c>
      <c r="L25" s="276">
        <f t="shared" si="7"/>
        <v>0</v>
      </c>
      <c r="M25" s="232">
        <f t="shared" si="7"/>
        <v>445.51920000000001</v>
      </c>
      <c r="N25" s="233">
        <f>SUM(N16:N24)</f>
        <v>91.525423728813507</v>
      </c>
      <c r="O25" s="101">
        <f>SUM(O16:O24)</f>
        <v>2.685223118644068</v>
      </c>
      <c r="P25" s="234">
        <f>SUM(P16:P24)</f>
        <v>539.72984684745768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484.26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38.7408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445.51920000000001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537.04462372881358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2.685223118644068</v>
      </c>
    </row>
    <row r="35" spans="2:16" ht="15.75" customHeight="1" thickBot="1" x14ac:dyDescent="0.4">
      <c r="N35" s="374" t="s">
        <v>88</v>
      </c>
      <c r="O35" s="375"/>
      <c r="P35" s="297">
        <f>+P33+P34</f>
        <v>539.72984684745768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3</v>
      </c>
      <c r="I23" s="236">
        <f t="shared" si="0"/>
        <v>484.26</v>
      </c>
      <c r="J23" s="272">
        <f t="shared" si="1"/>
        <v>24.213000000000001</v>
      </c>
      <c r="K23" s="128">
        <f t="shared" si="1"/>
        <v>16.949100000000001</v>
      </c>
      <c r="L23" s="119">
        <f t="shared" si="1"/>
        <v>24.697259999999996</v>
      </c>
      <c r="M23" s="230">
        <f t="shared" si="2"/>
        <v>418.40064000000001</v>
      </c>
      <c r="N23" s="277">
        <f t="shared" si="3"/>
        <v>91.525423728813507</v>
      </c>
      <c r="O23" s="239">
        <f t="shared" si="4"/>
        <v>2.5496303186440676</v>
      </c>
      <c r="P23" s="119">
        <f t="shared" si="5"/>
        <v>512.47569404745764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</v>
      </c>
      <c r="I25" s="114">
        <f t="shared" si="7"/>
        <v>484.26</v>
      </c>
      <c r="J25" s="274">
        <f>SUM(J16:J24)</f>
        <v>24.213000000000001</v>
      </c>
      <c r="K25" s="275">
        <f t="shared" si="7"/>
        <v>16.949100000000001</v>
      </c>
      <c r="L25" s="276">
        <f t="shared" si="7"/>
        <v>24.697259999999996</v>
      </c>
      <c r="M25" s="232">
        <f t="shared" si="7"/>
        <v>418.40064000000001</v>
      </c>
      <c r="N25" s="233">
        <f>SUM(N16:N24)</f>
        <v>91.525423728813507</v>
      </c>
      <c r="O25" s="101">
        <f>SUM(O16:O24)</f>
        <v>2.5496303186440676</v>
      </c>
      <c r="P25" s="234">
        <f>SUM(P16:P24)</f>
        <v>512.47569404745764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484.26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24.213000000000001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41.646360000000001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418.40063999999995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509.92606372881346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2.5496303186440672</v>
      </c>
    </row>
    <row r="35" spans="2:16" ht="15.75" customHeight="1" thickBot="1" x14ac:dyDescent="0.4">
      <c r="N35" s="374" t="s">
        <v>88</v>
      </c>
      <c r="O35" s="375"/>
      <c r="P35" s="297">
        <f>+P33+P34</f>
        <v>512.47569404745752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3</v>
      </c>
      <c r="I23" s="236">
        <f t="shared" si="0"/>
        <v>484.26</v>
      </c>
      <c r="J23" s="272">
        <f t="shared" si="1"/>
        <v>24.213000000000001</v>
      </c>
      <c r="K23" s="128">
        <f t="shared" si="1"/>
        <v>16.949100000000001</v>
      </c>
      <c r="L23" s="119">
        <f t="shared" si="1"/>
        <v>24.697259999999996</v>
      </c>
      <c r="M23" s="230">
        <f t="shared" si="2"/>
        <v>418.40064000000001</v>
      </c>
      <c r="N23" s="277">
        <f t="shared" si="3"/>
        <v>91.525423728813507</v>
      </c>
      <c r="O23" s="239">
        <f t="shared" si="4"/>
        <v>2.5496303186440676</v>
      </c>
      <c r="P23" s="119">
        <f t="shared" si="5"/>
        <v>512.47569404745764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</v>
      </c>
      <c r="I25" s="114">
        <f t="shared" si="7"/>
        <v>484.26</v>
      </c>
      <c r="J25" s="274">
        <f>SUM(J16:J24)</f>
        <v>24.213000000000001</v>
      </c>
      <c r="K25" s="275">
        <f t="shared" si="7"/>
        <v>16.949100000000001</v>
      </c>
      <c r="L25" s="276">
        <f t="shared" si="7"/>
        <v>24.697259999999996</v>
      </c>
      <c r="M25" s="232">
        <f t="shared" si="7"/>
        <v>418.40064000000001</v>
      </c>
      <c r="N25" s="233">
        <f>SUM(N16:N24)</f>
        <v>91.525423728813507</v>
      </c>
      <c r="O25" s="101">
        <f>SUM(O16:O24)</f>
        <v>2.5496303186440676</v>
      </c>
      <c r="P25" s="234">
        <f>SUM(P16:P24)</f>
        <v>512.47569404745764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484.26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24.213000000000001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41.646360000000001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418.40063999999995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509.92606372881346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2.5496303186440672</v>
      </c>
    </row>
    <row r="35" spans="2:16" ht="15.75" customHeight="1" thickBot="1" x14ac:dyDescent="0.4">
      <c r="N35" s="374" t="s">
        <v>88</v>
      </c>
      <c r="O35" s="375"/>
      <c r="P35" s="297">
        <f>+P33+P34</f>
        <v>512.47569404745752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3</v>
      </c>
      <c r="I23" s="236">
        <f t="shared" si="0"/>
        <v>484.26</v>
      </c>
      <c r="J23" s="272">
        <f t="shared" si="1"/>
        <v>24.213000000000001</v>
      </c>
      <c r="K23" s="128">
        <f t="shared" si="1"/>
        <v>16.949100000000001</v>
      </c>
      <c r="L23" s="119">
        <f t="shared" si="1"/>
        <v>24.697259999999996</v>
      </c>
      <c r="M23" s="230">
        <f t="shared" si="2"/>
        <v>418.40064000000001</v>
      </c>
      <c r="N23" s="277">
        <f t="shared" si="3"/>
        <v>91.525423728813507</v>
      </c>
      <c r="O23" s="239">
        <f t="shared" si="4"/>
        <v>2.5496303186440676</v>
      </c>
      <c r="P23" s="119">
        <f t="shared" si="5"/>
        <v>512.47569404745764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</v>
      </c>
      <c r="I25" s="114">
        <f t="shared" si="7"/>
        <v>484.26</v>
      </c>
      <c r="J25" s="274">
        <f>SUM(J16:J24)</f>
        <v>24.213000000000001</v>
      </c>
      <c r="K25" s="275">
        <f t="shared" si="7"/>
        <v>16.949100000000001</v>
      </c>
      <c r="L25" s="276">
        <f t="shared" si="7"/>
        <v>24.697259999999996</v>
      </c>
      <c r="M25" s="232">
        <f t="shared" si="7"/>
        <v>418.40064000000001</v>
      </c>
      <c r="N25" s="233">
        <f>SUM(N16:N24)</f>
        <v>91.525423728813507</v>
      </c>
      <c r="O25" s="101">
        <f>SUM(O16:O24)</f>
        <v>2.5496303186440676</v>
      </c>
      <c r="P25" s="234">
        <f>SUM(P16:P24)</f>
        <v>512.47569404745764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484.26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24.213000000000001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41.646360000000001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418.40063999999995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509.92606372881346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2.5496303186440672</v>
      </c>
    </row>
    <row r="35" spans="2:16" ht="15.75" customHeight="1" thickBot="1" x14ac:dyDescent="0.4">
      <c r="N35" s="374" t="s">
        <v>88</v>
      </c>
      <c r="O35" s="375"/>
      <c r="P35" s="297">
        <f>+P33+P34</f>
        <v>512.47569404745752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>
        <v>12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30</v>
      </c>
      <c r="I20" s="236">
        <f t="shared" si="0"/>
        <v>2179.1999999999998</v>
      </c>
      <c r="J20" s="272">
        <f t="shared" si="1"/>
        <v>174.33599999999998</v>
      </c>
      <c r="K20" s="128">
        <f t="shared" si="1"/>
        <v>76.272000000000006</v>
      </c>
      <c r="L20" s="119">
        <f t="shared" si="1"/>
        <v>0</v>
      </c>
      <c r="M20" s="230">
        <f t="shared" si="2"/>
        <v>1928.5919999999999</v>
      </c>
      <c r="N20" s="277">
        <f t="shared" si="3"/>
        <v>411.86440677966107</v>
      </c>
      <c r="O20" s="239">
        <f t="shared" si="4"/>
        <v>11.702282033898305</v>
      </c>
      <c r="P20" s="119">
        <f t="shared" si="5"/>
        <v>2352.1586888135594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96.852000000000004</v>
      </c>
      <c r="K23" s="128">
        <f t="shared" si="1"/>
        <v>67.796400000000006</v>
      </c>
      <c r="L23" s="119">
        <f t="shared" si="1"/>
        <v>98.789039999999986</v>
      </c>
      <c r="M23" s="230">
        <f t="shared" si="2"/>
        <v>1673.60256</v>
      </c>
      <c r="N23" s="277">
        <f t="shared" si="3"/>
        <v>366.10169491525403</v>
      </c>
      <c r="O23" s="239">
        <f t="shared" si="4"/>
        <v>10.198521274576271</v>
      </c>
      <c r="P23" s="119">
        <f t="shared" si="5"/>
        <v>2049.9027761898305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32</v>
      </c>
      <c r="I25" s="114">
        <f t="shared" si="7"/>
        <v>2986.29</v>
      </c>
      <c r="J25" s="274">
        <f>SUM(J16:J24)</f>
        <v>180.792</v>
      </c>
      <c r="K25" s="275">
        <f t="shared" si="7"/>
        <v>104.52015</v>
      </c>
      <c r="L25" s="276">
        <f t="shared" si="7"/>
        <v>98.789039999999986</v>
      </c>
      <c r="M25" s="232">
        <f t="shared" si="7"/>
        <v>2602.1888100000001</v>
      </c>
      <c r="N25" s="233">
        <f>SUM(N16:N24)</f>
        <v>564.40677966101669</v>
      </c>
      <c r="O25" s="101">
        <f>SUM(O16:O24)</f>
        <v>15.832977948305084</v>
      </c>
      <c r="P25" s="234">
        <f>SUM(P16:P24)</f>
        <v>3182.4285676093223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2986.29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180.792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203.30919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2602.1888100000001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564.40677966101669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3166.5955896610167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15.832977948305084</v>
      </c>
    </row>
    <row r="35" spans="2:16" ht="15.75" customHeight="1" thickBot="1" x14ac:dyDescent="0.4">
      <c r="N35" s="374" t="s">
        <v>88</v>
      </c>
      <c r="O35" s="375"/>
      <c r="P35" s="297">
        <f>+P33+P34</f>
        <v>3182.4285676093218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6</v>
      </c>
      <c r="I23" s="236">
        <f t="shared" si="0"/>
        <v>968.52</v>
      </c>
      <c r="J23" s="272">
        <f t="shared" si="1"/>
        <v>48.426000000000002</v>
      </c>
      <c r="K23" s="128">
        <f t="shared" si="1"/>
        <v>33.898200000000003</v>
      </c>
      <c r="L23" s="119">
        <f t="shared" si="1"/>
        <v>49.394519999999993</v>
      </c>
      <c r="M23" s="230">
        <f t="shared" si="2"/>
        <v>836.80128000000002</v>
      </c>
      <c r="N23" s="277">
        <f t="shared" si="3"/>
        <v>183.05084745762701</v>
      </c>
      <c r="O23" s="239">
        <f t="shared" si="4"/>
        <v>5.0992606372881353</v>
      </c>
      <c r="P23" s="119">
        <f t="shared" si="5"/>
        <v>1024.9513880949153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968.52</v>
      </c>
      <c r="J25" s="274">
        <f>SUM(J16:J24)</f>
        <v>48.426000000000002</v>
      </c>
      <c r="K25" s="275">
        <f t="shared" si="7"/>
        <v>33.898200000000003</v>
      </c>
      <c r="L25" s="276">
        <f t="shared" si="7"/>
        <v>49.394519999999993</v>
      </c>
      <c r="M25" s="232">
        <f t="shared" si="7"/>
        <v>836.80128000000002</v>
      </c>
      <c r="N25" s="233">
        <f>SUM(N16:N24)</f>
        <v>183.05084745762701</v>
      </c>
      <c r="O25" s="101">
        <f>SUM(O16:O24)</f>
        <v>5.0992606372881353</v>
      </c>
      <c r="P25" s="234">
        <f>SUM(P16:P24)</f>
        <v>1024.9513880949153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968.52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48.426000000000002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83.292720000000003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836.80127999999991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1019.8521274576269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5.0992606372881344</v>
      </c>
    </row>
    <row r="35" spans="2:16" ht="15.75" customHeight="1" thickBot="1" x14ac:dyDescent="0.4">
      <c r="N35" s="374" t="s">
        <v>88</v>
      </c>
      <c r="O35" s="375"/>
      <c r="P35" s="297">
        <f>+P33+P34</f>
        <v>1024.951388094915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6</v>
      </c>
      <c r="I23" s="236">
        <f t="shared" si="0"/>
        <v>968.52</v>
      </c>
      <c r="J23" s="272">
        <f t="shared" si="1"/>
        <v>48.426000000000002</v>
      </c>
      <c r="K23" s="128">
        <f t="shared" si="1"/>
        <v>33.898200000000003</v>
      </c>
      <c r="L23" s="119">
        <f t="shared" si="1"/>
        <v>49.394519999999993</v>
      </c>
      <c r="M23" s="230">
        <f t="shared" si="2"/>
        <v>836.80128000000002</v>
      </c>
      <c r="N23" s="277">
        <f t="shared" si="3"/>
        <v>183.05084745762701</v>
      </c>
      <c r="O23" s="239">
        <f t="shared" si="4"/>
        <v>5.0992606372881353</v>
      </c>
      <c r="P23" s="119">
        <f t="shared" si="5"/>
        <v>1024.9513880949153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968.52</v>
      </c>
      <c r="J25" s="274">
        <f>SUM(J16:J24)</f>
        <v>48.426000000000002</v>
      </c>
      <c r="K25" s="275">
        <f t="shared" si="7"/>
        <v>33.898200000000003</v>
      </c>
      <c r="L25" s="276">
        <f t="shared" si="7"/>
        <v>49.394519999999993</v>
      </c>
      <c r="M25" s="232">
        <f t="shared" si="7"/>
        <v>836.80128000000002</v>
      </c>
      <c r="N25" s="233">
        <f>SUM(N16:N24)</f>
        <v>183.05084745762701</v>
      </c>
      <c r="O25" s="101">
        <f>SUM(O16:O24)</f>
        <v>5.0992606372881353</v>
      </c>
      <c r="P25" s="234">
        <f>SUM(P16:P24)</f>
        <v>1024.9513880949153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968.52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48.426000000000002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83.292720000000003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836.80127999999991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1019.8521274576269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5.0992606372881344</v>
      </c>
    </row>
    <row r="35" spans="2:16" ht="15.75" customHeight="1" thickBot="1" x14ac:dyDescent="0.4">
      <c r="N35" s="374" t="s">
        <v>88</v>
      </c>
      <c r="O35" s="375"/>
      <c r="P35" s="297">
        <f>+P33+P34</f>
        <v>1024.951388094915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8.7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96.852000000000004</v>
      </c>
      <c r="K23" s="128">
        <f t="shared" si="1"/>
        <v>67.796400000000006</v>
      </c>
      <c r="L23" s="119">
        <f t="shared" si="1"/>
        <v>98.789039999999986</v>
      </c>
      <c r="M23" s="230">
        <f t="shared" si="2"/>
        <v>1673.60256</v>
      </c>
      <c r="N23" s="277">
        <f t="shared" si="3"/>
        <v>366.10169491525403</v>
      </c>
      <c r="O23" s="239">
        <f t="shared" si="4"/>
        <v>10.198521274576271</v>
      </c>
      <c r="P23" s="119">
        <f t="shared" si="5"/>
        <v>2049.9027761898305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1937.04</v>
      </c>
      <c r="J25" s="274">
        <f>SUM(J16:J24)</f>
        <v>96.852000000000004</v>
      </c>
      <c r="K25" s="275">
        <f t="shared" si="7"/>
        <v>67.796400000000006</v>
      </c>
      <c r="L25" s="276">
        <f t="shared" si="7"/>
        <v>98.789039999999986</v>
      </c>
      <c r="M25" s="232">
        <f t="shared" si="7"/>
        <v>1673.60256</v>
      </c>
      <c r="N25" s="233">
        <f>SUM(N16:N24)</f>
        <v>366.10169491525403</v>
      </c>
      <c r="O25" s="101">
        <f>SUM(O16:O24)</f>
        <v>10.198521274576271</v>
      </c>
      <c r="P25" s="234">
        <f>SUM(P16:P24)</f>
        <v>2049.9027761898305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1937.04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96.852000000000004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166.58544000000001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1673.6025599999998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366.10169491525403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2039.7042549152538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10.198521274576269</v>
      </c>
    </row>
    <row r="35" spans="2:16" ht="15.75" customHeight="1" thickBot="1" x14ac:dyDescent="0.4">
      <c r="N35" s="374" t="s">
        <v>88</v>
      </c>
      <c r="O35" s="375"/>
      <c r="P35" s="297">
        <f>+P33+P34</f>
        <v>2049.9027761898301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2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96.852000000000004</v>
      </c>
      <c r="K23" s="128">
        <f t="shared" si="1"/>
        <v>67.796400000000006</v>
      </c>
      <c r="L23" s="119">
        <f t="shared" si="1"/>
        <v>98.789039999999986</v>
      </c>
      <c r="M23" s="230">
        <f t="shared" si="2"/>
        <v>1673.60256</v>
      </c>
      <c r="N23" s="277">
        <f t="shared" si="3"/>
        <v>366.10169491525403</v>
      </c>
      <c r="O23" s="239">
        <f t="shared" si="4"/>
        <v>10.198521274576271</v>
      </c>
      <c r="P23" s="119">
        <f t="shared" si="5"/>
        <v>2049.9027761898305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1937.04</v>
      </c>
      <c r="J25" s="274">
        <f>SUM(J16:J24)</f>
        <v>96.852000000000004</v>
      </c>
      <c r="K25" s="275">
        <f t="shared" si="7"/>
        <v>67.796400000000006</v>
      </c>
      <c r="L25" s="276">
        <f t="shared" si="7"/>
        <v>98.789039999999986</v>
      </c>
      <c r="M25" s="232">
        <f t="shared" si="7"/>
        <v>1673.60256</v>
      </c>
      <c r="N25" s="233">
        <f>SUM(N16:N24)</f>
        <v>366.10169491525403</v>
      </c>
      <c r="O25" s="101">
        <f>SUM(O16:O24)</f>
        <v>10.198521274576271</v>
      </c>
      <c r="P25" s="234">
        <f>SUM(P16:P24)</f>
        <v>2049.9027761898305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1937.04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96.852000000000004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166.58544000000001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1673.6025599999998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366.10169491525403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2039.7042549152538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10.198521274576269</v>
      </c>
    </row>
    <row r="35" spans="2:16" ht="15.75" customHeight="1" thickBot="1" x14ac:dyDescent="0.4">
      <c r="N35" s="374" t="s">
        <v>88</v>
      </c>
      <c r="O35" s="375"/>
      <c r="P35" s="297">
        <f>+P33+P34</f>
        <v>2049.9027761898301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537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539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540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541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96.852000000000004</v>
      </c>
      <c r="K23" s="128">
        <f t="shared" si="1"/>
        <v>67.796400000000006</v>
      </c>
      <c r="L23" s="119">
        <f t="shared" si="1"/>
        <v>98.789039999999986</v>
      </c>
      <c r="M23" s="230">
        <f t="shared" si="2"/>
        <v>1673.60256</v>
      </c>
      <c r="N23" s="277">
        <f t="shared" si="3"/>
        <v>366.10169491525403</v>
      </c>
      <c r="O23" s="239">
        <f t="shared" si="4"/>
        <v>10.198521274576271</v>
      </c>
      <c r="P23" s="119">
        <f t="shared" si="5"/>
        <v>2049.9027761898305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1937.04</v>
      </c>
      <c r="J25" s="274">
        <f>SUM(J16:J24)</f>
        <v>96.852000000000004</v>
      </c>
      <c r="K25" s="275">
        <f t="shared" si="7"/>
        <v>67.796400000000006</v>
      </c>
      <c r="L25" s="276">
        <f t="shared" si="7"/>
        <v>98.789039999999986</v>
      </c>
      <c r="M25" s="232">
        <f t="shared" si="7"/>
        <v>1673.60256</v>
      </c>
      <c r="N25" s="233">
        <f>SUM(N16:N24)</f>
        <v>366.10169491525403</v>
      </c>
      <c r="O25" s="101">
        <f>SUM(O16:O24)</f>
        <v>10.198521274576271</v>
      </c>
      <c r="P25" s="234">
        <f>SUM(P16:P24)</f>
        <v>2049.9027761898305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1937.04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96.852000000000004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166.58544000000001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1673.6025599999998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366.10169491525403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2039.7042549152538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10.198521274576269</v>
      </c>
    </row>
    <row r="35" spans="2:16" ht="15.75" customHeight="1" thickBot="1" x14ac:dyDescent="0.4">
      <c r="N35" s="374" t="s">
        <v>88</v>
      </c>
      <c r="O35" s="375"/>
      <c r="P35" s="297">
        <f>+P33+P34</f>
        <v>2049.9027761898301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542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2372.91</v>
      </c>
      <c r="J25" s="274">
        <f>SUM(J16:J24)</f>
        <v>189.83280000000002</v>
      </c>
      <c r="K25" s="275">
        <f t="shared" si="7"/>
        <v>83.051850000000016</v>
      </c>
      <c r="L25" s="276">
        <f t="shared" si="7"/>
        <v>0</v>
      </c>
      <c r="M25" s="232">
        <f t="shared" si="7"/>
        <v>2100.0253499999999</v>
      </c>
      <c r="N25" s="233">
        <f>SUM(N16:N24)</f>
        <v>448.47457627118644</v>
      </c>
      <c r="O25" s="101">
        <f>SUM(O16:O24)</f>
        <v>12.742499631355932</v>
      </c>
      <c r="P25" s="234">
        <f>SUM(P16:P24)</f>
        <v>2561.2424259025424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2372.91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189.83280000000002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83.051850000000016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2100.0253499999999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448.47457627118644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2548.4999262711863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12.742499631355932</v>
      </c>
    </row>
    <row r="35" spans="2:16" ht="15.75" customHeight="1" thickBot="1" x14ac:dyDescent="0.4">
      <c r="N35" s="374" t="s">
        <v>88</v>
      </c>
      <c r="O35" s="375"/>
      <c r="P35" s="297">
        <f>+P33+P34</f>
        <v>2561.242425902542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96.852000000000004</v>
      </c>
      <c r="K23" s="128">
        <f t="shared" si="1"/>
        <v>67.796400000000006</v>
      </c>
      <c r="L23" s="119">
        <f t="shared" si="1"/>
        <v>98.789039999999986</v>
      </c>
      <c r="M23" s="230">
        <f t="shared" si="2"/>
        <v>1673.60256</v>
      </c>
      <c r="N23" s="277">
        <f t="shared" si="3"/>
        <v>366.10169491525403</v>
      </c>
      <c r="O23" s="239">
        <f t="shared" si="4"/>
        <v>10.198521274576271</v>
      </c>
      <c r="P23" s="119">
        <f t="shared" si="5"/>
        <v>2049.9027761898305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72</v>
      </c>
      <c r="I25" s="114">
        <f t="shared" si="7"/>
        <v>5891.89</v>
      </c>
      <c r="J25" s="274">
        <f>SUM(J16:J24)</f>
        <v>413.24</v>
      </c>
      <c r="K25" s="275">
        <f t="shared" si="7"/>
        <v>206.21615000000003</v>
      </c>
      <c r="L25" s="276">
        <f t="shared" si="7"/>
        <v>98.789039999999986</v>
      </c>
      <c r="M25" s="232">
        <f t="shared" si="7"/>
        <v>5173.6448100000007</v>
      </c>
      <c r="N25" s="233">
        <f>SUM(N16:N24)</f>
        <v>1113.5593220338981</v>
      </c>
      <c r="O25" s="101">
        <f>SUM(O16:O24)</f>
        <v>31.43602066016949</v>
      </c>
      <c r="P25" s="234">
        <f>SUM(P16:P24)</f>
        <v>6318.6401526940681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5891.89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413.24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305.00519000000003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5173.6448100000007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1113.5593220338981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6287.2041320338985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31.436020660169493</v>
      </c>
    </row>
    <row r="35" spans="2:16" ht="15.75" customHeight="1" thickBot="1" x14ac:dyDescent="0.4">
      <c r="N35" s="374" t="s">
        <v>88</v>
      </c>
      <c r="O35" s="375"/>
      <c r="P35" s="297">
        <f>+P33+P34</f>
        <v>6318.6401526940681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543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 t="e">
        <f>I25</f>
        <v>#N/A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 t="e">
        <f>K25</f>
        <v>#N/A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 t="e">
        <f>J25</f>
        <v>#N/A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 t="e">
        <f>O28-O29-O30</f>
        <v>#N/A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 t="e">
        <f>O31+O32</f>
        <v>#N/A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74" t="s">
        <v>88</v>
      </c>
      <c r="N35" s="375"/>
      <c r="O35" s="141" t="e">
        <f>O28-O29+O31+O34</f>
        <v>#N/A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483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475</v>
      </c>
      <c r="D6" s="407"/>
      <c r="E6" s="407"/>
      <c r="F6" s="407"/>
      <c r="G6" s="407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483</v>
      </c>
      <c r="N7" s="403"/>
      <c r="O7" s="404"/>
      <c r="P7" s="256" t="s">
        <v>474</v>
      </c>
      <c r="Q7" s="242" t="s">
        <v>472</v>
      </c>
      <c r="R7" s="405" t="s">
        <v>474</v>
      </c>
      <c r="S7" s="405" t="s">
        <v>484</v>
      </c>
      <c r="T7" s="411" t="s">
        <v>485</v>
      </c>
      <c r="U7" s="411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476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483</v>
      </c>
      <c r="N13" s="403"/>
      <c r="O13" s="404"/>
      <c r="P13" s="256" t="s">
        <v>474</v>
      </c>
      <c r="Q13" s="242" t="s">
        <v>472</v>
      </c>
      <c r="R13" s="405" t="s">
        <v>474</v>
      </c>
      <c r="S13" s="405" t="s">
        <v>484</v>
      </c>
      <c r="T13" s="411" t="s">
        <v>485</v>
      </c>
      <c r="U13" s="411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477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483</v>
      </c>
      <c r="N20" s="403"/>
      <c r="O20" s="404"/>
      <c r="P20" s="256" t="s">
        <v>474</v>
      </c>
      <c r="Q20" s="242" t="s">
        <v>472</v>
      </c>
      <c r="R20" s="405" t="s">
        <v>474</v>
      </c>
      <c r="S20" s="405" t="s">
        <v>484</v>
      </c>
      <c r="T20" s="411" t="s">
        <v>485</v>
      </c>
      <c r="U20" s="411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478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483</v>
      </c>
      <c r="N27" s="403"/>
      <c r="O27" s="404"/>
      <c r="P27" s="256" t="s">
        <v>474</v>
      </c>
      <c r="Q27" s="242" t="s">
        <v>472</v>
      </c>
      <c r="R27" s="405" t="s">
        <v>474</v>
      </c>
      <c r="S27" s="405" t="s">
        <v>484</v>
      </c>
      <c r="T27" s="411" t="s">
        <v>485</v>
      </c>
      <c r="U27" s="411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483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2026-10-30T11:42:40Z</dcterms:modified>
</cp:coreProperties>
</file>