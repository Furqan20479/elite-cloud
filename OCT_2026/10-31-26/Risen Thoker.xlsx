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C30F542-1132-4A75-8308-EB7037E6412F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22" i="11" l="1"/>
  <c r="N13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<sst xmlns="http://schemas.openxmlformats.org/spreadsheetml/2006/main" count="3950" uniqueCount="521">
  <si>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</si>
  <si>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</si>
  <si>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</si>
  <si>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</si>
  <si>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</si>
  <si>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</si>
  <si>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</si>
  <si>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</si>
  <si>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</si>
  <si>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</si>
  <si>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</si>
  <si>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</si>
  <si>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</si>
  <si>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</si>
  <si>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</si>
  <si>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</si>
  <si>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</si>
  <si>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</si>
  <si>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</si>
  <si>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</si>
  <si>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</si>
  <si>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</si>
  <si>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</si>
  <si>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</si>
  <si>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</si>
  <si>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</si>
  <si>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</si>
  <si>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</si>
  <si>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</si>
  <si>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</si>
  <si>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</si>
  <si>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</si>
  <si>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</si>
  <si>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</si>
  <si>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</si>
  <si>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</si>
  <si>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</si>
  <si>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</si>
  <si>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</si>
  <si>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</si>
  <si>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</si>
  <si>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</si>
  <si>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</si>
  <si>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</si>
  <si>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</si>
  <si>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</si>
  <si>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</si>
  <si>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</si>
  <si>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</si>
  <si>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</si>
  <si>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</si>
  <si>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</si>
  <si>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</si>
  <si>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</si>
  <si>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</si>
  <si>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</si>
  <si>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</si>
  <si>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</si>
  <si>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</si>
  <si>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</si>
  <si>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</si>
  <si>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</si>
  <si>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</si>
  <si>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</si>
  <si>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</si>
  <si>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</si>
  <si>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</si>
  <si>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</si>
  <si>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</si>
  <si>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</si>
  <si>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</si>
  <si>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</si>
  <si>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</si>
  <si>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</si>
  <si>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</si>
  <si>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</si>
  <si>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</si>
  <si>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</si>
  <si>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</si>
  <si>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</si>
  <si>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</si>
  <si>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</si>
  <si>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</si>
  <si>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</si>
  <si>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</si>
  <si>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</si>
  <si>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</si>
  <si>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</si>
  <si>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</si>
  <si>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</si>
  <si>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</si>
  <si>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</si>
  <si>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</si>
  <si>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</si>
  <si>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</si>
  <si>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</si>
  <si>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</si>
  <si>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</si>
  <si>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</si>
  <si>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</si>
  <si>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</si>
  <si>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</si>
  <si>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</si>
  <si>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</si>
  <si>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</si>
  <si>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</si>
  <si>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</si>
  <si>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</si>
  <si>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</si>
  <si>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</si>
  <si>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</si>
  <si>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</si>
  <si>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</si>
  <si>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</si>
  <si>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</si>
  <si>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</si>
  <si>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</si>
  <si>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</si>
  <si>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</si>
  <si>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</si>
  <si>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</si>
  <si>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</si>
  <si>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</si>
  <si>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</si>
  <si>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</si>
  <si>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</si>
  <si>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</si>
  <si>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</si>
  <si>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</si>
  <si>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</si>
  <si>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</si>
  <si>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</si>
  <si>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</si>
  <si>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</si>
  <si>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</si>
  <si>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</si>
  <si>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</si>
  <si>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</si>
  <si>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</si>
  <si>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</si>
  <si>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</si>
  <si>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</si>
  <si>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</si>
  <si>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</si>
  <si>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</si>
  <si>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</si>
  <si>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</si>
  <si>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</si>
  <si>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</si>
  <si>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</si>
  <si>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</si>
  <si>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</si>
  <si>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</si>
  <si>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</si>
  <si>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</si>
  <si>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</si>
  <si>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</si>
  <si>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</si>
  <si>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</si>
  <si>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</si>
  <si>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</si>
  <si>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</si>
  <si>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</si>
  <si>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</si>
  <si>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</si>
  <si>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</si>
  <si>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</si>
  <si>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</si>
  <si>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</si>
  <si>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</si>
  <si>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</si>
  <si>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</si>
  <si>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</si>
  <si>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</si>
  <si>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</si>
  <si>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</si>
  <si>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</si>
  <si>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</si>
  <si>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</si>
  <si>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</si>
  <si>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</si>
  <si>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</si>
  <si>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</si>
  <si>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</si>
  <si>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</si>
  <si>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</si>
  <si>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</si>
  <si>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</si>
  <si>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</si>
  <si>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</si>
  <si>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</si>
  <si>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</si>
  <si>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</si>
  <si>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</si>
  <si>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</si>
  <si>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</si>
  <si>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</si>
  <si>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</si>
  <si>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</si>
  <si>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</si>
  <si>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</si>
  <si>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</si>
  <si>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</si>
  <si>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</si>
  <si>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</si>
  <si>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</si>
  <si>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</si>
  <si>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</si>
  <si>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</si>
  <si>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</si>
  <si>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</si>
  <si>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</si>
  <si>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</si>
  <si>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</si>
  <si>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</si>
  <si>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</si>
  <si>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</si>
  <si>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</si>
  <si>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</si>
  <si>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</si>
  <si>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</si>
  <si>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</si>
  <si>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</si>
  <si>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</si>
  <si>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</si>
  <si>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</si>
  <si>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</si>
  <si>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</si>
  <si>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</si>
  <si>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</si>
  <si>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</si>
  <si>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</si>
  <si>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</si>
  <si>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</si>
  <si>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</si>
  <si>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</si>
  <si>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</si>
  <si>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</si>
  <si>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</si>
  <si>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</si>
  <si>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</si>
  <si>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</si>
  <si>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</si>
  <si>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</si>
  <si>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</si>
  <si>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</si>
  <si>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</si>
  <si>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</si>
  <si>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</si>
  <si>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</si>
  <si>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</si>
  <si>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</si>
  <si>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</si>
  <si>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</si>
  <si>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</si>
  <si>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</si>
  <si>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</si>
  <si>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</si>
  <si>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</si>
  <si>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</si>
  <si>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</si>
  <si>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</si>
  <si>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</si>
  <si>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</si>
  <si>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</si>
  <si>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</si>
  <si>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</si>
  <si>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</si>
  <si>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</si>
  <si>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</si>
  <si>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</si>
  <si>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</si>
  <si>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</si>
  <si>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</si>
  <si>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</si>
  <si>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</si>
  <si>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</si>
  <si>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</si>
  <si>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</si>
  <si>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</si>
  <si>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</si>
  <si>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</si>
  <si>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</si>
  <si>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</si>
  <si>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</si>
  <si>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</si>
  <si>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</si>
  <si>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</si>
  <si>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</si>
  <si>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</si>
  <si>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</si>
  <si>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</si>
  <si>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</si>
  <si>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</si>
  <si>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</si>
  <si>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</si>
  <si>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</si>
  <si>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</si>
  <si>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</si>
  <si>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</si>
  <si>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</si>
  <si>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</si>
  <si>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</si>
  <si>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</si>
  <si>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</si>
  <si>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</si>
  <si>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</si>
  <si>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</si>
  <si>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</si>
  <si>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</si>
  <si>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</si>
  <si>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</si>
  <si>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</si>
  <si>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</si>
  <si>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</si>
  <si>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</si>
  <si>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</si>
  <si>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</si>
  <si>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</si>
  <si>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</si>
  <si>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</si>
  <si>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</si>
  <si>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</si>
  <si>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</si>
  <si>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</si>
  <si>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</si>
  <si>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</si>
  <si>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</si>
  <si>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</si>
  <si>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</si>
  <si>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</si>
  <si>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</si>
  <si>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</si>
  <si>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</si>
  <si>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</si>
  <si>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</si>
  <si>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</si>
  <si>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</si>
  <si>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</si>
  <si>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</si>
  <si>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</si>
  <si>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</si>
  <si>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</si>
  <si>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</si>
  <si>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</si>
  <si>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</si>
  <si>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</si>
  <si>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</si>
  <si>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</si>
  <si>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</si>
  <si>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</si>
  <si>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</si>
  <si>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</si>
  <si>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</si>
  <si>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</si>
  <si>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</si>
  <si>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</si>
  <si>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</si>
  <si>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</si>
  <si>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</si>
  <si>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</si>
  <si>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</si>
  <si>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</si>
  <si>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</si>
  <si>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</si>
  <si>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</si>
  <si>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</si>
  <si>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</si>
  <si>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</si>
  <si>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</si>
  <si>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</si>
  <si>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</si>
  <si>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</si>
  <si>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</si>
  <si>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</si>
  <si>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</si>
  <si>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</si>
  <si>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</si>
  <si>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</si>
  <si>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</si>
  <si>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</si>
  <si>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</si>
  <si>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</si>
  <si>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</si>
  <si>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</si>
  <si>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</si>
  <si>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</si>
  <si>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</si>
  <si>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</si>
  <si>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</si>
  <si>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</si>
  <si>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</si>
  <si>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</si>
  <si>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</si>
  <si>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</si>
  <si>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</si>
  <si>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</si>
  <si>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</si>
  <si>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</si>
  <si>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</si>
  <si>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</si>
  <si>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</si>
  <si>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</si>
  <si>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</si>
  <si>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</si>
  <si>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</si>
  <si>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</si>
  <si>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</si>
  <si>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</si>
  <si>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</si>
  <si>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</si>
  <si>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</si>
  <si>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</si>
  <si>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</si>
  <si>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</si>
  <si>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</si>
  <si>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</si>
  <si>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</si>
  <si>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</si>
  <si>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</si>
  <si>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</si>
  <si>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</si>
  <si>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</si>
  <si>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</si>
  <si>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</si>
  <si>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</si>
  <si>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</si>
  <si>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</si>
  <si>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</si>
  <si>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</si>
  <si>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</si>
  <si>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</si>
  <si>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</si>
  <si>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</si>
  <si>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</si>
  <si>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</si>
  <si>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</si>
  <si>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</si>
  <si>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</si>
  <si>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</si>
  <si>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</si>
  <si>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</si>
  <si>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</si>
  <si>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</si>
  <si>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</si>
  <si>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</si>
  <si>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</si>
  <si>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</si>
  <si>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</si>
  <si>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</si>
  <si>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</si>
  <si>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</si>
  <si>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</si>
  <si>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</si>
  <si>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</si>
  <si>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</si>
  <si>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</si>
  <si>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</si>
  <si>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</si>
  <si>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</si>
  <si>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</si>
  <si>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</si>
  <si>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</si>
  <si>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</si>
  <si>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</si>
  <si>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</si>
  <si>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</si>
  <si>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</si>
  <si>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</si>
  <si>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</si>
  <si>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</si>
  <si>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</si>
  <si>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</si>
  <si>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</si>
  <si>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</si>
  <si>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</si>
  <si>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</si>
  <si>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</si>
  <si>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</si>
  <si>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</si>
  <si>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</si>
  <si>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</si>
  <si>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</si>
  <si>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</si>
  <si>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</si>
  <si>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</si>
  <si>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</si>
  <si>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</si>
  <si>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</si>
  <si>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</si>
  <si>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</si>
  <si>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</si>
  <si>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</si>
  <si>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</si>
  <si>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</si>
  <si>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</si>
  <si>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</si>
  <si>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</si>
  <si>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</si>
  <si>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</si>
  <si>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</si>
  <si>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</si>
  <si>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</si>
  <si>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</si>
  <si>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</si>
  <si>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</si>
  <si>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</si>
  <si>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</si>
  <si>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</si>
  <si>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</si>
  <si>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</si>
  <si>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</si>
  <si>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Address:Gajjumata</t>
  </si>
  <si>
    <t>Invoice No # :1566516</t>
  </si>
  <si>
    <t>Rafaqat Sons</t>
  </si>
  <si>
    <t>Number</t>
  </si>
  <si>
    <t>327787628553-1</t>
  </si>
  <si>
    <t>Address: Thoker Niaz Baig</t>
  </si>
  <si>
    <t xml:space="preserve">TN Traders </t>
  </si>
  <si>
    <t xml:space="preserve">NTN #: 9402653-2 STRN #: 327787628948-9 </t>
  </si>
  <si>
    <t>Invoice No # :156456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</si>
</sst>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0" fontId="18" fillId="0" borderId="42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514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f ca="1">TODAY()</f>
        <v>46326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 xml:space="preserve">TN Traders </v>
      </c>
      <c r="T3" s="301">
        <f>+'1'!P35</f>
        <v>9189.6251552542362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TN Traders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TN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TN Traders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TN Traders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TN Traders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TN Traders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TN Traders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406.78400000000005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2498.8159999999998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15.239842711864405</v>
      </c>
      <c r="P11" s="311">
        <f t="shared" si="2"/>
        <v>3063.2083850847453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TN Traders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813.5680000000001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4997.6319999999996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30.47968542372881</v>
      </c>
      <c r="P12" s="311">
        <f t="shared" si="2"/>
        <v>6126.4167701694905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TN Traders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TN Traders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TN Traders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TN Traders 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3</v>
      </c>
      <c r="H16" s="113">
        <f t="shared" ref="H16:M16" si="3">SUM(H7:H15)</f>
        <v>120</v>
      </c>
      <c r="I16" s="114">
        <f t="shared" si="3"/>
        <v>8716.7999999999993</v>
      </c>
      <c r="J16" s="274">
        <f>SUM(J7:J15)</f>
        <v>1220.3520000000001</v>
      </c>
      <c r="K16" s="275">
        <f t="shared" si="3"/>
        <v>0</v>
      </c>
      <c r="L16" s="276">
        <f t="shared" si="3"/>
        <v>0</v>
      </c>
      <c r="M16" s="232">
        <f t="shared" si="3"/>
        <v>7496.4479999999994</v>
      </c>
      <c r="N16" s="233">
        <f>SUM(N7:N15)</f>
        <v>1647.4576271186443</v>
      </c>
      <c r="O16" s="101">
        <f>SUM(O7:O15)</f>
        <v>45.719528135593215</v>
      </c>
      <c r="P16" s="113">
        <f>SUM(P7:P15)</f>
        <v>9189.6251552542362</v>
      </c>
      <c r="Q16" s="128">
        <f>SUM(Q7:Q15)</f>
        <v>0</v>
      </c>
      <c r="R16" s="314">
        <v>14</v>
      </c>
      <c r="S16" s="300" t="str">
        <f>+'14'!A6:A6</f>
        <v xml:space="preserve">TN Traders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TN Traders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TN Traders 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8716.7999999999993</v>
      </c>
      <c r="R19" s="299">
        <v>17</v>
      </c>
      <c r="S19" s="300" t="str">
        <f>+'17'!A6:A6</f>
        <v xml:space="preserve">TN Traders 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1220.3520000000001</v>
      </c>
      <c r="R20" s="299">
        <v>18</v>
      </c>
      <c r="S20" s="300" t="str">
        <f>+'18'!A6:A6</f>
        <v xml:space="preserve">TN Traders 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0</v>
      </c>
      <c r="R21" s="299">
        <v>19</v>
      </c>
      <c r="S21" s="300" t="str">
        <f>+'19'!A6:A6</f>
        <v xml:space="preserve">TN Traders 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7496.4479999999994</v>
      </c>
      <c r="R22" s="299">
        <v>20</v>
      </c>
      <c r="S22" s="300" t="str">
        <f>+'20'!A6:A6</f>
        <v xml:space="preserve">TN Traders 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1647.4576271186443</v>
      </c>
      <c r="R23" s="299">
        <v>21</v>
      </c>
      <c r="S23" s="300" t="str">
        <f>+'21'!A6:A6</f>
        <v xml:space="preserve">TN Traders 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9143.9056271186437</v>
      </c>
      <c r="R24" s="299">
        <v>22</v>
      </c>
      <c r="S24" s="300" t="str">
        <f>+'22'!A6:A6</f>
        <v xml:space="preserve">TN Traders 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45.719528135593215</v>
      </c>
      <c r="R25" s="299">
        <v>23</v>
      </c>
      <c r="S25" s="300" t="str">
        <f>+'23'!A6:A6</f>
        <v xml:space="preserve">TN Traders 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9189.6251552542362</v>
      </c>
      <c r="R26" s="299">
        <v>24</v>
      </c>
      <c r="S26" s="300" t="str">
        <f>+'24'!A6:A6</f>
        <v xml:space="preserve">TN Traders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 xml:space="preserve">TN Traders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TN Traders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TN Traders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TN Traders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TN Traders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TN Traders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9189.6251552542362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8" workbookViewId="0">
      <selection activeCell="F26" sqref="F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520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46326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46325</v>
      </c>
      <c r="O5" s="369"/>
      <c r="P5" s="369"/>
      <c r="R5" s="85"/>
      <c r="S5" s="266"/>
    </row>
    <row r="6" spans="1:22 16383:16384" ht="17.2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500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A13" t="s">
        <v>515</v>
      </c>
      <c r="B13" t="s">
        <v>516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319">
        <v>3.5000000000000003E-2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406.78400000000005</v>
      </c>
      <c r="K20" s="128">
        <f t="shared" si="1"/>
        <v>0</v>
      </c>
      <c r="L20" s="119">
        <f t="shared" si="1"/>
        <v>0</v>
      </c>
      <c r="M20" s="230">
        <f t="shared" si="2"/>
        <v>2498.8159999999998</v>
      </c>
      <c r="N20" s="277">
        <f t="shared" si="3"/>
        <v>549.15254237288138</v>
      </c>
      <c r="O20" s="239">
        <f t="shared" si="4"/>
        <v>15.239842711864405</v>
      </c>
      <c r="P20" s="311">
        <f t="shared" si="5"/>
        <v>3063.2083850847453</v>
      </c>
      <c r="Q20" s="156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813.5680000000001</v>
      </c>
      <c r="K21" s="128">
        <f t="shared" si="1"/>
        <v>0</v>
      </c>
      <c r="L21" s="119">
        <f t="shared" si="1"/>
        <v>0</v>
      </c>
      <c r="M21" s="230">
        <f t="shared" si="2"/>
        <v>4997.6319999999996</v>
      </c>
      <c r="N21" s="277">
        <f t="shared" si="3"/>
        <v>1098.3050847457628</v>
      </c>
      <c r="O21" s="239">
        <f t="shared" si="4"/>
        <v>30.47968542372881</v>
      </c>
      <c r="P21" s="311">
        <f t="shared" si="5"/>
        <v>6126.4167701694905</v>
      </c>
      <c r="Q21" s="156"/>
      <c r="S21" s="269">
        <f>+S20</f>
        <v>0.14000000000000001</v>
      </c>
      <c r="T21" s="270">
        <v>0</v>
      </c>
      <c r="U21" s="269"/>
      <c r="V21" s="142">
        <f t="shared" si="6"/>
        <v>13.728813559322035</v>
      </c>
    </row>
    <row r="22" spans="1:22 16384:16384" hidden="1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hidden="1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hidden="1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8716.7999999999993</v>
      </c>
      <c r="J25" s="274">
        <f>SUM(J16:J24)</f>
        <v>1220.3520000000001</v>
      </c>
      <c r="K25" s="275">
        <f t="shared" si="10"/>
        <v>0</v>
      </c>
      <c r="L25" s="276">
        <f t="shared" si="10"/>
        <v>0</v>
      </c>
      <c r="M25" s="232">
        <f t="shared" si="10"/>
        <v>7496.4479999999994</v>
      </c>
      <c r="N25" s="233">
        <f>SUM(N16:N24)</f>
        <v>1647.4576271186443</v>
      </c>
      <c r="O25" s="101">
        <f>SUM(O16:O24)</f>
        <v>45.719528135593215</v>
      </c>
      <c r="P25" s="113">
        <f>SUM(P16:P24)</f>
        <v>9189.6251552542362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8716.7999999999993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1220.3520000000001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7496.4479999999994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9143.9056271186437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45.719528135593222</v>
      </c>
    </row>
    <row r="35" spans="2:16" ht="15.75" customHeight="1" thickBot="1" x14ac:dyDescent="0.4">
      <c r="N35" s="344" t="s">
        <v>88</v>
      </c>
      <c r="O35" s="345"/>
      <c r="P35" s="297">
        <f>+P33+P34</f>
        <v>9189.6251552542362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5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502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A13" t="s">
        <v>515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8.7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8.7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46327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46326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2026-10-31T04:40:02Z</dcterms:modified>
</cp:coreProperties>
</file>