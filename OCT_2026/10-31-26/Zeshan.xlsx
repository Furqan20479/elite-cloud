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F8C4CB6-1FEE-40D5-80E9-86620CD7C79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4" i="72"/>
  <c r="T24" i="72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4" i="71"/>
  <c r="T24" i="7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4" i="70"/>
  <c r="T24" i="70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4" i="69"/>
  <c r="T24" i="69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4" i="68"/>
  <c r="T24" i="68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4" i="67"/>
  <c r="T24" i="67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4" i="66"/>
  <c r="T24" i="66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4" i="65"/>
  <c r="T24" i="65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4" i="64"/>
  <c r="T24" i="64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4" i="63"/>
  <c r="T24" i="63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4" i="61"/>
  <c r="T24" i="6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4" i="60"/>
  <c r="T24" i="60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4" i="59"/>
  <c r="T24" i="59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4" i="58"/>
  <c r="T24" i="58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4" i="57"/>
  <c r="T24" i="57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4" i="56"/>
  <c r="T24" i="56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4" i="55"/>
  <c r="T24" i="55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4" i="54"/>
  <c r="T24" i="54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4" i="53"/>
  <c r="T24" i="53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4" i="52"/>
  <c r="T24" i="52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4" i="51"/>
  <c r="T24" i="5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4" i="50"/>
  <c r="T24" i="50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4" i="49"/>
  <c r="T24" i="49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4" i="48"/>
  <c r="T24" i="48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4" i="47"/>
  <c r="T24" i="47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4" i="46"/>
  <c r="T24" i="46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4" i="45"/>
  <c r="T24" i="45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4" i="44"/>
  <c r="T24" i="44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3" i="54"/>
  <c r="O23" i="54" s="1"/>
  <c r="P23" i="54" s="1"/>
  <c r="M24" i="66"/>
  <c r="O24" i="66" s="1"/>
  <c r="P24" i="66" s="1"/>
  <c r="M24" i="71"/>
  <c r="O24" i="71" s="1"/>
  <c r="P24" i="71" s="1"/>
  <c r="M23" i="64"/>
  <c r="O23" i="64" s="1"/>
  <c r="P23" i="64" s="1"/>
  <c r="M23" i="53"/>
  <c r="O23" i="53" s="1"/>
  <c r="P23" i="53" s="1"/>
  <c r="M23" i="48"/>
  <c r="M23" i="66"/>
  <c r="O23" i="66" s="1"/>
  <c r="P23" i="66" s="1"/>
  <c r="M23" i="65"/>
  <c r="O23" i="65" s="1"/>
  <c r="P23" i="65" s="1"/>
  <c r="M23" i="61"/>
  <c r="O23" i="61" s="1"/>
  <c r="P23" i="61" s="1"/>
  <c r="M23" i="58"/>
  <c r="O23" i="58" s="1"/>
  <c r="P23" i="58" s="1"/>
  <c r="M23" i="56"/>
  <c r="O23" i="56" s="1"/>
  <c r="P23" i="56" s="1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<sst xmlns="http://schemas.openxmlformats.org/spreadsheetml/2006/main" count="3948" uniqueCount="526">
  <si>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</si>
  <si>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</si>
  <si>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</si>
  <si>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</si>
  <si>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</si>
  <si>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</si>
  <si>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</si>
  <si>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</si>
  <si>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</si>
  <si>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</si>
  <si>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</si>
  <si>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</si>
  <si>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</si>
  <si>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</si>
  <si>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</si>
  <si>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</si>
  <si>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</si>
  <si>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</si>
  <si>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</si>
  <si>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</si>
  <si>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</si>
  <si>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</si>
  <si>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</si>
  <si>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</si>
  <si>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</si>
  <si>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</si>
  <si>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</si>
  <si>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</si>
  <si>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</si>
  <si>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</si>
  <si>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</si>
  <si>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</si>
  <si>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</si>
  <si>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</si>
  <si>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</si>
  <si>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</si>
  <si>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</si>
  <si>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</si>
  <si>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</si>
  <si>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</si>
  <si>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</si>
  <si>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</si>
  <si>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</si>
  <si>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</si>
  <si>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</si>
  <si>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</si>
  <si>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</si>
  <si>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</si>
  <si>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</si>
  <si>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</si>
  <si>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</si>
  <si>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</si>
  <si>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</si>
  <si>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</si>
  <si>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</si>
  <si>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</si>
  <si>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</si>
  <si>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</si>
  <si>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</si>
  <si>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</si>
  <si>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</si>
  <si>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</si>
  <si>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</si>
  <si>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</si>
  <si>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</si>
  <si>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</si>
  <si>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</si>
  <si>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</si>
  <si>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</si>
  <si>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</si>
  <si>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</si>
  <si>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</si>
  <si>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</si>
  <si>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</si>
  <si>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</si>
  <si>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</si>
  <si>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</si>
  <si>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</si>
  <si>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</si>
  <si>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</si>
  <si>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</si>
  <si>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</si>
  <si>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</si>
  <si>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</si>
  <si>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</si>
  <si>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</si>
  <si>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</si>
  <si>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</si>
  <si>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</si>
  <si>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</si>
  <si>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</si>
  <si>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</si>
  <si>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</si>
  <si>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</si>
  <si>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</si>
  <si>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</si>
  <si>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</si>
  <si>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</si>
  <si>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</si>
  <si>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</si>
  <si>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</si>
  <si>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</si>
  <si>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</si>
  <si>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</si>
  <si>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</si>
  <si>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</si>
  <si>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</si>
  <si>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</si>
  <si>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</si>
  <si>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</si>
  <si>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</si>
  <si>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</si>
  <si>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</si>
  <si>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</si>
  <si>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</si>
  <si>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</si>
  <si>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</si>
  <si>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</si>
  <si>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</si>
  <si>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</si>
  <si>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</si>
  <si>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</si>
  <si>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</si>
  <si>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</si>
  <si>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</si>
  <si>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</si>
  <si>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</si>
  <si>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</si>
  <si>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</si>
  <si>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</si>
  <si>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</si>
  <si>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</si>
  <si>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</si>
  <si>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</si>
  <si>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</si>
  <si>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</si>
  <si>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</si>
  <si>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</si>
  <si>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</si>
  <si>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</si>
  <si>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</si>
  <si>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</si>
  <si>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</si>
  <si>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</si>
  <si>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</si>
  <si>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</si>
  <si>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</si>
  <si>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</si>
  <si>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</si>
  <si>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</si>
  <si>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</si>
  <si>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</si>
  <si>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</si>
  <si>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</si>
  <si>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</si>
  <si>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</si>
  <si>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</si>
  <si>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</si>
  <si>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</si>
  <si>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</si>
  <si>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</si>
  <si>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</si>
  <si>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</si>
  <si>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</si>
  <si>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</si>
  <si>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</si>
  <si>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</si>
  <si>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</si>
  <si>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</si>
  <si>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</si>
  <si>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</si>
  <si>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</si>
  <si>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</si>
  <si>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</si>
  <si>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</si>
  <si>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</si>
  <si>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</si>
  <si>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</si>
  <si>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</si>
  <si>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</si>
  <si>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</si>
  <si>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</si>
  <si>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</si>
  <si>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</si>
  <si>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</si>
  <si>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</si>
  <si>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</si>
  <si>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</si>
  <si>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</si>
  <si>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</si>
  <si>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</si>
  <si>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</si>
  <si>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</si>
  <si>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</si>
  <si>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</si>
  <si>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</si>
  <si>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</si>
  <si>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</si>
  <si>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</si>
  <si>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</si>
  <si>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</si>
  <si>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</si>
  <si>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</si>
  <si>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</si>
  <si>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</si>
  <si>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</si>
  <si>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</si>
  <si>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</si>
  <si>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</si>
  <si>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</si>
  <si>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</si>
  <si>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</si>
  <si>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</si>
  <si>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</si>
  <si>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</si>
  <si>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</si>
  <si>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</si>
  <si>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</si>
  <si>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</si>
  <si>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</si>
  <si>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</si>
  <si>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</si>
  <si>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</si>
  <si>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</si>
  <si>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</si>
  <si>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</si>
  <si>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</si>
  <si>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</si>
  <si>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</si>
  <si>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</si>
  <si>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</si>
  <si>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</si>
  <si>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</si>
  <si>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</si>
  <si>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</si>
  <si>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</si>
  <si>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</si>
  <si>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</si>
  <si>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</si>
  <si>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</si>
  <si>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</si>
  <si>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</si>
  <si>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</si>
  <si>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</si>
  <si>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</si>
  <si>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</si>
  <si>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</si>
  <si>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</si>
  <si>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</si>
  <si>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</si>
  <si>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</si>
  <si>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</si>
  <si>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</si>
  <si>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</si>
  <si>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</si>
  <si>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</si>
  <si>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</si>
  <si>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</si>
  <si>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</si>
  <si>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</si>
  <si>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</si>
  <si>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</si>
  <si>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</si>
  <si>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</si>
  <si>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</si>
  <si>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</si>
  <si>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</si>
  <si>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</si>
  <si>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</si>
  <si>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</si>
  <si>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</si>
  <si>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</si>
  <si>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</si>
  <si>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</si>
  <si>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</si>
  <si>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</si>
  <si>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</si>
  <si>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</si>
  <si>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</si>
  <si>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</si>
  <si>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</si>
  <si>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</si>
  <si>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</si>
  <si>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</si>
  <si>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</si>
  <si>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</si>
  <si>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</si>
  <si>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</si>
  <si>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</si>
  <si>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</si>
  <si>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</si>
  <si>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</si>
  <si>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</si>
  <si>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</si>
  <si>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</si>
  <si>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</si>
  <si>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</si>
  <si>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</si>
  <si>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</si>
  <si>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</si>
  <si>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</si>
  <si>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</si>
  <si>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</si>
  <si>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</si>
  <si>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</si>
  <si>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</si>
  <si>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</si>
  <si>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</si>
  <si>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</si>
  <si>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</si>
  <si>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</si>
  <si>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</si>
  <si>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</si>
  <si>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</si>
  <si>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</si>
  <si>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</si>
  <si>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</si>
  <si>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</si>
  <si>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</si>
  <si>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</si>
  <si>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</si>
  <si>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</si>
  <si>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</si>
  <si>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</si>
  <si>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</si>
  <si>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</si>
  <si>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</si>
  <si>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</si>
  <si>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</si>
  <si>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</si>
  <si>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</si>
  <si>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</si>
  <si>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</si>
  <si>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</si>
  <si>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</si>
  <si>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</si>
  <si>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</si>
  <si>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</si>
  <si>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</si>
  <si>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</si>
  <si>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</si>
  <si>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</si>
  <si>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</si>
  <si>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</si>
  <si>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</si>
  <si>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</si>
  <si>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</si>
  <si>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</si>
  <si>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</si>
  <si>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</si>
  <si>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</si>
  <si>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</si>
  <si>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</si>
  <si>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</si>
  <si>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</si>
  <si>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</si>
  <si>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</si>
  <si>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</si>
  <si>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</si>
  <si>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</si>
  <si>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</si>
  <si>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</si>
  <si>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</si>
  <si>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</si>
  <si>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</si>
  <si>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</si>
  <si>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</si>
  <si>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</si>
  <si>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</si>
  <si>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</si>
  <si>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</si>
  <si>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</si>
  <si>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</si>
  <si>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</si>
  <si>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</si>
  <si>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</si>
  <si>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</si>
  <si>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</si>
  <si>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</si>
  <si>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</si>
  <si>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</si>
  <si>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</si>
  <si>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</si>
  <si>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</si>
  <si>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</si>
  <si>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</si>
  <si>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</si>
  <si>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</si>
  <si>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</si>
  <si>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</si>
  <si>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</si>
  <si>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</si>
  <si>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</si>
  <si>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</si>
  <si>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</si>
  <si>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</si>
  <si>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</si>
  <si>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</si>
  <si>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</si>
  <si>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</si>
  <si>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</si>
  <si>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</si>
  <si>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</si>
  <si>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</si>
  <si>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</si>
  <si>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</si>
  <si>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</si>
  <si>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</si>
  <si>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</si>
  <si>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</si>
  <si>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</si>
  <si>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</si>
  <si>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</si>
  <si>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</si>
  <si>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</si>
  <si>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</si>
  <si>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</si>
  <si>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</si>
  <si>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</si>
  <si>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</si>
  <si>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</si>
  <si>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</si>
  <si>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</si>
  <si>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</si>
  <si>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</si>
  <si>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</si>
  <si>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</si>
  <si>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</si>
  <si>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</si>
  <si>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</si>
  <si>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</si>
  <si>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</si>
  <si>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</si>
  <si>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</si>
  <si>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</si>
  <si>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</si>
  <si>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</si>
  <si>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</si>
  <si>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</si>
  <si>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</si>
  <si>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</si>
  <si>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</si>
  <si>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</si>
  <si>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</si>
  <si>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</si>
  <si>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</si>
  <si>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</si>
  <si>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</si>
  <si>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</si>
  <si>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</si>
  <si>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</si>
  <si>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</si>
  <si>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</si>
  <si>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</si>
  <si>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</si>
  <si>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</si>
  <si>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</si>
  <si>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</si>
  <si>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</si>
  <si>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</si>
  <si>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</si>
  <si>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</si>
  <si>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</si>
  <si>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</si>
  <si>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</si>
  <si>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</si>
  <si>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</si>
  <si>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</si>
  <si>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</si>
  <si>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</si>
  <si>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</si>
  <si>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</si>
  <si>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</si>
  <si>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</si>
  <si>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</si>
  <si>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</si>
  <si>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</si>
  <si>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</si>
  <si>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</si>
  <si>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</si>
  <si>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</si>
  <si>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</si>
  <si>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</si>
  <si>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</si>
  <si>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</si>
  <si>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</si>
  <si>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</si>
  <si>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</si>
  <si>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</si>
  <si>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</si>
  <si>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</si>
  <si>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</si>
  <si>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</si>
  <si>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</si>
  <si>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</si>
  <si>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</si>
  <si>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</si>
  <si>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</si>
  <si>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</si>
  <si>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</si>
  <si>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</si>
  <si>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</si>
  <si>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</si>
  <si>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</si>
  <si>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</si>
  <si>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</si>
  <si>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</si>
  <si>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</si>
  <si>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</si>
  <si>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</si>
  <si>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</si>
  <si>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</si>
  <si>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</si>
  <si>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</si>
  <si>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</si>
  <si>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Zeshan</t>
  </si>
  <si>
    <t>Ali Store</t>
  </si>
  <si>
    <t xml:space="preserve">Address: Farminate Society </t>
  </si>
  <si>
    <t xml:space="preserve">Smart Mart </t>
  </si>
  <si>
    <t xml:space="preserve">Omega </t>
  </si>
  <si>
    <t xml:space="preserve">Ajwa </t>
  </si>
  <si>
    <t xml:space="preserve">Marwa </t>
  </si>
  <si>
    <t>Sadiq Mart</t>
  </si>
  <si>
    <t xml:space="preserve">Al Rehman Cash N Carry </t>
  </si>
  <si>
    <t>Groccer Express</t>
  </si>
  <si>
    <t>Groccer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</si>
</sst>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Ali Store</v>
      </c>
      <c r="T3" s="301">
        <f>+'1'!P35</f>
        <v>26446.762495525421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Smart Mart </v>
      </c>
      <c r="T4" s="301">
        <f>+'2'!P35</f>
        <v>2158.9193873898307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Omega </v>
      </c>
      <c r="T5" s="301">
        <f>+'3'!P35</f>
        <v>2158.9193873898307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Ajwa </v>
      </c>
      <c r="T6" s="301">
        <f>+'4'!P35</f>
        <v>2158.9193873898307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Marwa </v>
      </c>
      <c r="T7" s="301">
        <f>+'5'!P35</f>
        <v>2158.9193873898307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Sadiq Mart</v>
      </c>
      <c r="T8" s="301">
        <f>+'6'!P35</f>
        <v>2158.9193873898307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 Rehman Cash N Carry </v>
      </c>
      <c r="T9" s="301">
        <f>+'7'!P35</f>
        <v>10794.59693694915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Groccer Express</v>
      </c>
      <c r="T10" s="301">
        <f>+'8'!P35</f>
        <v>4268.7373765042375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Smart Mart </v>
      </c>
      <c r="T11" s="301">
        <f>+'9'!P35</f>
        <v>1132.5257914194915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Groccer 2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267</v>
      </c>
      <c r="I14" s="236">
        <f t="shared" si="0"/>
        <v>43099.14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3447.9312000000004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39651.2088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8145.762711864405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238.98485755932199</v>
      </c>
      <c r="P14" s="311">
        <f t="shared" si="2"/>
        <v>48035.956369423729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9.6750000000000007</v>
      </c>
      <c r="H16" s="113">
        <f t="shared" ref="H16:M16" si="3">SUM(H7:H15)</f>
        <v>387</v>
      </c>
      <c r="I16" s="114">
        <f t="shared" si="3"/>
        <v>51008.84</v>
      </c>
      <c r="J16" s="274">
        <f>SUM(J7:J15)</f>
        <v>4080.7072000000003</v>
      </c>
      <c r="K16" s="275">
        <f t="shared" si="3"/>
        <v>276.83950000000004</v>
      </c>
      <c r="L16" s="276">
        <f t="shared" si="3"/>
        <v>0</v>
      </c>
      <c r="M16" s="232">
        <f t="shared" si="3"/>
        <v>46651.293300000005</v>
      </c>
      <c r="N16" s="233">
        <f>SUM(N7:N15)</f>
        <v>9640.6779661016935</v>
      </c>
      <c r="O16" s="101">
        <f>SUM(O7:O15)</f>
        <v>281.45985633050844</v>
      </c>
      <c r="P16" s="113">
        <f>SUM(P7:P15)</f>
        <v>56573.431122432201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51008.84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4080.7072000000003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276.83950000000004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46651.293299999998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9640.6779661016935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56291.971266101689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281.45985633050844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56573.431122432201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56573.431122432201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147</v>
      </c>
      <c r="I23" s="236">
        <f t="shared" si="0"/>
        <v>23728.739999999998</v>
      </c>
      <c r="J23" s="272">
        <f t="shared" si="1"/>
        <v>1898.2991999999999</v>
      </c>
      <c r="K23" s="128">
        <f t="shared" si="1"/>
        <v>0</v>
      </c>
      <c r="L23" s="119">
        <f t="shared" si="1"/>
        <v>0</v>
      </c>
      <c r="M23" s="230">
        <f t="shared" si="2"/>
        <v>21830.440799999997</v>
      </c>
      <c r="N23" s="277">
        <f t="shared" si="3"/>
        <v>4484.745762711862</v>
      </c>
      <c r="O23" s="239">
        <f t="shared" si="4"/>
        <v>131.57593281355929</v>
      </c>
      <c r="P23" s="119">
        <f t="shared" si="5"/>
        <v>26446.762495525421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147</v>
      </c>
      <c r="I25" s="114">
        <f t="shared" ref="I25:M25" si="10">SUM(I16:I24)</f>
        <v>23728.739999999998</v>
      </c>
      <c r="J25" s="274">
        <f>SUM(J16:J24)</f>
        <v>1898.2991999999999</v>
      </c>
      <c r="K25" s="275">
        <f t="shared" si="10"/>
        <v>0</v>
      </c>
      <c r="L25" s="276">
        <f t="shared" si="10"/>
        <v>0</v>
      </c>
      <c r="M25" s="232">
        <f t="shared" si="10"/>
        <v>21830.440799999997</v>
      </c>
      <c r="N25" s="233">
        <f>SUM(N16:N24)</f>
        <v>4484.745762711862</v>
      </c>
      <c r="O25" s="101">
        <f>SUM(O16:O24)</f>
        <v>131.57593281355929</v>
      </c>
      <c r="P25" s="234">
        <f>SUM(P16:P24)</f>
        <v>26446.762495525421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23728.739999999998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1898.2991999999999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21830.440799999997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4484.745762711862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26315.18656271186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131.57593281355929</v>
      </c>
    </row>
    <row r="35" spans="2:16" ht="15.75" customHeight="1" thickBot="1" x14ac:dyDescent="0.4">
      <c r="N35" s="345" t="s">
        <v>88</v>
      </c>
      <c r="O35" s="346"/>
      <c r="P35" s="297">
        <f>+P33+P34</f>
        <v>26446.762495525421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154.9632</v>
      </c>
      <c r="K25" s="275">
        <f t="shared" si="7"/>
        <v>0</v>
      </c>
      <c r="L25" s="276">
        <f t="shared" si="7"/>
        <v>0</v>
      </c>
      <c r="M25" s="232">
        <f t="shared" si="7"/>
        <v>1782.0768</v>
      </c>
      <c r="N25" s="233">
        <f>SUM(N16:N24)</f>
        <v>366.10169491525403</v>
      </c>
      <c r="O25" s="101">
        <f>SUM(O16:O24)</f>
        <v>10.740892474576272</v>
      </c>
      <c r="P25" s="234">
        <f>SUM(P16:P24)</f>
        <v>2158.9193873898307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1782.0768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2148.1784949152543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10.740892474576272</v>
      </c>
    </row>
    <row r="35" spans="2:16" ht="15.75" customHeight="1" thickBot="1" x14ac:dyDescent="0.4">
      <c r="N35" s="345" t="s">
        <v>88</v>
      </c>
      <c r="O35" s="346"/>
      <c r="P35" s="297">
        <f>+P33+P34</f>
        <v>2158.9193873898307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154.9632</v>
      </c>
      <c r="K25" s="275">
        <f t="shared" si="7"/>
        <v>0</v>
      </c>
      <c r="L25" s="276">
        <f t="shared" si="7"/>
        <v>0</v>
      </c>
      <c r="M25" s="232">
        <f t="shared" si="7"/>
        <v>1782.0768</v>
      </c>
      <c r="N25" s="233">
        <f>SUM(N16:N24)</f>
        <v>366.10169491525403</v>
      </c>
      <c r="O25" s="101">
        <f>SUM(O16:O24)</f>
        <v>10.740892474576272</v>
      </c>
      <c r="P25" s="234">
        <f>SUM(P16:P24)</f>
        <v>2158.9193873898307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1782.0768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2148.1784949152543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10.740892474576272</v>
      </c>
    </row>
    <row r="35" spans="2:16" ht="15.75" customHeight="1" thickBot="1" x14ac:dyDescent="0.4">
      <c r="N35" s="345" t="s">
        <v>88</v>
      </c>
      <c r="O35" s="346"/>
      <c r="P35" s="297">
        <f>+P33+P34</f>
        <v>2158.9193873898307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154.9632</v>
      </c>
      <c r="K25" s="275">
        <f t="shared" si="7"/>
        <v>0</v>
      </c>
      <c r="L25" s="276">
        <f t="shared" si="7"/>
        <v>0</v>
      </c>
      <c r="M25" s="232">
        <f t="shared" si="7"/>
        <v>1782.0768</v>
      </c>
      <c r="N25" s="233">
        <f>SUM(N16:N24)</f>
        <v>366.10169491525403</v>
      </c>
      <c r="O25" s="101">
        <f>SUM(O16:O24)</f>
        <v>10.740892474576272</v>
      </c>
      <c r="P25" s="234">
        <f>SUM(P16:P24)</f>
        <v>2158.9193873898307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1782.0768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2148.1784949152543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10.740892474576272</v>
      </c>
    </row>
    <row r="35" spans="2:16" ht="15.75" customHeight="1" thickBot="1" x14ac:dyDescent="0.4">
      <c r="N35" s="345" t="s">
        <v>88</v>
      </c>
      <c r="O35" s="346"/>
      <c r="P35" s="297">
        <f>+P33+P34</f>
        <v>2158.9193873898307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154.9632</v>
      </c>
      <c r="K25" s="275">
        <f t="shared" si="7"/>
        <v>0</v>
      </c>
      <c r="L25" s="276">
        <f t="shared" si="7"/>
        <v>0</v>
      </c>
      <c r="M25" s="232">
        <f t="shared" si="7"/>
        <v>1782.0768</v>
      </c>
      <c r="N25" s="233">
        <f>SUM(N16:N24)</f>
        <v>366.10169491525403</v>
      </c>
      <c r="O25" s="101">
        <f>SUM(O16:O24)</f>
        <v>10.740892474576272</v>
      </c>
      <c r="P25" s="234">
        <f>SUM(P16:P24)</f>
        <v>2158.9193873898307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1782.0768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2148.1784949152543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10.740892474576272</v>
      </c>
    </row>
    <row r="35" spans="2:16" ht="15.75" customHeight="1" thickBot="1" x14ac:dyDescent="0.4">
      <c r="N35" s="345" t="s">
        <v>88</v>
      </c>
      <c r="O35" s="346"/>
      <c r="P35" s="297">
        <f>+P33+P34</f>
        <v>2158.9193873898307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1937.04</v>
      </c>
      <c r="J25" s="274">
        <f>SUM(J16:J24)</f>
        <v>154.9632</v>
      </c>
      <c r="K25" s="275">
        <f t="shared" si="7"/>
        <v>0</v>
      </c>
      <c r="L25" s="276">
        <f t="shared" si="7"/>
        <v>0</v>
      </c>
      <c r="M25" s="232">
        <f t="shared" si="7"/>
        <v>1782.0768</v>
      </c>
      <c r="N25" s="233">
        <f>SUM(N16:N24)</f>
        <v>366.10169491525403</v>
      </c>
      <c r="O25" s="101">
        <f>SUM(O16:O24)</f>
        <v>10.740892474576272</v>
      </c>
      <c r="P25" s="234">
        <f>SUM(P16:P24)</f>
        <v>2158.9193873898307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1937.04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154.9632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1782.0768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366.10169491525403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2148.1784949152543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10.740892474576272</v>
      </c>
    </row>
    <row r="35" spans="2:16" ht="15.75" customHeight="1" thickBot="1" x14ac:dyDescent="0.4">
      <c r="N35" s="345" t="s">
        <v>88</v>
      </c>
      <c r="O35" s="346"/>
      <c r="P35" s="297">
        <f>+P33+P34</f>
        <v>2158.9193873898307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60</v>
      </c>
      <c r="I23" s="236">
        <f t="shared" si="0"/>
        <v>9685.1999999999989</v>
      </c>
      <c r="J23" s="272">
        <f t="shared" si="1"/>
        <v>774.81599999999992</v>
      </c>
      <c r="K23" s="128">
        <f t="shared" si="1"/>
        <v>0</v>
      </c>
      <c r="L23" s="119">
        <f t="shared" si="1"/>
        <v>0</v>
      </c>
      <c r="M23" s="230">
        <f t="shared" si="2"/>
        <v>8910.3839999999982</v>
      </c>
      <c r="N23" s="277">
        <f t="shared" si="3"/>
        <v>1830.5084745762701</v>
      </c>
      <c r="O23" s="239">
        <f t="shared" si="4"/>
        <v>53.704462372881345</v>
      </c>
      <c r="P23" s="119">
        <f t="shared" si="5"/>
        <v>10794.59693694915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9685.1999999999989</v>
      </c>
      <c r="J25" s="274">
        <f>SUM(J16:J24)</f>
        <v>774.81599999999992</v>
      </c>
      <c r="K25" s="275">
        <f t="shared" si="7"/>
        <v>0</v>
      </c>
      <c r="L25" s="276">
        <f t="shared" si="7"/>
        <v>0</v>
      </c>
      <c r="M25" s="232">
        <f t="shared" si="7"/>
        <v>8910.3839999999982</v>
      </c>
      <c r="N25" s="233">
        <f>SUM(N16:N24)</f>
        <v>1830.5084745762701</v>
      </c>
      <c r="O25" s="101">
        <f>SUM(O16:O24)</f>
        <v>53.704462372881345</v>
      </c>
      <c r="P25" s="234">
        <f>SUM(P16:P24)</f>
        <v>10794.59693694915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9685.1999999999989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774.81599999999992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8910.3839999999982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1830.5084745762701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10740.892474576269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53.704462372881345</v>
      </c>
    </row>
    <row r="35" spans="2:16" ht="15.75" customHeight="1" thickBot="1" x14ac:dyDescent="0.4">
      <c r="N35" s="345" t="s">
        <v>88</v>
      </c>
      <c r="O35" s="346"/>
      <c r="P35" s="297">
        <f>+P33+P34</f>
        <v>10794.59693694915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</v>
      </c>
      <c r="I25" s="114">
        <f t="shared" si="7"/>
        <v>3954.8500000000004</v>
      </c>
      <c r="J25" s="274">
        <f>SUM(J16:J24)</f>
        <v>316.38799999999998</v>
      </c>
      <c r="K25" s="275">
        <f t="shared" si="7"/>
        <v>138.41975000000002</v>
      </c>
      <c r="L25" s="276">
        <f t="shared" si="7"/>
        <v>0</v>
      </c>
      <c r="M25" s="232">
        <f t="shared" si="7"/>
        <v>3500.0422500000004</v>
      </c>
      <c r="N25" s="233">
        <f>SUM(N16:N24)</f>
        <v>747.45762711864404</v>
      </c>
      <c r="O25" s="101">
        <f>SUM(O16:O24)</f>
        <v>21.237499385593221</v>
      </c>
      <c r="P25" s="234">
        <f>SUM(P16:P24)</f>
        <v>4268.7373765042375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3954.8500000000004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316.38799999999998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138.41975000000002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3500.0422500000004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4247.4998771186447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21.237499385593225</v>
      </c>
    </row>
    <row r="35" spans="2:16" ht="15.75" customHeight="1" thickBot="1" x14ac:dyDescent="0.4">
      <c r="N35" s="345" t="s">
        <v>88</v>
      </c>
      <c r="O35" s="346"/>
      <c r="P35" s="297">
        <f>+P33+P34</f>
        <v>4268.7373765042375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1049.25</v>
      </c>
      <c r="J25" s="274">
        <f>SUM(J16:J24)</f>
        <v>83.94</v>
      </c>
      <c r="K25" s="275">
        <f t="shared" si="7"/>
        <v>36.723750000000003</v>
      </c>
      <c r="L25" s="276">
        <f t="shared" si="7"/>
        <v>0</v>
      </c>
      <c r="M25" s="232">
        <f t="shared" si="7"/>
        <v>928.58625000000006</v>
      </c>
      <c r="N25" s="233">
        <f>SUM(N16:N24)</f>
        <v>198.30508474576263</v>
      </c>
      <c r="O25" s="101">
        <f>SUM(O16:O24)</f>
        <v>5.6344566737288133</v>
      </c>
      <c r="P25" s="234">
        <f>SUM(P16:P24)</f>
        <v>1132.5257914194915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1049.25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83.94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36.723750000000003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928.58624999999995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198.30508474576263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1126.8913347457626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5.6344566737288133</v>
      </c>
    </row>
    <row r="35" spans="2:16" ht="15.75" customHeight="1" thickBot="1" x14ac:dyDescent="0.4">
      <c r="N35" s="345" t="s">
        <v>88</v>
      </c>
      <c r="O35" s="346"/>
      <c r="P35" s="297">
        <f>+P33+P34</f>
        <v>1132.5257914194915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46325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>
        <v>0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2026-10-30T11:40:19Z</dcterms:modified>
</cp:coreProperties>
</file>