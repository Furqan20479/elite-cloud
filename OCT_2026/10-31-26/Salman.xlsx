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47C7A5B-D0E8-4A3A-B5FE-49E9085E52B5}" xr6:coauthVersionLast="47" xr6:coauthVersionMax="47" xr10:uidLastSave="{00000000-0000-0000-0000-000000000000}"/>
  <bookViews>
    <workbookView xWindow="-110" yWindow="-110" windowWidth="19420" windowHeight="10420" tabRatio="948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4" i="72"/>
  <c r="T24" i="72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4" i="71"/>
  <c r="T24" i="7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4" i="70"/>
  <c r="T24" i="70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4" i="69"/>
  <c r="T24" i="69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4" i="68"/>
  <c r="T24" i="68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4" i="67"/>
  <c r="T24" i="67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4" i="66"/>
  <c r="T24" i="66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4" i="65"/>
  <c r="T24" i="65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4" i="64"/>
  <c r="T24" i="64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4" i="63"/>
  <c r="T24" i="63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4" i="61"/>
  <c r="T24" i="6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4" i="60"/>
  <c r="T24" i="60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4" i="59"/>
  <c r="T24" i="59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4" i="58"/>
  <c r="T24" i="58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4" i="57"/>
  <c r="T24" i="57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4" i="56"/>
  <c r="T24" i="56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4" i="55"/>
  <c r="T24" i="55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4" i="54"/>
  <c r="T24" i="54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4" i="53"/>
  <c r="T24" i="53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4" i="52"/>
  <c r="T24" i="52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4" i="51"/>
  <c r="T24" i="5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4" i="50"/>
  <c r="T24" i="50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4" i="49"/>
  <c r="T24" i="49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4" i="48"/>
  <c r="T24" i="48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4" i="47"/>
  <c r="T24" i="47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4" i="46"/>
  <c r="T24" i="46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4" i="45"/>
  <c r="T24" i="45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4" i="44"/>
  <c r="T24" i="44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<sst xmlns="http://schemas.openxmlformats.org/spreadsheetml/2006/main" count="3948" uniqueCount="524">
  <si>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</si>
  <si>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</si>
  <si>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</si>
  <si>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</si>
  <si>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</si>
  <si>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</si>
  <si>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</si>
  <si>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</si>
  <si>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</si>
  <si>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</si>
  <si>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</si>
  <si>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</si>
  <si>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</si>
  <si>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</si>
  <si>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</si>
  <si>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</si>
  <si>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</si>
  <si>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</si>
  <si>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</si>
  <si>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</si>
  <si>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</si>
  <si>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</si>
  <si>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</si>
  <si>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</si>
  <si>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</si>
  <si>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</si>
  <si>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</si>
  <si>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</si>
  <si>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</si>
  <si>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</si>
  <si>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</si>
  <si>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</si>
  <si>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</si>
  <si>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</si>
  <si>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</si>
  <si>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</si>
  <si>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</si>
  <si>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</si>
  <si>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</si>
  <si>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</si>
  <si>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</si>
  <si>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</si>
  <si>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</si>
  <si>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</si>
  <si>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</si>
  <si>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</si>
  <si>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</si>
  <si>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</si>
  <si>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</si>
  <si>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</si>
  <si>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</si>
  <si>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</si>
  <si>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</si>
  <si>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</si>
  <si>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</si>
  <si>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</si>
  <si>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</si>
  <si>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</si>
  <si>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</si>
  <si>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</si>
  <si>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</si>
  <si>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</si>
  <si>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</si>
  <si>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</si>
  <si>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</si>
  <si>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</si>
  <si>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</si>
  <si>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</si>
  <si>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</si>
  <si>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</si>
  <si>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</si>
  <si>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</si>
  <si>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</si>
  <si>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</si>
  <si>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</si>
  <si>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</si>
  <si>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</si>
  <si>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</si>
  <si>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</si>
  <si>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</si>
  <si>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</si>
  <si>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</si>
  <si>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</si>
  <si>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</si>
  <si>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</si>
  <si>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</si>
  <si>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</si>
  <si>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</si>
  <si>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</si>
  <si>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</si>
  <si>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</si>
  <si>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</si>
  <si>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</si>
  <si>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</si>
  <si>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</si>
  <si>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</si>
  <si>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</si>
  <si>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</si>
  <si>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</si>
  <si>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</si>
  <si>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</si>
  <si>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</si>
  <si>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</si>
  <si>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</si>
  <si>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</si>
  <si>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</si>
  <si>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</si>
  <si>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</si>
  <si>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</si>
  <si>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</si>
  <si>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</si>
  <si>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</si>
  <si>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</si>
  <si>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</si>
  <si>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</si>
  <si>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</si>
  <si>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</si>
  <si>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</si>
  <si>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</si>
  <si>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</si>
  <si>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</si>
  <si>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</si>
  <si>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</si>
  <si>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</si>
  <si>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</si>
  <si>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</si>
  <si>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</si>
  <si>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</si>
  <si>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</si>
  <si>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</si>
  <si>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</si>
  <si>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</si>
  <si>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</si>
  <si>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</si>
  <si>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</si>
  <si>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</si>
  <si>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</si>
  <si>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</si>
  <si>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</si>
  <si>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</si>
  <si>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</si>
  <si>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</si>
  <si>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</si>
  <si>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</si>
  <si>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</si>
  <si>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</si>
  <si>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</si>
  <si>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</si>
  <si>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</si>
  <si>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</si>
  <si>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</si>
  <si>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</si>
  <si>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</si>
  <si>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</si>
  <si>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</si>
  <si>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</si>
  <si>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</si>
  <si>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</si>
  <si>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</si>
  <si>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</si>
  <si>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</si>
  <si>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</si>
  <si>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</si>
  <si>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</si>
  <si>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</si>
  <si>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</si>
  <si>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</si>
  <si>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</si>
  <si>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</si>
  <si>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</si>
  <si>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</si>
  <si>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</si>
  <si>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</si>
  <si>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</si>
  <si>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</si>
  <si>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</si>
  <si>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</si>
  <si>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</si>
  <si>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</si>
  <si>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</si>
  <si>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</si>
  <si>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</si>
  <si>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</si>
  <si>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</si>
  <si>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</si>
  <si>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</si>
  <si>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</si>
  <si>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</si>
  <si>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</si>
  <si>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</si>
  <si>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</si>
  <si>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</si>
  <si>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</si>
  <si>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</si>
  <si>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</si>
  <si>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</si>
  <si>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</si>
  <si>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</si>
  <si>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</si>
  <si>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</si>
  <si>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</si>
  <si>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</si>
  <si>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</si>
  <si>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</si>
  <si>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</si>
  <si>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</si>
  <si>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</si>
  <si>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</si>
  <si>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</si>
  <si>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</si>
  <si>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</si>
  <si>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</si>
  <si>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</si>
  <si>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</si>
  <si>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</si>
  <si>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</si>
  <si>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</si>
  <si>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</si>
  <si>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</si>
  <si>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</si>
  <si>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</si>
  <si>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</si>
  <si>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</si>
  <si>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</si>
  <si>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</si>
  <si>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</si>
  <si>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</si>
  <si>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</si>
  <si>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</si>
  <si>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</si>
  <si>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</si>
  <si>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</si>
  <si>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</si>
  <si>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</si>
  <si>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</si>
  <si>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</si>
  <si>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</si>
  <si>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</si>
  <si>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</si>
  <si>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</si>
  <si>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</si>
  <si>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</si>
  <si>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</si>
  <si>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</si>
  <si>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</si>
  <si>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</si>
  <si>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</si>
  <si>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</si>
  <si>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</si>
  <si>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</si>
  <si>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</si>
  <si>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</si>
  <si>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</si>
  <si>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</si>
  <si>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</si>
  <si>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</si>
  <si>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</si>
  <si>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</si>
  <si>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</si>
  <si>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</si>
  <si>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</si>
  <si>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</si>
  <si>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</si>
  <si>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</si>
  <si>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</si>
  <si>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</si>
  <si>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</si>
  <si>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</si>
  <si>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</si>
  <si>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</si>
  <si>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</si>
  <si>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</si>
  <si>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</si>
  <si>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</si>
  <si>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</si>
  <si>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</si>
  <si>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</si>
  <si>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</si>
  <si>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</si>
  <si>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</si>
  <si>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</si>
  <si>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</si>
  <si>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</si>
  <si>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</si>
  <si>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</si>
  <si>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</si>
  <si>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</si>
  <si>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</si>
  <si>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</si>
  <si>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</si>
  <si>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</si>
  <si>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</si>
  <si>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</si>
  <si>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</si>
  <si>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</si>
  <si>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</si>
  <si>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</si>
  <si>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</si>
  <si>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</si>
  <si>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</si>
  <si>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</si>
  <si>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</si>
  <si>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</si>
  <si>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</si>
  <si>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</si>
  <si>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</si>
  <si>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</si>
  <si>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</si>
  <si>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</si>
  <si>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</si>
  <si>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</si>
  <si>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</si>
  <si>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</si>
  <si>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</si>
  <si>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</si>
  <si>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</si>
  <si>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</si>
  <si>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</si>
  <si>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</si>
  <si>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</si>
  <si>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</si>
  <si>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</si>
  <si>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</si>
  <si>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</si>
  <si>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</si>
  <si>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</si>
  <si>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</si>
  <si>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</si>
  <si>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</si>
  <si>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</si>
  <si>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</si>
  <si>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</si>
  <si>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</si>
  <si>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</si>
  <si>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</si>
  <si>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</si>
  <si>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</si>
  <si>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</si>
  <si>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</si>
  <si>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</si>
  <si>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</si>
  <si>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</si>
  <si>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</si>
  <si>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</si>
  <si>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</si>
  <si>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</si>
  <si>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</si>
  <si>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</si>
  <si>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</si>
  <si>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</si>
  <si>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</si>
  <si>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</si>
  <si>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</si>
  <si>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</si>
  <si>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</si>
  <si>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</si>
  <si>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</si>
  <si>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</si>
  <si>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</si>
  <si>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</si>
  <si>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</si>
  <si>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</si>
  <si>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</si>
  <si>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</si>
  <si>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</si>
  <si>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</si>
  <si>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</si>
  <si>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</si>
  <si>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</si>
  <si>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</si>
  <si>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</si>
  <si>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</si>
  <si>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</si>
  <si>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</si>
  <si>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</si>
  <si>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</si>
  <si>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</si>
  <si>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</si>
  <si>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</si>
  <si>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</si>
  <si>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</si>
  <si>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</si>
  <si>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</si>
  <si>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</si>
  <si>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</si>
  <si>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</si>
  <si>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</si>
  <si>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</si>
  <si>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</si>
  <si>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</si>
  <si>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</si>
  <si>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</si>
  <si>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</si>
  <si>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</si>
  <si>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</si>
  <si>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</si>
  <si>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</si>
  <si>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</si>
  <si>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</si>
  <si>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</si>
  <si>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</si>
  <si>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</si>
  <si>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</si>
  <si>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</si>
  <si>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</si>
  <si>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</si>
  <si>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</si>
  <si>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</si>
  <si>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</si>
  <si>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</si>
  <si>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</si>
  <si>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</si>
  <si>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</si>
  <si>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</si>
  <si>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</si>
  <si>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</si>
  <si>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</si>
  <si>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</si>
  <si>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</si>
  <si>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</si>
  <si>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</si>
  <si>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</si>
  <si>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</si>
  <si>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</si>
  <si>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</si>
  <si>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</si>
  <si>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</si>
  <si>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</si>
  <si>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</si>
  <si>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</si>
  <si>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</si>
  <si>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</si>
  <si>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</si>
  <si>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</si>
  <si>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</si>
  <si>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</si>
  <si>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</si>
  <si>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</si>
  <si>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</si>
  <si>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</si>
  <si>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</si>
  <si>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</si>
  <si>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</si>
  <si>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</si>
  <si>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</si>
  <si>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</si>
  <si>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</si>
  <si>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</si>
  <si>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</si>
  <si>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</si>
  <si>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</si>
  <si>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</si>
  <si>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</si>
  <si>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</si>
  <si>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</si>
  <si>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</si>
  <si>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</si>
  <si>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</si>
  <si>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</si>
  <si>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</si>
  <si>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</si>
  <si>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</si>
  <si>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</si>
  <si>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</si>
  <si>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</si>
  <si>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</si>
  <si>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</si>
  <si>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</si>
  <si>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</si>
  <si>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</si>
  <si>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</si>
  <si>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</si>
  <si>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</si>
  <si>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</si>
  <si>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</si>
  <si>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</si>
  <si>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</si>
  <si>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</si>
  <si>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</si>
  <si>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</si>
  <si>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</si>
  <si>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</si>
  <si>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</si>
  <si>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</si>
  <si>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</si>
  <si>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</si>
  <si>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</si>
  <si>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</si>
  <si>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</si>
  <si>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</si>
  <si>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</si>
  <si>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</si>
  <si>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</si>
  <si>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</si>
  <si>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</si>
  <si>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</si>
  <si>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</si>
  <si>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</si>
  <si>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</si>
  <si>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</si>
  <si>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</si>
  <si>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</si>
  <si>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</si>
  <si>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</si>
  <si>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</si>
  <si>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</si>
  <si>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</si>
  <si>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</si>
  <si>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</si>
  <si>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</si>
  <si>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</si>
  <si>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</si>
  <si>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</si>
  <si>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CCN PROMO </t>
  </si>
  <si>
    <t>Indomie Chicken ® 4 in 1</t>
  </si>
  <si>
    <t>Salman</t>
  </si>
  <si>
    <t xml:space="preserve">Address: Askari </t>
  </si>
  <si>
    <t xml:space="preserve">Chalat Bakers </t>
  </si>
  <si>
    <t>Al Makkah Store</t>
  </si>
  <si>
    <t>Askari Store</t>
  </si>
  <si>
    <t>Food Rite Super Store</t>
  </si>
  <si>
    <t>Sohail Store</t>
  </si>
  <si>
    <t>Al Madina Store</t>
  </si>
  <si>
    <t>Touqeer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</si>
</sst>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513</v>
      </c>
      <c r="D13" s="166" t="s">
        <v>513</v>
      </c>
      <c r="E13" s="178" t="s">
        <v>514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4" workbookViewId="0">
      <selection activeCell="S6" sqref="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497</v>
      </c>
      <c r="F2" s="386"/>
      <c r="G2" s="386"/>
      <c r="H2" s="383" t="s">
        <v>515</v>
      </c>
      <c r="I2" s="383"/>
      <c r="J2" s="384"/>
      <c r="R2" s="380" t="s">
        <v>496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507</v>
      </c>
      <c r="F3" s="390"/>
      <c r="G3" s="390"/>
      <c r="H3" s="387">
        <v>46326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Chalat Bakers </v>
      </c>
      <c r="T3" s="301">
        <f>+'1'!P35</f>
        <v>6480.7228616186439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Makkah Store</v>
      </c>
      <c r="T4" s="301">
        <f>+'2'!P35</f>
        <v>1132.5257914194915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>Askari Store</v>
      </c>
      <c r="T5" s="301">
        <f>+'3'!P35</f>
        <v>11567.554142644069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492</v>
      </c>
      <c r="M6" s="348"/>
      <c r="N6" s="356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>Food Rite Super Store</v>
      </c>
      <c r="T6" s="301">
        <f>+'4'!P35</f>
        <v>10696.394140398308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Sohail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70</v>
      </c>
      <c r="I8" s="236">
        <f t="shared" ref="I8:I14" si="0">(G8*D8)*F8+H8*F8</f>
        <v>3672.375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293.78999999999996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128.53312500000001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3250.0518750000001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694.06779661016913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19.720598358050847</v>
      </c>
      <c r="P8" s="311">
        <f t="shared" ref="P8:P15" si="2">M8+N8+O8</f>
        <v>3963.8402699682201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 Madina Store</v>
      </c>
      <c r="T8" s="301">
        <f>+'6'!P35</f>
        <v>3048.6077450847456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Touqeer Store</v>
      </c>
      <c r="T9" s="301">
        <f>+'7'!P35</f>
        <v>1568.1057925423729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170</v>
      </c>
      <c r="I11" s="236">
        <f t="shared" si="0"/>
        <v>12348.8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1075.0719999999999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432.20800000000003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10841.519999999999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2333.898305084746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65.877091525423737</v>
      </c>
      <c r="P11" s="311">
        <f t="shared" si="2"/>
        <v>13241.295396610169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170</v>
      </c>
      <c r="I12" s="236">
        <f t="shared" si="0"/>
        <v>12348.8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987.90399999999988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432.20800000000003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10928.688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2333.8983050847464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66.312931525423721</v>
      </c>
      <c r="P12" s="311">
        <f t="shared" si="2"/>
        <v>13328.899236610172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513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30</v>
      </c>
      <c r="I14" s="236">
        <f t="shared" si="0"/>
        <v>4842.5999999999995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387.40800000000002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4455.1919999999991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915.25423728813507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26.852231186440683</v>
      </c>
      <c r="P14" s="311">
        <f t="shared" si="2"/>
        <v>5397.2984684745752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11.75</v>
      </c>
      <c r="H16" s="113">
        <f t="shared" ref="H16:M16" si="3">SUM(H7:H15)</f>
        <v>470</v>
      </c>
      <c r="I16" s="114">
        <f t="shared" si="3"/>
        <v>34786.449999999997</v>
      </c>
      <c r="J16" s="274">
        <f>SUM(J7:J15)</f>
        <v>2870.0839999999998</v>
      </c>
      <c r="K16" s="275">
        <f t="shared" si="3"/>
        <v>1048.03475</v>
      </c>
      <c r="L16" s="276">
        <f t="shared" si="3"/>
        <v>0</v>
      </c>
      <c r="M16" s="232">
        <f t="shared" si="3"/>
        <v>30868.331249999999</v>
      </c>
      <c r="N16" s="233">
        <f>SUM(N7:N15)</f>
        <v>6574.5762711864409</v>
      </c>
      <c r="O16" s="101">
        <f>SUM(O7:O15)</f>
        <v>187.21453760593221</v>
      </c>
      <c r="P16" s="113">
        <f>SUM(P7:P15)</f>
        <v>37630.122058792374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34786.449999999997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2870.0839999999998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1048.03475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30868.331249999999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6574.5762711864409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37442.90752118644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187.21453760593221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37630.122058792374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37630.122058792374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topLeftCell="A2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7.2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7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6</v>
      </c>
      <c r="I23" s="236">
        <f t="shared" si="0"/>
        <v>968.52</v>
      </c>
      <c r="J23" s="272">
        <f t="shared" si="1"/>
        <v>77.4816</v>
      </c>
      <c r="K23" s="128">
        <f t="shared" si="1"/>
        <v>0</v>
      </c>
      <c r="L23" s="119">
        <f t="shared" si="1"/>
        <v>0</v>
      </c>
      <c r="M23" s="230">
        <f t="shared" si="2"/>
        <v>891.03840000000002</v>
      </c>
      <c r="N23" s="277">
        <f t="shared" si="3"/>
        <v>183.05084745762701</v>
      </c>
      <c r="O23" s="239">
        <f t="shared" si="4"/>
        <v>5.3704462372881361</v>
      </c>
      <c r="P23" s="119">
        <f t="shared" si="5"/>
        <v>1079.4596936949154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86</v>
      </c>
      <c r="I25" s="114">
        <f t="shared" ref="I25:M25" si="10">SUM(I16:I24)</f>
        <v>5972.6200000000008</v>
      </c>
      <c r="J25" s="274">
        <f>SUM(J16:J24)</f>
        <v>477.80959999999999</v>
      </c>
      <c r="K25" s="275">
        <f t="shared" si="10"/>
        <v>175.14350000000002</v>
      </c>
      <c r="L25" s="276">
        <f t="shared" si="10"/>
        <v>0</v>
      </c>
      <c r="M25" s="232">
        <f t="shared" si="10"/>
        <v>5319.6669000000002</v>
      </c>
      <c r="N25" s="233">
        <f>SUM(N16:N24)</f>
        <v>1128.8135593220336</v>
      </c>
      <c r="O25" s="101">
        <f>SUM(O16:O24)</f>
        <v>32.242402296610166</v>
      </c>
      <c r="P25" s="234">
        <f>SUM(P16:P24)</f>
        <v>6480.7228616186449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5972.6200000000008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477.80959999999999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5319.6669000000011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1128.8135593220336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6448.4804593220342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32.242402296610173</v>
      </c>
    </row>
    <row r="35" spans="2:16" ht="15.75" customHeight="1" thickBot="1" x14ac:dyDescent="0.4">
      <c r="N35" s="374" t="s">
        <v>88</v>
      </c>
      <c r="O35" s="375"/>
      <c r="P35" s="297">
        <f>+P33+P34</f>
        <v>6480.7228616186439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1049.25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83.94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36.723750000000003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928.58624999999995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1126.8913347457626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74" t="s">
        <v>88</v>
      </c>
      <c r="O35" s="375"/>
      <c r="P35" s="297">
        <f>+P33+P34</f>
        <v>1132.5257914194915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60</v>
      </c>
      <c r="I20" s="236">
        <f t="shared" si="0"/>
        <v>4358.3999999999996</v>
      </c>
      <c r="J20" s="272">
        <f t="shared" si="1"/>
        <v>348.67199999999997</v>
      </c>
      <c r="K20" s="128">
        <f t="shared" si="1"/>
        <v>152.54400000000001</v>
      </c>
      <c r="L20" s="119">
        <f t="shared" si="1"/>
        <v>0</v>
      </c>
      <c r="M20" s="230">
        <f t="shared" si="2"/>
        <v>3857.1839999999997</v>
      </c>
      <c r="N20" s="277">
        <f t="shared" si="3"/>
        <v>823.72881355932213</v>
      </c>
      <c r="O20" s="239">
        <f t="shared" si="4"/>
        <v>23.40456406779661</v>
      </c>
      <c r="P20" s="119">
        <f t="shared" si="5"/>
        <v>4704.3173776271187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60</v>
      </c>
      <c r="I21" s="236">
        <f t="shared" si="0"/>
        <v>4358.3999999999996</v>
      </c>
      <c r="J21" s="272">
        <f t="shared" si="1"/>
        <v>348.67199999999997</v>
      </c>
      <c r="K21" s="128">
        <f t="shared" si="1"/>
        <v>152.54400000000001</v>
      </c>
      <c r="L21" s="119">
        <f t="shared" si="1"/>
        <v>0</v>
      </c>
      <c r="M21" s="230">
        <f t="shared" si="2"/>
        <v>3857.1839999999997</v>
      </c>
      <c r="N21" s="277">
        <f t="shared" si="3"/>
        <v>823.72881355932213</v>
      </c>
      <c r="O21" s="239">
        <f t="shared" si="4"/>
        <v>23.40456406779661</v>
      </c>
      <c r="P21" s="119">
        <f t="shared" si="5"/>
        <v>4704.3173776271187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154.9632</v>
      </c>
      <c r="K23" s="128">
        <f t="shared" si="1"/>
        <v>0</v>
      </c>
      <c r="L23" s="119">
        <f t="shared" si="1"/>
        <v>0</v>
      </c>
      <c r="M23" s="230">
        <f t="shared" si="2"/>
        <v>1782.0768</v>
      </c>
      <c r="N23" s="277">
        <f t="shared" si="3"/>
        <v>366.10169491525403</v>
      </c>
      <c r="O23" s="239">
        <f t="shared" si="4"/>
        <v>10.740892474576272</v>
      </c>
      <c r="P23" s="119">
        <f t="shared" si="5"/>
        <v>2158.9193873898307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132</v>
      </c>
      <c r="I25" s="114">
        <f t="shared" si="7"/>
        <v>10653.84</v>
      </c>
      <c r="J25" s="274">
        <f>SUM(J16:J24)</f>
        <v>852.30719999999997</v>
      </c>
      <c r="K25" s="275">
        <f t="shared" si="7"/>
        <v>305.08800000000002</v>
      </c>
      <c r="L25" s="276">
        <f t="shared" si="7"/>
        <v>0</v>
      </c>
      <c r="M25" s="232">
        <f t="shared" si="7"/>
        <v>9496.4447999999993</v>
      </c>
      <c r="N25" s="233">
        <f>SUM(N16:N24)</f>
        <v>2013.5593220338983</v>
      </c>
      <c r="O25" s="101">
        <f>SUM(O16:O24)</f>
        <v>57.55002061016949</v>
      </c>
      <c r="P25" s="234">
        <f>SUM(P16:P24)</f>
        <v>11567.554142644069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10653.84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852.30719999999997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9496.4448000000011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2013.5593220338983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11510.004122033899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57.550020610169497</v>
      </c>
    </row>
    <row r="35" spans="2:16" ht="15.75" customHeight="1" thickBot="1" x14ac:dyDescent="0.4">
      <c r="N35" s="374" t="s">
        <v>88</v>
      </c>
      <c r="O35" s="375"/>
      <c r="P35" s="297">
        <f>+P33+P34</f>
        <v>11567.554142644069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21" workbookViewId="0">
      <selection activeCell="R31" sqref="R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154.9632</v>
      </c>
      <c r="K23" s="128">
        <f t="shared" si="1"/>
        <v>0</v>
      </c>
      <c r="L23" s="119">
        <f t="shared" si="1"/>
        <v>0</v>
      </c>
      <c r="M23" s="230">
        <f t="shared" si="2"/>
        <v>1782.0768</v>
      </c>
      <c r="N23" s="277">
        <f t="shared" si="3"/>
        <v>366.10169491525403</v>
      </c>
      <c r="O23" s="239">
        <f t="shared" si="4"/>
        <v>10.740892474576272</v>
      </c>
      <c r="P23" s="119">
        <f t="shared" si="5"/>
        <v>2158.9193873898307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132</v>
      </c>
      <c r="I25" s="114">
        <f t="shared" si="7"/>
        <v>9846.7400000000016</v>
      </c>
      <c r="J25" s="274">
        <f>SUM(J16:J24)</f>
        <v>787.73919999999998</v>
      </c>
      <c r="K25" s="275">
        <f t="shared" si="7"/>
        <v>276.83950000000004</v>
      </c>
      <c r="L25" s="276">
        <f t="shared" si="7"/>
        <v>0</v>
      </c>
      <c r="M25" s="232">
        <f t="shared" si="7"/>
        <v>8782.1613000000016</v>
      </c>
      <c r="N25" s="233">
        <f>SUM(N16:N24)</f>
        <v>1861.0169491525421</v>
      </c>
      <c r="O25" s="101">
        <f>SUM(O16:O24)</f>
        <v>53.215891245762712</v>
      </c>
      <c r="P25" s="234">
        <f>SUM(P16:P24)</f>
        <v>10696.394140398306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9846.7400000000016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787.73919999999998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276.83950000000004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8782.1613000000016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1861.0169491525421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10643.178249152545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53.215891245762727</v>
      </c>
    </row>
    <row r="35" spans="2:16" ht="15.75" customHeight="1" thickBot="1" x14ac:dyDescent="0.4">
      <c r="N35" s="374" t="s">
        <v>88</v>
      </c>
      <c r="O35" s="375"/>
      <c r="P35" s="297">
        <f>+P33+P34</f>
        <v>10696.394140398308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319.61599999999999</v>
      </c>
      <c r="K25" s="275">
        <f t="shared" si="7"/>
        <v>101.69600000000001</v>
      </c>
      <c r="L25" s="276">
        <f t="shared" si="7"/>
        <v>0</v>
      </c>
      <c r="M25" s="232">
        <f t="shared" si="7"/>
        <v>2484.288</v>
      </c>
      <c r="N25" s="233">
        <f>SUM(N16:N24)</f>
        <v>549.15254237288138</v>
      </c>
      <c r="O25" s="101">
        <f>SUM(O16:O24)</f>
        <v>15.167202711864407</v>
      </c>
      <c r="P25" s="234">
        <f>SUM(P16:P24)</f>
        <v>3048.6077450847456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319.61599999999999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2484.288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3033.4405423728813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15.167202711864407</v>
      </c>
    </row>
    <row r="35" spans="2:16" ht="15.75" customHeight="1" thickBot="1" x14ac:dyDescent="0.4">
      <c r="N35" s="374" t="s">
        <v>88</v>
      </c>
      <c r="O35" s="375"/>
      <c r="P35" s="297">
        <f>+P33+P34</f>
        <v>3048.6077450847456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D10" sqref="D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D10" sqref="D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D10" sqref="D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D10" sqref="D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D10" sqref="D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D10" sqref="D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D10" sqref="D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D10" sqref="D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D10" sqref="D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D10" sqref="D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8.7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498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491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46325</v>
      </c>
      <c r="O5" s="394"/>
      <c r="P5" s="394"/>
      <c r="R5" s="85"/>
      <c r="S5" s="266"/>
    </row>
    <row r="6" spans="1:22 16383:16384" ht="15" customHeight="1" x14ac:dyDescent="0.4">
      <c r="A6" s="400" t="s">
        <v>511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504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504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492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 t="e">
        <f>I25</f>
        <v>#N/A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 t="e">
        <f>K25</f>
        <v>#N/A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 t="e">
        <f>J25</f>
        <v>#N/A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 t="e">
        <f>O28-O29-O30</f>
        <v>#N/A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 t="e">
        <f>O31+O32</f>
        <v>#N/A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74" t="s">
        <v>88</v>
      </c>
      <c r="N35" s="375"/>
      <c r="O35" s="141" t="e">
        <f>O28-O29+O31+O34</f>
        <v>#N/A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483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475</v>
      </c>
      <c r="D6" s="407"/>
      <c r="E6" s="407"/>
      <c r="F6" s="407"/>
      <c r="G6" s="407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483</v>
      </c>
      <c r="N7" s="403"/>
      <c r="O7" s="404"/>
      <c r="P7" s="256" t="s">
        <v>474</v>
      </c>
      <c r="Q7" s="242" t="s">
        <v>472</v>
      </c>
      <c r="R7" s="405" t="s">
        <v>474</v>
      </c>
      <c r="S7" s="405" t="s">
        <v>484</v>
      </c>
      <c r="T7" s="411" t="s">
        <v>485</v>
      </c>
      <c r="U7" s="411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476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483</v>
      </c>
      <c r="N13" s="403"/>
      <c r="O13" s="404"/>
      <c r="P13" s="256" t="s">
        <v>474</v>
      </c>
      <c r="Q13" s="242" t="s">
        <v>472</v>
      </c>
      <c r="R13" s="405" t="s">
        <v>474</v>
      </c>
      <c r="S13" s="405" t="s">
        <v>484</v>
      </c>
      <c r="T13" s="411" t="s">
        <v>485</v>
      </c>
      <c r="U13" s="411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477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483</v>
      </c>
      <c r="N20" s="403"/>
      <c r="O20" s="404"/>
      <c r="P20" s="256" t="s">
        <v>474</v>
      </c>
      <c r="Q20" s="242" t="s">
        <v>472</v>
      </c>
      <c r="R20" s="405" t="s">
        <v>474</v>
      </c>
      <c r="S20" s="405" t="s">
        <v>484</v>
      </c>
      <c r="T20" s="411" t="s">
        <v>485</v>
      </c>
      <c r="U20" s="411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478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483</v>
      </c>
      <c r="N27" s="403"/>
      <c r="O27" s="404"/>
      <c r="P27" s="256" t="s">
        <v>474</v>
      </c>
      <c r="Q27" s="242" t="s">
        <v>472</v>
      </c>
      <c r="R27" s="405" t="s">
        <v>474</v>
      </c>
      <c r="S27" s="405" t="s">
        <v>484</v>
      </c>
      <c r="T27" s="411" t="s">
        <v>485</v>
      </c>
      <c r="U27" s="411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483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2026-10-31T06:16:07Z</dcterms:modified>
</cp:coreProperties>
</file>