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C183C09-1634-446C-9347-F0F4C599BD5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B23" i="43" l="1"/>
  <c r="M13" i="6" l="1"/>
  <c r="K13" i="6" s="1"/>
  <c r="K48" i="11"/>
  <c r="M46" i="11"/>
  <c r="K46" i="11"/>
  <c r="H13" i="6"/>
  <c r="E23" i="11"/>
  <c r="D23" i="11"/>
  <c r="B23" i="11"/>
  <c r="C23" i="11" s="1"/>
  <c r="F23" i="11" l="1"/>
  <c r="J13" i="6"/>
  <c r="B14" i="62"/>
  <c r="H12" i="6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4" i="72"/>
  <c r="T24" i="72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4" i="71"/>
  <c r="T24" i="7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B24" i="70"/>
  <c r="C24" i="70" s="1"/>
  <c r="U24" i="70"/>
  <c r="T24" i="70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4" i="69"/>
  <c r="T24" i="69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O34" i="68"/>
  <c r="C11" i="68" s="1"/>
  <c r="H25" i="68"/>
  <c r="G25" i="68"/>
  <c r="A25" i="68"/>
  <c r="E24" i="68"/>
  <c r="V24" i="68" s="1"/>
  <c r="D24" i="68"/>
  <c r="B24" i="68"/>
  <c r="C24" i="68" s="1"/>
  <c r="U24" i="68"/>
  <c r="T24" i="68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O34" i="67"/>
  <c r="C11" i="67" s="1"/>
  <c r="H25" i="67"/>
  <c r="G25" i="67"/>
  <c r="A25" i="67"/>
  <c r="E24" i="67"/>
  <c r="V24" i="67" s="1"/>
  <c r="D24" i="67"/>
  <c r="B24" i="67"/>
  <c r="C24" i="67" s="1"/>
  <c r="U24" i="67"/>
  <c r="T24" i="67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O34" i="66"/>
  <c r="C11" i="66" s="1"/>
  <c r="H25" i="66"/>
  <c r="G25" i="66"/>
  <c r="A25" i="66"/>
  <c r="E24" i="66"/>
  <c r="V24" i="66" s="1"/>
  <c r="D24" i="66"/>
  <c r="B24" i="66"/>
  <c r="C24" i="66" s="1"/>
  <c r="U24" i="66"/>
  <c r="T24" i="66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4" i="65"/>
  <c r="T24" i="65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4" i="64"/>
  <c r="T24" i="64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66" l="1"/>
  <c r="N24" i="68"/>
  <c r="N24" i="70"/>
  <c r="N20" i="69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4" i="63"/>
  <c r="T24" i="63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C14" i="62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4" i="61"/>
  <c r="T24" i="6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E16" i="61"/>
  <c r="V16" i="61" s="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4" i="60"/>
  <c r="T24" i="60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4" i="59"/>
  <c r="T24" i="59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4" i="58"/>
  <c r="T24" i="58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C11" i="57" s="1"/>
  <c r="H25" i="57"/>
  <c r="G25" i="57"/>
  <c r="A25" i="57"/>
  <c r="E24" i="57"/>
  <c r="V24" i="57" s="1"/>
  <c r="D24" i="57"/>
  <c r="B24" i="57"/>
  <c r="C24" i="57" s="1"/>
  <c r="U24" i="57"/>
  <c r="T24" i="57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N5" i="57"/>
  <c r="O34" i="56"/>
  <c r="H25" i="56"/>
  <c r="G25" i="56"/>
  <c r="A25" i="56"/>
  <c r="E24" i="56"/>
  <c r="V24" i="56" s="1"/>
  <c r="D24" i="56"/>
  <c r="B24" i="56"/>
  <c r="C24" i="56" s="1"/>
  <c r="U24" i="56"/>
  <c r="T24" i="56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4" i="55"/>
  <c r="T24" i="55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4" i="54"/>
  <c r="T24" i="54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4" i="53"/>
  <c r="T24" i="53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4" i="52"/>
  <c r="T24" i="52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N5" i="52"/>
  <c r="O34" i="51"/>
  <c r="H25" i="51"/>
  <c r="G25" i="51"/>
  <c r="A25" i="51"/>
  <c r="E24" i="51"/>
  <c r="V24" i="51" s="1"/>
  <c r="D24" i="51"/>
  <c r="B24" i="51"/>
  <c r="C24" i="51" s="1"/>
  <c r="U24" i="51"/>
  <c r="T24" i="5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4" i="50"/>
  <c r="T24" i="50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4" i="49"/>
  <c r="T24" i="49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B24" i="48"/>
  <c r="C24" i="48" s="1"/>
  <c r="U24" i="48"/>
  <c r="T24" i="48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4" i="47"/>
  <c r="T24" i="47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B24" i="46"/>
  <c r="C24" i="46" s="1"/>
  <c r="U24" i="46"/>
  <c r="T24" i="46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4" i="45"/>
  <c r="T24" i="45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4" i="44"/>
  <c r="T24" i="44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4" i="43"/>
  <c r="T24" i="43"/>
  <c r="E23" i="43"/>
  <c r="V23" i="43" s="1"/>
  <c r="D23" i="43"/>
  <c r="C23" i="43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6" l="1"/>
  <c r="N24" i="48"/>
  <c r="N24" i="50"/>
  <c r="N16" i="44"/>
  <c r="N16" i="53"/>
  <c r="N16" i="48"/>
  <c r="N16" i="59"/>
  <c r="N16" i="50"/>
  <c r="N16" i="56"/>
  <c r="N16" i="58"/>
  <c r="N16" i="63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4" i="11"/>
  <c r="U24" i="1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L11" i="41"/>
  <c r="M12" i="41"/>
  <c r="N13" i="41"/>
  <c r="O13" i="41" s="1"/>
  <c r="P13" i="41" s="1"/>
  <c r="L16" i="41"/>
  <c r="M17" i="41"/>
  <c r="N18" i="41"/>
  <c r="L20" i="41"/>
  <c r="M21" i="41"/>
  <c r="N22" i="41"/>
  <c r="L24" i="41"/>
  <c r="M25" i="41"/>
  <c r="N26" i="41"/>
  <c r="M30" i="41"/>
  <c r="N31" i="41"/>
  <c r="M34" i="41"/>
  <c r="O34" i="41" s="1"/>
  <c r="P34" i="41" s="1"/>
  <c r="N35" i="41"/>
  <c r="M39" i="41"/>
  <c r="N40" i="41"/>
  <c r="M44" i="41"/>
  <c r="N46" i="41"/>
  <c r="M49" i="41"/>
  <c r="N50" i="41"/>
  <c r="N10" i="41"/>
  <c r="O10" i="41" s="1"/>
  <c r="P10" i="41" s="1"/>
  <c r="N23" i="41"/>
  <c r="N28" i="41"/>
  <c r="N47" i="41"/>
  <c r="O47" i="41" s="1"/>
  <c r="P47" i="41" s="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9" i="41"/>
  <c r="P49" i="41" s="1"/>
  <c r="O39" i="41"/>
  <c r="P39" i="41" s="1"/>
  <c r="O26" i="41"/>
  <c r="P26" i="41" s="1"/>
  <c r="O9" i="41"/>
  <c r="P9" i="41" s="1"/>
  <c r="O5" i="41"/>
  <c r="P5" i="41" s="1"/>
  <c r="O35" i="41"/>
  <c r="P3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V23" i="11"/>
  <c r="N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2" i="11"/>
  <c r="D21" i="11"/>
  <c r="D20" i="11"/>
  <c r="D19" i="11"/>
  <c r="D18" i="11"/>
  <c r="D17" i="11"/>
  <c r="D16" i="11"/>
  <c r="C16" i="11"/>
  <c r="B24" i="11"/>
  <c r="C24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AA12" i="6"/>
  <c r="M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K12" i="6" l="1"/>
  <c r="F22" i="47"/>
  <c r="N19" i="11"/>
  <c r="N10" i="62" s="1"/>
  <c r="N14" i="62"/>
  <c r="N18" i="11"/>
  <c r="N9" i="62" s="1"/>
  <c r="N22" i="11"/>
  <c r="N13" i="62" s="1"/>
  <c r="F16" i="11"/>
  <c r="I16" i="11" s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N20" i="11"/>
  <c r="N11" i="62" s="1"/>
  <c r="N24" i="11"/>
  <c r="N15" i="62" s="1"/>
  <c r="F18" i="11"/>
  <c r="I18" i="11" s="1"/>
  <c r="F22" i="11"/>
  <c r="I20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J12" i="6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4" l="1"/>
  <c r="O23" i="54" s="1"/>
  <c r="P23" i="54" s="1"/>
  <c r="M24" i="66"/>
  <c r="O24" i="66" s="1"/>
  <c r="P24" i="66" s="1"/>
  <c r="M24" i="71"/>
  <c r="M23" i="64"/>
  <c r="O23" i="64" s="1"/>
  <c r="P23" i="64" s="1"/>
  <c r="M23" i="53"/>
  <c r="O23" i="53" s="1"/>
  <c r="P23" i="53" s="1"/>
  <c r="M23" i="48"/>
  <c r="M23" i="66"/>
  <c r="M23" i="65"/>
  <c r="O23" i="65" s="1"/>
  <c r="P23" i="65" s="1"/>
  <c r="M23" i="61"/>
  <c r="O23" i="61" s="1"/>
  <c r="P23" i="61" s="1"/>
  <c r="M23" i="58"/>
  <c r="O23" i="58" s="1"/>
  <c r="P23" i="58" s="1"/>
  <c r="M23" i="56"/>
  <c r="M23" i="52"/>
  <c r="O23" i="52" s="1"/>
  <c r="P23" i="52" s="1"/>
  <c r="M23" i="49"/>
  <c r="O23" i="49" s="1"/>
  <c r="P23" i="49" s="1"/>
  <c r="M23" i="44"/>
  <c r="O23" i="44" s="1"/>
  <c r="P23" i="44" s="1"/>
  <c r="M22" i="51"/>
  <c r="O22" i="51" s="1"/>
  <c r="P22" i="51" s="1"/>
  <c r="M18" i="48"/>
  <c r="O18" i="48" s="1"/>
  <c r="P18" i="48" s="1"/>
  <c r="M22" i="56"/>
  <c r="O22" i="56" s="1"/>
  <c r="P22" i="56" s="1"/>
  <c r="M16" i="52"/>
  <c r="O16" i="52" s="1"/>
  <c r="P16" i="52" s="1"/>
  <c r="M22" i="70"/>
  <c r="O22" i="70" s="1"/>
  <c r="P22" i="70" s="1"/>
  <c r="M20" i="50"/>
  <c r="O20" i="50" s="1"/>
  <c r="P20" i="50" s="1"/>
  <c r="M24" i="56"/>
  <c r="O24" i="56" s="1"/>
  <c r="P24" i="56" s="1"/>
  <c r="M24" i="72"/>
  <c r="K15" i="62"/>
  <c r="M24" i="45"/>
  <c r="O24" i="45" s="1"/>
  <c r="P24" i="45" s="1"/>
  <c r="M20" i="43"/>
  <c r="O20" i="43" s="1"/>
  <c r="P20" i="43" s="1"/>
  <c r="M24" i="53"/>
  <c r="O24" i="53" s="1"/>
  <c r="P24" i="53" s="1"/>
  <c r="M24" i="65"/>
  <c r="O24" i="65" s="1"/>
  <c r="P24" i="65" s="1"/>
  <c r="M24" i="50"/>
  <c r="O24" i="50" s="1"/>
  <c r="P24" i="50" s="1"/>
  <c r="M24" i="47"/>
  <c r="O24" i="47" s="1"/>
  <c r="P24" i="47" s="1"/>
  <c r="M24" i="58"/>
  <c r="M24" i="43"/>
  <c r="O24" i="43" s="1"/>
  <c r="P24" i="43" s="1"/>
  <c r="M24" i="44"/>
  <c r="O24" i="44" s="1"/>
  <c r="P24" i="44" s="1"/>
  <c r="J15" i="62"/>
  <c r="M24" i="46"/>
  <c r="O24" i="46" s="1"/>
  <c r="P24" i="46" s="1"/>
  <c r="M24" i="63"/>
  <c r="O24" i="63" s="1"/>
  <c r="P24" i="63" s="1"/>
  <c r="M23" i="51"/>
  <c r="O23" i="51" s="1"/>
  <c r="P23" i="51" s="1"/>
  <c r="M20" i="61"/>
  <c r="O20" i="61" s="1"/>
  <c r="P20" i="61" s="1"/>
  <c r="K12" i="62"/>
  <c r="M20" i="71"/>
  <c r="O20" i="71" s="1"/>
  <c r="P20" i="71" s="1"/>
  <c r="M16" i="58"/>
  <c r="O16" i="58" s="1"/>
  <c r="P16" i="58" s="1"/>
  <c r="M16" i="43"/>
  <c r="O16" i="43" s="1"/>
  <c r="J7" i="62"/>
  <c r="L22" i="16"/>
  <c r="M22" i="16" s="1"/>
  <c r="N22" i="16" s="1"/>
  <c r="M21" i="43"/>
  <c r="O21" i="43" s="1"/>
  <c r="P21" i="43" s="1"/>
  <c r="M16" i="59"/>
  <c r="O16" i="59" s="1"/>
  <c r="P16" i="59" s="1"/>
  <c r="M20" i="48"/>
  <c r="O20" i="48" s="1"/>
  <c r="P20" i="48" s="1"/>
  <c r="L21" i="16"/>
  <c r="M21" i="16" s="1"/>
  <c r="N21" i="16" s="1"/>
  <c r="O21" i="16" s="1"/>
  <c r="M17" i="61"/>
  <c r="O17" i="61" s="1"/>
  <c r="P17" i="61" s="1"/>
  <c r="M22" i="67"/>
  <c r="O22" i="67" s="1"/>
  <c r="P22" i="67" s="1"/>
  <c r="M20" i="57"/>
  <c r="O20" i="57" s="1"/>
  <c r="P20" i="57" s="1"/>
  <c r="M20" i="53"/>
  <c r="O20" i="53" s="1"/>
  <c r="P20" i="53" s="1"/>
  <c r="M21" i="52"/>
  <c r="O21" i="52" s="1"/>
  <c r="P21" i="52" s="1"/>
  <c r="M22" i="52"/>
  <c r="O22" i="52" s="1"/>
  <c r="P22" i="52" s="1"/>
  <c r="M21" i="69"/>
  <c r="O21" i="69" s="1"/>
  <c r="P21" i="69" s="1"/>
  <c r="M23" i="60"/>
  <c r="O23" i="60" s="1"/>
  <c r="P23" i="60" s="1"/>
  <c r="J25" i="61"/>
  <c r="P29" i="61" s="1"/>
  <c r="M17" i="56"/>
  <c r="O17" i="56" s="1"/>
  <c r="P17" i="56" s="1"/>
  <c r="M17" i="44"/>
  <c r="O17" i="44" s="1"/>
  <c r="P17" i="44" s="1"/>
  <c r="M22" i="64"/>
  <c r="O22" i="64" s="1"/>
  <c r="P22" i="64" s="1"/>
  <c r="M20" i="47"/>
  <c r="O20" i="47" s="1"/>
  <c r="P20" i="47" s="1"/>
  <c r="M18" i="53"/>
  <c r="O18" i="53" s="1"/>
  <c r="P18" i="53" s="1"/>
  <c r="M21" i="44"/>
  <c r="O21" i="44" s="1"/>
  <c r="P21" i="44" s="1"/>
  <c r="M21" i="47"/>
  <c r="O21" i="47" s="1"/>
  <c r="P21" i="47" s="1"/>
  <c r="M20" i="70"/>
  <c r="O20" i="70" s="1"/>
  <c r="P20" i="70" s="1"/>
  <c r="M17" i="72"/>
  <c r="O17" i="72" s="1"/>
  <c r="P17" i="72" s="1"/>
  <c r="M16" i="64"/>
  <c r="O16" i="64" s="1"/>
  <c r="P16" i="64" s="1"/>
  <c r="M17" i="60"/>
  <c r="O17" i="60" s="1"/>
  <c r="P17" i="60" s="1"/>
  <c r="M22" i="43"/>
  <c r="O22" i="43" s="1"/>
  <c r="P22" i="43" s="1"/>
  <c r="M16" i="65"/>
  <c r="O16" i="65" s="1"/>
  <c r="M22" i="63"/>
  <c r="O22" i="63" s="1"/>
  <c r="P22" i="63" s="1"/>
  <c r="M16" i="60"/>
  <c r="O16" i="60" s="1"/>
  <c r="P16" i="60" s="1"/>
  <c r="M21" i="51"/>
  <c r="O21" i="51" s="1"/>
  <c r="P21" i="51" s="1"/>
  <c r="M23" i="72"/>
  <c r="O23" i="72" s="1"/>
  <c r="P23" i="72" s="1"/>
  <c r="M23" i="59"/>
  <c r="O23" i="59" s="1"/>
  <c r="P23" i="59" s="1"/>
  <c r="M16" i="66"/>
  <c r="O16" i="66" s="1"/>
  <c r="M16" i="44"/>
  <c r="O16" i="44" s="1"/>
  <c r="M16" i="48"/>
  <c r="O16" i="48" s="1"/>
  <c r="P16" i="48" s="1"/>
  <c r="L17" i="16"/>
  <c r="M17" i="16" s="1"/>
  <c r="N17" i="16" s="1"/>
  <c r="L20" i="16"/>
  <c r="M20" i="16" s="1"/>
  <c r="N20" i="16" s="1"/>
  <c r="O20" i="16" s="1"/>
  <c r="L23" i="16"/>
  <c r="M23" i="16" s="1"/>
  <c r="N23" i="16" s="1"/>
  <c r="M16" i="72"/>
  <c r="O16" i="72" s="1"/>
  <c r="P16" i="72" s="1"/>
  <c r="M18" i="67"/>
  <c r="O18" i="67" s="1"/>
  <c r="P18" i="67" s="1"/>
  <c r="M21" i="53"/>
  <c r="O21" i="53" s="1"/>
  <c r="P21" i="53" s="1"/>
  <c r="M21" i="68"/>
  <c r="O21" i="68" s="1"/>
  <c r="P21" i="68" s="1"/>
  <c r="M20" i="46"/>
  <c r="O20" i="46" s="1"/>
  <c r="P20" i="46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4" i="71"/>
  <c r="P24" i="71" s="1"/>
  <c r="O23" i="69"/>
  <c r="P23" i="69" s="1"/>
  <c r="O24" i="48"/>
  <c r="P24" i="48" s="1"/>
  <c r="O23" i="66"/>
  <c r="P23" i="66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L25" i="65"/>
  <c r="J25" i="44"/>
  <c r="P29" i="44" s="1"/>
  <c r="L25" i="57"/>
  <c r="K25" i="52"/>
  <c r="J25" i="54"/>
  <c r="P29" i="54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K25" i="16"/>
  <c r="O29" i="16" s="1"/>
  <c r="L19" i="16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4" i="16" l="1"/>
  <c r="M15" i="62"/>
  <c r="M12" i="62"/>
  <c r="P16" i="43"/>
  <c r="P25" i="43" s="1"/>
  <c r="P21" i="50"/>
  <c r="O31" i="16"/>
  <c r="O32" i="16" s="1"/>
  <c r="O33" i="16" s="1"/>
  <c r="O34" i="16" s="1"/>
  <c r="O35" i="16" s="1"/>
  <c r="O22" i="16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O25" i="64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 s="1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54"/>
  <c r="O25" i="70"/>
  <c r="O25" i="55"/>
  <c r="O15" i="62"/>
  <c r="P15" i="62" s="1"/>
  <c r="O25" i="52"/>
  <c r="O18" i="16"/>
  <c r="O25" i="48"/>
  <c r="P16" i="70"/>
  <c r="P25" i="70" s="1"/>
  <c r="P16" i="53"/>
  <c r="P25" i="53" s="1"/>
  <c r="P23" i="55"/>
  <c r="P25" i="55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M22" i="11"/>
  <c r="M23" i="11"/>
  <c r="J25" i="11"/>
  <c r="P29" i="11" s="1"/>
  <c r="M17" i="11"/>
  <c r="W12" i="6"/>
  <c r="Y12" i="6" s="1"/>
  <c r="T12" i="6"/>
  <c r="V11" i="6"/>
  <c r="X11" i="6" s="1"/>
  <c r="U13" i="6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J16" i="62" l="1"/>
  <c r="P20" i="62" s="1"/>
  <c r="P21" i="62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22" i="62" l="1"/>
  <c r="P24" i="62" s="1"/>
  <c r="P30" i="1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<sst xmlns="http://schemas.openxmlformats.org/spreadsheetml/2006/main" count="3948" uniqueCount="524">
  <si>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</si>
  <si>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</si>
  <si>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</si>
  <si>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</si>
  <si>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</si>
  <si>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</si>
  <si>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</si>
  <si>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</si>
  <si>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</si>
  <si>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</si>
  <si>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</si>
  <si>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</si>
  <si>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</si>
  <si>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</si>
  <si>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</si>
  <si>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</si>
  <si>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</si>
  <si>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</si>
  <si>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</si>
  <si>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</si>
  <si>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</si>
  <si>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</si>
  <si>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</si>
  <si>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</si>
  <si>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</si>
  <si>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</si>
  <si>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</si>
  <si>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</si>
  <si>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</si>
  <si>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</si>
  <si>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</si>
  <si>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</si>
  <si>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</si>
  <si>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</si>
  <si>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</si>
  <si>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</si>
  <si>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</si>
  <si>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</si>
  <si>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</si>
  <si>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</si>
  <si>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</si>
  <si>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</si>
  <si>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</si>
  <si>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</si>
  <si>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</si>
  <si>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</si>
  <si>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</si>
  <si>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</si>
  <si>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</si>
  <si>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</si>
  <si>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</si>
  <si>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</si>
  <si>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</si>
  <si>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</si>
  <si>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</si>
  <si>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</si>
  <si>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</si>
  <si>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</si>
  <si>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</si>
  <si>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</si>
  <si>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</si>
  <si>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</si>
  <si>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</si>
  <si>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</si>
  <si>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</si>
  <si>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</si>
  <si>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</si>
  <si>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</si>
  <si>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</si>
  <si>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</si>
  <si>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</si>
  <si>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</si>
  <si>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</si>
  <si>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</si>
  <si>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</si>
  <si>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</si>
  <si>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</si>
  <si>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</si>
  <si>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</si>
  <si>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</si>
  <si>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</si>
  <si>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</si>
  <si>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</si>
  <si>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</si>
  <si>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</si>
  <si>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</si>
  <si>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</si>
  <si>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</si>
  <si>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</si>
  <si>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</si>
  <si>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</si>
  <si>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</si>
  <si>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</si>
  <si>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</si>
  <si>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</si>
  <si>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</si>
  <si>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</si>
  <si>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</si>
  <si>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</si>
  <si>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</si>
  <si>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</si>
  <si>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</si>
  <si>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</si>
  <si>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</si>
  <si>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</si>
  <si>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</si>
  <si>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</si>
  <si>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</si>
  <si>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</si>
  <si>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</si>
  <si>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</si>
  <si>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</si>
  <si>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</si>
  <si>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</si>
  <si>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</si>
  <si>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</si>
  <si>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</si>
  <si>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</si>
  <si>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</si>
  <si>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</si>
  <si>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</si>
  <si>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</si>
  <si>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</si>
  <si>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</si>
  <si>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</si>
  <si>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</si>
  <si>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</si>
  <si>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</si>
  <si>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</si>
  <si>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</si>
  <si>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</si>
  <si>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</si>
  <si>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</si>
  <si>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</si>
  <si>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</si>
  <si>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</si>
  <si>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</si>
  <si>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</si>
  <si>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</si>
  <si>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</si>
  <si>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</si>
  <si>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</si>
  <si>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</si>
  <si>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</si>
  <si>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</si>
  <si>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</si>
  <si>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</si>
  <si>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</si>
  <si>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</si>
  <si>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</si>
  <si>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</si>
  <si>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</si>
  <si>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</si>
  <si>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</si>
  <si>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</si>
  <si>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</si>
  <si>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</si>
  <si>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</si>
  <si>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</si>
  <si>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</si>
  <si>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</si>
  <si>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</si>
  <si>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</si>
  <si>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</si>
  <si>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</si>
  <si>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</si>
  <si>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</si>
  <si>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</si>
  <si>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</si>
  <si>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</si>
  <si>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</si>
  <si>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</si>
  <si>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</si>
  <si>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</si>
  <si>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</si>
  <si>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</si>
  <si>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</si>
  <si>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</si>
  <si>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</si>
  <si>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</si>
  <si>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</si>
  <si>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</si>
  <si>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</si>
  <si>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</si>
  <si>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</si>
  <si>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</si>
  <si>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</si>
  <si>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</si>
  <si>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</si>
  <si>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</si>
  <si>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</si>
  <si>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</si>
  <si>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</si>
  <si>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</si>
  <si>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</si>
  <si>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</si>
  <si>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</si>
  <si>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</si>
  <si>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</si>
  <si>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</si>
  <si>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</si>
  <si>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</si>
  <si>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</si>
  <si>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</si>
  <si>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</si>
  <si>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</si>
  <si>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</si>
  <si>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</si>
  <si>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</si>
  <si>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</si>
  <si>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</si>
  <si>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</si>
  <si>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</si>
  <si>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</si>
  <si>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</si>
  <si>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</si>
  <si>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</si>
  <si>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</si>
  <si>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</si>
  <si>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</si>
  <si>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</si>
  <si>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</si>
  <si>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</si>
  <si>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</si>
  <si>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</si>
  <si>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</si>
  <si>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</si>
  <si>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</si>
  <si>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</si>
  <si>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</si>
  <si>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</si>
  <si>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</si>
  <si>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</si>
  <si>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</si>
  <si>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</si>
  <si>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</si>
  <si>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</si>
  <si>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</si>
  <si>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</si>
  <si>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</si>
  <si>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</si>
  <si>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</si>
  <si>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</si>
  <si>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</si>
  <si>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</si>
  <si>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</si>
  <si>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</si>
  <si>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</si>
  <si>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</si>
  <si>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</si>
  <si>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</si>
  <si>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</si>
  <si>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</si>
  <si>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</si>
  <si>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</si>
  <si>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</si>
  <si>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</si>
  <si>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</si>
  <si>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</si>
  <si>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</si>
  <si>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</si>
  <si>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</si>
  <si>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</si>
  <si>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</si>
  <si>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</si>
  <si>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</si>
  <si>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</si>
  <si>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</si>
  <si>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</si>
  <si>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</si>
  <si>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</si>
  <si>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</si>
  <si>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</si>
  <si>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</si>
  <si>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</si>
  <si>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</si>
  <si>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</si>
  <si>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</si>
  <si>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</si>
  <si>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</si>
  <si>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</si>
  <si>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</si>
  <si>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</si>
  <si>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</si>
  <si>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</si>
  <si>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</si>
  <si>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</si>
  <si>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</si>
  <si>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</si>
  <si>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</si>
  <si>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</si>
  <si>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</si>
  <si>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</si>
  <si>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</si>
  <si>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</si>
  <si>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</si>
  <si>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</si>
  <si>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</si>
  <si>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</si>
  <si>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</si>
  <si>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</si>
  <si>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</si>
  <si>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</si>
  <si>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</si>
  <si>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</si>
  <si>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</si>
  <si>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</si>
  <si>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</si>
  <si>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</si>
  <si>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</si>
  <si>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</si>
  <si>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</si>
  <si>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</si>
  <si>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</si>
  <si>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</si>
  <si>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</si>
  <si>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</si>
  <si>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</si>
  <si>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</si>
  <si>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</si>
  <si>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</si>
  <si>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</si>
  <si>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</si>
  <si>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</si>
  <si>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</si>
  <si>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</si>
  <si>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</si>
  <si>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</si>
  <si>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</si>
  <si>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</si>
  <si>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</si>
  <si>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</si>
  <si>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</si>
  <si>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</si>
  <si>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</si>
  <si>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</si>
  <si>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</si>
  <si>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</si>
  <si>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</si>
  <si>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</si>
  <si>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</si>
  <si>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</si>
  <si>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</si>
  <si>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</si>
  <si>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</si>
  <si>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</si>
  <si>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</si>
  <si>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</si>
  <si>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</si>
  <si>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</si>
  <si>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</si>
  <si>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</si>
  <si>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</si>
  <si>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</si>
  <si>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</si>
  <si>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</si>
  <si>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</si>
  <si>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</si>
  <si>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</si>
  <si>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</si>
  <si>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</si>
  <si>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</si>
  <si>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</si>
  <si>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</si>
  <si>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</si>
  <si>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</si>
  <si>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</si>
  <si>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</si>
  <si>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</si>
  <si>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</si>
  <si>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</si>
  <si>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</si>
  <si>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</si>
  <si>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</si>
  <si>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</si>
  <si>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</si>
  <si>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</si>
  <si>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</si>
  <si>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</si>
  <si>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</si>
  <si>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</si>
  <si>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</si>
  <si>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</si>
  <si>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</si>
  <si>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</si>
  <si>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</si>
  <si>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</si>
  <si>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</si>
  <si>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</si>
  <si>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</si>
  <si>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</si>
  <si>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</si>
  <si>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</si>
  <si>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</si>
  <si>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</si>
  <si>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</si>
  <si>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</si>
  <si>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</si>
  <si>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</si>
  <si>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</si>
  <si>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</si>
  <si>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</si>
  <si>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</si>
  <si>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</si>
  <si>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</si>
  <si>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</si>
  <si>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</si>
  <si>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</si>
  <si>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</si>
  <si>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</si>
  <si>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</si>
  <si>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</si>
  <si>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</si>
  <si>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</si>
  <si>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</si>
  <si>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</si>
  <si>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</si>
  <si>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</si>
  <si>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</si>
  <si>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</si>
  <si>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</si>
  <si>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</si>
  <si>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</si>
  <si>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</si>
  <si>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</si>
  <si>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</si>
  <si>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</si>
  <si>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</si>
  <si>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</si>
  <si>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</si>
  <si>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</si>
  <si>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</si>
  <si>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</si>
  <si>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</si>
  <si>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</si>
  <si>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</si>
  <si>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</si>
  <si>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</si>
  <si>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</si>
  <si>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</si>
  <si>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</si>
  <si>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</si>
  <si>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</si>
  <si>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</si>
  <si>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</si>
  <si>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</si>
  <si>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</si>
  <si>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</si>
  <si>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</si>
  <si>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</si>
  <si>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</si>
  <si>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</si>
  <si>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</si>
  <si>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</si>
  <si>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</si>
  <si>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</si>
  <si>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</si>
  <si>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</si>
  <si>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</si>
  <si>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</si>
  <si>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</si>
  <si>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</si>
  <si>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</si>
  <si>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</si>
  <si>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</si>
  <si>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</si>
  <si>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</si>
  <si>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</si>
  <si>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</si>
  <si>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</si>
  <si>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</si>
  <si>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</si>
  <si>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</si>
  <si>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</si>
  <si>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</si>
  <si>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</si>
  <si>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</si>
  <si>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</si>
  <si>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</si>
  <si>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</si>
  <si>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</si>
  <si>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</si>
  <si>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</si>
  <si>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</si>
  <si>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</si>
  <si>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</si>
  <si>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</si>
  <si>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</si>
  <si>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</si>
  <si>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</si>
  <si>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</si>
  <si>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</si>
  <si>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</si>
  <si>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</si>
  <si>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</si>
  <si>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</si>
  <si>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</si>
  <si>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</si>
  <si>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</si>
  <si>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</si>
  <si>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</si>
  <si>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</si>
  <si>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</si>
  <si>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</si>
  <si>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</si>
  <si>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</si>
  <si>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</si>
  <si>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</si>
  <si>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</si>
  <si>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</si>
  <si>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</si>
  <si>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</si>
  <si>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</si>
  <si>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CCN PROMO </t>
  </si>
  <si>
    <t>Indomie Chicken ® 4 in 1</t>
  </si>
  <si>
    <t>Salman</t>
  </si>
  <si>
    <t xml:space="preserve">Address: Askari </t>
  </si>
  <si>
    <t xml:space="preserve">Chalat Bakers </t>
  </si>
  <si>
    <t>Al Makkah Store</t>
  </si>
  <si>
    <t>Askari Store</t>
  </si>
  <si>
    <t>Food Rite Super Store</t>
  </si>
  <si>
    <t>Sohail Store</t>
  </si>
  <si>
    <t>Al Madina Store</t>
  </si>
  <si>
    <t>Touqeer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</si>
</sst>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R8" activePane="bottomRight" state="frozen"/>
      <selection activeCell="I11" sqref="I11"/>
      <selection pane="topRight" activeCell="I11" sqref="I11"/>
      <selection pane="bottomLeft" activeCell="I11" sqref="I11"/>
      <selection pane="bottomRight" activeCell="C15" sqref="C15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3" width="11.81640625" style="163" bestFit="1" customWidth="1"/>
    <col min="4" max="4" width="13.81640625" style="163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3.81640625" style="164" bestFit="1" customWidth="1"/>
    <col min="10" max="10" width="4.81640625" bestFit="1" customWidth="1"/>
    <col min="11" max="11" width="3.81640625" bestFit="1" customWidth="1"/>
    <col min="12" max="12" width="7.453125" bestFit="1" customWidth="1"/>
    <col min="13" max="13" width="6.453125" bestFit="1" customWidth="1"/>
    <col min="14" max="14" width="6.81640625" bestFit="1" customWidth="1"/>
    <col min="15" max="15" width="3.453125" bestFit="1" customWidth="1"/>
    <col min="16" max="16" width="3.26953125" bestFit="1" customWidth="1"/>
    <col min="17" max="17" width="3.453125" bestFit="1" customWidth="1"/>
    <col min="18" max="18" width="4.81640625" bestFit="1" customWidth="1"/>
    <col min="19" max="19" width="3.453125" bestFit="1" customWidth="1"/>
    <col min="20" max="20" width="7.453125" bestFit="1" customWidth="1"/>
    <col min="21" max="22" width="6.453125" bestFit="1" customWidth="1"/>
    <col min="23" max="23" width="5.453125" bestFit="1" customWidth="1"/>
    <col min="24" max="24" width="7.453125" bestFit="1" customWidth="1"/>
    <col min="25" max="25" width="6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457</v>
      </c>
      <c r="D6" s="166" t="s">
        <v>457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453</v>
      </c>
      <c r="D8" s="166" t="s">
        <v>453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463</v>
      </c>
      <c r="D9" s="166" t="s">
        <v>463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459</v>
      </c>
      <c r="D11" s="166" t="s">
        <v>459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513</v>
      </c>
      <c r="D13" s="166" t="s">
        <v>513</v>
      </c>
      <c r="E13" s="178" t="s">
        <v>514</v>
      </c>
      <c r="F13" s="179">
        <v>70</v>
      </c>
      <c r="G13" s="180">
        <v>12</v>
      </c>
      <c r="H13" s="180">
        <f t="shared" si="2"/>
        <v>2400</v>
      </c>
      <c r="I13" s="181">
        <v>200</v>
      </c>
      <c r="J13" s="181">
        <f t="shared" si="3"/>
        <v>2363.1887999999999</v>
      </c>
      <c r="K13" s="181">
        <f t="shared" si="12"/>
        <v>196.93239999999997</v>
      </c>
      <c r="L13" s="182">
        <v>1937.04</v>
      </c>
      <c r="M13" s="182">
        <f t="shared" si="4"/>
        <v>161.41999999999999</v>
      </c>
      <c r="N13" s="183">
        <v>0.12</v>
      </c>
      <c r="O13" s="184">
        <v>5.8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1867.4399999999996</v>
      </c>
      <c r="U13" s="182">
        <f t="shared" si="9"/>
        <v>155.61999999999998</v>
      </c>
      <c r="V13" s="182">
        <f t="shared" si="10"/>
        <v>336.1391999999999</v>
      </c>
      <c r="W13" s="182">
        <f t="shared" si="10"/>
        <v>28.011599999999994</v>
      </c>
      <c r="X13" s="182">
        <f t="shared" si="0"/>
        <v>2203.5791999999997</v>
      </c>
      <c r="Y13" s="182">
        <f t="shared" si="0"/>
        <v>183.63159999999996</v>
      </c>
      <c r="AA13" s="182">
        <f t="shared" si="1"/>
        <v>0.84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468</v>
      </c>
      <c r="D14" s="166" t="s">
        <v>468</v>
      </c>
      <c r="E14" s="178" t="s">
        <v>469</v>
      </c>
      <c r="F14" s="179">
        <v>60</v>
      </c>
      <c r="G14" s="180">
        <v>48</v>
      </c>
      <c r="H14" s="180">
        <f t="shared" si="2"/>
        <v>2400</v>
      </c>
      <c r="I14" s="181">
        <v>50</v>
      </c>
      <c r="J14" s="181">
        <f t="shared" si="3"/>
        <v>1914.424</v>
      </c>
      <c r="K14" s="181">
        <f t="shared" si="12"/>
        <v>39.883833333333335</v>
      </c>
      <c r="L14" s="182">
        <v>1569.2</v>
      </c>
      <c r="M14" s="182">
        <f t="shared" si="4"/>
        <v>32.69166666666667</v>
      </c>
      <c r="N14" s="183">
        <f t="shared" si="13"/>
        <v>0.12</v>
      </c>
      <c r="O14" s="184">
        <f t="shared" si="5"/>
        <v>3.923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1380.8960000000002</v>
      </c>
      <c r="U14" s="182">
        <f t="shared" si="9"/>
        <v>28.768666666666668</v>
      </c>
      <c r="V14" s="182">
        <f t="shared" si="10"/>
        <v>248.56128000000001</v>
      </c>
      <c r="W14" s="182">
        <f t="shared" si="10"/>
        <v>5.1783600000000005</v>
      </c>
      <c r="X14" s="182">
        <f t="shared" si="0"/>
        <v>1629.4572800000001</v>
      </c>
      <c r="Y14" s="182">
        <f t="shared" si="0"/>
        <v>33.947026666666666</v>
      </c>
      <c r="AA14" s="182">
        <f t="shared" si="1"/>
        <v>2.88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bestFit="1" customWidth="1"/>
    <col min="10" max="10" width="10.8164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5429687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497</v>
      </c>
      <c r="F2" s="357"/>
      <c r="G2" s="357"/>
      <c r="H2" s="354" t="s">
        <v>515</v>
      </c>
      <c r="I2" s="354"/>
      <c r="J2" s="355"/>
      <c r="R2" s="351" t="s">
        <v>496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507</v>
      </c>
      <c r="F3" s="361"/>
      <c r="G3" s="361"/>
      <c r="H3" s="358">
        <v>46326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Chalat Bakers </v>
      </c>
      <c r="T3" s="301">
        <f>+'1'!P35</f>
        <v>6480.7228616186439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Makkah Store</v>
      </c>
      <c r="T4" s="301">
        <f>+'2'!P35</f>
        <v>1132.5257914194915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494</v>
      </c>
      <c r="O5" s="103" t="s">
        <v>89</v>
      </c>
      <c r="P5" s="115" t="s">
        <v>56</v>
      </c>
      <c r="Q5" s="314" t="s">
        <v>506</v>
      </c>
      <c r="R5" s="313">
        <v>3</v>
      </c>
      <c r="S5" s="300" t="str">
        <f>+'3'!A6:A6</f>
        <v>Askari Store</v>
      </c>
      <c r="T5" s="301">
        <f>+'3'!P35</f>
        <v>11567.554142644069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493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492</v>
      </c>
      <c r="M6" s="363"/>
      <c r="N6" s="365"/>
      <c r="O6" s="228" t="e">
        <f>IF(#REF!="Filer",0.5%,2.5%)</f>
        <v>#REF!</v>
      </c>
      <c r="P6" s="111" t="s">
        <v>38</v>
      </c>
      <c r="Q6" s="314" t="s">
        <v>505</v>
      </c>
      <c r="R6" s="313">
        <v>4</v>
      </c>
      <c r="S6" s="300" t="str">
        <f>+'4'!A6:A6</f>
        <v>Food Rite Super Store</v>
      </c>
      <c r="T6" s="301">
        <f>+'4'!P35</f>
        <v>6698.512862180085</v>
      </c>
      <c r="XEX6" t="s">
        <v>72</v>
      </c>
    </row>
    <row r="7" spans="1:20 16377:16378" ht="21.75" customHeight="1" x14ac:dyDescent="0.35">
      <c r="A7" s="104" t="s">
        <v>457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30</v>
      </c>
      <c r="I7" s="235">
        <f>(G7*D7)*F7+H7*F7</f>
        <v>1573.875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125.91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55.085625000000007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1392.879375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297.45762711864393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8.45168501059322</v>
      </c>
      <c r="P7" s="310">
        <f>M7+N7+O7</f>
        <v>1698.7886871292369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Sohail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</v>
      </c>
      <c r="I8" s="236">
        <f t="shared" ref="I8:I14" si="0">(G8*D8)*F8+H8*F8</f>
        <v>3147.75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251.82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110.17125000000001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2785.75875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594.91525423728785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16.90337002118644</v>
      </c>
      <c r="P8" s="311">
        <f t="shared" ref="P8:P15" si="2">M8+N8+O8</f>
        <v>3397.5773742584738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Al Madina Store</v>
      </c>
      <c r="T8" s="301">
        <f>+'6'!P35</f>
        <v>3048.6077450847456</v>
      </c>
      <c r="XEX8" t="s">
        <v>108</v>
      </c>
    </row>
    <row r="9" spans="1:20 16377:16378" ht="21.75" customHeight="1" x14ac:dyDescent="0.35">
      <c r="A9" s="82" t="s">
        <v>453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Touqeer Store</v>
      </c>
      <c r="T9" s="301">
        <f>+'7'!P35</f>
        <v>1568.1057925423729</v>
      </c>
    </row>
    <row r="10" spans="1:20 16377:16378" ht="21.75" customHeight="1" x14ac:dyDescent="0.35">
      <c r="A10" s="82" t="s">
        <v>463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150</v>
      </c>
      <c r="I11" s="236">
        <f t="shared" si="0"/>
        <v>10896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958.84799999999996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381.36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9555.7919999999995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2059.3220338983056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58.075570169491527</v>
      </c>
      <c r="P11" s="311">
        <f t="shared" si="2"/>
        <v>11673.189604067797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459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929.79199999999992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406.78399999999999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10285.824000000001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62.412170847457631</v>
      </c>
      <c r="P12" s="311">
        <f t="shared" si="2"/>
        <v>12544.846340338985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513</v>
      </c>
      <c r="B14" s="307" t="str">
        <f>VLOOKUP($A14,'Cust. Price List'!$D$6:$O$14,2,0)</f>
        <v>Indomie Chicken ® 4 in 1</v>
      </c>
      <c r="C14" s="106">
        <f>VLOOKUP(B14,'Cust. Price List'!E13:P21,2,0)</f>
        <v>70</v>
      </c>
      <c r="D14" s="284">
        <f>VLOOKUP(A14,'Cust. Price List'!D13:M21,4,0)</f>
        <v>12</v>
      </c>
      <c r="E14" s="291">
        <f>VLOOKUP(A14,'Cust. Price List'!D13:M21,6,0)</f>
        <v>200</v>
      </c>
      <c r="F14" s="292">
        <f>VLOOKUP(A14,'Cust. Price List'!D13:M21,10,0)</f>
        <v>161.41999999999999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24</v>
      </c>
      <c r="I14" s="236">
        <f t="shared" si="0"/>
        <v>3874.08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309.9264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3564.1536000000001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732.20338983050806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21.481784949152544</v>
      </c>
      <c r="P14" s="311">
        <f t="shared" si="2"/>
        <v>4317.8387747796614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468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48</v>
      </c>
      <c r="E15" s="293">
        <f>VLOOKUP(A15,'Cust. Price List'!D14:M22,6,0)</f>
        <v>50</v>
      </c>
      <c r="F15" s="294">
        <f>VLOOKUP(A15,'Cust. Price List'!D14:M22,10,0)</f>
        <v>32.69166666666667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10.6</v>
      </c>
      <c r="H16" s="113">
        <f t="shared" ref="H16:M16" si="3">SUM(H7:H15)</f>
        <v>424</v>
      </c>
      <c r="I16" s="114">
        <f t="shared" si="3"/>
        <v>31114.105000000003</v>
      </c>
      <c r="J16" s="274">
        <f>SUM(J7:J15)</f>
        <v>2576.2963999999997</v>
      </c>
      <c r="K16" s="275">
        <f t="shared" si="3"/>
        <v>953.40087500000004</v>
      </c>
      <c r="L16" s="276">
        <f t="shared" si="3"/>
        <v>0</v>
      </c>
      <c r="M16" s="232">
        <f t="shared" si="3"/>
        <v>27584.407725000001</v>
      </c>
      <c r="N16" s="233">
        <f>SUM(N7:N15)</f>
        <v>5880.5084745762715</v>
      </c>
      <c r="O16" s="101">
        <f>SUM(O7:O15)</f>
        <v>167.32458099788136</v>
      </c>
      <c r="P16" s="113">
        <f>SUM(P7:P15)</f>
        <v>33632.240780574153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31114.105000000003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2576.2963999999997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953.40087500000004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27584.407725000005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5880.5084745762715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33464.916199576277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167.32458099788136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33632.24078057416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495</v>
      </c>
      <c r="T33" s="304">
        <f>SUM(T3:T32)</f>
        <v>33632.240780574153</v>
      </c>
    </row>
    <row r="44" spans="2:20" x14ac:dyDescent="0.35">
      <c r="B44" t="s">
        <v>499</v>
      </c>
    </row>
    <row r="45" spans="2:20" x14ac:dyDescent="0.35">
      <c r="B45" t="s">
        <v>500</v>
      </c>
    </row>
    <row r="46" spans="2:20" x14ac:dyDescent="0.35">
      <c r="B46" t="s">
        <v>501</v>
      </c>
    </row>
    <row r="47" spans="2:20" x14ac:dyDescent="0.35">
      <c r="B47" t="s">
        <v>502</v>
      </c>
    </row>
    <row r="48" spans="2:20" x14ac:dyDescent="0.35">
      <c r="B48" t="s">
        <v>503</v>
      </c>
    </row>
    <row r="49" spans="2:2" x14ac:dyDescent="0.35">
      <c r="B49" t="s">
        <v>508</v>
      </c>
    </row>
    <row r="50" spans="2:2" x14ac:dyDescent="0.35">
      <c r="B50" t="s">
        <v>510</v>
      </c>
    </row>
    <row r="51" spans="2:2" x14ac:dyDescent="0.35">
      <c r="B51" t="s">
        <v>509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48"/>
  <sheetViews>
    <sheetView topLeftCell="A21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9.453125" bestFit="1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7.2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17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</v>
      </c>
      <c r="I21" s="236">
        <f t="shared" si="7"/>
        <v>2179.1999999999998</v>
      </c>
      <c r="J21" s="272">
        <f t="shared" si="1"/>
        <v>174.33599999999998</v>
      </c>
      <c r="K21" s="128">
        <f t="shared" si="1"/>
        <v>76.272000000000006</v>
      </c>
      <c r="L21" s="119">
        <f t="shared" si="1"/>
        <v>0</v>
      </c>
      <c r="M21" s="230">
        <f t="shared" si="2"/>
        <v>1928.5919999999999</v>
      </c>
      <c r="N21" s="277">
        <f t="shared" si="3"/>
        <v>411.86440677966107</v>
      </c>
      <c r="O21" s="239">
        <f t="shared" si="4"/>
        <v>11.702282033898305</v>
      </c>
      <c r="P21" s="119">
        <f t="shared" si="5"/>
        <v>2352.1586888135594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0.08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>
        <v>6</v>
      </c>
      <c r="I23" s="236">
        <f t="shared" si="0"/>
        <v>968.52</v>
      </c>
      <c r="J23" s="272">
        <f t="shared" si="1"/>
        <v>77.4816</v>
      </c>
      <c r="K23" s="128">
        <f t="shared" si="1"/>
        <v>0</v>
      </c>
      <c r="L23" s="119">
        <f t="shared" si="1"/>
        <v>0</v>
      </c>
      <c r="M23" s="230">
        <f t="shared" si="2"/>
        <v>891.03840000000002</v>
      </c>
      <c r="N23" s="277">
        <f t="shared" si="3"/>
        <v>183.05084745762701</v>
      </c>
      <c r="O23" s="239">
        <f t="shared" si="4"/>
        <v>5.3704462372881361</v>
      </c>
      <c r="P23" s="119">
        <f t="shared" si="5"/>
        <v>1079.4596936949154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86</v>
      </c>
      <c r="I25" s="114">
        <f t="shared" ref="I25:M25" si="10">SUM(I16:I24)</f>
        <v>5972.6200000000008</v>
      </c>
      <c r="J25" s="274">
        <f>SUM(J16:J24)</f>
        <v>477.80959999999999</v>
      </c>
      <c r="K25" s="275">
        <f t="shared" si="10"/>
        <v>175.14350000000002</v>
      </c>
      <c r="L25" s="276">
        <f t="shared" si="10"/>
        <v>0</v>
      </c>
      <c r="M25" s="232">
        <f t="shared" si="10"/>
        <v>5319.6669000000002</v>
      </c>
      <c r="N25" s="233">
        <f>SUM(N16:N24)</f>
        <v>1128.8135593220336</v>
      </c>
      <c r="O25" s="101">
        <f>SUM(O16:O24)</f>
        <v>32.242402296610166</v>
      </c>
      <c r="P25" s="234">
        <f>SUM(P16:P24)</f>
        <v>6480.7228616186449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5972.6200000000008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477.80959999999999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5319.6669000000011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1128.8135593220336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6448.4804593220342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32.242402296610173</v>
      </c>
    </row>
    <row r="35" spans="2:16" ht="15.75" customHeight="1" thickBot="1" x14ac:dyDescent="0.4">
      <c r="N35" s="345" t="s">
        <v>88</v>
      </c>
      <c r="O35" s="346"/>
      <c r="P35" s="297">
        <f>+P33+P34</f>
        <v>6480.7228616186439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  <row r="46" spans="2:16" x14ac:dyDescent="0.35">
      <c r="H46">
        <v>161.41999999999999</v>
      </c>
      <c r="I46" s="131">
        <v>0.08</v>
      </c>
      <c r="J46" s="131"/>
      <c r="K46">
        <f>H46*I46</f>
        <v>12.913599999999999</v>
      </c>
      <c r="M46">
        <f>200*12</f>
        <v>2400</v>
      </c>
    </row>
    <row r="48" spans="2:16" x14ac:dyDescent="0.35">
      <c r="K48">
        <f>H46-K46</f>
        <v>148.50639999999999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8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60</v>
      </c>
      <c r="I20" s="236">
        <f t="shared" si="0"/>
        <v>4358.3999999999996</v>
      </c>
      <c r="J20" s="272">
        <f t="shared" si="1"/>
        <v>348.67199999999997</v>
      </c>
      <c r="K20" s="128">
        <f t="shared" si="1"/>
        <v>152.54400000000001</v>
      </c>
      <c r="L20" s="119">
        <f t="shared" si="1"/>
        <v>0</v>
      </c>
      <c r="M20" s="230">
        <f t="shared" si="2"/>
        <v>3857.1839999999997</v>
      </c>
      <c r="N20" s="277">
        <f t="shared" si="3"/>
        <v>823.72881355932213</v>
      </c>
      <c r="O20" s="239">
        <f t="shared" si="4"/>
        <v>23.40456406779661</v>
      </c>
      <c r="P20" s="119">
        <f t="shared" si="5"/>
        <v>4704.3173776271187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60</v>
      </c>
      <c r="I21" s="236">
        <f t="shared" si="0"/>
        <v>4358.3999999999996</v>
      </c>
      <c r="J21" s="272">
        <f t="shared" si="1"/>
        <v>348.67199999999997</v>
      </c>
      <c r="K21" s="128">
        <f t="shared" si="1"/>
        <v>152.54400000000001</v>
      </c>
      <c r="L21" s="119">
        <f t="shared" si="1"/>
        <v>0</v>
      </c>
      <c r="M21" s="230">
        <f t="shared" si="2"/>
        <v>3857.1839999999997</v>
      </c>
      <c r="N21" s="277">
        <f t="shared" si="3"/>
        <v>823.72881355932213</v>
      </c>
      <c r="O21" s="239">
        <f t="shared" si="4"/>
        <v>23.40456406779661</v>
      </c>
      <c r="P21" s="119">
        <f t="shared" si="5"/>
        <v>4704.3173776271187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>
        <v>12</v>
      </c>
      <c r="I23" s="236">
        <f t="shared" si="0"/>
        <v>1937.04</v>
      </c>
      <c r="J23" s="272">
        <f t="shared" si="1"/>
        <v>154.9632</v>
      </c>
      <c r="K23" s="128">
        <f t="shared" si="1"/>
        <v>0</v>
      </c>
      <c r="L23" s="119">
        <f t="shared" si="1"/>
        <v>0</v>
      </c>
      <c r="M23" s="230">
        <f t="shared" si="2"/>
        <v>1782.0768</v>
      </c>
      <c r="N23" s="277">
        <f t="shared" si="3"/>
        <v>366.10169491525403</v>
      </c>
      <c r="O23" s="239">
        <f t="shared" si="4"/>
        <v>10.740892474576272</v>
      </c>
      <c r="P23" s="119">
        <f t="shared" si="5"/>
        <v>2158.9193873898307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132</v>
      </c>
      <c r="I25" s="114">
        <f t="shared" si="7"/>
        <v>10653.84</v>
      </c>
      <c r="J25" s="274">
        <f>SUM(J16:J24)</f>
        <v>852.30719999999997</v>
      </c>
      <c r="K25" s="275">
        <f t="shared" si="7"/>
        <v>305.08800000000002</v>
      </c>
      <c r="L25" s="276">
        <f t="shared" si="7"/>
        <v>0</v>
      </c>
      <c r="M25" s="232">
        <f t="shared" si="7"/>
        <v>9496.4447999999993</v>
      </c>
      <c r="N25" s="233">
        <f>SUM(N16:N24)</f>
        <v>2013.5593220338983</v>
      </c>
      <c r="O25" s="101">
        <f>SUM(O16:O24)</f>
        <v>57.55002061016949</v>
      </c>
      <c r="P25" s="234">
        <f>SUM(P16:P24)</f>
        <v>11567.554142644069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10653.84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852.30719999999997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9496.4448000000011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2013.5593220338983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11510.004122033899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57.550020610169497</v>
      </c>
    </row>
    <row r="35" spans="2:16" ht="15.75" customHeight="1" thickBot="1" x14ac:dyDescent="0.4">
      <c r="N35" s="345" t="s">
        <v>88</v>
      </c>
      <c r="O35" s="346"/>
      <c r="P35" s="297">
        <f>+P33+P34</f>
        <v>11567.554142644069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125.91</v>
      </c>
      <c r="K17" s="128">
        <f>$I17*T17</f>
        <v>55.085625000000007</v>
      </c>
      <c r="L17" s="119">
        <f>$I17*U17</f>
        <v>0</v>
      </c>
      <c r="M17" s="230">
        <f t="shared" ref="M17:M24" si="2">I17-SUM(J17:L17)</f>
        <v>1392.879375</v>
      </c>
      <c r="N17" s="277">
        <f t="shared" ref="N17:N24" si="3">+(G17*D17+H17)*V17</f>
        <v>297.45762711864393</v>
      </c>
      <c r="O17" s="239">
        <f t="shared" ref="O17:O24" si="4">(N17+M17)*$O$15</f>
        <v>8.45168501059322</v>
      </c>
      <c r="P17" s="119">
        <f t="shared" ref="P17:P24" si="5">M17+N17+O17</f>
        <v>1698.7886871292369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</v>
      </c>
      <c r="I21" s="236">
        <f t="shared" si="0"/>
        <v>2179.1999999999998</v>
      </c>
      <c r="J21" s="272">
        <f t="shared" si="1"/>
        <v>174.33599999999998</v>
      </c>
      <c r="K21" s="128">
        <f t="shared" si="1"/>
        <v>76.272000000000006</v>
      </c>
      <c r="L21" s="119">
        <f t="shared" si="1"/>
        <v>0</v>
      </c>
      <c r="M21" s="230">
        <f t="shared" si="2"/>
        <v>1928.5919999999999</v>
      </c>
      <c r="N21" s="277">
        <f t="shared" si="3"/>
        <v>411.86440677966107</v>
      </c>
      <c r="O21" s="239">
        <f t="shared" si="4"/>
        <v>11.702282033898305</v>
      </c>
      <c r="P21" s="119">
        <f t="shared" si="5"/>
        <v>2352.1586888135594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>
        <v>6</v>
      </c>
      <c r="I23" s="236">
        <f t="shared" si="0"/>
        <v>968.52</v>
      </c>
      <c r="J23" s="272">
        <f t="shared" si="1"/>
        <v>77.4816</v>
      </c>
      <c r="K23" s="128">
        <f t="shared" si="1"/>
        <v>0</v>
      </c>
      <c r="L23" s="119">
        <f t="shared" si="1"/>
        <v>0</v>
      </c>
      <c r="M23" s="230">
        <f t="shared" si="2"/>
        <v>891.03840000000002</v>
      </c>
      <c r="N23" s="277">
        <f t="shared" si="3"/>
        <v>183.05084745762701</v>
      </c>
      <c r="O23" s="239">
        <f t="shared" si="4"/>
        <v>5.3704462372881361</v>
      </c>
      <c r="P23" s="119">
        <f t="shared" si="5"/>
        <v>1079.4596936949154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86</v>
      </c>
      <c r="I25" s="114">
        <f t="shared" si="7"/>
        <v>6174.3950000000004</v>
      </c>
      <c r="J25" s="274">
        <f>SUM(J16:J24)</f>
        <v>493.95160000000004</v>
      </c>
      <c r="K25" s="275">
        <f t="shared" si="7"/>
        <v>182.205625</v>
      </c>
      <c r="L25" s="276">
        <f t="shared" si="7"/>
        <v>0</v>
      </c>
      <c r="M25" s="232">
        <f t="shared" si="7"/>
        <v>5498.2377750000005</v>
      </c>
      <c r="N25" s="233">
        <f>SUM(N16:N24)</f>
        <v>1166.9491525423728</v>
      </c>
      <c r="O25" s="101">
        <f>SUM(O16:O24)</f>
        <v>33.325934637711867</v>
      </c>
      <c r="P25" s="234">
        <f>SUM(P16:P24)</f>
        <v>6698.5128621800841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6174.3950000000004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493.95160000000004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182.205625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5498.2377750000005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1166.9491525423728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6665.1869275423733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33.325934637711867</v>
      </c>
    </row>
    <row r="35" spans="2:16" ht="15.75" customHeight="1" thickBot="1" x14ac:dyDescent="0.4">
      <c r="N35" s="345" t="s">
        <v>88</v>
      </c>
      <c r="O35" s="346"/>
      <c r="P35" s="297">
        <f>+P33+P34</f>
        <v>6698.512862180085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11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</v>
      </c>
      <c r="I21" s="236">
        <f t="shared" si="0"/>
        <v>2179.1999999999998</v>
      </c>
      <c r="J21" s="272">
        <f t="shared" si="1"/>
        <v>174.33599999999998</v>
      </c>
      <c r="K21" s="128">
        <f t="shared" si="1"/>
        <v>76.272000000000006</v>
      </c>
      <c r="L21" s="119">
        <f t="shared" si="1"/>
        <v>0</v>
      </c>
      <c r="M21" s="230">
        <f t="shared" si="2"/>
        <v>1928.5919999999999</v>
      </c>
      <c r="N21" s="277">
        <f t="shared" si="3"/>
        <v>411.86440677966107</v>
      </c>
      <c r="O21" s="239">
        <f t="shared" si="4"/>
        <v>11.702282033898305</v>
      </c>
      <c r="P21" s="119">
        <f t="shared" si="5"/>
        <v>2352.1586888135594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319.61599999999999</v>
      </c>
      <c r="K20" s="128">
        <f t="shared" si="1"/>
        <v>101.69600000000001</v>
      </c>
      <c r="L20" s="119">
        <f t="shared" si="1"/>
        <v>0</v>
      </c>
      <c r="M20" s="230">
        <f t="shared" si="2"/>
        <v>2484.288</v>
      </c>
      <c r="N20" s="277">
        <f t="shared" si="3"/>
        <v>549.15254237288138</v>
      </c>
      <c r="O20" s="239">
        <f t="shared" si="4"/>
        <v>15.167202711864407</v>
      </c>
      <c r="P20" s="119">
        <f t="shared" si="5"/>
        <v>3048.6077450847456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319.61599999999999</v>
      </c>
      <c r="K25" s="275">
        <f t="shared" si="7"/>
        <v>101.69600000000001</v>
      </c>
      <c r="L25" s="276">
        <f t="shared" si="7"/>
        <v>0</v>
      </c>
      <c r="M25" s="232">
        <f t="shared" si="7"/>
        <v>2484.288</v>
      </c>
      <c r="N25" s="233">
        <f>SUM(N16:N24)</f>
        <v>549.15254237288138</v>
      </c>
      <c r="O25" s="101">
        <f>SUM(O16:O24)</f>
        <v>15.167202711864407</v>
      </c>
      <c r="P25" s="234">
        <f>SUM(P16:P24)</f>
        <v>3048.6077450847456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319.61599999999999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2484.288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3033.4405423728813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15.167202711864407</v>
      </c>
    </row>
    <row r="35" spans="2:16" ht="15.75" customHeight="1" thickBot="1" x14ac:dyDescent="0.4">
      <c r="N35" s="345" t="s">
        <v>88</v>
      </c>
      <c r="O35" s="346"/>
      <c r="P35" s="297">
        <f>+P33+P34</f>
        <v>3048.6077450847456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D10" sqref="D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8.7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1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46325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513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>
        <v>0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46326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46325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479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480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>Chicken Chatkhara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 xml:space="preserve">Meat Masala </v>
      </c>
      <c r="C18" s="106" t="e">
        <f>VLOOKUP(B18,'Cust. Price List'!E8:P16,2,0)</f>
        <v>#N/A</v>
      </c>
      <c r="D18" s="92" t="e">
        <f>VLOOKUP(A18,'Cust. Price List'!D8:M16,4,0)</f>
        <v>#N/A</v>
      </c>
      <c r="E18" s="92" t="e">
        <f>VLOOKUP(A18,'Cust. Price List'!D8:M16,6,0)</f>
        <v>#N/A</v>
      </c>
      <c r="F18" s="263" t="e">
        <f>VLOOKUP(A18,'Cust. Price List'!D8:M16,10,0)</f>
        <v>#N/A</v>
      </c>
      <c r="G18" s="83"/>
      <c r="H18" s="96"/>
      <c r="I18" s="236" t="e">
        <f t="shared" si="4"/>
        <v>#N/A</v>
      </c>
      <c r="J18" s="128" t="e">
        <f t="shared" si="0"/>
        <v>#N/A</v>
      </c>
      <c r="K18" s="119" t="e">
        <f t="shared" si="1"/>
        <v>#N/A</v>
      </c>
      <c r="L18" s="230" t="e">
        <f t="shared" si="2"/>
        <v>#N/A</v>
      </c>
      <c r="M18" s="230" t="e">
        <f t="shared" si="5"/>
        <v>#N/A</v>
      </c>
      <c r="N18" s="239" t="e">
        <f t="shared" si="6"/>
        <v>#N/A</v>
      </c>
      <c r="O18" s="119" t="e">
        <f t="shared" si="3"/>
        <v>#N/A</v>
      </c>
    </row>
    <row r="19" spans="1:18 16383:16383" x14ac:dyDescent="0.35">
      <c r="A19" s="82" t="s">
        <v>459</v>
      </c>
      <c r="B19" s="109" t="str">
        <f>VLOOKUP($A19,'Cust. Price List'!$D$6:$O$14,2,0)</f>
        <v>Chicken Chatkhara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Meat Masala (Jumbo)</v>
      </c>
      <c r="C21" s="106" t="e">
        <f>VLOOKUP(B21,'Cust. Price List'!E11:P19,2,0)</f>
        <v>#N/A</v>
      </c>
      <c r="D21" s="92" t="e">
        <f>VLOOKUP(A21,'Cust. Price List'!D11:M19,4,0)</f>
        <v>#N/A</v>
      </c>
      <c r="E21" s="92" t="e">
        <f>VLOOKUP(A21,'Cust. Price List'!D11:M19,6,0)</f>
        <v>#N/A</v>
      </c>
      <c r="F21" s="263" t="e">
        <f>VLOOKUP(A21,'Cust. Price List'!D11:M19,10,0)</f>
        <v>#N/A</v>
      </c>
      <c r="G21" s="83"/>
      <c r="H21" s="96"/>
      <c r="I21" s="236" t="e">
        <f t="shared" si="4"/>
        <v>#N/A</v>
      </c>
      <c r="J21" s="128" t="e">
        <f t="shared" si="0"/>
        <v>#N/A</v>
      </c>
      <c r="K21" s="119" t="e">
        <f t="shared" si="1"/>
        <v>#N/A</v>
      </c>
      <c r="L21" s="230" t="e">
        <f t="shared" si="2"/>
        <v>#N/A</v>
      </c>
      <c r="M21" s="230" t="e">
        <f t="shared" si="5"/>
        <v>#N/A</v>
      </c>
      <c r="N21" s="239" t="e">
        <f t="shared" si="6"/>
        <v>#N/A</v>
      </c>
      <c r="O21" s="119" t="e">
        <f t="shared" si="3"/>
        <v>#N/A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e">
        <f>VLOOKUP($A23,'Cust. Price List'!$D$6:$O$14,2,0)</f>
        <v>#N/A</v>
      </c>
      <c r="C23" s="106" t="e">
        <f>VLOOKUP(B23,'Cust. Price List'!E13:P21,2,0)</f>
        <v>#N/A</v>
      </c>
      <c r="D23" s="92" t="e">
        <f>VLOOKUP(A23,'Cust. Price List'!D13:M21,4,0)</f>
        <v>#N/A</v>
      </c>
      <c r="E23" s="92" t="e">
        <f>VLOOKUP(A23,'Cust. Price List'!D13:M21,6,0)</f>
        <v>#N/A</v>
      </c>
      <c r="F23" s="263" t="e">
        <f>VLOOKUP(A23,'Cust. Price List'!D13:M21,10,0)</f>
        <v>#N/A</v>
      </c>
      <c r="G23" s="83"/>
      <c r="H23" s="96"/>
      <c r="I23" s="236" t="e">
        <f t="shared" si="4"/>
        <v>#N/A</v>
      </c>
      <c r="J23" s="128" t="e">
        <f t="shared" si="0"/>
        <v>#N/A</v>
      </c>
      <c r="K23" s="119" t="e">
        <f t="shared" si="1"/>
        <v>#N/A</v>
      </c>
      <c r="L23" s="230" t="e">
        <f t="shared" si="2"/>
        <v>#N/A</v>
      </c>
      <c r="M23" s="230" t="e">
        <f t="shared" si="5"/>
        <v>#N/A</v>
      </c>
      <c r="N23" s="239" t="e">
        <f t="shared" si="6"/>
        <v>#N/A</v>
      </c>
      <c r="O23" s="119" t="e">
        <f t="shared" si="3"/>
        <v>#N/A</v>
      </c>
    </row>
    <row r="24" spans="1:18 16383:16383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48</v>
      </c>
      <c r="E24" s="98">
        <f>VLOOKUP(A24,'Cust. Price List'!D14:M22,6,0)</f>
        <v>50</v>
      </c>
      <c r="F24" s="264">
        <f>VLOOKUP(A24,'Cust. Price List'!D14:M22,10,0)</f>
        <v>32.69166666666667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 t="e">
        <f t="shared" si="7"/>
        <v>#N/A</v>
      </c>
      <c r="J25" s="101" t="e">
        <f t="shared" si="7"/>
        <v>#N/A</v>
      </c>
      <c r="K25" s="102" t="e">
        <f t="shared" si="7"/>
        <v>#N/A</v>
      </c>
      <c r="L25" s="232" t="e">
        <f t="shared" si="7"/>
        <v>#N/A</v>
      </c>
      <c r="M25" s="233" t="e">
        <f>SUM(M16:M24)</f>
        <v>#N/A</v>
      </c>
      <c r="N25" s="101" t="e">
        <f>SUM(N16:N24)</f>
        <v>#N/A</v>
      </c>
      <c r="O25" s="234" t="e">
        <f>SUM(O16:O24)</f>
        <v>#N/A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 t="e">
        <f>I25</f>
        <v>#N/A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 t="e">
        <f>K25</f>
        <v>#N/A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 t="e">
        <f>J25</f>
        <v>#N/A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 t="e">
        <f>O28-O29-O30</f>
        <v>#N/A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 t="e">
        <f>N32*O31</f>
        <v>#N/A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 t="e">
        <f>O31+O32</f>
        <v>#N/A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 t="e">
        <f>N34*O33</f>
        <v>#N/A</v>
      </c>
    </row>
    <row r="35" spans="2:15" ht="15.75" customHeight="1" thickBot="1" x14ac:dyDescent="0.4">
      <c r="M35" s="345" t="s">
        <v>88</v>
      </c>
      <c r="N35" s="346"/>
      <c r="O35" s="141" t="e">
        <f>O28-O29+O31+O34</f>
        <v>#N/A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483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470</v>
      </c>
      <c r="N2" s="242" t="s">
        <v>481</v>
      </c>
      <c r="O2" s="242" t="s">
        <v>482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475</v>
      </c>
      <c r="D6" s="409"/>
      <c r="E6" s="409"/>
      <c r="F6" s="409"/>
      <c r="G6" s="409"/>
      <c r="T6" s="257" t="s">
        <v>486</v>
      </c>
      <c r="U6" s="257" t="s">
        <v>487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483</v>
      </c>
      <c r="N7" s="407"/>
      <c r="O7" s="408"/>
      <c r="P7" s="256" t="s">
        <v>474</v>
      </c>
      <c r="Q7" s="242" t="s">
        <v>472</v>
      </c>
      <c r="R7" s="404" t="s">
        <v>474</v>
      </c>
      <c r="S7" s="404" t="s">
        <v>484</v>
      </c>
      <c r="T7" s="402" t="s">
        <v>485</v>
      </c>
      <c r="U7" s="402" t="s">
        <v>485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470</v>
      </c>
      <c r="N8" s="242" t="s">
        <v>481</v>
      </c>
      <c r="O8" s="242" t="s">
        <v>482</v>
      </c>
      <c r="P8" s="242" t="s">
        <v>471</v>
      </c>
      <c r="Q8" s="242" t="s">
        <v>473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476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483</v>
      </c>
      <c r="N13" s="407"/>
      <c r="O13" s="408"/>
      <c r="P13" s="256" t="s">
        <v>474</v>
      </c>
      <c r="Q13" s="242" t="s">
        <v>472</v>
      </c>
      <c r="R13" s="404" t="s">
        <v>474</v>
      </c>
      <c r="S13" s="404" t="s">
        <v>484</v>
      </c>
      <c r="T13" s="402" t="s">
        <v>485</v>
      </c>
      <c r="U13" s="402" t="s">
        <v>485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470</v>
      </c>
      <c r="N14" s="242" t="s">
        <v>481</v>
      </c>
      <c r="O14" s="242" t="s">
        <v>482</v>
      </c>
      <c r="P14" s="242" t="s">
        <v>471</v>
      </c>
      <c r="Q14" s="242" t="s">
        <v>473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477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483</v>
      </c>
      <c r="N20" s="407"/>
      <c r="O20" s="408"/>
      <c r="P20" s="256" t="s">
        <v>474</v>
      </c>
      <c r="Q20" s="242" t="s">
        <v>472</v>
      </c>
      <c r="R20" s="404" t="s">
        <v>474</v>
      </c>
      <c r="S20" s="404" t="s">
        <v>484</v>
      </c>
      <c r="T20" s="402" t="s">
        <v>485</v>
      </c>
      <c r="U20" s="402" t="s">
        <v>485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470</v>
      </c>
      <c r="N21" s="242" t="s">
        <v>481</v>
      </c>
      <c r="O21" s="242" t="s">
        <v>482</v>
      </c>
      <c r="P21" s="242" t="s">
        <v>488</v>
      </c>
      <c r="Q21" s="242" t="s">
        <v>473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478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483</v>
      </c>
      <c r="N27" s="407"/>
      <c r="O27" s="408"/>
      <c r="P27" s="256" t="s">
        <v>474</v>
      </c>
      <c r="Q27" s="242" t="s">
        <v>472</v>
      </c>
      <c r="R27" s="404" t="s">
        <v>474</v>
      </c>
      <c r="S27" s="404" t="s">
        <v>484</v>
      </c>
      <c r="T27" s="402" t="s">
        <v>485</v>
      </c>
      <c r="U27" s="402" t="s">
        <v>485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470</v>
      </c>
      <c r="N28" s="242" t="s">
        <v>481</v>
      </c>
      <c r="O28" s="242" t="s">
        <v>482</v>
      </c>
      <c r="P28" s="242" t="s">
        <v>488</v>
      </c>
      <c r="Q28" s="242" t="s">
        <v>473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483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470</v>
      </c>
      <c r="M2" s="242" t="s">
        <v>481</v>
      </c>
      <c r="N2" s="242" t="s">
        <v>482</v>
      </c>
      <c r="P2" s="242" t="s">
        <v>489</v>
      </c>
      <c r="Q2" s="259" t="s">
        <v>490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2026-10-30T11:49:36Z</dcterms:modified>
</cp:coreProperties>
</file>