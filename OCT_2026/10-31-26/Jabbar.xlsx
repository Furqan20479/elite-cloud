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89CC99F-2123-4AF9-8403-7E9BE1A8210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<sst xmlns="http://schemas.openxmlformats.org/spreadsheetml/2006/main" count="3948" uniqueCount="526">
  <si>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</si>
  <si>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</si>
  <si>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</si>
  <si>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</si>
  <si>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</si>
  <si>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</si>
  <si>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</si>
  <si>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</si>
  <si>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</si>
  <si>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</si>
  <si>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</si>
  <si>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</si>
  <si>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</si>
  <si>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</si>
  <si>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</si>
  <si>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</si>
  <si>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</si>
  <si>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</si>
  <si>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</si>
  <si>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</si>
  <si>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</si>
  <si>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</si>
  <si>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</si>
  <si>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</si>
  <si>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</si>
  <si>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</si>
  <si>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</si>
  <si>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</si>
  <si>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</si>
  <si>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</si>
  <si>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</si>
  <si>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</si>
  <si>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</si>
  <si>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</si>
  <si>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</si>
  <si>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</si>
  <si>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</si>
  <si>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</si>
  <si>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</si>
  <si>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</si>
  <si>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</si>
  <si>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</si>
  <si>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</si>
  <si>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</si>
  <si>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</si>
  <si>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</si>
  <si>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</si>
  <si>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</si>
  <si>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</si>
  <si>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</si>
  <si>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</si>
  <si>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</si>
  <si>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</si>
  <si>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</si>
  <si>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</si>
  <si>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</si>
  <si>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</si>
  <si>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</si>
  <si>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</si>
  <si>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</si>
  <si>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</si>
  <si>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</si>
  <si>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</si>
  <si>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</si>
  <si>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</si>
  <si>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</si>
  <si>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</si>
  <si>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</si>
  <si>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</si>
  <si>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</si>
  <si>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</si>
  <si>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</si>
  <si>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</si>
  <si>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</si>
  <si>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</si>
  <si>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</si>
  <si>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</si>
  <si>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</si>
  <si>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</si>
  <si>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</si>
  <si>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</si>
  <si>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</si>
  <si>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</si>
  <si>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</si>
  <si>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</si>
  <si>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</si>
  <si>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</si>
  <si>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</si>
  <si>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</si>
  <si>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</si>
  <si>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</si>
  <si>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</si>
  <si>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</si>
  <si>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</si>
  <si>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</si>
  <si>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</si>
  <si>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</si>
  <si>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</si>
  <si>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</si>
  <si>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</si>
  <si>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</si>
  <si>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</si>
  <si>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</si>
  <si>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</si>
  <si>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</si>
  <si>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</si>
  <si>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</si>
  <si>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</si>
  <si>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</si>
  <si>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</si>
  <si>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</si>
  <si>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</si>
  <si>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</si>
  <si>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</si>
  <si>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</si>
  <si>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</si>
  <si>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</si>
  <si>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</si>
  <si>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</si>
  <si>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</si>
  <si>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</si>
  <si>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</si>
  <si>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</si>
  <si>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</si>
  <si>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</si>
  <si>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</si>
  <si>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</si>
  <si>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</si>
  <si>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</si>
  <si>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</si>
  <si>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</si>
  <si>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</si>
  <si>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</si>
  <si>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</si>
  <si>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</si>
  <si>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</si>
  <si>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</si>
  <si>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</si>
  <si>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</si>
  <si>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</si>
  <si>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</si>
  <si>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</si>
  <si>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</si>
  <si>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</si>
  <si>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</si>
  <si>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</si>
  <si>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</si>
  <si>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</si>
  <si>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</si>
  <si>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</si>
  <si>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</si>
  <si>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</si>
  <si>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</si>
  <si>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</si>
  <si>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</si>
  <si>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</si>
  <si>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</si>
  <si>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</si>
  <si>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</si>
  <si>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</si>
  <si>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</si>
  <si>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</si>
  <si>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</si>
  <si>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</si>
  <si>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</si>
  <si>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</si>
  <si>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</si>
  <si>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</si>
  <si>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</si>
  <si>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</si>
  <si>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</si>
  <si>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</si>
  <si>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</si>
  <si>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</si>
  <si>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</si>
  <si>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</si>
  <si>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</si>
  <si>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</si>
  <si>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</si>
  <si>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</si>
  <si>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</si>
  <si>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</si>
  <si>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</si>
  <si>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</si>
  <si>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</si>
  <si>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</si>
  <si>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</si>
  <si>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</si>
  <si>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</si>
  <si>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</si>
  <si>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</si>
  <si>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</si>
  <si>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</si>
  <si>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</si>
  <si>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</si>
  <si>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</si>
  <si>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</si>
  <si>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</si>
  <si>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</si>
  <si>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</si>
  <si>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</si>
  <si>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</si>
  <si>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</si>
  <si>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</si>
  <si>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</si>
  <si>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</si>
  <si>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</si>
  <si>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</si>
  <si>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</si>
  <si>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</si>
  <si>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</si>
  <si>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</si>
  <si>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</si>
  <si>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</si>
  <si>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</si>
  <si>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</si>
  <si>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</si>
  <si>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</si>
  <si>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</si>
  <si>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</si>
  <si>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</si>
  <si>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</si>
  <si>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</si>
  <si>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</si>
  <si>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</si>
  <si>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</si>
  <si>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</si>
  <si>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</si>
  <si>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</si>
  <si>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</si>
  <si>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</si>
  <si>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</si>
  <si>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</si>
  <si>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</si>
  <si>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</si>
  <si>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</si>
  <si>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</si>
  <si>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</si>
  <si>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</si>
  <si>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</si>
  <si>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</si>
  <si>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</si>
  <si>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</si>
  <si>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</si>
  <si>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</si>
  <si>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</si>
  <si>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</si>
  <si>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</si>
  <si>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</si>
  <si>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</si>
  <si>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</si>
  <si>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</si>
  <si>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</si>
  <si>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</si>
  <si>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</si>
  <si>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</si>
  <si>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</si>
  <si>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</si>
  <si>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</si>
  <si>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</si>
  <si>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</si>
  <si>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</si>
  <si>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</si>
  <si>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</si>
  <si>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</si>
  <si>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</si>
  <si>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</si>
  <si>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</si>
  <si>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</si>
  <si>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</si>
  <si>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</si>
  <si>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</si>
  <si>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</si>
  <si>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</si>
  <si>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</si>
  <si>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</si>
  <si>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</si>
  <si>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</si>
  <si>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</si>
  <si>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</si>
  <si>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</si>
  <si>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</si>
  <si>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</si>
  <si>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</si>
  <si>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</si>
  <si>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</si>
  <si>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</si>
  <si>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</si>
  <si>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</si>
  <si>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</si>
  <si>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</si>
  <si>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</si>
  <si>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</si>
  <si>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</si>
  <si>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</si>
  <si>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</si>
  <si>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</si>
  <si>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</si>
  <si>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</si>
  <si>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</si>
  <si>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</si>
  <si>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</si>
  <si>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</si>
  <si>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</si>
  <si>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</si>
  <si>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</si>
  <si>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</si>
  <si>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</si>
  <si>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</si>
  <si>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</si>
  <si>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</si>
  <si>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</si>
  <si>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</si>
  <si>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</si>
  <si>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</si>
  <si>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</si>
  <si>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</si>
  <si>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</si>
  <si>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</si>
  <si>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</si>
  <si>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</si>
  <si>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</si>
  <si>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</si>
  <si>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</si>
  <si>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</si>
  <si>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</si>
  <si>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</si>
  <si>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</si>
  <si>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</si>
  <si>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</si>
  <si>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</si>
  <si>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</si>
  <si>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</si>
  <si>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</si>
  <si>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</si>
  <si>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</si>
  <si>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</si>
  <si>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</si>
  <si>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</si>
  <si>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</si>
  <si>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</si>
  <si>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</si>
  <si>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</si>
  <si>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</si>
  <si>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</si>
  <si>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</si>
  <si>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</si>
  <si>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</si>
  <si>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</si>
  <si>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</si>
  <si>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</si>
  <si>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</si>
  <si>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</si>
  <si>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</si>
  <si>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</si>
  <si>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</si>
  <si>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</si>
  <si>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</si>
  <si>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</si>
  <si>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</si>
  <si>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</si>
  <si>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</si>
  <si>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</si>
  <si>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</si>
  <si>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</si>
  <si>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</si>
  <si>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</si>
  <si>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</si>
  <si>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</si>
  <si>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</si>
  <si>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</si>
  <si>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</si>
  <si>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</si>
  <si>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</si>
  <si>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</si>
  <si>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</si>
  <si>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</si>
  <si>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</si>
  <si>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</si>
  <si>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</si>
  <si>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</si>
  <si>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</si>
  <si>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</si>
  <si>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</si>
  <si>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</si>
  <si>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</si>
  <si>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</si>
  <si>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</si>
  <si>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</si>
  <si>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</si>
  <si>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</si>
  <si>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</si>
  <si>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</si>
  <si>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</si>
  <si>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</si>
  <si>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</si>
  <si>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</si>
  <si>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</si>
  <si>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</si>
  <si>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</si>
  <si>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</si>
  <si>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</si>
  <si>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</si>
  <si>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</si>
  <si>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</si>
  <si>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</si>
  <si>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</si>
  <si>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</si>
  <si>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</si>
  <si>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</si>
  <si>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</si>
  <si>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</si>
  <si>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</si>
  <si>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</si>
  <si>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</si>
  <si>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</si>
  <si>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</si>
  <si>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</si>
  <si>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</si>
  <si>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</si>
  <si>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</si>
  <si>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</si>
  <si>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</si>
  <si>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</si>
  <si>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</si>
  <si>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</si>
  <si>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</si>
  <si>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</si>
  <si>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</si>
  <si>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</si>
  <si>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</si>
  <si>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</si>
  <si>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</si>
  <si>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</si>
  <si>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</si>
  <si>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</si>
  <si>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</si>
  <si>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</si>
  <si>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</si>
  <si>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</si>
  <si>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</si>
  <si>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</si>
  <si>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</si>
  <si>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</si>
  <si>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</si>
  <si>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</si>
  <si>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</si>
  <si>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</si>
  <si>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</si>
  <si>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</si>
  <si>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</si>
  <si>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</si>
  <si>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</si>
  <si>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</si>
  <si>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</si>
  <si>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</si>
  <si>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</si>
  <si>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</si>
  <si>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</si>
  <si>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</si>
  <si>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</si>
  <si>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</si>
  <si>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</si>
  <si>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</si>
  <si>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</si>
  <si>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</si>
  <si>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</si>
  <si>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</si>
  <si>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</si>
  <si>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</si>
  <si>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</si>
  <si>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</si>
  <si>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</si>
  <si>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</si>
  <si>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</si>
  <si>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</si>
  <si>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</si>
  <si>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</si>
  <si>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</si>
  <si>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</si>
  <si>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</si>
  <si>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</si>
  <si>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</si>
  <si>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</si>
  <si>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</si>
  <si>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</si>
  <si>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</si>
  <si>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</si>
  <si>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</si>
  <si>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</si>
  <si>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</si>
  <si>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</si>
  <si>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</si>
  <si>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</si>
  <si>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</si>
  <si>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</si>
  <si>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</si>
  <si>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</si>
  <si>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</si>
  <si>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</si>
  <si>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</si>
  <si>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</si>
  <si>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</si>
  <si>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</si>
  <si>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</si>
  <si>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</si>
  <si>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</si>
  <si>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</si>
  <si>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</si>
  <si>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</si>
  <si>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</si>
  <si>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</si>
  <si>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</si>
  <si>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CCN PROMO </t>
  </si>
  <si>
    <t>Indomie Chicken ® 4 in 1</t>
  </si>
  <si>
    <t>Jabbar</t>
  </si>
  <si>
    <t>New Data Store</t>
  </si>
  <si>
    <t>Address: Shadman</t>
  </si>
  <si>
    <t>Shazad Store</t>
  </si>
  <si>
    <t>Address: Mozang</t>
  </si>
  <si>
    <t>Ch Store</t>
  </si>
  <si>
    <t xml:space="preserve">Address: Lawrance </t>
  </si>
  <si>
    <t>Khalid Store</t>
  </si>
  <si>
    <t>Bilal Book Dipot</t>
  </si>
  <si>
    <t>Lawrance Store</t>
  </si>
  <si>
    <t>Address: Lawrance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</si>
</sst>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513</v>
      </c>
      <c r="D13" s="166" t="s">
        <v>513</v>
      </c>
      <c r="E13" s="178" t="s">
        <v>514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1" workbookViewId="0">
      <selection activeCell="Q35" sqref="Q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497</v>
      </c>
      <c r="F2" s="357"/>
      <c r="G2" s="357"/>
      <c r="H2" s="354" t="s">
        <v>515</v>
      </c>
      <c r="I2" s="354"/>
      <c r="J2" s="355"/>
      <c r="R2" s="351" t="s">
        <v>496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507</v>
      </c>
      <c r="F3" s="361"/>
      <c r="G3" s="361"/>
      <c r="H3" s="358">
        <v>46326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New Data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Shazad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>Ch Store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492</v>
      </c>
      <c r="M6" s="363"/>
      <c r="N6" s="365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>Khalid Store</v>
      </c>
      <c r="T6" s="301">
        <f>+'4'!P35</f>
        <v>6155.6180501694917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Bilal Book Dipot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311">
        <f t="shared" ref="P8:P15" si="2">M8+N8+O8</f>
        <v>3397.5773742584738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Lawrance Store</v>
      </c>
      <c r="T8" s="301">
        <f>+'6'!P35</f>
        <v>3397.5773742584738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3156.2080000000001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19.213243389830509</v>
      </c>
      <c r="P11" s="311">
        <f t="shared" si="2"/>
        <v>3861.8619213559323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130</v>
      </c>
      <c r="I12" s="236">
        <f t="shared" si="0"/>
        <v>9443.2000000000007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813.56799999999998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330.512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8299.1200000000008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1784.7457627118645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50.419328813559325</v>
      </c>
      <c r="P12" s="311">
        <f t="shared" si="2"/>
        <v>10134.285091525424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513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</v>
      </c>
      <c r="H16" s="113">
        <f t="shared" ref="H16:M16" si="3">SUM(H7:H15)</f>
        <v>280</v>
      </c>
      <c r="I16" s="114">
        <f t="shared" si="3"/>
        <v>18321.45</v>
      </c>
      <c r="J16" s="274">
        <f>SUM(J7:J15)</f>
        <v>1581.94</v>
      </c>
      <c r="K16" s="275">
        <f t="shared" si="3"/>
        <v>641.25075000000004</v>
      </c>
      <c r="L16" s="276">
        <f t="shared" si="3"/>
        <v>0</v>
      </c>
      <c r="M16" s="232">
        <f t="shared" si="3"/>
        <v>16098.259250000001</v>
      </c>
      <c r="N16" s="233">
        <f>SUM(N7:N15)</f>
        <v>3462.7118644067796</v>
      </c>
      <c r="O16" s="101">
        <f>SUM(O7:O15)</f>
        <v>97.804855572033901</v>
      </c>
      <c r="P16" s="113">
        <f>SUM(P7:P15)</f>
        <v>19658.775969978815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18321.45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1581.94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641.25075000000004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16098.259250000003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3462.7118644067796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19560.971114406784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97.804855572033901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19658.775969978818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19658.775969978811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topLeftCell="A2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B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581.12</v>
      </c>
      <c r="K25" s="275">
        <f t="shared" si="7"/>
        <v>203.39200000000002</v>
      </c>
      <c r="L25" s="276">
        <f t="shared" si="7"/>
        <v>0</v>
      </c>
      <c r="M25" s="232">
        <f t="shared" si="7"/>
        <v>5026.6880000000001</v>
      </c>
      <c r="N25" s="233">
        <f>SUM(N16:N24)</f>
        <v>1098.3050847457628</v>
      </c>
      <c r="O25" s="101">
        <f>SUM(O16:O24)</f>
        <v>30.624965423728813</v>
      </c>
      <c r="P25" s="234">
        <f>SUM(P16:P24)</f>
        <v>6155.6180501694917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581.12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5026.6880000000001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6124.9930847457626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30.624965423728813</v>
      </c>
    </row>
    <row r="35" spans="2:16" ht="15.75" customHeight="1" thickBot="1" x14ac:dyDescent="0.4">
      <c r="N35" s="345" t="s">
        <v>88</v>
      </c>
      <c r="O35" s="346"/>
      <c r="P35" s="297">
        <f>+P33+P34</f>
        <v>6155.6180501694917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3147.75</v>
      </c>
      <c r="J25" s="274">
        <f>SUM(J16:J24)</f>
        <v>251.82</v>
      </c>
      <c r="K25" s="275">
        <f t="shared" si="7"/>
        <v>110.17125000000001</v>
      </c>
      <c r="L25" s="276">
        <f t="shared" si="7"/>
        <v>0</v>
      </c>
      <c r="M25" s="232">
        <f t="shared" si="7"/>
        <v>2785.75875</v>
      </c>
      <c r="N25" s="233">
        <f>SUM(N16:N24)</f>
        <v>594.91525423728785</v>
      </c>
      <c r="O25" s="101">
        <f>SUM(O16:O24)</f>
        <v>16.90337002118644</v>
      </c>
      <c r="P25" s="234">
        <f>SUM(P16:P24)</f>
        <v>3397.5773742584743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3147.75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251.82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110.17125000000001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2785.75875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594.91525423728785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3380.6740042372876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16.90337002118644</v>
      </c>
    </row>
    <row r="35" spans="2:16" ht="15.75" customHeight="1" thickBot="1" x14ac:dyDescent="0.4">
      <c r="N35" s="345" t="s">
        <v>88</v>
      </c>
      <c r="O35" s="346"/>
      <c r="P35" s="297">
        <f>+P33+P34</f>
        <v>3397.5773742584738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8.7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 t="e">
        <f>I25</f>
        <v>#N/A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 t="e">
        <f>K25</f>
        <v>#N/A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 t="e">
        <f>J25</f>
        <v>#N/A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 t="e">
        <f>O28-O29-O30</f>
        <v>#N/A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 t="e">
        <f>O31+O32</f>
        <v>#N/A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45" t="s">
        <v>88</v>
      </c>
      <c r="N35" s="346"/>
      <c r="O35" s="141" t="e">
        <f>O28-O29+O31+O34</f>
        <v>#N/A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483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475</v>
      </c>
      <c r="D6" s="409"/>
      <c r="E6" s="409"/>
      <c r="F6" s="409"/>
      <c r="G6" s="409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483</v>
      </c>
      <c r="N7" s="407"/>
      <c r="O7" s="408"/>
      <c r="P7" s="256" t="s">
        <v>474</v>
      </c>
      <c r="Q7" s="242" t="s">
        <v>472</v>
      </c>
      <c r="R7" s="404" t="s">
        <v>474</v>
      </c>
      <c r="S7" s="404" t="s">
        <v>484</v>
      </c>
      <c r="T7" s="402" t="s">
        <v>485</v>
      </c>
      <c r="U7" s="402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476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483</v>
      </c>
      <c r="N13" s="407"/>
      <c r="O13" s="408"/>
      <c r="P13" s="256" t="s">
        <v>474</v>
      </c>
      <c r="Q13" s="242" t="s">
        <v>472</v>
      </c>
      <c r="R13" s="404" t="s">
        <v>474</v>
      </c>
      <c r="S13" s="404" t="s">
        <v>484</v>
      </c>
      <c r="T13" s="402" t="s">
        <v>485</v>
      </c>
      <c r="U13" s="402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477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483</v>
      </c>
      <c r="N20" s="407"/>
      <c r="O20" s="408"/>
      <c r="P20" s="256" t="s">
        <v>474</v>
      </c>
      <c r="Q20" s="242" t="s">
        <v>472</v>
      </c>
      <c r="R20" s="404" t="s">
        <v>474</v>
      </c>
      <c r="S20" s="404" t="s">
        <v>484</v>
      </c>
      <c r="T20" s="402" t="s">
        <v>485</v>
      </c>
      <c r="U20" s="402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478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483</v>
      </c>
      <c r="N27" s="407"/>
      <c r="O27" s="408"/>
      <c r="P27" s="256" t="s">
        <v>474</v>
      </c>
      <c r="Q27" s="242" t="s">
        <v>472</v>
      </c>
      <c r="R27" s="404" t="s">
        <v>474</v>
      </c>
      <c r="S27" s="404" t="s">
        <v>484</v>
      </c>
      <c r="T27" s="402" t="s">
        <v>485</v>
      </c>
      <c r="U27" s="402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483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2026-10-30T11:05:55Z</dcterms:modified>
</cp:coreProperties>
</file>