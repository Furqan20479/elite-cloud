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31C309F-C4D2-4290-9649-5374CE54F16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<sst xmlns="http://schemas.openxmlformats.org/spreadsheetml/2006/main" count="3948" uniqueCount="520">
  <si>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</si>
  <si>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</si>
  <si>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</si>
  <si>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</si>
  <si>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</si>
  <si>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</si>
  <si>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</si>
  <si>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</si>
  <si>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</si>
  <si>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</si>
  <si>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</si>
  <si>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</si>
  <si>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</si>
  <si>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</si>
  <si>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</si>
  <si>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</si>
  <si>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</si>
  <si>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</si>
  <si>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</si>
  <si>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</si>
  <si>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</si>
  <si>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</si>
  <si>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</si>
  <si>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</si>
  <si>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</si>
  <si>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</si>
  <si>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</si>
  <si>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</si>
  <si>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</si>
  <si>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</si>
  <si>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</si>
  <si>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</si>
  <si>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</si>
  <si>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</si>
  <si>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</si>
  <si>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</si>
  <si>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</si>
  <si>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</si>
  <si>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</si>
  <si>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</si>
  <si>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</si>
  <si>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</si>
  <si>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</si>
  <si>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</si>
  <si>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</si>
  <si>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</si>
  <si>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</si>
  <si>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</si>
  <si>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</si>
  <si>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</si>
  <si>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</si>
  <si>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</si>
  <si>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</si>
  <si>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</si>
  <si>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</si>
  <si>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</si>
  <si>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</si>
  <si>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</si>
  <si>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</si>
  <si>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</si>
  <si>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</si>
  <si>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</si>
  <si>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</si>
  <si>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</si>
  <si>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</si>
  <si>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</si>
  <si>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</si>
  <si>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</si>
  <si>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</si>
  <si>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</si>
  <si>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</si>
  <si>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</si>
  <si>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</si>
  <si>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</si>
  <si>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</si>
  <si>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</si>
  <si>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</si>
  <si>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</si>
  <si>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</si>
  <si>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</si>
  <si>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</si>
  <si>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</si>
  <si>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</si>
  <si>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</si>
  <si>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</si>
  <si>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</si>
  <si>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</si>
  <si>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</si>
  <si>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</si>
  <si>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</si>
  <si>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</si>
  <si>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</si>
  <si>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</si>
  <si>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</si>
  <si>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</si>
  <si>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</si>
  <si>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</si>
  <si>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</si>
  <si>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</si>
  <si>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</si>
  <si>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</si>
  <si>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</si>
  <si>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</si>
  <si>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</si>
  <si>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</si>
  <si>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</si>
  <si>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</si>
  <si>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</si>
  <si>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</si>
  <si>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</si>
  <si>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</si>
  <si>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</si>
  <si>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</si>
  <si>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</si>
  <si>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</si>
  <si>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</si>
  <si>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</si>
  <si>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</si>
  <si>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</si>
  <si>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</si>
  <si>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</si>
  <si>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</si>
  <si>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</si>
  <si>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</si>
  <si>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</si>
  <si>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</si>
  <si>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</si>
  <si>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</si>
  <si>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</si>
  <si>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</si>
  <si>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</si>
  <si>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</si>
  <si>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</si>
  <si>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</si>
  <si>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</si>
  <si>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</si>
  <si>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</si>
  <si>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</si>
  <si>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</si>
  <si>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</si>
  <si>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</si>
  <si>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</si>
  <si>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</si>
  <si>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</si>
  <si>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</si>
  <si>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</si>
  <si>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</si>
  <si>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</si>
  <si>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</si>
  <si>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</si>
  <si>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</si>
  <si>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</si>
  <si>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</si>
  <si>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</si>
  <si>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</si>
  <si>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</si>
  <si>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</si>
  <si>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</si>
  <si>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</si>
  <si>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</si>
  <si>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</si>
  <si>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</si>
  <si>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</si>
  <si>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</si>
  <si>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</si>
  <si>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</si>
  <si>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</si>
  <si>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</si>
  <si>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</si>
  <si>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</si>
  <si>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</si>
  <si>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</si>
  <si>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</si>
  <si>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</si>
  <si>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</si>
  <si>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</si>
  <si>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</si>
  <si>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</si>
  <si>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</si>
  <si>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</si>
  <si>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</si>
  <si>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</si>
  <si>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</si>
  <si>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</si>
  <si>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</si>
  <si>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</si>
  <si>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</si>
  <si>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</si>
  <si>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</si>
  <si>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</si>
  <si>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</si>
  <si>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</si>
  <si>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</si>
  <si>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</si>
  <si>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</si>
  <si>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</si>
  <si>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</si>
  <si>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</si>
  <si>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</si>
  <si>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</si>
  <si>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</si>
  <si>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</si>
  <si>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</si>
  <si>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</si>
  <si>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</si>
  <si>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</si>
  <si>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</si>
  <si>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</si>
  <si>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</si>
  <si>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</si>
  <si>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</si>
  <si>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</si>
  <si>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</si>
  <si>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</si>
  <si>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</si>
  <si>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</si>
  <si>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</si>
  <si>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</si>
  <si>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</si>
  <si>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</si>
  <si>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</si>
  <si>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</si>
  <si>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</si>
  <si>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</si>
  <si>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</si>
  <si>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</si>
  <si>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</si>
  <si>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</si>
  <si>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</si>
  <si>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</si>
  <si>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</si>
  <si>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</si>
  <si>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</si>
  <si>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</si>
  <si>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</si>
  <si>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</si>
  <si>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</si>
  <si>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</si>
  <si>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</si>
  <si>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</si>
  <si>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</si>
  <si>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</si>
  <si>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</si>
  <si>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</si>
  <si>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</si>
  <si>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</si>
  <si>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</si>
  <si>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</si>
  <si>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</si>
  <si>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</si>
  <si>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</si>
  <si>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</si>
  <si>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</si>
  <si>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</si>
  <si>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</si>
  <si>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</si>
  <si>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</si>
  <si>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</si>
  <si>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</si>
  <si>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</si>
  <si>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</si>
  <si>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</si>
  <si>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</si>
  <si>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</si>
  <si>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</si>
  <si>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</si>
  <si>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</si>
  <si>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</si>
  <si>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</si>
  <si>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</si>
  <si>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</si>
  <si>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</si>
  <si>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</si>
  <si>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</si>
  <si>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</si>
  <si>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</si>
  <si>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</si>
  <si>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</si>
  <si>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</si>
  <si>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</si>
  <si>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</si>
  <si>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</si>
  <si>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</si>
  <si>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</si>
  <si>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</si>
  <si>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</si>
  <si>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</si>
  <si>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</si>
  <si>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</si>
  <si>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</si>
  <si>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</si>
  <si>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</si>
  <si>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</si>
  <si>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</si>
  <si>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</si>
  <si>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</si>
  <si>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</si>
  <si>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</si>
  <si>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</si>
  <si>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</si>
  <si>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</si>
  <si>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</si>
  <si>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</si>
  <si>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</si>
  <si>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</si>
  <si>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</si>
  <si>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</si>
  <si>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</si>
  <si>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</si>
  <si>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</si>
  <si>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</si>
  <si>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</si>
  <si>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</si>
  <si>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</si>
  <si>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</si>
  <si>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</si>
  <si>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</si>
  <si>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</si>
  <si>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</si>
  <si>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</si>
  <si>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</si>
  <si>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</si>
  <si>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</si>
  <si>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</si>
  <si>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</si>
  <si>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</si>
  <si>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</si>
  <si>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</si>
  <si>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</si>
  <si>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</si>
  <si>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</si>
  <si>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</si>
  <si>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</si>
  <si>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</si>
  <si>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</si>
  <si>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</si>
  <si>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</si>
  <si>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</si>
  <si>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</si>
  <si>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</si>
  <si>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</si>
  <si>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</si>
  <si>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</si>
  <si>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</si>
  <si>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</si>
  <si>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</si>
  <si>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</si>
  <si>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</si>
  <si>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</si>
  <si>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</si>
  <si>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</si>
  <si>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</si>
  <si>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</si>
  <si>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</si>
  <si>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</si>
  <si>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</si>
  <si>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</si>
  <si>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</si>
  <si>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</si>
  <si>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</si>
  <si>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</si>
  <si>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</si>
  <si>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</si>
  <si>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</si>
  <si>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</si>
  <si>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</si>
  <si>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</si>
  <si>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</si>
  <si>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</si>
  <si>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</si>
  <si>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</si>
  <si>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</si>
  <si>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</si>
  <si>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</si>
  <si>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</si>
  <si>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</si>
  <si>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</si>
  <si>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</si>
  <si>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</si>
  <si>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</si>
  <si>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</si>
  <si>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</si>
  <si>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</si>
  <si>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</si>
  <si>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</si>
  <si>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</si>
  <si>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</si>
  <si>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</si>
  <si>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</si>
  <si>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</si>
  <si>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</si>
  <si>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</si>
  <si>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</si>
  <si>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</si>
  <si>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</si>
  <si>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</si>
  <si>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</si>
  <si>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</si>
  <si>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</si>
  <si>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</si>
  <si>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</si>
  <si>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</si>
  <si>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</si>
  <si>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</si>
  <si>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</si>
  <si>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</si>
  <si>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</si>
  <si>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</si>
  <si>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</si>
  <si>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</si>
  <si>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</si>
  <si>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</si>
  <si>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</si>
  <si>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</si>
  <si>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</si>
  <si>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</si>
  <si>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</si>
  <si>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</si>
  <si>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</si>
  <si>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</si>
  <si>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</si>
  <si>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</si>
  <si>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</si>
  <si>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</si>
  <si>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</si>
  <si>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</si>
  <si>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</si>
  <si>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</si>
  <si>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</si>
  <si>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</si>
  <si>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</si>
  <si>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</si>
  <si>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</si>
  <si>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</si>
  <si>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</si>
  <si>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</si>
  <si>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</si>
  <si>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</si>
  <si>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</si>
  <si>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</si>
  <si>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</si>
  <si>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</si>
  <si>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</si>
  <si>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</si>
  <si>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</si>
  <si>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</si>
  <si>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</si>
  <si>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</si>
  <si>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</si>
  <si>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</si>
  <si>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</si>
  <si>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</si>
  <si>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</si>
  <si>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</si>
  <si>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</si>
  <si>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</si>
  <si>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</si>
  <si>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</si>
  <si>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</si>
  <si>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</si>
  <si>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</si>
  <si>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</si>
  <si>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</si>
  <si>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</si>
  <si>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</si>
  <si>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</si>
  <si>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</si>
  <si>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</si>
  <si>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</si>
  <si>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</si>
  <si>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</si>
  <si>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</si>
  <si>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</si>
  <si>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</si>
  <si>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</si>
  <si>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</si>
  <si>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</si>
  <si>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</si>
  <si>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</si>
  <si>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</si>
  <si>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</si>
  <si>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</si>
  <si>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</si>
  <si>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</si>
  <si>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</si>
  <si>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</si>
  <si>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</si>
  <si>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</si>
  <si>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</si>
  <si>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</si>
  <si>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</si>
  <si>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</si>
  <si>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</si>
  <si>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</si>
  <si>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</si>
  <si>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</si>
  <si>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</si>
  <si>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</si>
  <si>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</si>
  <si>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</si>
  <si>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</si>
  <si>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</si>
  <si>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</si>
  <si>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</si>
  <si>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</si>
  <si>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</si>
  <si>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</si>
  <si>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</si>
  <si>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</si>
  <si>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</si>
  <si>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</si>
  <si>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</si>
  <si>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</si>
  <si>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</si>
  <si>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</si>
  <si>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Waqas</t>
  </si>
  <si>
    <t xml:space="preserve">Bismilah Cash N Carry </t>
  </si>
  <si>
    <t>Address: Qanchi Bazar Abid Market</t>
  </si>
  <si>
    <t>Haji Hasan Deen Store</t>
  </si>
  <si>
    <t>Address: walton Road Gulistan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</si>
</sst>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Bismilah Cash N Carry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Haji Hasan Deen Store</v>
      </c>
      <c r="T4" s="301">
        <f>+'2'!P35</f>
        <v>539.72984684745768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3</v>
      </c>
      <c r="I14" s="236">
        <f t="shared" si="0"/>
        <v>484.26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38.7408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445.51920000000001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91.525423728813507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2.685223118644068</v>
      </c>
      <c r="P14" s="311">
        <f t="shared" si="2"/>
        <v>539.72984684745768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1.075</v>
      </c>
      <c r="H16" s="113">
        <f t="shared" ref="H16:M16" si="3">SUM(H7:H15)</f>
        <v>43</v>
      </c>
      <c r="I16" s="114">
        <f t="shared" si="3"/>
        <v>3389.8599999999997</v>
      </c>
      <c r="J16" s="274">
        <f>SUM(J7:J15)</f>
        <v>271.18880000000001</v>
      </c>
      <c r="K16" s="275">
        <f t="shared" si="3"/>
        <v>101.69600000000001</v>
      </c>
      <c r="L16" s="276">
        <f t="shared" si="3"/>
        <v>0</v>
      </c>
      <c r="M16" s="232">
        <f t="shared" si="3"/>
        <v>3016.9752000000003</v>
      </c>
      <c r="N16" s="233">
        <f>SUM(N7:N15)</f>
        <v>640.67796610169489</v>
      </c>
      <c r="O16" s="101">
        <f>SUM(O7:O15)</f>
        <v>18.288265830508475</v>
      </c>
      <c r="P16" s="113">
        <f>SUM(P7:P15)</f>
        <v>3675.9414319322036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3389.8599999999997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271.18880000000001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101.69600000000001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3016.9751999999999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640.67796610169489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3657.6531661016948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18.288265830508475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3675.9414319322032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3675.9414319322036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2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3</v>
      </c>
      <c r="I23" s="236">
        <f t="shared" si="0"/>
        <v>484.26</v>
      </c>
      <c r="J23" s="272">
        <f t="shared" si="1"/>
        <v>38.7408</v>
      </c>
      <c r="K23" s="128">
        <f t="shared" si="1"/>
        <v>0</v>
      </c>
      <c r="L23" s="119">
        <f t="shared" si="1"/>
        <v>0</v>
      </c>
      <c r="M23" s="230">
        <f t="shared" si="2"/>
        <v>445.51920000000001</v>
      </c>
      <c r="N23" s="277">
        <f t="shared" si="3"/>
        <v>91.525423728813507</v>
      </c>
      <c r="O23" s="239">
        <f t="shared" si="4"/>
        <v>2.685223118644068</v>
      </c>
      <c r="P23" s="119">
        <f t="shared" si="5"/>
        <v>539.72984684745768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</v>
      </c>
      <c r="I25" s="114">
        <f t="shared" si="7"/>
        <v>484.26</v>
      </c>
      <c r="J25" s="274">
        <f>SUM(J16:J24)</f>
        <v>38.7408</v>
      </c>
      <c r="K25" s="275">
        <f t="shared" si="7"/>
        <v>0</v>
      </c>
      <c r="L25" s="276">
        <f t="shared" si="7"/>
        <v>0</v>
      </c>
      <c r="M25" s="232">
        <f t="shared" si="7"/>
        <v>445.51920000000001</v>
      </c>
      <c r="N25" s="233">
        <f>SUM(N16:N24)</f>
        <v>91.525423728813507</v>
      </c>
      <c r="O25" s="101">
        <f>SUM(O16:O24)</f>
        <v>2.685223118644068</v>
      </c>
      <c r="P25" s="234">
        <f>SUM(P16:P24)</f>
        <v>539.72984684745768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484.26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38.7408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445.51920000000001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537.04462372881358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2.685223118644068</v>
      </c>
    </row>
    <row r="35" spans="2:16" ht="15.75" customHeight="1" thickBot="1" x14ac:dyDescent="0.4">
      <c r="N35" s="345" t="s">
        <v>88</v>
      </c>
      <c r="O35" s="346"/>
      <c r="P35" s="297">
        <f>+P33+P34</f>
        <v>539.72984684745768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Waqas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2026-10-30T12:07:30Z</dcterms:modified>
</cp:coreProperties>
</file>