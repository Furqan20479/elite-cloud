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5C5999-77C4-4D1F-8E24-F1E6DEF4BDF4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3" i="54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O23" i="48" s="1"/>
  <c r="P23" i="48" s="1"/>
  <c r="M23" i="66"/>
  <c r="O23" i="66" s="1"/>
  <c r="P23" i="66" s="1"/>
  <c r="M23" i="65"/>
  <c r="O23" i="65" s="1"/>
  <c r="P23" i="65" s="1"/>
  <c r="M23" i="61"/>
  <c r="O23" i="61" s="1"/>
  <c r="P23" i="61" s="1"/>
  <c r="M23" i="58"/>
  <c r="O23" i="58" s="1"/>
  <c r="P23" i="58" s="1"/>
  <c r="M23" i="56"/>
  <c r="O23" i="56" s="1"/>
  <c r="P23" i="56" s="1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<sst xmlns="http://schemas.openxmlformats.org/spreadsheetml/2006/main" count="3948" uniqueCount="518">
  <si>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</si>
  <si>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</si>
  <si>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</si>
  <si>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</si>
  <si>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</si>
  <si>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</si>
  <si>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</si>
  <si>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</si>
  <si>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</si>
  <si>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</si>
  <si>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</si>
  <si>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</si>
  <si>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</si>
  <si>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</si>
  <si>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</si>
  <si>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</si>
  <si>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</si>
  <si>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</si>
  <si>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</si>
  <si>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</si>
  <si>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</si>
  <si>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</si>
  <si>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</si>
  <si>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</si>
  <si>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</si>
  <si>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</si>
  <si>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</si>
  <si>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</si>
  <si>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</si>
  <si>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</si>
  <si>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</si>
  <si>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</si>
  <si>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</si>
  <si>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</si>
  <si>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</si>
  <si>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</si>
  <si>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</si>
  <si>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</si>
  <si>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</si>
  <si>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</si>
  <si>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</si>
  <si>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</si>
  <si>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</si>
  <si>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</si>
  <si>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</si>
  <si>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</si>
  <si>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</si>
  <si>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</si>
  <si>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</si>
  <si>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</si>
  <si>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</si>
  <si>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</si>
  <si>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</si>
  <si>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</si>
  <si>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</si>
  <si>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</si>
  <si>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</si>
  <si>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</si>
  <si>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</si>
  <si>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</si>
  <si>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</si>
  <si>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</si>
  <si>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</si>
  <si>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</si>
  <si>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</si>
  <si>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</si>
  <si>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</si>
  <si>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</si>
  <si>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</si>
  <si>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</si>
  <si>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</si>
  <si>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</si>
  <si>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</si>
  <si>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</si>
  <si>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</si>
  <si>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</si>
  <si>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</si>
  <si>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</si>
  <si>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</si>
  <si>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</si>
  <si>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</si>
  <si>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</si>
  <si>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</si>
  <si>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</si>
  <si>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</si>
  <si>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</si>
  <si>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</si>
  <si>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</si>
  <si>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</si>
  <si>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</si>
  <si>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</si>
  <si>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</si>
  <si>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</si>
  <si>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</si>
  <si>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</si>
  <si>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</si>
  <si>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</si>
  <si>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</si>
  <si>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</si>
  <si>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</si>
  <si>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</si>
  <si>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</si>
  <si>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</si>
  <si>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</si>
  <si>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</si>
  <si>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</si>
  <si>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</si>
  <si>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</si>
  <si>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</si>
  <si>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</si>
  <si>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</si>
  <si>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</si>
  <si>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</si>
  <si>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</si>
  <si>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</si>
  <si>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</si>
  <si>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</si>
  <si>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</si>
  <si>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</si>
  <si>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</si>
  <si>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</si>
  <si>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</si>
  <si>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</si>
  <si>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</si>
  <si>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</si>
  <si>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</si>
  <si>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</si>
  <si>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</si>
  <si>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</si>
  <si>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</si>
  <si>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</si>
  <si>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</si>
  <si>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</si>
  <si>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</si>
  <si>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</si>
  <si>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</si>
  <si>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</si>
  <si>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</si>
  <si>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</si>
  <si>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</si>
  <si>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</si>
  <si>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</si>
  <si>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</si>
  <si>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</si>
  <si>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</si>
  <si>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</si>
  <si>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</si>
  <si>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</si>
  <si>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</si>
  <si>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</si>
  <si>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</si>
  <si>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</si>
  <si>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</si>
  <si>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</si>
  <si>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</si>
  <si>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</si>
  <si>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</si>
  <si>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</si>
  <si>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</si>
  <si>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</si>
  <si>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</si>
  <si>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</si>
  <si>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</si>
  <si>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</si>
  <si>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</si>
  <si>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</si>
  <si>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</si>
  <si>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</si>
  <si>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</si>
  <si>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</si>
  <si>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</si>
  <si>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</si>
  <si>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</si>
  <si>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</si>
  <si>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</si>
  <si>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</si>
  <si>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</si>
  <si>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</si>
  <si>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</si>
  <si>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</si>
  <si>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</si>
  <si>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</si>
  <si>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</si>
  <si>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</si>
  <si>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</si>
  <si>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</si>
  <si>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</si>
  <si>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</si>
  <si>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</si>
  <si>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</si>
  <si>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</si>
  <si>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</si>
  <si>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</si>
  <si>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</si>
  <si>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</si>
  <si>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</si>
  <si>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</si>
  <si>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</si>
  <si>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</si>
  <si>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</si>
  <si>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</si>
  <si>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</si>
  <si>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</si>
  <si>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</si>
  <si>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</si>
  <si>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</si>
  <si>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</si>
  <si>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</si>
  <si>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</si>
  <si>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</si>
  <si>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</si>
  <si>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</si>
  <si>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</si>
  <si>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</si>
  <si>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</si>
  <si>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</si>
  <si>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</si>
  <si>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</si>
  <si>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</si>
  <si>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</si>
  <si>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</si>
  <si>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</si>
  <si>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</si>
  <si>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</si>
  <si>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</si>
  <si>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</si>
  <si>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</si>
  <si>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</si>
  <si>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</si>
  <si>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</si>
  <si>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</si>
  <si>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</si>
  <si>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</si>
  <si>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</si>
  <si>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</si>
  <si>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</si>
  <si>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</si>
  <si>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</si>
  <si>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</si>
  <si>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</si>
  <si>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</si>
  <si>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</si>
  <si>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</si>
  <si>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</si>
  <si>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</si>
  <si>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</si>
  <si>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</si>
  <si>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</si>
  <si>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</si>
  <si>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</si>
  <si>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</si>
  <si>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</si>
  <si>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</si>
  <si>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</si>
  <si>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</si>
  <si>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</si>
  <si>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</si>
  <si>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</si>
  <si>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</si>
  <si>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</si>
  <si>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</si>
  <si>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</si>
  <si>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</si>
  <si>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</si>
  <si>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</si>
  <si>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</si>
  <si>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</si>
  <si>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</si>
  <si>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</si>
  <si>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</si>
  <si>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</si>
  <si>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</si>
  <si>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</si>
  <si>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</si>
  <si>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</si>
  <si>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</si>
  <si>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</si>
  <si>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</si>
  <si>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</si>
  <si>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</si>
  <si>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</si>
  <si>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</si>
  <si>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</si>
  <si>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</si>
  <si>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</si>
  <si>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</si>
  <si>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</si>
  <si>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</si>
  <si>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</si>
  <si>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</si>
  <si>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</si>
  <si>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</si>
  <si>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</si>
  <si>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</si>
  <si>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</si>
  <si>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</si>
  <si>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</si>
  <si>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</si>
  <si>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</si>
  <si>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</si>
  <si>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</si>
  <si>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</si>
  <si>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</si>
  <si>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</si>
  <si>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</si>
  <si>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</si>
  <si>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</si>
  <si>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</si>
  <si>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</si>
  <si>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</si>
  <si>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</si>
  <si>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</si>
  <si>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</si>
  <si>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</si>
  <si>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</si>
  <si>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</si>
  <si>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</si>
  <si>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</si>
  <si>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</si>
  <si>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</si>
  <si>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</si>
  <si>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</si>
  <si>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</si>
  <si>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</si>
  <si>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</si>
  <si>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</si>
  <si>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</si>
  <si>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</si>
  <si>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</si>
  <si>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</si>
  <si>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</si>
  <si>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</si>
  <si>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</si>
  <si>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</si>
  <si>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</si>
  <si>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</si>
  <si>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</si>
  <si>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</si>
  <si>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</si>
  <si>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</si>
  <si>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</si>
  <si>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</si>
  <si>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</si>
  <si>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</si>
  <si>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</si>
  <si>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</si>
  <si>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</si>
  <si>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</si>
  <si>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</si>
  <si>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</si>
  <si>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</si>
  <si>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</si>
  <si>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</si>
  <si>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</si>
  <si>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</si>
  <si>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</si>
  <si>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</si>
  <si>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</si>
  <si>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</si>
  <si>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</si>
  <si>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</si>
  <si>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</si>
  <si>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</si>
  <si>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</si>
  <si>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</si>
  <si>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</si>
  <si>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</si>
  <si>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</si>
  <si>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</si>
  <si>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</si>
  <si>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</si>
  <si>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</si>
  <si>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</si>
  <si>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</si>
  <si>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</si>
  <si>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</si>
  <si>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</si>
  <si>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</si>
  <si>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</si>
  <si>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</si>
  <si>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</si>
  <si>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</si>
  <si>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</si>
  <si>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</si>
  <si>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</si>
  <si>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</si>
  <si>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</si>
  <si>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</si>
  <si>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</si>
  <si>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</si>
  <si>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</si>
  <si>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</si>
  <si>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</si>
  <si>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</si>
  <si>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</si>
  <si>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</si>
  <si>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</si>
  <si>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</si>
  <si>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</si>
  <si>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</si>
  <si>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</si>
  <si>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</si>
  <si>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</si>
  <si>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</si>
  <si>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</si>
  <si>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</si>
  <si>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</si>
  <si>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</si>
  <si>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</si>
  <si>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</si>
  <si>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</si>
  <si>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</si>
  <si>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</si>
  <si>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</si>
  <si>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</si>
  <si>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</si>
  <si>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</si>
  <si>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</si>
  <si>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</si>
  <si>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</si>
  <si>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</si>
  <si>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</si>
  <si>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</si>
  <si>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</si>
  <si>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</si>
  <si>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</si>
  <si>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</si>
  <si>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</si>
  <si>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</si>
  <si>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</si>
  <si>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</si>
  <si>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</si>
  <si>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</si>
  <si>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</si>
  <si>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</si>
  <si>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</si>
  <si>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</si>
  <si>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</si>
  <si>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</si>
  <si>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</si>
  <si>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</si>
  <si>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</si>
  <si>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</si>
  <si>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</si>
  <si>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</si>
  <si>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</si>
  <si>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</si>
  <si>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</si>
  <si>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</si>
  <si>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</si>
  <si>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</si>
  <si>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</si>
  <si>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</si>
  <si>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</si>
  <si>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</si>
  <si>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</si>
  <si>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</si>
  <si>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</si>
  <si>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</si>
  <si>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</si>
  <si>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</si>
  <si>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</si>
  <si>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</si>
  <si>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</si>
  <si>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</si>
  <si>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</si>
  <si>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</si>
  <si>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</si>
  <si>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</si>
  <si>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</si>
  <si>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</si>
  <si>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</si>
  <si>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</si>
  <si>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</si>
  <si>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</si>
  <si>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</si>
  <si>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</si>
  <si>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</si>
  <si>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</si>
  <si>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</si>
  <si>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</si>
  <si>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</si>
  <si>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</si>
  <si>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</si>
  <si>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</si>
  <si>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</si>
  <si>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</si>
  <si>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</si>
  <si>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</si>
  <si>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</si>
  <si>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</si>
  <si>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</si>
  <si>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</si>
  <si>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</si>
  <si>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</si>
  <si>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</si>
  <si>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</si>
  <si>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</si>
  <si>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</si>
  <si>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</si>
  <si>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</si>
  <si>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</si>
  <si>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</si>
  <si>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</si>
  <si>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</si>
  <si>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</si>
  <si>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</si>
  <si>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</si>
  <si>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</si>
  <si>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</si>
  <si>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</si>
  <si>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CCN PROMO </t>
  </si>
  <si>
    <t>Indomie Chicken ® 4 in 1</t>
  </si>
  <si>
    <t>Shakoor</t>
  </si>
  <si>
    <t>Euro Store</t>
  </si>
  <si>
    <t xml:space="preserve">Address: Kalma Chowk </t>
  </si>
  <si>
    <t>NTN #: E757686-3 STRN #: 3277876353369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</si>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</sst>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511</v>
      </c>
      <c r="D13" s="166" t="s">
        <v>511</v>
      </c>
      <c r="E13" s="178" t="s">
        <v>512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497</v>
      </c>
      <c r="F2" s="386"/>
      <c r="G2" s="386"/>
      <c r="H2" s="383" t="s">
        <v>513</v>
      </c>
      <c r="I2" s="383"/>
      <c r="J2" s="384"/>
      <c r="R2" s="380" t="s">
        <v>496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507</v>
      </c>
      <c r="F3" s="390"/>
      <c r="G3" s="390"/>
      <c r="H3" s="387">
        <v>46326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Euro Store</v>
      </c>
      <c r="T3" s="301">
        <f>+'1'!P35</f>
        <v>63160.603451186435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492</v>
      </c>
      <c r="M6" s="348"/>
      <c r="N6" s="35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9023.5499999999993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55.033004237288132</v>
      </c>
      <c r="P7" s="310">
        <f>M7+N7+O7</f>
        <v>11061.633851694914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9023.5499999999993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55.033004237288132</v>
      </c>
      <c r="P8" s="311">
        <f t="shared" ref="P8:P15" si="2">M8+N8+O8</f>
        <v>11061.633851694914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12494.08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76.199213559322033</v>
      </c>
      <c r="P11" s="311">
        <f t="shared" si="2"/>
        <v>15316.041925423729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12494.08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76.199213559322033</v>
      </c>
      <c r="P12" s="311">
        <f t="shared" si="2"/>
        <v>15316.041925423729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511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60</v>
      </c>
      <c r="I14" s="236">
        <f t="shared" si="0"/>
        <v>9685.1999999999989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1162.2239999999999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8522.9759999999987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1830.5084745762701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51.767422372881349</v>
      </c>
      <c r="P14" s="311">
        <f t="shared" si="2"/>
        <v>10405.25189694915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21.5</v>
      </c>
      <c r="H16" s="113">
        <f t="shared" ref="H16:M16" si="3">SUM(H7:H15)</f>
        <v>860</v>
      </c>
      <c r="I16" s="114">
        <f t="shared" si="3"/>
        <v>59726.2</v>
      </c>
      <c r="J16" s="274">
        <f>SUM(J7:J15)</f>
        <v>8167.9640000000009</v>
      </c>
      <c r="K16" s="275">
        <f t="shared" si="3"/>
        <v>0</v>
      </c>
      <c r="L16" s="276">
        <f t="shared" si="3"/>
        <v>0</v>
      </c>
      <c r="M16" s="232">
        <f t="shared" si="3"/>
        <v>51558.236000000004</v>
      </c>
      <c r="N16" s="233">
        <f>SUM(N7:N15)</f>
        <v>11288.135593220337</v>
      </c>
      <c r="O16" s="101">
        <f>SUM(O7:O15)</f>
        <v>314.23185796610164</v>
      </c>
      <c r="P16" s="113">
        <f>SUM(P7:P15)</f>
        <v>63160.603451186435</v>
      </c>
      <c r="Q16" s="128">
        <f>SUM(Q7:Q15)</f>
        <v>0</v>
      </c>
      <c r="R16" s="313">
        <v>14</v>
      </c>
      <c r="S16" s="315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59726.2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8167.9640000000009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51558.235999999997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11288.135593220337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62846.371593220334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314.23185796610164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63160.603451186435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63160.603451186435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abSelected="1" workbookViewId="0">
      <selection activeCell="D2" sqref="D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0</v>
      </c>
      <c r="L16" s="118">
        <f>$I16*U16</f>
        <v>0</v>
      </c>
      <c r="M16" s="229">
        <f>I16-SUM(J16:L16)</f>
        <v>9023.5499999999993</v>
      </c>
      <c r="N16" s="248">
        <f>+(G16*D16+H16)*V16</f>
        <v>1983.0508474576263</v>
      </c>
      <c r="O16" s="238">
        <f>(N16+M16)*$O$15</f>
        <v>55.033004237288132</v>
      </c>
      <c r="P16" s="118">
        <f>M16+N16+O16</f>
        <v>11061.633851694914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0</v>
      </c>
      <c r="L17" s="119">
        <f>$I17*U17</f>
        <v>0</v>
      </c>
      <c r="M17" s="230">
        <f t="shared" ref="M17:M24" si="2">I17-SUM(J17:L17)</f>
        <v>9023.5499999999993</v>
      </c>
      <c r="N17" s="277">
        <f t="shared" ref="N17:N24" si="3">+(G17*D17+H17)*V17</f>
        <v>1983.0508474576263</v>
      </c>
      <c r="O17" s="239">
        <f t="shared" ref="O17:O24" si="4">(N17+M17)*$O$15</f>
        <v>55.033004237288132</v>
      </c>
      <c r="P17" s="119">
        <f t="shared" ref="P17:P24" si="5">M17+N17+O17</f>
        <v>11061.633851694914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0</v>
      </c>
      <c r="L20" s="119">
        <f t="shared" si="1"/>
        <v>0</v>
      </c>
      <c r="M20" s="230">
        <f t="shared" si="2"/>
        <v>12494.08</v>
      </c>
      <c r="N20" s="277">
        <f t="shared" si="3"/>
        <v>2745.7627118644068</v>
      </c>
      <c r="O20" s="239">
        <f t="shared" si="4"/>
        <v>76.199213559322033</v>
      </c>
      <c r="P20" s="119">
        <f t="shared" si="5"/>
        <v>15316.041925423729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0</v>
      </c>
      <c r="L21" s="119">
        <f t="shared" si="1"/>
        <v>0</v>
      </c>
      <c r="M21" s="230">
        <f t="shared" si="2"/>
        <v>12494.08</v>
      </c>
      <c r="N21" s="277">
        <f t="shared" si="3"/>
        <v>2745.7627118644068</v>
      </c>
      <c r="O21" s="239">
        <f t="shared" si="4"/>
        <v>76.199213559322033</v>
      </c>
      <c r="P21" s="119">
        <f t="shared" si="5"/>
        <v>15316.041925423729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60</v>
      </c>
      <c r="I23" s="236">
        <f t="shared" si="0"/>
        <v>9685.1999999999989</v>
      </c>
      <c r="J23" s="272">
        <f t="shared" si="1"/>
        <v>1162.2239999999999</v>
      </c>
      <c r="K23" s="128">
        <f t="shared" si="1"/>
        <v>0</v>
      </c>
      <c r="L23" s="119">
        <f t="shared" si="1"/>
        <v>0</v>
      </c>
      <c r="M23" s="230">
        <f t="shared" si="2"/>
        <v>8522.9759999999987</v>
      </c>
      <c r="N23" s="277">
        <f t="shared" si="3"/>
        <v>1830.5084745762701</v>
      </c>
      <c r="O23" s="239">
        <f t="shared" si="4"/>
        <v>51.767422372881349</v>
      </c>
      <c r="P23" s="119">
        <f t="shared" si="5"/>
        <v>10405.25189694915</v>
      </c>
      <c r="Q23" s="319"/>
      <c r="S23" s="269">
        <v>0.12</v>
      </c>
      <c r="T23" s="270">
        <v>0</v>
      </c>
      <c r="U23" s="270"/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860</v>
      </c>
      <c r="I25" s="114">
        <f t="shared" ref="I25:M25" si="10">SUM(I16:I24)</f>
        <v>59726.2</v>
      </c>
      <c r="J25" s="274">
        <f>SUM(J16:J24)</f>
        <v>8167.9640000000009</v>
      </c>
      <c r="K25" s="275">
        <f t="shared" si="10"/>
        <v>0</v>
      </c>
      <c r="L25" s="276">
        <f t="shared" si="10"/>
        <v>0</v>
      </c>
      <c r="M25" s="232">
        <f t="shared" si="10"/>
        <v>51558.236000000004</v>
      </c>
      <c r="N25" s="233">
        <f>SUM(N16:N24)</f>
        <v>11288.135593220337</v>
      </c>
      <c r="O25" s="101">
        <f>SUM(O16:O24)</f>
        <v>314.23185796610164</v>
      </c>
      <c r="P25" s="234">
        <f>SUM(P16:P24)</f>
        <v>63160.603451186435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59726.2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8167.9640000000009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51558.235999999997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11288.135593220337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62846.371593220334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314.2318579661017</v>
      </c>
    </row>
    <row r="35" spans="2:16" ht="15.75" customHeight="1" thickBot="1" x14ac:dyDescent="0.4">
      <c r="N35" s="374" t="s">
        <v>88</v>
      </c>
      <c r="O35" s="375"/>
      <c r="P35" s="297">
        <f>+P33+P34</f>
        <v>63160.603451186435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/>
      <c r="U23" s="270"/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 t="e">
        <f>I25</f>
        <v>#N/A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 t="e">
        <f>K25</f>
        <v>#N/A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 t="e">
        <f>J25</f>
        <v>#N/A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 t="e">
        <f>O28-O29-O30</f>
        <v>#N/A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 t="e">
        <f>O31+O32</f>
        <v>#N/A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74" t="s">
        <v>88</v>
      </c>
      <c r="N35" s="375"/>
      <c r="O35" s="141" t="e">
        <f>O28-O29+O31+O34</f>
        <v>#N/A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483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475</v>
      </c>
      <c r="D6" s="407"/>
      <c r="E6" s="407"/>
      <c r="F6" s="407"/>
      <c r="G6" s="407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483</v>
      </c>
      <c r="N7" s="403"/>
      <c r="O7" s="404"/>
      <c r="P7" s="256" t="s">
        <v>474</v>
      </c>
      <c r="Q7" s="242" t="s">
        <v>472</v>
      </c>
      <c r="R7" s="405" t="s">
        <v>474</v>
      </c>
      <c r="S7" s="405" t="s">
        <v>484</v>
      </c>
      <c r="T7" s="411" t="s">
        <v>485</v>
      </c>
      <c r="U7" s="411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476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483</v>
      </c>
      <c r="N13" s="403"/>
      <c r="O13" s="404"/>
      <c r="P13" s="256" t="s">
        <v>474</v>
      </c>
      <c r="Q13" s="242" t="s">
        <v>472</v>
      </c>
      <c r="R13" s="405" t="s">
        <v>474</v>
      </c>
      <c r="S13" s="405" t="s">
        <v>484</v>
      </c>
      <c r="T13" s="411" t="s">
        <v>485</v>
      </c>
      <c r="U13" s="411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477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483</v>
      </c>
      <c r="N20" s="403"/>
      <c r="O20" s="404"/>
      <c r="P20" s="256" t="s">
        <v>474</v>
      </c>
      <c r="Q20" s="242" t="s">
        <v>472</v>
      </c>
      <c r="R20" s="405" t="s">
        <v>474</v>
      </c>
      <c r="S20" s="405" t="s">
        <v>484</v>
      </c>
      <c r="T20" s="411" t="s">
        <v>485</v>
      </c>
      <c r="U20" s="411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478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483</v>
      </c>
      <c r="N27" s="403"/>
      <c r="O27" s="404"/>
      <c r="P27" s="256" t="s">
        <v>474</v>
      </c>
      <c r="Q27" s="242" t="s">
        <v>472</v>
      </c>
      <c r="R27" s="405" t="s">
        <v>474</v>
      </c>
      <c r="S27" s="405" t="s">
        <v>484</v>
      </c>
      <c r="T27" s="411" t="s">
        <v>485</v>
      </c>
      <c r="U27" s="411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483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2026-10-31T04:37:34Z</dcterms:modified>
</cp:coreProperties>
</file>