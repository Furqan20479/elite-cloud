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71CF793-5532-4B29-9233-05F7FF65CAD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4" i="72"/>
  <c r="T24" i="72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4" i="71"/>
  <c r="T24" i="7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4" i="70"/>
  <c r="T24" i="70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4" i="69"/>
  <c r="T24" i="69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4" i="68"/>
  <c r="T24" i="68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4" i="67"/>
  <c r="T24" i="67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4" i="66"/>
  <c r="T24" i="66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4" i="65"/>
  <c r="T24" i="65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4" i="64"/>
  <c r="T24" i="64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4" i="63"/>
  <c r="T24" i="63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4" i="61"/>
  <c r="T24" i="6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4" i="60"/>
  <c r="T24" i="60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4" i="59"/>
  <c r="T24" i="59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4" i="58"/>
  <c r="T24" i="58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4" i="57"/>
  <c r="T24" i="57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4" i="56"/>
  <c r="T24" i="56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4" i="55"/>
  <c r="T24" i="55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4" i="54"/>
  <c r="T24" i="54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4" i="53"/>
  <c r="T24" i="53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4" i="52"/>
  <c r="T24" i="52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4" i="51"/>
  <c r="T24" i="5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4" i="50"/>
  <c r="T24" i="50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4" i="49"/>
  <c r="T24" i="49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4" i="48"/>
  <c r="T24" i="48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4" i="47"/>
  <c r="T24" i="47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4" i="46"/>
  <c r="T24" i="46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4" i="45"/>
  <c r="T24" i="45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4" i="44"/>
  <c r="T24" i="44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9" l="1"/>
  <c r="M24" i="48"/>
  <c r="M23" i="54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O23" i="48" s="1"/>
  <c r="P23" i="48" s="1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O24" i="72" s="1"/>
  <c r="P24" i="72" s="1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O24" i="58" s="1"/>
  <c r="P24" i="58" s="1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71"/>
  <c r="P24" i="71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K25" i="72"/>
  <c r="K25" i="68"/>
  <c r="K25" i="64"/>
  <c r="K25" i="45"/>
  <c r="J25" i="55"/>
  <c r="P29" i="55" s="1"/>
  <c r="K25" i="48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<sst xmlns="http://schemas.openxmlformats.org/spreadsheetml/2006/main" count="3948" uniqueCount="530">
  <si>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</si>
  <si>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</si>
  <si>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</si>
  <si>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</si>
  <si>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</si>
  <si>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</si>
  <si>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</si>
  <si>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</si>
  <si>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</si>
  <si>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</si>
  <si>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</si>
  <si>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</si>
  <si>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</si>
  <si>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</si>
  <si>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</si>
  <si>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</si>
  <si>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</si>
  <si>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</si>
  <si>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</si>
  <si>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</si>
  <si>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</si>
  <si>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</si>
  <si>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</si>
  <si>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</si>
  <si>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</si>
  <si>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</si>
  <si>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</si>
  <si>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</si>
  <si>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</si>
  <si>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</si>
  <si>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</si>
  <si>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</si>
  <si>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</si>
  <si>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</si>
  <si>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</si>
  <si>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</si>
  <si>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</si>
  <si>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</si>
  <si>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</si>
  <si>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</si>
  <si>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</si>
  <si>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</si>
  <si>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</si>
  <si>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</si>
  <si>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</si>
  <si>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</si>
  <si>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</si>
  <si>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</si>
  <si>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</si>
  <si>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</si>
  <si>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</si>
  <si>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</si>
  <si>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</si>
  <si>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</si>
  <si>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</si>
  <si>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</si>
  <si>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</si>
  <si>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</si>
  <si>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</si>
  <si>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</si>
  <si>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</si>
  <si>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</si>
  <si>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</si>
  <si>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</si>
  <si>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</si>
  <si>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</si>
  <si>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</si>
  <si>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</si>
  <si>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</si>
  <si>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</si>
  <si>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</si>
  <si>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</si>
  <si>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</si>
  <si>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</si>
  <si>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</si>
  <si>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</si>
  <si>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</si>
  <si>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</si>
  <si>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</si>
  <si>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</si>
  <si>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</si>
  <si>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</si>
  <si>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</si>
  <si>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</si>
  <si>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</si>
  <si>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</si>
  <si>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</si>
  <si>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</si>
  <si>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</si>
  <si>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</si>
  <si>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</si>
  <si>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</si>
  <si>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</si>
  <si>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</si>
  <si>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</si>
  <si>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</si>
  <si>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</si>
  <si>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</si>
  <si>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</si>
  <si>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</si>
  <si>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</si>
  <si>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</si>
  <si>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</si>
  <si>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</si>
  <si>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</si>
  <si>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</si>
  <si>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</si>
  <si>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</si>
  <si>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</si>
  <si>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</si>
  <si>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</si>
  <si>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</si>
  <si>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</si>
  <si>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</si>
  <si>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</si>
  <si>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</si>
  <si>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</si>
  <si>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</si>
  <si>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</si>
  <si>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</si>
  <si>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</si>
  <si>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</si>
  <si>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</si>
  <si>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</si>
  <si>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</si>
  <si>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</si>
  <si>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</si>
  <si>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</si>
  <si>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</si>
  <si>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</si>
  <si>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</si>
  <si>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</si>
  <si>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</si>
  <si>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</si>
  <si>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</si>
  <si>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</si>
  <si>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</si>
  <si>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</si>
  <si>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</si>
  <si>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</si>
  <si>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</si>
  <si>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</si>
  <si>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</si>
  <si>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</si>
  <si>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</si>
  <si>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</si>
  <si>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</si>
  <si>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</si>
  <si>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</si>
  <si>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</si>
  <si>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</si>
  <si>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</si>
  <si>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</si>
  <si>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</si>
  <si>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</si>
  <si>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</si>
  <si>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</si>
  <si>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</si>
  <si>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</si>
  <si>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</si>
  <si>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</si>
  <si>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</si>
  <si>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</si>
  <si>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</si>
  <si>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</si>
  <si>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</si>
  <si>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</si>
  <si>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</si>
  <si>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</si>
  <si>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</si>
  <si>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</si>
  <si>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</si>
  <si>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</si>
  <si>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</si>
  <si>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</si>
  <si>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</si>
  <si>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</si>
  <si>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</si>
  <si>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</si>
  <si>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</si>
  <si>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</si>
  <si>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</si>
  <si>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</si>
  <si>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</si>
  <si>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</si>
  <si>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</si>
  <si>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</si>
  <si>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</si>
  <si>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</si>
  <si>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</si>
  <si>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</si>
  <si>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</si>
  <si>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</si>
  <si>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</si>
  <si>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</si>
  <si>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</si>
  <si>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</si>
  <si>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</si>
  <si>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</si>
  <si>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</si>
  <si>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</si>
  <si>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</si>
  <si>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</si>
  <si>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</si>
  <si>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</si>
  <si>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</si>
  <si>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</si>
  <si>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</si>
  <si>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</si>
  <si>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</si>
  <si>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</si>
  <si>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</si>
  <si>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</si>
  <si>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</si>
  <si>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</si>
  <si>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</si>
  <si>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</si>
  <si>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</si>
  <si>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</si>
  <si>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</si>
  <si>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</si>
  <si>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</si>
  <si>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</si>
  <si>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</si>
  <si>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</si>
  <si>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</si>
  <si>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</si>
  <si>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</si>
  <si>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</si>
  <si>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</si>
  <si>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</si>
  <si>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</si>
  <si>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</si>
  <si>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</si>
  <si>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</si>
  <si>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</si>
  <si>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</si>
  <si>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</si>
  <si>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</si>
  <si>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</si>
  <si>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</si>
  <si>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</si>
  <si>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</si>
  <si>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</si>
  <si>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</si>
  <si>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</si>
  <si>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</si>
  <si>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</si>
  <si>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</si>
  <si>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</si>
  <si>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</si>
  <si>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</si>
  <si>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</si>
  <si>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</si>
  <si>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</si>
  <si>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</si>
  <si>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</si>
  <si>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</si>
  <si>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</si>
  <si>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</si>
  <si>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</si>
  <si>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</si>
  <si>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</si>
  <si>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</si>
  <si>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</si>
  <si>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</si>
  <si>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</si>
  <si>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</si>
  <si>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</si>
  <si>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</si>
  <si>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</si>
  <si>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</si>
  <si>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</si>
  <si>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</si>
  <si>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</si>
  <si>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</si>
  <si>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</si>
  <si>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</si>
  <si>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</si>
  <si>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</si>
  <si>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</si>
  <si>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</si>
  <si>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</si>
  <si>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</si>
  <si>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</si>
  <si>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</si>
  <si>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</si>
  <si>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</si>
  <si>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</si>
  <si>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</si>
  <si>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</si>
  <si>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</si>
  <si>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</si>
  <si>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</si>
  <si>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</si>
  <si>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</si>
  <si>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</si>
  <si>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</si>
  <si>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</si>
  <si>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</si>
  <si>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</si>
  <si>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</si>
  <si>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</si>
  <si>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</si>
  <si>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</si>
  <si>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</si>
  <si>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</si>
  <si>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</si>
  <si>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</si>
  <si>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</si>
  <si>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</si>
  <si>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</si>
  <si>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</si>
  <si>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</si>
  <si>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</si>
  <si>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</si>
  <si>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</si>
  <si>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</si>
  <si>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</si>
  <si>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</si>
  <si>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</si>
  <si>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</si>
  <si>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</si>
  <si>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</si>
  <si>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</si>
  <si>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</si>
  <si>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</si>
  <si>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</si>
  <si>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</si>
  <si>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</si>
  <si>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</si>
  <si>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</si>
  <si>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</si>
  <si>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</si>
  <si>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</si>
  <si>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</si>
  <si>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</si>
  <si>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</si>
  <si>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</si>
  <si>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</si>
  <si>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</si>
  <si>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</si>
  <si>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</si>
  <si>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</si>
  <si>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</si>
  <si>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</si>
  <si>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</si>
  <si>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</si>
  <si>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</si>
  <si>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</si>
  <si>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</si>
  <si>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</si>
  <si>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</si>
  <si>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</si>
  <si>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</si>
  <si>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</si>
  <si>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</si>
  <si>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</si>
  <si>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</si>
  <si>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</si>
  <si>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</si>
  <si>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</si>
  <si>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</si>
  <si>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</si>
  <si>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</si>
  <si>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</si>
  <si>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</si>
  <si>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</si>
  <si>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</si>
  <si>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</si>
  <si>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</si>
  <si>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</si>
  <si>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</si>
  <si>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</si>
  <si>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</si>
  <si>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</si>
  <si>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</si>
  <si>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</si>
  <si>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</si>
  <si>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</si>
  <si>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</si>
  <si>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</si>
  <si>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</si>
  <si>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</si>
  <si>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</si>
  <si>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</si>
  <si>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</si>
  <si>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</si>
  <si>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</si>
  <si>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</si>
  <si>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</si>
  <si>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</si>
  <si>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</si>
  <si>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</si>
  <si>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</si>
  <si>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</si>
  <si>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</si>
  <si>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</si>
  <si>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</si>
  <si>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</si>
  <si>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</si>
  <si>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</si>
  <si>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</si>
  <si>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</si>
  <si>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</si>
  <si>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</si>
  <si>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</si>
  <si>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</si>
  <si>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</si>
  <si>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</si>
  <si>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</si>
  <si>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</si>
  <si>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</si>
  <si>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</si>
  <si>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</si>
  <si>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</si>
  <si>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</si>
  <si>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</si>
  <si>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</si>
  <si>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</si>
  <si>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</si>
  <si>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</si>
  <si>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</si>
  <si>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</si>
  <si>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</si>
  <si>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</si>
  <si>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</si>
  <si>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</si>
  <si>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</si>
  <si>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</si>
  <si>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</si>
  <si>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</si>
  <si>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</si>
  <si>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</si>
  <si>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</si>
  <si>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</si>
  <si>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</si>
  <si>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</si>
  <si>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</si>
  <si>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</si>
  <si>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</si>
  <si>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</si>
  <si>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</si>
  <si>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</si>
  <si>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</si>
  <si>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</si>
  <si>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</si>
  <si>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</si>
  <si>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</si>
  <si>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</si>
  <si>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</si>
  <si>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</si>
  <si>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</si>
  <si>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</si>
  <si>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</si>
  <si>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</si>
  <si>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</si>
  <si>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</si>
  <si>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</si>
  <si>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</si>
  <si>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</si>
  <si>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</si>
  <si>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</si>
  <si>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</si>
  <si>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</si>
  <si>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</si>
  <si>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</si>
  <si>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</si>
  <si>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</si>
  <si>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</si>
  <si>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</si>
  <si>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</si>
  <si>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</si>
  <si>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</si>
  <si>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</si>
  <si>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</si>
  <si>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</si>
  <si>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</si>
  <si>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</si>
  <si>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</si>
  <si>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</si>
  <si>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</si>
  <si>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</si>
  <si>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</si>
  <si>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</si>
  <si>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</si>
  <si>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</si>
  <si>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</si>
  <si>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</si>
  <si>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</si>
  <si>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</si>
  <si>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</si>
  <si>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</si>
  <si>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</si>
  <si>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</si>
  <si>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</si>
  <si>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</si>
  <si>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</si>
  <si>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</si>
  <si>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</si>
  <si>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</si>
  <si>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</si>
  <si>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</si>
  <si>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</si>
  <si>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</si>
  <si>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</si>
  <si>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</si>
  <si>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</si>
  <si>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</si>
  <si>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</si>
  <si>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</si>
  <si>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</si>
  <si>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</si>
  <si>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CCN PROMO </t>
  </si>
  <si>
    <t>Indomie Chicken ® 4 in 1</t>
  </si>
  <si>
    <t>Furqan</t>
  </si>
  <si>
    <t>BA Bakery</t>
  </si>
  <si>
    <t xml:space="preserve">Address: Firdos Market </t>
  </si>
  <si>
    <t>M Sadiq Store</t>
  </si>
  <si>
    <t xml:space="preserve">Address: Guru Mangat </t>
  </si>
  <si>
    <t>Aziz Groccery store</t>
  </si>
  <si>
    <t>Address: Walton</t>
  </si>
  <si>
    <t>Madina Medical Store</t>
  </si>
  <si>
    <t>Address: Shah Taj Colony</t>
  </si>
  <si>
    <t>Rana super Store</t>
  </si>
  <si>
    <t>Address: Qadri Colony</t>
  </si>
  <si>
    <t>Madina medical Store</t>
  </si>
  <si>
    <t>Address:Qadri Colony</t>
  </si>
  <si>
    <t>AB Store</t>
  </si>
  <si>
    <t>Iftakhar Pharmacy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</si>
</sst>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513</v>
      </c>
      <c r="D13" s="166" t="s">
        <v>513</v>
      </c>
      <c r="E13" s="178" t="s">
        <v>514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F36" sqref="F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497</v>
      </c>
      <c r="F2" s="357"/>
      <c r="G2" s="357"/>
      <c r="H2" s="354" t="s">
        <v>515</v>
      </c>
      <c r="I2" s="354"/>
      <c r="J2" s="355"/>
      <c r="R2" s="351" t="s">
        <v>496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507</v>
      </c>
      <c r="F3" s="361"/>
      <c r="G3" s="361"/>
      <c r="H3" s="358">
        <v>46326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BA Bakery</v>
      </c>
      <c r="T3" s="301">
        <f>+'1'!P35</f>
        <v>5401.2631679237293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 Sadiq Store</v>
      </c>
      <c r="T4" s="301">
        <f>+'2'!P35</f>
        <v>1132.5257914194915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>Aziz Groccery store</v>
      </c>
      <c r="T5" s="301">
        <f>+'3'!P35</f>
        <v>10802.526335847459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492</v>
      </c>
      <c r="M6" s="363"/>
      <c r="N6" s="365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>Madina Medical Store</v>
      </c>
      <c r="T6" s="301">
        <f>+'4'!P35</f>
        <v>2082.0999775423729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148</v>
      </c>
      <c r="I7" s="235">
        <f>(G7*D7)*F7+H7*F7</f>
        <v>7764.45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621.15599999999995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271.75575000000003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6871.5382499999996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1467.4576271186434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41.694979385593214</v>
      </c>
      <c r="P7" s="310">
        <f>M7+N7+O7</f>
        <v>8380.6908565042359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Rana super Store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671.52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293.79000000000002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7428.6900000000005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45.075653389830507</v>
      </c>
      <c r="P8" s="311">
        <f t="shared" ref="P8:P15" si="2">M8+N8+O8</f>
        <v>9060.206331355932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Madina medical Store</v>
      </c>
      <c r="T8" s="301">
        <f>+'6'!P35</f>
        <v>679.51547485169476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AB Store</v>
      </c>
      <c r="T9" s="301">
        <f>+'7'!P35</f>
        <v>6220.1678008347462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Iftakhar Pharmacy</v>
      </c>
      <c r="T10" s="301">
        <f>+'8'!P35</f>
        <v>2265.051582838983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78</v>
      </c>
      <c r="I11" s="236">
        <f t="shared" si="0"/>
        <v>5665.92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453.27360000000004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198.30720000000002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5014.3392000000003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1070.8474576271187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30.425933288135596</v>
      </c>
      <c r="P11" s="311">
        <f t="shared" si="2"/>
        <v>6115.6125909152543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93</v>
      </c>
      <c r="I12" s="236">
        <f t="shared" si="0"/>
        <v>6755.52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540.44159999999999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236.44320000000002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5978.6352000000006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1276.7796610169494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36.277074305084753</v>
      </c>
      <c r="P12" s="311">
        <f t="shared" si="2"/>
        <v>7291.6919353220355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513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11.975</v>
      </c>
      <c r="H16" s="113">
        <f t="shared" ref="H16:M16" si="3">SUM(H7:H15)</f>
        <v>479</v>
      </c>
      <c r="I16" s="114">
        <f t="shared" si="3"/>
        <v>28579.890000000003</v>
      </c>
      <c r="J16" s="274">
        <f>SUM(J7:J15)</f>
        <v>2286.3912</v>
      </c>
      <c r="K16" s="275">
        <f t="shared" si="3"/>
        <v>1000.29615</v>
      </c>
      <c r="L16" s="276">
        <f t="shared" si="3"/>
        <v>0</v>
      </c>
      <c r="M16" s="232">
        <f t="shared" si="3"/>
        <v>25293.202650000003</v>
      </c>
      <c r="N16" s="233">
        <f>SUM(N7:N15)</f>
        <v>5401.5254237288136</v>
      </c>
      <c r="O16" s="101">
        <f>SUM(O7:O15)</f>
        <v>153.47364036864406</v>
      </c>
      <c r="P16" s="113">
        <f>SUM(P7:P15)</f>
        <v>30848.201714097457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28579.890000000003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2286.3912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1000.29615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25293.202650000003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5401.5254237288136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30694.728073728817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153.47364036864406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30848.20171409746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30848.201714097464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400.32799999999997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1049.25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83.94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36.723750000000003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928.58624999999995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1126.8913347457626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5" t="s">
        <v>88</v>
      </c>
      <c r="O35" s="346"/>
      <c r="P35" s="297">
        <f>+P33+P34</f>
        <v>1132.5257914194915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8.7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8857.2570000000014</v>
      </c>
      <c r="N25" s="233">
        <f>SUM(N16:N24)</f>
        <v>1891.5254237288132</v>
      </c>
      <c r="O25" s="101">
        <f>SUM(O16:O24)</f>
        <v>53.743912118644062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800.65599999999995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350.28700000000003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8857.2570000000014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10748.782423728815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45" t="s">
        <v>88</v>
      </c>
      <c r="O35" s="346"/>
      <c r="P35" s="297">
        <f>+P33+P34</f>
        <v>10802.526335847459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31</v>
      </c>
      <c r="I25" s="114">
        <f t="shared" si="7"/>
        <v>1929</v>
      </c>
      <c r="J25" s="274">
        <f>SUM(J16:J24)</f>
        <v>154.32</v>
      </c>
      <c r="K25" s="275">
        <f t="shared" si="7"/>
        <v>67.515000000000001</v>
      </c>
      <c r="L25" s="276">
        <f t="shared" si="7"/>
        <v>0</v>
      </c>
      <c r="M25" s="232">
        <f t="shared" si="7"/>
        <v>1707.165</v>
      </c>
      <c r="N25" s="233">
        <f>SUM(N16:N24)</f>
        <v>364.57627118644064</v>
      </c>
      <c r="O25" s="101">
        <f>SUM(O16:O24)</f>
        <v>10.358706355932203</v>
      </c>
      <c r="P25" s="234">
        <f>SUM(P16:P24)</f>
        <v>2082.0999775423725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1929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154.32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67.515000000000001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1707.165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364.57627118644064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2071.7412711864408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10.358706355932204</v>
      </c>
    </row>
    <row r="35" spans="2:16" ht="15.75" customHeight="1" thickBot="1" x14ac:dyDescent="0.4">
      <c r="N35" s="345" t="s">
        <v>88</v>
      </c>
      <c r="O35" s="346"/>
      <c r="P35" s="297">
        <f>+P33+P34</f>
        <v>2082.0999775423729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50.363999999999997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24</v>
      </c>
      <c r="I16" s="235">
        <f>(G16*D16)*F16+H16*F16</f>
        <v>1259.0999999999999</v>
      </c>
      <c r="J16" s="271">
        <f>$I16*S16</f>
        <v>100.72799999999999</v>
      </c>
      <c r="K16" s="127">
        <f>$I16*T16</f>
        <v>44.0685</v>
      </c>
      <c r="L16" s="118">
        <f>$I16*U16</f>
        <v>0</v>
      </c>
      <c r="M16" s="229">
        <f>I16-SUM(J16:L16)</f>
        <v>1114.3035</v>
      </c>
      <c r="N16" s="248">
        <f>+(G16*D16+H16)*V16</f>
        <v>237.96610169491515</v>
      </c>
      <c r="O16" s="238">
        <f>(N16+M16)*$O$15</f>
        <v>6.7613480084745756</v>
      </c>
      <c r="P16" s="118">
        <f>M16+N16+O16</f>
        <v>1359.0309497033898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36</v>
      </c>
      <c r="I17" s="236">
        <f t="shared" ref="I17:I23" si="0">(G17*D17)*F17+H17*F17</f>
        <v>1888.6499999999999</v>
      </c>
      <c r="J17" s="272">
        <f t="shared" ref="J17:L24" si="1">$I17*S17</f>
        <v>151.09199999999998</v>
      </c>
      <c r="K17" s="128">
        <f>$I17*T17</f>
        <v>66.10275</v>
      </c>
      <c r="L17" s="119">
        <f>$I17*U17</f>
        <v>0</v>
      </c>
      <c r="M17" s="230">
        <f t="shared" ref="M17:M24" si="2">I17-SUM(J17:L17)</f>
        <v>1671.45525</v>
      </c>
      <c r="N17" s="277">
        <f t="shared" ref="N17:N24" si="3">+(G17*D17+H17)*V17</f>
        <v>356.94915254237276</v>
      </c>
      <c r="O17" s="239">
        <f t="shared" ref="O17:O24" si="4">(N17+M17)*$O$15</f>
        <v>10.142022012711864</v>
      </c>
      <c r="P17" s="119">
        <f t="shared" ref="P17:P24" si="5">M17+N17+O17</f>
        <v>2038.5464245550845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18</v>
      </c>
      <c r="I20" s="236">
        <f t="shared" si="0"/>
        <v>1307.52</v>
      </c>
      <c r="J20" s="272">
        <f t="shared" si="1"/>
        <v>104.6016</v>
      </c>
      <c r="K20" s="128">
        <f t="shared" si="1"/>
        <v>45.763200000000005</v>
      </c>
      <c r="L20" s="119">
        <f t="shared" si="1"/>
        <v>0</v>
      </c>
      <c r="M20" s="230">
        <f t="shared" si="2"/>
        <v>1157.1551999999999</v>
      </c>
      <c r="N20" s="277">
        <f t="shared" si="3"/>
        <v>247.11864406779662</v>
      </c>
      <c r="O20" s="239">
        <f t="shared" si="4"/>
        <v>7.0213692203389826</v>
      </c>
      <c r="P20" s="119">
        <f t="shared" si="5"/>
        <v>1411.2952132881355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18</v>
      </c>
      <c r="I21" s="236">
        <f t="shared" si="0"/>
        <v>1307.52</v>
      </c>
      <c r="J21" s="272">
        <f t="shared" si="1"/>
        <v>104.6016</v>
      </c>
      <c r="K21" s="128">
        <f t="shared" si="1"/>
        <v>45.763200000000005</v>
      </c>
      <c r="L21" s="119">
        <f t="shared" si="1"/>
        <v>0</v>
      </c>
      <c r="M21" s="230">
        <f t="shared" si="2"/>
        <v>1157.1551999999999</v>
      </c>
      <c r="N21" s="277">
        <f t="shared" si="3"/>
        <v>247.11864406779662</v>
      </c>
      <c r="O21" s="239">
        <f t="shared" si="4"/>
        <v>7.0213692203389826</v>
      </c>
      <c r="P21" s="119">
        <f t="shared" si="5"/>
        <v>1411.2952132881355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96</v>
      </c>
      <c r="I25" s="114">
        <f t="shared" si="7"/>
        <v>5762.7900000000009</v>
      </c>
      <c r="J25" s="274">
        <f>SUM(J16:J24)</f>
        <v>461.02320000000003</v>
      </c>
      <c r="K25" s="275">
        <f t="shared" si="7"/>
        <v>201.69765000000001</v>
      </c>
      <c r="L25" s="276">
        <f t="shared" si="7"/>
        <v>0</v>
      </c>
      <c r="M25" s="232">
        <f t="shared" si="7"/>
        <v>5100.0691500000003</v>
      </c>
      <c r="N25" s="233">
        <f>SUM(N16:N24)</f>
        <v>1089.152542372881</v>
      </c>
      <c r="O25" s="101">
        <f>SUM(O16:O24)</f>
        <v>30.946108461864405</v>
      </c>
      <c r="P25" s="234">
        <f>SUM(P16:P24)</f>
        <v>6220.1678008347453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5762.7900000000009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461.02320000000003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201.69765000000001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5100.0691500000012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1089.152542372881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6189.221692372882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30.946108461864412</v>
      </c>
    </row>
    <row r="35" spans="2:16" ht="15.75" customHeight="1" thickBot="1" x14ac:dyDescent="0.4">
      <c r="N35" s="345" t="s">
        <v>88</v>
      </c>
      <c r="O35" s="346"/>
      <c r="P35" s="297">
        <f>+P33+P34</f>
        <v>6220.1678008347462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525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8.7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 t="e">
        <f>I25</f>
        <v>#N/A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 t="e">
        <f>K25</f>
        <v>#N/A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 t="e">
        <f>J25</f>
        <v>#N/A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 t="e">
        <f>O28-O29-O30</f>
        <v>#N/A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 t="e">
        <f>O31+O32</f>
        <v>#N/A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45" t="s">
        <v>88</v>
      </c>
      <c r="N35" s="346"/>
      <c r="O35" s="141" t="e">
        <f>O28-O29+O31+O34</f>
        <v>#N/A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483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475</v>
      </c>
      <c r="D6" s="409"/>
      <c r="E6" s="409"/>
      <c r="F6" s="409"/>
      <c r="G6" s="409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483</v>
      </c>
      <c r="N7" s="407"/>
      <c r="O7" s="408"/>
      <c r="P7" s="256" t="s">
        <v>474</v>
      </c>
      <c r="Q7" s="242" t="s">
        <v>472</v>
      </c>
      <c r="R7" s="404" t="s">
        <v>474</v>
      </c>
      <c r="S7" s="404" t="s">
        <v>484</v>
      </c>
      <c r="T7" s="402" t="s">
        <v>485</v>
      </c>
      <c r="U7" s="402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476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483</v>
      </c>
      <c r="N13" s="407"/>
      <c r="O13" s="408"/>
      <c r="P13" s="256" t="s">
        <v>474</v>
      </c>
      <c r="Q13" s="242" t="s">
        <v>472</v>
      </c>
      <c r="R13" s="404" t="s">
        <v>474</v>
      </c>
      <c r="S13" s="404" t="s">
        <v>484</v>
      </c>
      <c r="T13" s="402" t="s">
        <v>485</v>
      </c>
      <c r="U13" s="402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477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483</v>
      </c>
      <c r="N20" s="407"/>
      <c r="O20" s="408"/>
      <c r="P20" s="256" t="s">
        <v>474</v>
      </c>
      <c r="Q20" s="242" t="s">
        <v>472</v>
      </c>
      <c r="R20" s="404" t="s">
        <v>474</v>
      </c>
      <c r="S20" s="404" t="s">
        <v>484</v>
      </c>
      <c r="T20" s="402" t="s">
        <v>485</v>
      </c>
      <c r="U20" s="402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478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483</v>
      </c>
      <c r="N27" s="407"/>
      <c r="O27" s="408"/>
      <c r="P27" s="256" t="s">
        <v>474</v>
      </c>
      <c r="Q27" s="242" t="s">
        <v>472</v>
      </c>
      <c r="R27" s="404" t="s">
        <v>474</v>
      </c>
      <c r="S27" s="404" t="s">
        <v>484</v>
      </c>
      <c r="T27" s="402" t="s">
        <v>485</v>
      </c>
      <c r="U27" s="402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483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2026-10-30T11:55:43Z</dcterms:modified>
</cp:coreProperties>
</file>