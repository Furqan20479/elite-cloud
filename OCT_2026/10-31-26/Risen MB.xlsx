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CA77996-82F6-4F82-A64A-4EF2ADEDCB7B}" xr6:coauthVersionLast="47" xr6:coauthVersionMax="47" xr10:uidLastSave="{00000000-0000-0000-0000-000000000000}"/>
  <bookViews>
    <workbookView xWindow="-110" yWindow="-110" windowWidth="19420" windowHeight="10420" tabRatio="872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 s="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3" l="1"/>
  <c r="O20" i="43" s="1"/>
  <c r="P20" i="43" s="1"/>
  <c r="R20" i="43" s="1"/>
  <c r="M23" i="60"/>
  <c r="M16" i="48"/>
  <c r="M20" i="71"/>
  <c r="O20" i="71" s="1"/>
  <c r="P20" i="71" s="1"/>
  <c r="R20" i="71" s="1"/>
  <c r="M20" i="48"/>
  <c r="O20" i="48" s="1"/>
  <c r="P20" i="48" s="1"/>
  <c r="R20" i="48" s="1"/>
  <c r="M22" i="52"/>
  <c r="O22" i="52" s="1"/>
  <c r="P22" i="52" s="1"/>
  <c r="M21" i="69"/>
  <c r="O21" i="69" s="1"/>
  <c r="P21" i="69" s="1"/>
  <c r="M23" i="56"/>
  <c r="O23" i="56" s="1"/>
  <c r="P23" i="56" s="1"/>
  <c r="M16" i="65"/>
  <c r="M16" i="72"/>
  <c r="M22" i="43"/>
  <c r="O22" i="43" s="1"/>
  <c r="P22" i="43" s="1"/>
  <c r="M23" i="59"/>
  <c r="M23" i="44"/>
  <c r="O23" i="44" s="1"/>
  <c r="P23" i="44" s="1"/>
  <c r="M16" i="44"/>
  <c r="M20" i="70"/>
  <c r="O20" i="70" s="1"/>
  <c r="P20" i="70" s="1"/>
  <c r="R20" i="70" s="1"/>
  <c r="M23" i="65"/>
  <c r="J7" i="62"/>
  <c r="K12" i="62"/>
  <c r="M17" i="56"/>
  <c r="O17" i="56" s="1"/>
  <c r="P17" i="56" s="1"/>
  <c r="M17" i="44"/>
  <c r="O17" i="44" s="1"/>
  <c r="P17" i="44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0" i="53"/>
  <c r="O20" i="53" s="1"/>
  <c r="P20" i="53" s="1"/>
  <c r="R20" i="53" s="1"/>
  <c r="M21" i="43"/>
  <c r="O21" i="43" s="1"/>
  <c r="P21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1" i="51"/>
  <c r="M23" i="72"/>
  <c r="O23" i="72" s="1"/>
  <c r="P23" i="72" s="1"/>
  <c r="M23" i="64"/>
  <c r="O23" i="64" s="1"/>
  <c r="P23" i="64" s="1"/>
  <c r="M23" i="53"/>
  <c r="O23" i="53" s="1"/>
  <c r="P23" i="53" s="1"/>
  <c r="M21" i="68"/>
  <c r="O21" i="68" s="1"/>
  <c r="P21" i="68" s="1"/>
  <c r="M20" i="46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O16" i="66" s="1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4" i="71"/>
  <c r="P24" i="71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3" i="59" l="1"/>
  <c r="P23" i="59" s="1"/>
  <c r="P25" i="59" s="1"/>
  <c r="M12" i="62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<sst xmlns="http://schemas.openxmlformats.org/spreadsheetml/2006/main" count="3950" uniqueCount="527">
  <si>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</si>
  <si>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</si>
  <si>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</si>
  <si>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</si>
  <si>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</si>
  <si>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</si>
  <si>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</si>
  <si>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</si>
  <si>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</si>
  <si>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</si>
  <si>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</si>
  <si>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</si>
  <si>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</si>
  <si>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</si>
  <si>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</si>
  <si>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</si>
  <si>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</si>
  <si>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</si>
  <si>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</si>
  <si>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</si>
  <si>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</si>
  <si>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</si>
  <si>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</si>
  <si>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</si>
  <si>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</si>
  <si>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</si>
  <si>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</si>
  <si>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</si>
  <si>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</si>
  <si>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</si>
  <si>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</si>
  <si>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</si>
  <si>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</si>
  <si>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</si>
  <si>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</si>
  <si>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</si>
  <si>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</si>
  <si>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</si>
  <si>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</si>
  <si>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</si>
  <si>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</si>
  <si>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</si>
  <si>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</si>
  <si>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</si>
  <si>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</si>
  <si>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</si>
  <si>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</si>
  <si>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</si>
  <si>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</si>
  <si>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</si>
  <si>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</si>
  <si>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</si>
  <si>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</si>
  <si>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</si>
  <si>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</si>
  <si>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</si>
  <si>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</si>
  <si>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</si>
  <si>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</si>
  <si>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</si>
  <si>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</si>
  <si>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</si>
  <si>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</si>
  <si>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</si>
  <si>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</si>
  <si>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</si>
  <si>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</si>
  <si>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</si>
  <si>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</si>
  <si>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</si>
  <si>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</si>
  <si>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</si>
  <si>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</si>
  <si>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</si>
  <si>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</si>
  <si>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</si>
  <si>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</si>
  <si>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</si>
  <si>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</si>
  <si>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</si>
  <si>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</si>
  <si>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</si>
  <si>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</si>
  <si>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</si>
  <si>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</si>
  <si>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</si>
  <si>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</si>
  <si>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</si>
  <si>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</si>
  <si>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</si>
  <si>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</si>
  <si>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</si>
  <si>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</si>
  <si>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</si>
  <si>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</si>
  <si>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</si>
  <si>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</si>
  <si>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</si>
  <si>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</si>
  <si>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</si>
  <si>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</si>
  <si>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</si>
  <si>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</si>
  <si>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</si>
  <si>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</si>
  <si>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</si>
  <si>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</si>
  <si>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</si>
  <si>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</si>
  <si>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</si>
  <si>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</si>
  <si>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</si>
  <si>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</si>
  <si>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</si>
  <si>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</si>
  <si>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</si>
  <si>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</si>
  <si>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</si>
  <si>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</si>
  <si>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</si>
  <si>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</si>
  <si>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</si>
  <si>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</si>
  <si>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</si>
  <si>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</si>
  <si>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</si>
  <si>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</si>
  <si>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</si>
  <si>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</si>
  <si>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</si>
  <si>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</si>
  <si>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</si>
  <si>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</si>
  <si>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</si>
  <si>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</si>
  <si>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</si>
  <si>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</si>
  <si>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</si>
  <si>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</si>
  <si>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</si>
  <si>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</si>
  <si>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</si>
  <si>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</si>
  <si>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</si>
  <si>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</si>
  <si>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</si>
  <si>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</si>
  <si>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</si>
  <si>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</si>
  <si>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</si>
  <si>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</si>
  <si>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</si>
  <si>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</si>
  <si>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</si>
  <si>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</si>
  <si>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</si>
  <si>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</si>
  <si>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</si>
  <si>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</si>
  <si>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</si>
  <si>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</si>
  <si>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</si>
  <si>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</si>
  <si>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</si>
  <si>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</si>
  <si>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</si>
  <si>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</si>
  <si>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</si>
  <si>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</si>
  <si>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</si>
  <si>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</si>
  <si>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</si>
  <si>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</si>
  <si>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</si>
  <si>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</si>
  <si>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</si>
  <si>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</si>
  <si>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</si>
  <si>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</si>
  <si>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</si>
  <si>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</si>
  <si>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</si>
  <si>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</si>
  <si>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</si>
  <si>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</si>
  <si>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</si>
  <si>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</si>
  <si>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</si>
  <si>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</si>
  <si>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</si>
  <si>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</si>
  <si>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</si>
  <si>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</si>
  <si>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</si>
  <si>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</si>
  <si>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</si>
  <si>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</si>
  <si>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</si>
  <si>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</si>
  <si>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</si>
  <si>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</si>
  <si>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</si>
  <si>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</si>
  <si>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</si>
  <si>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</si>
  <si>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</si>
  <si>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</si>
  <si>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</si>
  <si>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</si>
  <si>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</si>
  <si>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</si>
  <si>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</si>
  <si>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</si>
  <si>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</si>
  <si>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</si>
  <si>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</si>
  <si>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</si>
  <si>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</si>
  <si>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</si>
  <si>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</si>
  <si>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</si>
  <si>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</si>
  <si>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</si>
  <si>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</si>
  <si>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</si>
  <si>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</si>
  <si>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</si>
  <si>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</si>
  <si>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</si>
  <si>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</si>
  <si>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</si>
  <si>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</si>
  <si>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</si>
  <si>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</si>
  <si>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</si>
  <si>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</si>
  <si>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</si>
  <si>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</si>
  <si>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</si>
  <si>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</si>
  <si>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</si>
  <si>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</si>
  <si>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</si>
  <si>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</si>
  <si>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</si>
  <si>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</si>
  <si>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</si>
  <si>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</si>
  <si>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</si>
  <si>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</si>
  <si>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</si>
  <si>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</si>
  <si>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</si>
  <si>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</si>
  <si>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</si>
  <si>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</si>
  <si>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</si>
  <si>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</si>
  <si>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</si>
  <si>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</si>
  <si>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</si>
  <si>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</si>
  <si>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</si>
  <si>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</si>
  <si>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</si>
  <si>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</si>
  <si>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</si>
  <si>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</si>
  <si>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</si>
  <si>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</si>
  <si>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</si>
  <si>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</si>
  <si>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</si>
  <si>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</si>
  <si>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</si>
  <si>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</si>
  <si>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</si>
  <si>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</si>
  <si>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</si>
  <si>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</si>
  <si>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</si>
  <si>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</si>
  <si>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</si>
  <si>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</si>
  <si>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</si>
  <si>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</si>
  <si>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</si>
  <si>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</si>
  <si>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</si>
  <si>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</si>
  <si>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</si>
  <si>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</si>
  <si>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</si>
  <si>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</si>
  <si>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</si>
  <si>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</si>
  <si>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</si>
  <si>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</si>
  <si>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</si>
  <si>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</si>
  <si>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</si>
  <si>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</si>
  <si>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</si>
  <si>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</si>
  <si>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</si>
  <si>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</si>
  <si>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</si>
  <si>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</si>
  <si>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</si>
  <si>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</si>
  <si>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</si>
  <si>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</si>
  <si>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</si>
  <si>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</si>
  <si>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</si>
  <si>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</si>
  <si>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</si>
  <si>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</si>
  <si>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</si>
  <si>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</si>
  <si>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</si>
  <si>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</si>
  <si>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</si>
  <si>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</si>
  <si>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</si>
  <si>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</si>
  <si>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</si>
  <si>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</si>
  <si>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</si>
  <si>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</si>
  <si>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</si>
  <si>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</si>
  <si>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</si>
  <si>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</si>
  <si>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</si>
  <si>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</si>
  <si>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</si>
  <si>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</si>
  <si>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</si>
  <si>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</si>
  <si>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</si>
  <si>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</si>
  <si>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</si>
  <si>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</si>
  <si>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</si>
  <si>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</si>
  <si>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</si>
  <si>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</si>
  <si>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</si>
  <si>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</si>
  <si>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</si>
  <si>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</si>
  <si>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</si>
  <si>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</si>
  <si>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</si>
  <si>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</si>
  <si>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</si>
  <si>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</si>
  <si>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</si>
  <si>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</si>
  <si>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</si>
  <si>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</si>
  <si>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</si>
  <si>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</si>
  <si>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</si>
  <si>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</si>
  <si>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</si>
  <si>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</si>
  <si>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</si>
  <si>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</si>
  <si>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</si>
  <si>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</si>
  <si>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</si>
  <si>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</si>
  <si>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</si>
  <si>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</si>
  <si>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</si>
  <si>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</si>
  <si>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</si>
  <si>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</si>
  <si>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</si>
  <si>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</si>
  <si>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</si>
  <si>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</si>
  <si>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</si>
  <si>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</si>
  <si>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</si>
  <si>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</si>
  <si>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</si>
  <si>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</si>
  <si>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</si>
  <si>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</si>
  <si>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</si>
  <si>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</si>
  <si>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</si>
  <si>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</si>
  <si>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</si>
  <si>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</si>
  <si>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</si>
  <si>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</si>
  <si>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</si>
  <si>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</si>
  <si>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</si>
  <si>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</si>
  <si>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</si>
  <si>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</si>
  <si>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</si>
  <si>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</si>
  <si>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</si>
  <si>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</si>
  <si>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</si>
  <si>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</si>
  <si>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</si>
  <si>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</si>
  <si>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</si>
  <si>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</si>
  <si>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</si>
  <si>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</si>
  <si>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</si>
  <si>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</si>
  <si>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</si>
  <si>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</si>
  <si>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</si>
  <si>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</si>
  <si>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</si>
  <si>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</si>
  <si>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</si>
  <si>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</si>
  <si>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</si>
  <si>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</si>
  <si>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</si>
  <si>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</si>
  <si>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</si>
  <si>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</si>
  <si>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</si>
  <si>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</si>
  <si>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</si>
  <si>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</si>
  <si>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</si>
  <si>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</si>
  <si>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</si>
  <si>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</si>
  <si>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</si>
  <si>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</si>
  <si>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</si>
  <si>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</si>
  <si>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</si>
  <si>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</si>
  <si>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</si>
  <si>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</si>
  <si>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</si>
  <si>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</si>
  <si>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</si>
  <si>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</si>
  <si>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</si>
  <si>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</si>
  <si>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</si>
  <si>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</si>
  <si>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</si>
  <si>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</si>
  <si>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</si>
  <si>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</si>
  <si>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</si>
  <si>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</si>
  <si>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</si>
  <si>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</si>
  <si>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</si>
  <si>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</si>
  <si>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</si>
  <si>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</si>
  <si>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</si>
  <si>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</si>
  <si>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</si>
  <si>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</si>
  <si>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</si>
  <si>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</si>
  <si>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</si>
  <si>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</si>
  <si>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</si>
  <si>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</si>
  <si>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</si>
  <si>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</si>
  <si>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</si>
  <si>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</si>
  <si>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</si>
  <si>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</si>
  <si>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</si>
  <si>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</si>
  <si>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</si>
  <si>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</si>
  <si>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</si>
  <si>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</si>
  <si>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</si>
  <si>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</si>
  <si>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</si>
  <si>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</si>
  <si>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</si>
  <si>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</si>
  <si>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</si>
  <si>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</si>
  <si>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</si>
  <si>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</si>
  <si>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</si>
  <si>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</si>
  <si>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</si>
  <si>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</si>
  <si>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</si>
  <si>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</si>
  <si>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</si>
  <si>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</si>
  <si>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</si>
  <si>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</si>
  <si>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Rafaqat Sons</t>
  </si>
  <si>
    <t>Number</t>
  </si>
  <si>
    <t>327787628553-1</t>
  </si>
  <si>
    <t xml:space="preserve">SB Traders </t>
  </si>
  <si>
    <t xml:space="preserve">NTN #: 4655329-3 </t>
  </si>
  <si>
    <t xml:space="preserve">Address: Shadbagh </t>
  </si>
  <si>
    <t>Invoice No # :01210</t>
  </si>
  <si>
    <t xml:space="preserve">MB Traders </t>
  </si>
  <si>
    <t>Address: Askari 11</t>
  </si>
  <si>
    <t>NTN #: 5526536-5</t>
  </si>
  <si>
    <t>Invoice No # :0145</t>
  </si>
  <si>
    <t>_CB TRADERS</t>
  </si>
  <si>
    <t>NTN #: 4987374-2</t>
  </si>
  <si>
    <t>Invoice No # :0121564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</si>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</sst>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7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40" fillId="0" borderId="3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512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f ca="1">TODAY()</f>
        <v>46325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00" t="str">
        <f>+'1'!A6:A6</f>
        <v xml:space="preserve">MB Traders </v>
      </c>
      <c r="T3" s="301">
        <f>+'1'!P35</f>
        <v>9189.6251552542362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_CB TRADERS</v>
      </c>
      <c r="T4" s="301">
        <f>+'2'!P35</f>
        <v>8338.7435405084743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SB Traders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SB Traders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SB Traders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1804.71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11.006600847457626</v>
      </c>
      <c r="P8" s="311">
        <f t="shared" ref="P8:P15" si="2">M8+N8+O8</f>
        <v>2212.3267703389829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SB Traders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SB Traders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SB Traders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120</v>
      </c>
      <c r="I11" s="236">
        <f t="shared" si="0"/>
        <v>8716.7999999999993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1220.3520000000001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7496.4479999999994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45.719528135593215</v>
      </c>
      <c r="P11" s="311">
        <f t="shared" si="2"/>
        <v>9189.6251552542362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SB Traders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4997.6319999999996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30.47968542372881</v>
      </c>
      <c r="P12" s="311">
        <f t="shared" si="2"/>
        <v>6126.4167701694905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SB Traders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SB Traders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SB Traders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SB Traders </v>
      </c>
      <c r="T15" s="301">
        <f>+'13'!P35</f>
        <v>0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117">
        <f>H16/40</f>
        <v>6</v>
      </c>
      <c r="H16" s="113">
        <f t="shared" ref="H16:M16" si="3">SUM(H7:H15)</f>
        <v>240</v>
      </c>
      <c r="I16" s="114">
        <f t="shared" si="3"/>
        <v>16626.5</v>
      </c>
      <c r="J16" s="274">
        <f>SUM(J7:J15)</f>
        <v>2327.71</v>
      </c>
      <c r="K16" s="275">
        <f t="shared" si="3"/>
        <v>0</v>
      </c>
      <c r="L16" s="276">
        <f t="shared" si="3"/>
        <v>0</v>
      </c>
      <c r="M16" s="232">
        <f t="shared" si="3"/>
        <v>14298.789999999999</v>
      </c>
      <c r="N16" s="233">
        <f>SUM(N7:N15)</f>
        <v>3142.3728813559323</v>
      </c>
      <c r="O16" s="101">
        <f>SUM(O7:O15)</f>
        <v>87.205814406779652</v>
      </c>
      <c r="P16" s="113">
        <f>SUM(P7:P15)</f>
        <v>17528.368695762711</v>
      </c>
      <c r="Q16" s="128">
        <f>SUM(Q7:Q15)</f>
        <v>0</v>
      </c>
      <c r="R16" s="314">
        <v>14</v>
      </c>
      <c r="S16" s="300" t="str">
        <f>+'14'!A6:A6</f>
        <v xml:space="preserve">SB Traders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SB Traders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SB Traders </v>
      </c>
      <c r="T18" s="301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16626.5</v>
      </c>
      <c r="R19" s="299">
        <v>17</v>
      </c>
      <c r="S19" s="300" t="str">
        <f>+'17'!A6:A6</f>
        <v xml:space="preserve">SB Traders </v>
      </c>
      <c r="T19" s="301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2327.71</v>
      </c>
      <c r="R20" s="299">
        <v>18</v>
      </c>
      <c r="S20" s="300" t="str">
        <f>+'18'!A6:A6</f>
        <v xml:space="preserve">SB Traders </v>
      </c>
      <c r="T20" s="301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0</v>
      </c>
      <c r="R21" s="299">
        <v>19</v>
      </c>
      <c r="S21" s="300" t="str">
        <f>+'19'!A6:A6</f>
        <v xml:space="preserve">SB Traders </v>
      </c>
      <c r="T21" s="301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14298.79</v>
      </c>
      <c r="R22" s="299">
        <v>20</v>
      </c>
      <c r="S22" s="300" t="str">
        <f>+'20'!A6:A6</f>
        <v xml:space="preserve">SB Traders </v>
      </c>
      <c r="T22" s="301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3142.3728813559323</v>
      </c>
      <c r="R23" s="299">
        <v>21</v>
      </c>
      <c r="S23" s="300" t="str">
        <f>+'21'!A6:A6</f>
        <v xml:space="preserve">SB Traders </v>
      </c>
      <c r="T23" s="301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17441.162881355933</v>
      </c>
      <c r="R24" s="299">
        <v>22</v>
      </c>
      <c r="S24" s="300" t="str">
        <f>+'22'!A6:A6</f>
        <v xml:space="preserve">SB Traders </v>
      </c>
      <c r="T24" s="301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87.205814406779652</v>
      </c>
      <c r="R25" s="299">
        <v>23</v>
      </c>
      <c r="S25" s="300" t="str">
        <f>+'23'!A6:A6</f>
        <v xml:space="preserve">SB Traders </v>
      </c>
      <c r="T25" s="301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17528.368695762714</v>
      </c>
      <c r="R26" s="299">
        <v>24</v>
      </c>
      <c r="S26" s="300" t="str">
        <f>+'24'!A6:A6</f>
        <v xml:space="preserve">SB Traders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00" t="str">
        <f>+'25'!A6:A6</f>
        <v xml:space="preserve">SB Traders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SB Traders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SB Traders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SB Traders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SB Traders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SB Traders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17528.368695762711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I12" sqref="I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522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46326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46325</v>
      </c>
      <c r="O5" s="395"/>
      <c r="P5" s="395"/>
      <c r="R5" s="85"/>
      <c r="S5" s="266"/>
    </row>
    <row r="6" spans="1:22 16383:16384" ht="17.25" customHeight="1" x14ac:dyDescent="0.4">
      <c r="A6" s="401" t="s">
        <v>519</v>
      </c>
      <c r="B6" s="401"/>
      <c r="C6" s="401"/>
      <c r="F6" s="85"/>
      <c r="G6" s="86"/>
      <c r="K6" s="396" t="s">
        <v>69</v>
      </c>
      <c r="L6" s="396"/>
      <c r="M6" s="396"/>
      <c r="N6" s="398" t="s">
        <v>500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521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520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A13" t="s">
        <v>513</v>
      </c>
      <c r="B13" t="s">
        <v>514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19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318">
        <v>0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19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20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21"/>
      <c r="S17" s="269">
        <f>+S16</f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1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21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0</v>
      </c>
      <c r="L20" s="119">
        <f t="shared" si="1"/>
        <v>0</v>
      </c>
      <c r="M20" s="230">
        <f t="shared" si="2"/>
        <v>2498.8159999999998</v>
      </c>
      <c r="N20" s="277">
        <f t="shared" si="3"/>
        <v>549.15254237288138</v>
      </c>
      <c r="O20" s="239">
        <f t="shared" si="4"/>
        <v>15.239842711864405</v>
      </c>
      <c r="P20" s="119">
        <f t="shared" si="5"/>
        <v>3063.2083850847453</v>
      </c>
      <c r="Q20" s="321"/>
      <c r="S20" s="269">
        <f>+S19</f>
        <v>0.14000000000000001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0</v>
      </c>
      <c r="L21" s="119">
        <f t="shared" si="1"/>
        <v>0</v>
      </c>
      <c r="M21" s="230">
        <f t="shared" si="2"/>
        <v>4997.6319999999996</v>
      </c>
      <c r="N21" s="277">
        <f t="shared" si="3"/>
        <v>1098.3050847457628</v>
      </c>
      <c r="O21" s="239">
        <f t="shared" si="4"/>
        <v>30.47968542372881</v>
      </c>
      <c r="P21" s="119">
        <f t="shared" si="5"/>
        <v>6126.4167701694905</v>
      </c>
      <c r="Q21" s="321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1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1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1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8716.7999999999993</v>
      </c>
      <c r="J25" s="274">
        <f>SUM(J16:J24)</f>
        <v>1220.3520000000001</v>
      </c>
      <c r="K25" s="275">
        <f t="shared" si="10"/>
        <v>0</v>
      </c>
      <c r="L25" s="276">
        <f t="shared" si="10"/>
        <v>0</v>
      </c>
      <c r="M25" s="232">
        <f t="shared" si="10"/>
        <v>7496.4479999999994</v>
      </c>
      <c r="N25" s="233">
        <f>SUM(N16:N24)</f>
        <v>1647.4576271186443</v>
      </c>
      <c r="O25" s="101">
        <f>SUM(O16:O24)</f>
        <v>45.719528135593215</v>
      </c>
      <c r="P25" s="234">
        <f>SUM(P16:P24)</f>
        <v>9189.6251552542362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8716.7999999999993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1220.3520000000001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7496.4479999999994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9143.9056271186437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45.719528135593222</v>
      </c>
    </row>
    <row r="35" spans="2:16" ht="15.75" customHeight="1" thickBot="1" x14ac:dyDescent="0.4">
      <c r="N35" s="375" t="s">
        <v>88</v>
      </c>
      <c r="O35" s="376"/>
      <c r="P35" s="297">
        <f>+P33+P34</f>
        <v>9189.6251552542362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activeCell="H5" sqref="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525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46326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46325</v>
      </c>
      <c r="O5" s="395"/>
      <c r="P5" s="395"/>
      <c r="R5" s="85"/>
      <c r="S5" s="266"/>
    </row>
    <row r="6" spans="1:22 16383:16384" ht="15" customHeight="1" x14ac:dyDescent="0.4">
      <c r="A6" s="401" t="s">
        <v>523</v>
      </c>
      <c r="B6" s="401"/>
      <c r="C6" s="401"/>
      <c r="F6" s="85"/>
      <c r="G6" s="86"/>
      <c r="K6" s="396" t="s">
        <v>69</v>
      </c>
      <c r="L6" s="396"/>
      <c r="M6" s="396"/>
      <c r="N6" s="398" t="s">
        <v>526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524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A13" t="s">
        <v>513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4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4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20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0</v>
      </c>
      <c r="L17" s="119">
        <f>$I17*U17</f>
        <v>0</v>
      </c>
      <c r="M17" s="230">
        <f t="shared" ref="M17:M24" si="2">I17-SUM(J17:L17)</f>
        <v>1804.71</v>
      </c>
      <c r="N17" s="277">
        <f t="shared" ref="N17:N24" si="3">+(G17*D17+H17)*V17</f>
        <v>396.61016949152526</v>
      </c>
      <c r="O17" s="239">
        <f t="shared" ref="O17:O24" si="4">(N17+M17)*$O$15</f>
        <v>11.006600847457626</v>
      </c>
      <c r="P17" s="119">
        <f t="shared" ref="P17:P24" si="5">M17+N17+O17</f>
        <v>2212.3267703389829</v>
      </c>
      <c r="Q17" s="321"/>
      <c r="S17" s="269">
        <f>+S16</f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1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21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0</v>
      </c>
      <c r="L20" s="119">
        <f t="shared" si="1"/>
        <v>0</v>
      </c>
      <c r="M20" s="230">
        <f t="shared" si="2"/>
        <v>4997.6319999999996</v>
      </c>
      <c r="N20" s="277">
        <f t="shared" si="3"/>
        <v>1098.3050847457628</v>
      </c>
      <c r="O20" s="239">
        <f t="shared" si="4"/>
        <v>30.47968542372881</v>
      </c>
      <c r="P20" s="119">
        <f t="shared" si="5"/>
        <v>6126.4167701694905</v>
      </c>
      <c r="Q20" s="321"/>
      <c r="R20">
        <f>P20/21</f>
        <v>291.73413191283288</v>
      </c>
      <c r="S20" s="269">
        <f>+S19</f>
        <v>0.14000000000000001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21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1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1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1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</v>
      </c>
      <c r="J25" s="274">
        <f>SUM(J16:J24)</f>
        <v>1107.3580000000002</v>
      </c>
      <c r="K25" s="275">
        <f t="shared" si="7"/>
        <v>0</v>
      </c>
      <c r="L25" s="276">
        <f t="shared" si="7"/>
        <v>0</v>
      </c>
      <c r="M25" s="232">
        <f t="shared" si="7"/>
        <v>6802.3419999999996</v>
      </c>
      <c r="N25" s="233">
        <f>SUM(N16:N24)</f>
        <v>1494.9152542372881</v>
      </c>
      <c r="O25" s="101">
        <f>SUM(O16:O24)</f>
        <v>41.486286271186437</v>
      </c>
      <c r="P25" s="234">
        <f>SUM(P16:P24)</f>
        <v>8338.7435405084725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1107.3580000000002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6802.3419999999996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8297.2572542372873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41.486286271186437</v>
      </c>
    </row>
    <row r="35" spans="2:16" ht="15.75" customHeight="1" thickBot="1" x14ac:dyDescent="0.4">
      <c r="N35" s="375" t="s">
        <v>88</v>
      </c>
      <c r="O35" s="376"/>
      <c r="P35" s="297">
        <f>+P33+P34</f>
        <v>8338.7435405084743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8.7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8.7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516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46326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46325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2026-10-30T11:09:38Z</dcterms:modified>
</cp:coreProperties>
</file>