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42EB6B2-763E-4C34-972A-3FE3C10F28C7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1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<sst xmlns="http://schemas.openxmlformats.org/spreadsheetml/2006/main" count="3918" uniqueCount="518">
  <si>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</si>
  <si>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</si>
  <si>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</si>
  <si>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</si>
  <si>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</si>
  <si>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</si>
  <si>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</si>
  <si>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</si>
  <si>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</si>
  <si>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</si>
  <si>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</si>
  <si>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</si>
  <si>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</si>
  <si>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</si>
  <si>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</si>
  <si>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</si>
  <si>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</si>
  <si>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</si>
  <si>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</si>
  <si>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</si>
  <si>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</si>
  <si>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</si>
  <si>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</si>
  <si>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</si>
  <si>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</si>
  <si>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</si>
  <si>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</si>
  <si>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</si>
  <si>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</si>
  <si>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</si>
  <si>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</si>
  <si>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</si>
  <si>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</si>
  <si>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</si>
  <si>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</si>
  <si>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</si>
  <si>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</si>
  <si>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</si>
  <si>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</si>
  <si>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</si>
  <si>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</si>
  <si>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</si>
  <si>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</si>
  <si>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</si>
  <si>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</si>
  <si>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</si>
  <si>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</si>
  <si>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</si>
  <si>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</si>
  <si>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</si>
  <si>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</si>
  <si>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</si>
  <si>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</si>
  <si>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</si>
  <si>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</si>
  <si>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</si>
  <si>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</si>
  <si>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</si>
  <si>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</si>
  <si>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</si>
  <si>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</si>
  <si>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</si>
  <si>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</si>
  <si>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</si>
  <si>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</si>
  <si>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</si>
  <si>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</si>
  <si>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</si>
  <si>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</si>
  <si>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</si>
  <si>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</si>
  <si>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</si>
  <si>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</si>
  <si>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</si>
  <si>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</si>
  <si>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</si>
  <si>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</si>
  <si>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</si>
  <si>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</si>
  <si>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</si>
  <si>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</si>
  <si>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</si>
  <si>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</si>
  <si>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</si>
  <si>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</si>
  <si>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</si>
  <si>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</si>
  <si>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</si>
  <si>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</si>
  <si>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</si>
  <si>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</si>
  <si>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</si>
  <si>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</si>
  <si>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</si>
  <si>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</si>
  <si>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</si>
  <si>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</si>
  <si>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</si>
  <si>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</si>
  <si>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</si>
  <si>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</si>
  <si>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</si>
  <si>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</si>
  <si>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</si>
  <si>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</si>
  <si>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</si>
  <si>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</si>
  <si>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</si>
  <si>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</si>
  <si>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</si>
  <si>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</si>
  <si>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</si>
  <si>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</si>
  <si>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</si>
  <si>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</si>
  <si>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</si>
  <si>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</si>
  <si>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</si>
  <si>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</si>
  <si>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</si>
  <si>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</si>
  <si>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</si>
  <si>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</si>
  <si>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</si>
  <si>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</si>
  <si>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</si>
  <si>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</si>
  <si>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</si>
  <si>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</si>
  <si>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</si>
  <si>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</si>
  <si>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</si>
  <si>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</si>
  <si>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</si>
  <si>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</si>
  <si>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</si>
  <si>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</si>
  <si>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</si>
  <si>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</si>
  <si>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</si>
  <si>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</si>
  <si>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</si>
  <si>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</si>
  <si>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</si>
  <si>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</si>
  <si>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</si>
  <si>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</si>
  <si>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</si>
  <si>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</si>
  <si>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</si>
  <si>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</si>
  <si>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</si>
  <si>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</si>
  <si>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</si>
  <si>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</si>
  <si>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</si>
  <si>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</si>
  <si>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</si>
  <si>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</si>
  <si>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</si>
  <si>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</si>
  <si>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</si>
  <si>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</si>
  <si>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</si>
  <si>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</si>
  <si>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</si>
  <si>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</si>
  <si>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</si>
  <si>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</si>
  <si>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</si>
  <si>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</si>
  <si>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</si>
  <si>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</si>
  <si>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</si>
  <si>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</si>
  <si>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</si>
  <si>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</si>
  <si>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</si>
  <si>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</si>
  <si>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</si>
  <si>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</si>
  <si>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</si>
  <si>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</si>
  <si>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</si>
  <si>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</si>
  <si>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</si>
  <si>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</si>
  <si>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</si>
  <si>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</si>
  <si>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</si>
  <si>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</si>
  <si>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</si>
  <si>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</si>
  <si>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</si>
  <si>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</si>
  <si>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</si>
  <si>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</si>
  <si>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</si>
  <si>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</si>
  <si>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</si>
  <si>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</si>
  <si>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</si>
  <si>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</si>
  <si>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</si>
  <si>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</si>
  <si>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</si>
  <si>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</si>
  <si>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</si>
  <si>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</si>
  <si>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</si>
  <si>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</si>
  <si>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</si>
  <si>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</si>
  <si>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</si>
  <si>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</si>
  <si>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</si>
  <si>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</si>
  <si>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</si>
  <si>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</si>
  <si>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</si>
  <si>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</si>
  <si>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</si>
  <si>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</si>
  <si>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</si>
  <si>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</si>
  <si>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</si>
  <si>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</si>
  <si>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</si>
  <si>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</si>
  <si>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</si>
  <si>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</si>
  <si>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</si>
  <si>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</si>
  <si>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</si>
  <si>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</si>
  <si>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</si>
  <si>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</si>
  <si>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</si>
  <si>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</si>
  <si>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</si>
  <si>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</si>
  <si>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</si>
  <si>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</si>
  <si>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</si>
  <si>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</si>
  <si>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</si>
  <si>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</si>
  <si>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</si>
  <si>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</si>
  <si>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</si>
  <si>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</si>
  <si>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</si>
  <si>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</si>
  <si>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</si>
  <si>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</si>
  <si>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</si>
  <si>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</si>
  <si>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</si>
  <si>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</si>
  <si>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</si>
  <si>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</si>
  <si>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</si>
  <si>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</si>
  <si>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</si>
  <si>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</si>
  <si>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</si>
  <si>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</si>
  <si>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</si>
  <si>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</si>
  <si>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</si>
  <si>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</si>
  <si>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</si>
  <si>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</si>
  <si>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</si>
  <si>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</si>
  <si>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</si>
  <si>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</si>
  <si>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</si>
  <si>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</si>
  <si>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</si>
  <si>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</si>
  <si>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</si>
  <si>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</si>
  <si>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</si>
  <si>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</si>
  <si>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</si>
  <si>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</si>
  <si>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</si>
  <si>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</si>
  <si>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</si>
  <si>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</si>
  <si>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</si>
  <si>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</si>
  <si>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</si>
  <si>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</si>
  <si>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</si>
  <si>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</si>
  <si>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</si>
  <si>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</si>
  <si>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</si>
  <si>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</si>
  <si>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</si>
  <si>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</si>
  <si>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</si>
  <si>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</si>
  <si>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</si>
  <si>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</si>
  <si>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</si>
  <si>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</si>
  <si>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</si>
  <si>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</si>
  <si>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</si>
  <si>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</si>
  <si>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</si>
  <si>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</si>
  <si>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</si>
  <si>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</si>
  <si>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</si>
  <si>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</si>
  <si>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</si>
  <si>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</si>
  <si>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</si>
  <si>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</si>
  <si>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</si>
  <si>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</si>
  <si>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</si>
  <si>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</si>
  <si>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</si>
  <si>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</si>
  <si>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</si>
  <si>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</si>
  <si>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</si>
  <si>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</si>
  <si>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</si>
  <si>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</si>
  <si>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</si>
  <si>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</si>
  <si>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</si>
  <si>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</si>
  <si>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</si>
  <si>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</si>
  <si>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</si>
  <si>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</si>
  <si>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</si>
  <si>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</si>
  <si>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</si>
  <si>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</si>
  <si>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</si>
  <si>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</si>
  <si>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</si>
  <si>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</si>
  <si>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</si>
  <si>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</si>
  <si>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</si>
  <si>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</si>
  <si>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</si>
  <si>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</si>
  <si>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</si>
  <si>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</si>
  <si>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</si>
  <si>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</si>
  <si>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</si>
  <si>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</si>
  <si>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</si>
  <si>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</si>
  <si>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</si>
  <si>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</si>
  <si>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</si>
  <si>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</si>
  <si>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</si>
  <si>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</si>
  <si>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</si>
  <si>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</si>
  <si>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</si>
  <si>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</si>
  <si>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</si>
  <si>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</si>
  <si>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</si>
  <si>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</si>
  <si>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</si>
  <si>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</si>
  <si>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</si>
  <si>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</si>
  <si>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</si>
  <si>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</si>
  <si>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</si>
  <si>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</si>
  <si>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</si>
  <si>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</si>
  <si>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</si>
  <si>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</si>
  <si>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</si>
  <si>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</si>
  <si>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</si>
  <si>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</si>
  <si>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</si>
  <si>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</si>
  <si>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</si>
  <si>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</si>
  <si>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</si>
  <si>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</si>
  <si>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</si>
  <si>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</si>
  <si>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</si>
  <si>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</si>
  <si>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</si>
  <si>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</si>
  <si>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</si>
  <si>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</si>
  <si>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</si>
  <si>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</si>
  <si>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</si>
  <si>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</si>
  <si>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</si>
  <si>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</si>
  <si>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</si>
  <si>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</si>
  <si>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</si>
  <si>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</si>
  <si>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</si>
  <si>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</si>
  <si>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</si>
  <si>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</si>
  <si>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</si>
  <si>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</si>
  <si>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</si>
  <si>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</si>
  <si>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</si>
  <si>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</si>
  <si>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</si>
  <si>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</si>
  <si>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</si>
  <si>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</si>
  <si>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</si>
  <si>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</si>
  <si>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</si>
  <si>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</si>
  <si>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</si>
  <si>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</si>
  <si>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</si>
  <si>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</si>
  <si>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</si>
  <si>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</si>
  <si>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</si>
  <si>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</si>
  <si>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</si>
  <si>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</si>
  <si>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</si>
  <si>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</si>
  <si>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</si>
  <si>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</si>
  <si>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</si>
  <si>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</si>
  <si>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</si>
  <si>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</si>
  <si>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</si>
  <si>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</si>
  <si>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</si>
  <si>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</si>
  <si>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</si>
  <si>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</si>
  <si>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</si>
  <si>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</si>
  <si>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</si>
  <si>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</si>
  <si>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</si>
  <si>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</si>
  <si>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</si>
  <si>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</si>
  <si>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</si>
  <si>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</si>
  <si>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</si>
  <si>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</si>
  <si>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</si>
  <si>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</si>
  <si>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</si>
  <si>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</si>
  <si>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</si>
  <si>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</si>
  <si>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</si>
  <si>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</si>
  <si>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</si>
  <si>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</si>
  <si>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</si>
  <si>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</si>
  <si>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</si>
  <si>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</si>
  <si>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</si>
  <si>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</si>
  <si>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</si>
  <si>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</si>
  <si>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</si>
  <si>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</si>
  <si>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</si>
  <si>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</si>
  <si>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</si>
  <si>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</si>
  <si>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</si>
  <si>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</si>
  <si>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</si>
  <si>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</si>
  <si>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</si>
  <si>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</si>
  <si>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</si>
  <si>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</si>
  <si>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</si>
  <si>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</si>
  <si>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</si>
  <si>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</si>
  <si>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</si>
  <si>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</si>
  <si>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</si>
  <si>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</si>
  <si>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Swera Store</t>
  </si>
  <si>
    <t>Address: Shadman</t>
  </si>
  <si>
    <t>NTN #:1265416-7 / STRN : 3520268948847</t>
  </si>
  <si>
    <t>Invoice No # :15131</t>
  </si>
  <si>
    <t>Invoice No # :0011453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</si>
</sst>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G16" sqref="G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512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46268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Swera Store</v>
      </c>
      <c r="T3" s="301">
        <f>+'1'!P35</f>
        <v>39752.913373169496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Swera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Swera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Swera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755.45999999999992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5540.04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33.649352542372881</v>
      </c>
      <c r="P7" s="310">
        <f>M7+N7+O7</f>
        <v>6763.5198610169491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Swera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145</v>
      </c>
      <c r="I8" s="236">
        <f t="shared" ref="I8:I14" si="0">(G8*D8)*F8+H8*F8</f>
        <v>7607.0625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912.84749999999997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6694.2150000000001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1437.7118644067791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40.659634322033902</v>
      </c>
      <c r="P8" s="311">
        <f t="shared" ref="P8:P15" si="2">M8+N8+O8</f>
        <v>8172.5864987288132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Swera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Swera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Swera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132</v>
      </c>
      <c r="I11" s="236">
        <f t="shared" si="0"/>
        <v>9588.48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1150.6175999999998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8437.8624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1812.2033898305085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51.250328949152546</v>
      </c>
      <c r="P11" s="311">
        <f t="shared" si="2"/>
        <v>10301.316118779661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Swera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186</v>
      </c>
      <c r="I12" s="236">
        <f t="shared" si="0"/>
        <v>13511.04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1621.3248000000001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11889.715200000001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2553.5593220338983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72.2163726101695</v>
      </c>
      <c r="P12" s="311">
        <f t="shared" si="2"/>
        <v>14515.490894644068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Swera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Swera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Swera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Swera Store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14.574999999999999</v>
      </c>
      <c r="H16" s="113">
        <f t="shared" ref="H16:M16" si="3">SUM(H7:H15)</f>
        <v>583</v>
      </c>
      <c r="I16" s="114">
        <f t="shared" si="3"/>
        <v>37002.082500000004</v>
      </c>
      <c r="J16" s="274">
        <f>SUM(J7:J15)</f>
        <v>4440.2498999999998</v>
      </c>
      <c r="K16" s="275">
        <f t="shared" si="3"/>
        <v>0</v>
      </c>
      <c r="L16" s="276">
        <f t="shared" si="3"/>
        <v>0</v>
      </c>
      <c r="M16" s="232">
        <f t="shared" si="3"/>
        <v>32561.832600000002</v>
      </c>
      <c r="N16" s="233">
        <f>SUM(N7:N15)</f>
        <v>6993.3050847457616</v>
      </c>
      <c r="O16" s="101">
        <f>SUM(O7:O15)</f>
        <v>197.77568842372884</v>
      </c>
      <c r="P16" s="113">
        <f>SUM(P7:P15)</f>
        <v>39752.913373169489</v>
      </c>
      <c r="Q16" s="128">
        <f>SUM(Q7:Q15)</f>
        <v>0</v>
      </c>
      <c r="R16" s="314">
        <v>14</v>
      </c>
      <c r="S16" s="318" t="str">
        <f>+'14'!A6:A6</f>
        <v>Swera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Swera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Swera Store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37002.082500000004</v>
      </c>
      <c r="R19" s="299">
        <v>17</v>
      </c>
      <c r="S19" s="300" t="str">
        <f>+'17'!A6:A6</f>
        <v>Swera Store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4440.2498999999998</v>
      </c>
      <c r="R20" s="299">
        <v>18</v>
      </c>
      <c r="S20" s="300" t="str">
        <f>+'18'!A6:A6</f>
        <v>Swera Store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Swera Store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32561.832600000005</v>
      </c>
      <c r="R22" s="299">
        <v>20</v>
      </c>
      <c r="S22" s="300" t="str">
        <f>+'20'!A6:A6</f>
        <v>Swera Store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6993.3050847457616</v>
      </c>
      <c r="R23" s="299">
        <v>21</v>
      </c>
      <c r="S23" s="300" t="str">
        <f>+'21'!A6:A6</f>
        <v>Swera Store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39555.137684745765</v>
      </c>
      <c r="R24" s="299">
        <v>22</v>
      </c>
      <c r="S24" s="300" t="str">
        <f>+'22'!A6:A6</f>
        <v>Swera Store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197.77568842372884</v>
      </c>
      <c r="R25" s="299">
        <v>23</v>
      </c>
      <c r="S25" s="300" t="str">
        <f>+'23'!A6:A6</f>
        <v>Swera Store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39752.913373169496</v>
      </c>
      <c r="R26" s="299">
        <v>24</v>
      </c>
      <c r="S26" s="300" t="str">
        <f>+'24'!A6:A6</f>
        <v>Swera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Swera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Swera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Swera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Swera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Swera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Swera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39752.913373169496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K6" sqref="K6:M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7.2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755.45999999999992</v>
      </c>
      <c r="K16" s="127">
        <f>$I16*T16</f>
        <v>0</v>
      </c>
      <c r="L16" s="118">
        <f>$I16*U16</f>
        <v>0</v>
      </c>
      <c r="M16" s="229">
        <f>I16-SUM(J16:L16)</f>
        <v>5540.04</v>
      </c>
      <c r="N16" s="248">
        <f>+(G16*D16+H16)*V16</f>
        <v>1189.8305084745757</v>
      </c>
      <c r="O16" s="238">
        <f>(N16+M16)*$O$15</f>
        <v>33.649352542372881</v>
      </c>
      <c r="P16" s="310">
        <f>M16+N16+O16</f>
        <v>6763.5198610169491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145</v>
      </c>
      <c r="I17" s="236">
        <f t="shared" ref="I17:I23" si="0">(G17*D17)*F17+H17*F17</f>
        <v>7607.0625</v>
      </c>
      <c r="J17" s="272">
        <f t="shared" ref="J17:L24" si="1">$I17*S17</f>
        <v>912.84749999999997</v>
      </c>
      <c r="K17" s="128">
        <f>$I17*T17</f>
        <v>0</v>
      </c>
      <c r="L17" s="119">
        <f>$I17*U17</f>
        <v>0</v>
      </c>
      <c r="M17" s="230">
        <f t="shared" ref="M17:M24" si="2">I17-SUM(J17:L17)</f>
        <v>6694.2150000000001</v>
      </c>
      <c r="N17" s="277">
        <f t="shared" ref="N17:N24" si="3">+(G17*D17+H17)*V17</f>
        <v>1437.7118644067791</v>
      </c>
      <c r="O17" s="239">
        <f t="shared" ref="O17:O24" si="4">(N17+M17)*$O$15</f>
        <v>40.659634322033902</v>
      </c>
      <c r="P17" s="311">
        <f t="shared" ref="P17:P24" si="5">M17+N17+O17</f>
        <v>8172.5864987288132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132</v>
      </c>
      <c r="I20" s="236">
        <f t="shared" si="7"/>
        <v>9588.48</v>
      </c>
      <c r="J20" s="272">
        <f t="shared" si="1"/>
        <v>1150.6175999999998</v>
      </c>
      <c r="K20" s="128">
        <f t="shared" si="1"/>
        <v>0</v>
      </c>
      <c r="L20" s="119">
        <f t="shared" si="1"/>
        <v>0</v>
      </c>
      <c r="M20" s="230">
        <f t="shared" si="2"/>
        <v>8437.8624</v>
      </c>
      <c r="N20" s="277">
        <f t="shared" si="3"/>
        <v>1812.2033898305085</v>
      </c>
      <c r="O20" s="239">
        <f t="shared" si="4"/>
        <v>51.250328949152546</v>
      </c>
      <c r="P20" s="311">
        <f t="shared" si="5"/>
        <v>10301.316118779661</v>
      </c>
      <c r="Q20" s="156"/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186</v>
      </c>
      <c r="I21" s="236">
        <f t="shared" si="7"/>
        <v>13511.04</v>
      </c>
      <c r="J21" s="272">
        <f t="shared" si="1"/>
        <v>1621.3248000000001</v>
      </c>
      <c r="K21" s="128">
        <f t="shared" si="1"/>
        <v>0</v>
      </c>
      <c r="L21" s="119">
        <f t="shared" si="1"/>
        <v>0</v>
      </c>
      <c r="M21" s="230">
        <f t="shared" si="2"/>
        <v>11889.715200000001</v>
      </c>
      <c r="N21" s="277">
        <f t="shared" si="3"/>
        <v>2553.5593220338983</v>
      </c>
      <c r="O21" s="239">
        <f t="shared" si="4"/>
        <v>72.2163726101695</v>
      </c>
      <c r="P21" s="311">
        <f t="shared" si="5"/>
        <v>14515.490894644068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583</v>
      </c>
      <c r="I25" s="114">
        <f t="shared" ref="I25:M25" si="10">SUM(I16:I24)</f>
        <v>37002.082500000004</v>
      </c>
      <c r="J25" s="274">
        <f>SUM(J16:J24)</f>
        <v>4440.2498999999998</v>
      </c>
      <c r="K25" s="275">
        <f t="shared" si="10"/>
        <v>0</v>
      </c>
      <c r="L25" s="276">
        <f t="shared" si="10"/>
        <v>0</v>
      </c>
      <c r="M25" s="232">
        <f t="shared" si="10"/>
        <v>32561.832600000002</v>
      </c>
      <c r="N25" s="233">
        <f>SUM(N16:N24)</f>
        <v>6993.3050847457616</v>
      </c>
      <c r="O25" s="101">
        <f>SUM(O16:O24)</f>
        <v>197.77568842372884</v>
      </c>
      <c r="P25" s="113">
        <f>SUM(P16:P24)</f>
        <v>39752.913373169489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37002.082500000004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4440.2498999999998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32561.832600000005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6993.3050847457616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39555.137684745765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197.77568842372884</v>
      </c>
    </row>
    <row r="35" spans="2:16" ht="15.75" customHeight="1" thickBot="1" x14ac:dyDescent="0.4">
      <c r="N35" s="345" t="s">
        <v>88</v>
      </c>
      <c r="O35" s="346"/>
      <c r="P35" s="297">
        <f>+P33+P34</f>
        <v>39752.913373169496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8.7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8.7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Shakoor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515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0.12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2026-10-30T11:12:55Z</dcterms:modified>
</cp:coreProperties>
</file>