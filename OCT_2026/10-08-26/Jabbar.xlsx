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4EE4972-24C1-41E0-99C4-C532F8CE779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16" i="48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<sst xmlns="http://schemas.openxmlformats.org/spreadsheetml/2006/main" count="3948" uniqueCount="526">
  <si>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</si>
  <si>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</si>
  <si>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</si>
  <si>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</si>
  <si>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</si>
  <si>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</si>
  <si>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</si>
  <si>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</si>
  <si>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</si>
  <si>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</si>
  <si>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</si>
  <si>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</si>
  <si>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</si>
  <si>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</si>
  <si>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</si>
  <si>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</si>
  <si>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</si>
  <si>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</si>
  <si>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</si>
  <si>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</si>
  <si>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</si>
  <si>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</si>
  <si>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</si>
  <si>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</si>
  <si>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</si>
  <si>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</si>
  <si>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</si>
  <si>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</si>
  <si>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</si>
  <si>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</si>
  <si>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</si>
  <si>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</si>
  <si>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</si>
  <si>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</si>
  <si>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</si>
  <si>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</si>
  <si>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</si>
  <si>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</si>
  <si>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</si>
  <si>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</si>
  <si>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</si>
  <si>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</si>
  <si>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</si>
  <si>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</si>
  <si>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</si>
  <si>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</si>
  <si>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</si>
  <si>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</si>
  <si>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</si>
  <si>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</si>
  <si>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</si>
  <si>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</si>
  <si>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</si>
  <si>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</si>
  <si>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</si>
  <si>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</si>
  <si>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</si>
  <si>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</si>
  <si>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</si>
  <si>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</si>
  <si>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</si>
  <si>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</si>
  <si>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</si>
  <si>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</si>
  <si>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</si>
  <si>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</si>
  <si>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</si>
  <si>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</si>
  <si>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</si>
  <si>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</si>
  <si>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</si>
  <si>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</si>
  <si>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</si>
  <si>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</si>
  <si>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</si>
  <si>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</si>
  <si>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</si>
  <si>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</si>
  <si>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</si>
  <si>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</si>
  <si>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</si>
  <si>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</si>
  <si>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</si>
  <si>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</si>
  <si>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</si>
  <si>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</si>
  <si>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</si>
  <si>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</si>
  <si>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</si>
  <si>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</si>
  <si>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</si>
  <si>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</si>
  <si>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</si>
  <si>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</si>
  <si>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</si>
  <si>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</si>
  <si>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</si>
  <si>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</si>
  <si>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</si>
  <si>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</si>
  <si>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</si>
  <si>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</si>
  <si>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</si>
  <si>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</si>
  <si>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</si>
  <si>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</si>
  <si>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</si>
  <si>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</si>
  <si>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</si>
  <si>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</si>
  <si>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</si>
  <si>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</si>
  <si>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</si>
  <si>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</si>
  <si>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</si>
  <si>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</si>
  <si>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</si>
  <si>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</si>
  <si>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</si>
  <si>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</si>
  <si>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</si>
  <si>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</si>
  <si>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</si>
  <si>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</si>
  <si>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</si>
  <si>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</si>
  <si>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</si>
  <si>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</si>
  <si>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</si>
  <si>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</si>
  <si>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</si>
  <si>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</si>
  <si>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</si>
  <si>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</si>
  <si>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</si>
  <si>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</si>
  <si>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</si>
  <si>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</si>
  <si>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</si>
  <si>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</si>
  <si>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</si>
  <si>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</si>
  <si>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</si>
  <si>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</si>
  <si>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</si>
  <si>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</si>
  <si>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</si>
  <si>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</si>
  <si>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</si>
  <si>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</si>
  <si>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</si>
  <si>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</si>
  <si>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</si>
  <si>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</si>
  <si>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</si>
  <si>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</si>
  <si>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</si>
  <si>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</si>
  <si>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</si>
  <si>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</si>
  <si>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</si>
  <si>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</si>
  <si>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</si>
  <si>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</si>
  <si>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</si>
  <si>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</si>
  <si>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</si>
  <si>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</si>
  <si>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</si>
  <si>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</si>
  <si>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</si>
  <si>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</si>
  <si>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</si>
  <si>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</si>
  <si>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</si>
  <si>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</si>
  <si>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</si>
  <si>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</si>
  <si>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</si>
  <si>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</si>
  <si>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</si>
  <si>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</si>
  <si>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</si>
  <si>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</si>
  <si>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</si>
  <si>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</si>
  <si>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</si>
  <si>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</si>
  <si>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</si>
  <si>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</si>
  <si>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</si>
  <si>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</si>
  <si>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</si>
  <si>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</si>
  <si>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</si>
  <si>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</si>
  <si>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</si>
  <si>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</si>
  <si>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</si>
  <si>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</si>
  <si>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</si>
  <si>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</si>
  <si>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</si>
  <si>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</si>
  <si>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</si>
  <si>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</si>
  <si>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</si>
  <si>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</si>
  <si>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</si>
  <si>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</si>
  <si>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</si>
  <si>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</si>
  <si>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</si>
  <si>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</si>
  <si>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</si>
  <si>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</si>
  <si>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</si>
  <si>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</si>
  <si>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</si>
  <si>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</si>
  <si>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</si>
  <si>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</si>
  <si>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</si>
  <si>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</si>
  <si>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</si>
  <si>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</si>
  <si>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</si>
  <si>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</si>
  <si>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</si>
  <si>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</si>
  <si>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</si>
  <si>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</si>
  <si>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</si>
  <si>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</si>
  <si>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</si>
  <si>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</si>
  <si>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</si>
  <si>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</si>
  <si>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</si>
  <si>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</si>
  <si>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</si>
  <si>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</si>
  <si>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</si>
  <si>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</si>
  <si>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</si>
  <si>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</si>
  <si>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</si>
  <si>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</si>
  <si>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</si>
  <si>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</si>
  <si>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</si>
  <si>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</si>
  <si>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</si>
  <si>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</si>
  <si>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</si>
  <si>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</si>
  <si>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</si>
  <si>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</si>
  <si>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</si>
  <si>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</si>
  <si>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</si>
  <si>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</si>
  <si>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</si>
  <si>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</si>
  <si>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</si>
  <si>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</si>
  <si>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</si>
  <si>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</si>
  <si>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</si>
  <si>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</si>
  <si>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</si>
  <si>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</si>
  <si>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</si>
  <si>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</si>
  <si>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</si>
  <si>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</si>
  <si>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</si>
  <si>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</si>
  <si>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</si>
  <si>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</si>
  <si>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</si>
  <si>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</si>
  <si>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</si>
  <si>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</si>
  <si>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</si>
  <si>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</si>
  <si>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</si>
  <si>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</si>
  <si>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</si>
  <si>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</si>
  <si>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</si>
  <si>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</si>
  <si>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</si>
  <si>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</si>
  <si>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</si>
  <si>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</si>
  <si>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</si>
  <si>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</si>
  <si>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</si>
  <si>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</si>
  <si>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</si>
  <si>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</si>
  <si>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</si>
  <si>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</si>
  <si>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</si>
  <si>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</si>
  <si>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</si>
  <si>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</si>
  <si>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</si>
  <si>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</si>
  <si>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</si>
  <si>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</si>
  <si>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</si>
  <si>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</si>
  <si>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</si>
  <si>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</si>
  <si>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</si>
  <si>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</si>
  <si>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</si>
  <si>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</si>
  <si>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</si>
  <si>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</si>
  <si>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</si>
  <si>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</si>
  <si>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</si>
  <si>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</si>
  <si>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</si>
  <si>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</si>
  <si>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</si>
  <si>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</si>
  <si>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</si>
  <si>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</si>
  <si>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</si>
  <si>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</si>
  <si>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</si>
  <si>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</si>
  <si>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</si>
  <si>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</si>
  <si>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</si>
  <si>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</si>
  <si>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</si>
  <si>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</si>
  <si>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</si>
  <si>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</si>
  <si>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</si>
  <si>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</si>
  <si>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</si>
  <si>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</si>
  <si>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</si>
  <si>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</si>
  <si>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</si>
  <si>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</si>
  <si>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</si>
  <si>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</si>
  <si>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</si>
  <si>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</si>
  <si>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</si>
  <si>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</si>
  <si>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</si>
  <si>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</si>
  <si>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</si>
  <si>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</si>
  <si>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</si>
  <si>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</si>
  <si>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</si>
  <si>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</si>
  <si>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</si>
  <si>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</si>
  <si>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</si>
  <si>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</si>
  <si>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</si>
  <si>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</si>
  <si>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</si>
  <si>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</si>
  <si>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</si>
  <si>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</si>
  <si>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</si>
  <si>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</si>
  <si>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</si>
  <si>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</si>
  <si>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</si>
  <si>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</si>
  <si>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</si>
  <si>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</si>
  <si>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</si>
  <si>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</si>
  <si>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</si>
  <si>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</si>
  <si>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</si>
  <si>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</si>
  <si>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</si>
  <si>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</si>
  <si>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</si>
  <si>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</si>
  <si>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</si>
  <si>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</si>
  <si>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</si>
  <si>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</si>
  <si>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</si>
  <si>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</si>
  <si>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</si>
  <si>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</si>
  <si>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</si>
  <si>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</si>
  <si>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</si>
  <si>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</si>
  <si>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</si>
  <si>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</si>
  <si>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</si>
  <si>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</si>
  <si>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</si>
  <si>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</si>
  <si>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</si>
  <si>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</si>
  <si>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</si>
  <si>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</si>
  <si>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</si>
  <si>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</si>
  <si>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</si>
  <si>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</si>
  <si>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</si>
  <si>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</si>
  <si>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</si>
  <si>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</si>
  <si>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</si>
  <si>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</si>
  <si>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</si>
  <si>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</si>
  <si>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</si>
  <si>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</si>
  <si>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</si>
  <si>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</si>
  <si>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</si>
  <si>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</si>
  <si>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</si>
  <si>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</si>
  <si>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</si>
  <si>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</si>
  <si>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</si>
  <si>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</si>
  <si>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</si>
  <si>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</si>
  <si>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</si>
  <si>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</si>
  <si>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</si>
  <si>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</si>
  <si>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</si>
  <si>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</si>
  <si>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</si>
  <si>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</si>
  <si>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</si>
  <si>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</si>
  <si>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</si>
  <si>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</si>
  <si>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</si>
  <si>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</si>
  <si>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</si>
  <si>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</si>
  <si>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</si>
  <si>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</si>
  <si>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</si>
  <si>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</si>
  <si>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</si>
  <si>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</si>
  <si>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</si>
  <si>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</si>
  <si>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</si>
  <si>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</si>
  <si>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</si>
  <si>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</si>
  <si>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</si>
  <si>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</si>
  <si>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</si>
  <si>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</si>
  <si>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</si>
  <si>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</si>
  <si>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</si>
  <si>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</si>
  <si>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</si>
  <si>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</si>
  <si>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</si>
  <si>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</si>
  <si>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</si>
  <si>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</si>
  <si>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</si>
  <si>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</si>
  <si>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</si>
  <si>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</si>
  <si>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</si>
  <si>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</si>
  <si>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</si>
  <si>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</si>
  <si>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</si>
  <si>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</si>
  <si>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</si>
  <si>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</si>
  <si>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</si>
  <si>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</si>
  <si>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</si>
  <si>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</si>
  <si>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</si>
  <si>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</si>
  <si>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</si>
  <si>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</si>
  <si>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</si>
  <si>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</si>
  <si>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</si>
  <si>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</si>
  <si>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</si>
  <si>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</si>
  <si>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</si>
  <si>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</si>
  <si>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</si>
  <si>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</si>
  <si>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</si>
  <si>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Al Madina Store</t>
  </si>
  <si>
    <t xml:space="preserve">Address: Mozang </t>
  </si>
  <si>
    <t>Hafiz Store</t>
  </si>
  <si>
    <t>Imran Store</t>
  </si>
  <si>
    <t xml:space="preserve">Hafiz Kareyana </t>
  </si>
  <si>
    <t>Al Rehman Store</t>
  </si>
  <si>
    <t xml:space="preserve">Ahmad Umer </t>
  </si>
  <si>
    <t xml:space="preserve">MK Food Girl Hostal </t>
  </si>
  <si>
    <t>ASB Super Store</t>
  </si>
  <si>
    <t>Address: Rubani Road</t>
  </si>
  <si>
    <t>Khalid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</si>
</sst>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Al Madina Store</v>
      </c>
      <c r="T3" s="301">
        <f>+'1'!P35</f>
        <v>1881.7269510508474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Hafiz Store</v>
      </c>
      <c r="T4" s="301">
        <f>+'2'!P35</f>
        <v>470.43173776271186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Imran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Hafiz Kareyana </v>
      </c>
      <c r="T6" s="301">
        <f>+'4'!P35</f>
        <v>6272.4231701694916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31</v>
      </c>
      <c r="I7" s="235">
        <f>(G7*D7)*F7+H7*F7</f>
        <v>1626.3374999999999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130.107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56.921812500000001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1439.3086874999999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307.37288135593207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8.733407844279661</v>
      </c>
      <c r="P7" s="310">
        <f>M7+N7+O7</f>
        <v>1755.4149767002116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Rehman Store</v>
      </c>
      <c r="T7" s="301">
        <f>+'5'!P35</f>
        <v>2565.6000047637713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31</v>
      </c>
      <c r="I8" s="236">
        <f t="shared" ref="I8:I14" si="0">(G8*D8)*F8+H8*F8</f>
        <v>1626.3374999999999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130.107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56.921812500000001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1439.3086874999999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307.37288135593207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8.733407844279661</v>
      </c>
      <c r="P8" s="311">
        <f t="shared" ref="P8:P15" si="2">M8+N8+O8</f>
        <v>1755.4149767002116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Ahmad Umer </v>
      </c>
      <c r="T8" s="301">
        <f>+'6'!P35</f>
        <v>2352.1586888135594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37</v>
      </c>
      <c r="I9" s="236">
        <f t="shared" si="0"/>
        <v>1941.1125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155.28899999999999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67.938937500000009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1717.8845624999999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366.86440677966084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10.423744846398305</v>
      </c>
      <c r="P9" s="311">
        <f t="shared" si="2"/>
        <v>2095.172714126059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MK Food Girl Hostal </v>
      </c>
      <c r="T9" s="301">
        <f>+'7'!P35</f>
        <v>10802.526335847459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158</v>
      </c>
      <c r="I10" s="236">
        <f t="shared" si="0"/>
        <v>11477.12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954.48960000000011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401.69920000000002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10120.931200000001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2169.1525423728817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61.450418711864415</v>
      </c>
      <c r="P10" s="311">
        <f t="shared" si="2"/>
        <v>12351.534161084746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ASB Super Store</v>
      </c>
      <c r="T10" s="301">
        <f>+'8'!P35</f>
        <v>6272.4231701694916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92</v>
      </c>
      <c r="I11" s="236">
        <f t="shared" si="0"/>
        <v>6682.88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570.95040000000006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233.90080000000003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5878.0288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1263.0508474576272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35.705398237288136</v>
      </c>
      <c r="P11" s="311">
        <f t="shared" si="2"/>
        <v>7176.7850456949154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Khalid Store</v>
      </c>
      <c r="T11" s="301">
        <f>+'9'!P35</f>
        <v>6155.6180501694917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189</v>
      </c>
      <c r="I12" s="236">
        <f t="shared" si="0"/>
        <v>13728.960000000001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1141.9008000000001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480.51360000000005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12106.545600000001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2594.7457627118647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73.506456813559325</v>
      </c>
      <c r="P12" s="311">
        <f t="shared" si="2"/>
        <v>14774.797819525424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13.45</v>
      </c>
      <c r="H16" s="113">
        <f t="shared" ref="H16:M16" si="3">SUM(H7:H15)</f>
        <v>538</v>
      </c>
      <c r="I16" s="114">
        <f t="shared" si="3"/>
        <v>37082.747500000005</v>
      </c>
      <c r="J16" s="274">
        <f>SUM(J7:J15)</f>
        <v>3082.8438000000006</v>
      </c>
      <c r="K16" s="275">
        <f t="shared" si="3"/>
        <v>1297.8961625000002</v>
      </c>
      <c r="L16" s="276">
        <f t="shared" si="3"/>
        <v>0</v>
      </c>
      <c r="M16" s="232">
        <f t="shared" si="3"/>
        <v>32702.007537500001</v>
      </c>
      <c r="N16" s="233">
        <f>SUM(N7:N15)</f>
        <v>7008.5593220338988</v>
      </c>
      <c r="O16" s="101">
        <f>SUM(O7:O15)</f>
        <v>198.55283429766951</v>
      </c>
      <c r="P16" s="113">
        <f>SUM(P7:P15)</f>
        <v>39909.11969383157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37082.747500000005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3082.8438000000006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1297.8961625000002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32702.007537500001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7008.5593220338988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39710.566859533901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198.55283429766951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39909.11969383157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39909.11969383157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1743.3600000000001</v>
      </c>
      <c r="J25" s="274">
        <f>SUM(J16:J24)</f>
        <v>139.46880000000002</v>
      </c>
      <c r="K25" s="275">
        <f t="shared" si="10"/>
        <v>61.017600000000009</v>
      </c>
      <c r="L25" s="276">
        <f t="shared" si="10"/>
        <v>0</v>
      </c>
      <c r="M25" s="232">
        <f t="shared" si="10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1743.3600000000001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139.46880000000002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61.017600000000009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1542.8736000000001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1872.3651254237288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5" t="s">
        <v>88</v>
      </c>
      <c r="O35" s="346"/>
      <c r="P35" s="297">
        <f>+P33+P34</f>
        <v>1881.7269510508474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0" workbookViewId="0">
      <selection activeCell="F27" sqref="F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7</v>
      </c>
      <c r="I18" s="236">
        <f t="shared" si="0"/>
        <v>367.23750000000001</v>
      </c>
      <c r="J18" s="272">
        <f t="shared" si="1"/>
        <v>29.379000000000001</v>
      </c>
      <c r="K18" s="128">
        <f t="shared" si="1"/>
        <v>12.853312500000001</v>
      </c>
      <c r="L18" s="119">
        <f t="shared" si="1"/>
        <v>0</v>
      </c>
      <c r="M18" s="230">
        <f t="shared" si="2"/>
        <v>325.00518750000003</v>
      </c>
      <c r="N18" s="277">
        <f t="shared" si="3"/>
        <v>69.406779661016913</v>
      </c>
      <c r="O18" s="239">
        <f t="shared" si="4"/>
        <v>1.9720598358050847</v>
      </c>
      <c r="P18" s="119">
        <f t="shared" si="5"/>
        <v>396.38402699682206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</v>
      </c>
      <c r="I21" s="236">
        <f t="shared" si="0"/>
        <v>508.48</v>
      </c>
      <c r="J21" s="272">
        <f t="shared" si="1"/>
        <v>40.678400000000003</v>
      </c>
      <c r="K21" s="128">
        <f t="shared" si="1"/>
        <v>17.796800000000001</v>
      </c>
      <c r="L21" s="119">
        <f t="shared" si="1"/>
        <v>0</v>
      </c>
      <c r="M21" s="230">
        <f t="shared" si="2"/>
        <v>450.00480000000005</v>
      </c>
      <c r="N21" s="277">
        <f t="shared" si="3"/>
        <v>96.101694915254242</v>
      </c>
      <c r="O21" s="239">
        <f t="shared" si="4"/>
        <v>2.7305324745762714</v>
      </c>
      <c r="P21" s="119">
        <f t="shared" si="5"/>
        <v>548.83702738983061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38</v>
      </c>
      <c r="I25" s="114">
        <f t="shared" si="7"/>
        <v>2376.9475000000002</v>
      </c>
      <c r="J25" s="274">
        <f>SUM(J16:J24)</f>
        <v>190.1558</v>
      </c>
      <c r="K25" s="275">
        <f t="shared" si="7"/>
        <v>83.193162500000014</v>
      </c>
      <c r="L25" s="276">
        <f t="shared" si="7"/>
        <v>0</v>
      </c>
      <c r="M25" s="232">
        <f t="shared" si="7"/>
        <v>2103.5985375</v>
      </c>
      <c r="N25" s="233">
        <f>SUM(N16:N24)</f>
        <v>449.23728813559319</v>
      </c>
      <c r="O25" s="101">
        <f>SUM(O16:O24)</f>
        <v>12.764179128177966</v>
      </c>
      <c r="P25" s="234">
        <f>SUM(P16:P24)</f>
        <v>2565.6000047637717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2376.9475000000002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190.1558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83.193162500000014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2103.5985375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449.23728813559319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2552.8358256355932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12.764179128177966</v>
      </c>
    </row>
    <row r="35" spans="2:16" ht="15.75" customHeight="1" thickBot="1" x14ac:dyDescent="0.4">
      <c r="N35" s="345" t="s">
        <v>88</v>
      </c>
      <c r="O35" s="346"/>
      <c r="P35" s="297">
        <f>+P33+P34</f>
        <v>2565.6000047637713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2179.1999999999998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174.33600000000001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76.272000000000006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1928.5919999999999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2340.4564067796609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5" t="s">
        <v>88</v>
      </c>
      <c r="O35" s="346"/>
      <c r="P35" s="297">
        <f>+P33+P34</f>
        <v>2352.1586888135594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25</v>
      </c>
      <c r="I16" s="235">
        <f>(G16*D16)*F16+H16*F16</f>
        <v>1311.5625</v>
      </c>
      <c r="J16" s="271">
        <f>$I16*S16</f>
        <v>104.925</v>
      </c>
      <c r="K16" s="127">
        <f>$I16*T16</f>
        <v>45.904687500000001</v>
      </c>
      <c r="L16" s="118">
        <f>$I16*U16</f>
        <v>0</v>
      </c>
      <c r="M16" s="229">
        <f>I16-SUM(J16:L16)</f>
        <v>1160.7328124999999</v>
      </c>
      <c r="N16" s="248">
        <f>+(G16*D16+H16)*V16</f>
        <v>247.88135593220329</v>
      </c>
      <c r="O16" s="238">
        <f>(N16+M16)*$O$15</f>
        <v>7.0430708421610166</v>
      </c>
      <c r="P16" s="118">
        <f>M16+N16+O16</f>
        <v>1415.6572392743644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25</v>
      </c>
      <c r="I17" s="236">
        <f t="shared" ref="I17:I23" si="0">(G17*D17)*F17+H17*F17</f>
        <v>1311.5625</v>
      </c>
      <c r="J17" s="272">
        <f t="shared" ref="J17:L24" si="1">$I17*S17</f>
        <v>104.925</v>
      </c>
      <c r="K17" s="128">
        <f>$I17*T17</f>
        <v>45.904687500000001</v>
      </c>
      <c r="L17" s="119">
        <f>$I17*U17</f>
        <v>0</v>
      </c>
      <c r="M17" s="230">
        <f t="shared" ref="M17:M24" si="2">I17-SUM(J17:L17)</f>
        <v>1160.7328124999999</v>
      </c>
      <c r="N17" s="277">
        <f t="shared" ref="N17:N24" si="3">+(G17*D17+H17)*V17</f>
        <v>247.88135593220329</v>
      </c>
      <c r="O17" s="239">
        <f t="shared" ref="O17:O24" si="4">(N17+M17)*$O$15</f>
        <v>7.0430708421610166</v>
      </c>
      <c r="P17" s="119">
        <f t="shared" ref="P17:P24" si="5">M17+N17+O17</f>
        <v>1415.6572392743644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125.91</v>
      </c>
      <c r="K18" s="128">
        <f t="shared" si="1"/>
        <v>55.085625000000007</v>
      </c>
      <c r="L18" s="119">
        <f t="shared" si="1"/>
        <v>0</v>
      </c>
      <c r="M18" s="230">
        <f t="shared" si="2"/>
        <v>1392.879375</v>
      </c>
      <c r="N18" s="277">
        <f t="shared" si="3"/>
        <v>297.45762711864393</v>
      </c>
      <c r="O18" s="239">
        <f t="shared" si="4"/>
        <v>8.45168501059322</v>
      </c>
      <c r="P18" s="119">
        <f t="shared" si="5"/>
        <v>1698.7886871292369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0"/>
        <v>1816</v>
      </c>
      <c r="J19" s="272">
        <f t="shared" si="1"/>
        <v>145.28</v>
      </c>
      <c r="K19" s="128">
        <f t="shared" si="1"/>
        <v>63.560000000000009</v>
      </c>
      <c r="L19" s="119">
        <f t="shared" si="1"/>
        <v>0</v>
      </c>
      <c r="M19" s="230">
        <f t="shared" si="2"/>
        <v>1607.16</v>
      </c>
      <c r="N19" s="277">
        <f t="shared" si="3"/>
        <v>343.22033898305085</v>
      </c>
      <c r="O19" s="239">
        <f t="shared" si="4"/>
        <v>9.7519016949152544</v>
      </c>
      <c r="P19" s="119">
        <f t="shared" si="5"/>
        <v>1960.1322406779661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25</v>
      </c>
      <c r="I20" s="236">
        <f t="shared" si="0"/>
        <v>1816</v>
      </c>
      <c r="J20" s="272">
        <f t="shared" si="1"/>
        <v>145.28</v>
      </c>
      <c r="K20" s="128">
        <f t="shared" si="1"/>
        <v>63.560000000000009</v>
      </c>
      <c r="L20" s="119">
        <f t="shared" si="1"/>
        <v>0</v>
      </c>
      <c r="M20" s="230">
        <f t="shared" si="2"/>
        <v>1607.16</v>
      </c>
      <c r="N20" s="277">
        <f t="shared" si="3"/>
        <v>343.22033898305085</v>
      </c>
      <c r="O20" s="239">
        <f t="shared" si="4"/>
        <v>9.7519016949152544</v>
      </c>
      <c r="P20" s="119">
        <f t="shared" si="5"/>
        <v>1960.1322406779661</v>
      </c>
      <c r="Q20" s="319"/>
      <c r="R20">
        <f>P20/21</f>
        <v>93.339630508474585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800.65599999999995</v>
      </c>
      <c r="K25" s="275">
        <f t="shared" si="7"/>
        <v>350.28700000000003</v>
      </c>
      <c r="L25" s="276">
        <f t="shared" si="7"/>
        <v>0</v>
      </c>
      <c r="M25" s="232">
        <f t="shared" si="7"/>
        <v>8857.2569999999996</v>
      </c>
      <c r="N25" s="233">
        <f>SUM(N16:N24)</f>
        <v>1891.5254237288132</v>
      </c>
      <c r="O25" s="101">
        <f>SUM(O16:O24)</f>
        <v>53.743912118644069</v>
      </c>
      <c r="P25" s="234">
        <f>SUM(P16:P24)</f>
        <v>10802.526335847457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800.65599999999995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350.28700000000003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8857.2570000000014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10748.782423728815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45" t="s">
        <v>88</v>
      </c>
      <c r="O35" s="346"/>
      <c r="P35" s="297">
        <f>+P33+P34</f>
        <v>10802.526335847459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0"/>
        <v>1816</v>
      </c>
      <c r="J19" s="272">
        <f t="shared" si="1"/>
        <v>181.60000000000002</v>
      </c>
      <c r="K19" s="128">
        <f t="shared" si="1"/>
        <v>63.560000000000009</v>
      </c>
      <c r="L19" s="119">
        <f t="shared" si="1"/>
        <v>0</v>
      </c>
      <c r="M19" s="230">
        <f t="shared" si="2"/>
        <v>1570.84</v>
      </c>
      <c r="N19" s="277">
        <f t="shared" si="3"/>
        <v>343.22033898305085</v>
      </c>
      <c r="O19" s="239">
        <f t="shared" si="4"/>
        <v>9.5703016949152548</v>
      </c>
      <c r="P19" s="119">
        <f t="shared" si="5"/>
        <v>1923.6306406779661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25</v>
      </c>
      <c r="I20" s="236">
        <f t="shared" si="0"/>
        <v>1816</v>
      </c>
      <c r="J20" s="272">
        <f t="shared" si="1"/>
        <v>181.60000000000002</v>
      </c>
      <c r="K20" s="128">
        <f t="shared" si="1"/>
        <v>63.560000000000009</v>
      </c>
      <c r="L20" s="119">
        <f t="shared" si="1"/>
        <v>0</v>
      </c>
      <c r="M20" s="230">
        <f t="shared" si="2"/>
        <v>1570.84</v>
      </c>
      <c r="N20" s="277">
        <f t="shared" si="3"/>
        <v>343.22033898305085</v>
      </c>
      <c r="O20" s="239">
        <f t="shared" si="4"/>
        <v>9.5703016949152548</v>
      </c>
      <c r="P20" s="119">
        <f t="shared" si="5"/>
        <v>1923.6306406779661</v>
      </c>
      <c r="Q20" s="319"/>
      <c r="R20">
        <f>P20/21</f>
        <v>91.601459079903151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217.92</v>
      </c>
      <c r="K21" s="128">
        <f t="shared" si="1"/>
        <v>76.272000000000006</v>
      </c>
      <c r="L21" s="119">
        <f t="shared" si="1"/>
        <v>0</v>
      </c>
      <c r="M21" s="230">
        <f t="shared" si="2"/>
        <v>1885.0079999999998</v>
      </c>
      <c r="N21" s="277">
        <f t="shared" si="3"/>
        <v>411.86440677966107</v>
      </c>
      <c r="O21" s="239">
        <f t="shared" si="4"/>
        <v>11.484362033898305</v>
      </c>
      <c r="P21" s="119">
        <f t="shared" si="5"/>
        <v>2308.3567688135595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581.12</v>
      </c>
      <c r="K25" s="275">
        <f t="shared" si="7"/>
        <v>203.39200000000002</v>
      </c>
      <c r="L25" s="276">
        <f t="shared" si="7"/>
        <v>0</v>
      </c>
      <c r="M25" s="232">
        <f t="shared" si="7"/>
        <v>5026.6880000000001</v>
      </c>
      <c r="N25" s="233">
        <f>SUM(N16:N24)</f>
        <v>1098.3050847457628</v>
      </c>
      <c r="O25" s="101">
        <f>SUM(O16:O24)</f>
        <v>30.624965423728817</v>
      </c>
      <c r="P25" s="234">
        <f>SUM(P16:P24)</f>
        <v>6155.6180501694917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581.12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5026.6880000000001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6124.9930847457626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30.624965423728813</v>
      </c>
    </row>
    <row r="35" spans="2:16" ht="15.75" customHeight="1" thickBot="1" x14ac:dyDescent="0.4">
      <c r="N35" s="345" t="s">
        <v>88</v>
      </c>
      <c r="O35" s="346"/>
      <c r="P35" s="297">
        <f>+P33+P34</f>
        <v>6155.6180501694917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2026-10-08T06:21:04Z</dcterms:modified>
</cp:coreProperties>
</file>