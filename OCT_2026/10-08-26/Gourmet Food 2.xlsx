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D215D6E-5F33-47B2-A025-4AF874E9A38E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6" i="62" l="1"/>
  <c r="S25" i="62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M24" i="56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O23" i="48" s="1"/>
  <c r="P23" i="48" s="1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O16" i="66" s="1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<sst xmlns="http://schemas.openxmlformats.org/spreadsheetml/2006/main" count="3949" uniqueCount="547">
  <si>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</si>
  <si>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</si>
  <si>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</si>
  <si>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</si>
  <si>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</si>
  <si>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</si>
  <si>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</si>
  <si>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</si>
  <si>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</si>
  <si>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</si>
  <si>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</si>
  <si>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</si>
  <si>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</si>
  <si>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</si>
  <si>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</si>
  <si>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</si>
  <si>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</si>
  <si>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</si>
  <si>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</si>
  <si>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</si>
  <si>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</si>
  <si>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</si>
  <si>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</si>
  <si>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</si>
  <si>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</si>
  <si>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</si>
  <si>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</si>
  <si>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</si>
  <si>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</si>
  <si>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</si>
  <si>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</si>
  <si>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</si>
  <si>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</si>
  <si>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</si>
  <si>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</si>
  <si>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</si>
  <si>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</si>
  <si>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</si>
  <si>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</si>
  <si>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</si>
  <si>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</si>
  <si>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</si>
  <si>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</si>
  <si>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</si>
  <si>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</si>
  <si>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</si>
  <si>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</si>
  <si>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</si>
  <si>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</si>
  <si>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</si>
  <si>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</si>
  <si>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</si>
  <si>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</si>
  <si>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</si>
  <si>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</si>
  <si>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</si>
  <si>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</si>
  <si>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</si>
  <si>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</si>
  <si>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</si>
  <si>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</si>
  <si>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</si>
  <si>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</si>
  <si>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</si>
  <si>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</si>
  <si>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</si>
  <si>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</si>
  <si>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</si>
  <si>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</si>
  <si>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</si>
  <si>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</si>
  <si>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</si>
  <si>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</si>
  <si>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</si>
  <si>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</si>
  <si>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</si>
  <si>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</si>
  <si>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</si>
  <si>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</si>
  <si>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</si>
  <si>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</si>
  <si>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</si>
  <si>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</si>
  <si>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</si>
  <si>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</si>
  <si>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</si>
  <si>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</si>
  <si>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</si>
  <si>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</si>
  <si>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</si>
  <si>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</si>
  <si>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</si>
  <si>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</si>
  <si>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</si>
  <si>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</si>
  <si>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</si>
  <si>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</si>
  <si>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</si>
  <si>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</si>
  <si>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</si>
  <si>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</si>
  <si>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</si>
  <si>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</si>
  <si>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</si>
  <si>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</si>
  <si>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</si>
  <si>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</si>
  <si>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</si>
  <si>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</si>
  <si>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</si>
  <si>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</si>
  <si>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</si>
  <si>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</si>
  <si>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</si>
  <si>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</si>
  <si>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</si>
  <si>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</si>
  <si>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</si>
  <si>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</si>
  <si>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</si>
  <si>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</si>
  <si>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</si>
  <si>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</si>
  <si>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</si>
  <si>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</si>
  <si>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</si>
  <si>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</si>
  <si>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</si>
  <si>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</si>
  <si>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</si>
  <si>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</si>
  <si>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</si>
  <si>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</si>
  <si>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</si>
  <si>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</si>
  <si>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</si>
  <si>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</si>
  <si>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</si>
  <si>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</si>
  <si>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</si>
  <si>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</si>
  <si>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</si>
  <si>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</si>
  <si>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</si>
  <si>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</si>
  <si>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</si>
  <si>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</si>
  <si>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</si>
  <si>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</si>
  <si>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</si>
  <si>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</si>
  <si>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</si>
  <si>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</si>
  <si>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</si>
  <si>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</si>
  <si>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</si>
  <si>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</si>
  <si>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</si>
  <si>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</si>
  <si>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</si>
  <si>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</si>
  <si>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</si>
  <si>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</si>
  <si>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</si>
  <si>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</si>
  <si>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</si>
  <si>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</si>
  <si>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</si>
  <si>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</si>
  <si>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</si>
  <si>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</si>
  <si>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</si>
  <si>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</si>
  <si>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</si>
  <si>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</si>
  <si>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</si>
  <si>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</si>
  <si>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</si>
  <si>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</si>
  <si>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</si>
  <si>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</si>
  <si>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</si>
  <si>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</si>
  <si>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</si>
  <si>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</si>
  <si>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</si>
  <si>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</si>
  <si>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</si>
  <si>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</si>
  <si>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</si>
  <si>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</si>
  <si>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</si>
  <si>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</si>
  <si>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</si>
  <si>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</si>
  <si>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</si>
  <si>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</si>
  <si>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</si>
  <si>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</si>
  <si>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</si>
  <si>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</si>
  <si>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</si>
  <si>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</si>
  <si>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</si>
  <si>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</si>
  <si>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</si>
  <si>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</si>
  <si>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</si>
  <si>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</si>
  <si>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</si>
  <si>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</si>
  <si>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</si>
  <si>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</si>
  <si>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</si>
  <si>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</si>
  <si>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</si>
  <si>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</si>
  <si>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</si>
  <si>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</si>
  <si>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</si>
  <si>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</si>
  <si>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</si>
  <si>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</si>
  <si>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</si>
  <si>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</si>
  <si>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</si>
  <si>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</si>
  <si>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</si>
  <si>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</si>
  <si>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</si>
  <si>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</si>
  <si>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</si>
  <si>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</si>
  <si>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</si>
  <si>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</si>
  <si>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</si>
  <si>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</si>
  <si>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</si>
  <si>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</si>
  <si>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</si>
  <si>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</si>
  <si>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</si>
  <si>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</si>
  <si>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</si>
  <si>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</si>
  <si>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</si>
  <si>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</si>
  <si>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</si>
  <si>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</si>
  <si>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</si>
  <si>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</si>
  <si>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</si>
  <si>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</si>
  <si>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</si>
  <si>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</si>
  <si>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</si>
  <si>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</si>
  <si>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</si>
  <si>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</si>
  <si>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</si>
  <si>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</si>
  <si>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</si>
  <si>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</si>
  <si>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</si>
  <si>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</si>
  <si>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</si>
  <si>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</si>
  <si>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</si>
  <si>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</si>
  <si>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</si>
  <si>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</si>
  <si>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</si>
  <si>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</si>
  <si>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</si>
  <si>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</si>
  <si>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</si>
  <si>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</si>
  <si>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</si>
  <si>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</si>
  <si>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</si>
  <si>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</si>
  <si>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</si>
  <si>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</si>
  <si>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</si>
  <si>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</si>
  <si>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</si>
  <si>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</si>
  <si>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</si>
  <si>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</si>
  <si>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</si>
  <si>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</si>
  <si>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</si>
  <si>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</si>
  <si>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</si>
  <si>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</si>
  <si>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</si>
  <si>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</si>
  <si>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</si>
  <si>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</si>
  <si>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</si>
  <si>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</si>
  <si>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</si>
  <si>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</si>
  <si>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</si>
  <si>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</si>
  <si>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</si>
  <si>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</si>
  <si>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</si>
  <si>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</si>
  <si>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</si>
  <si>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</si>
  <si>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</si>
  <si>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</si>
  <si>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</si>
  <si>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</si>
  <si>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</si>
  <si>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</si>
  <si>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</si>
  <si>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</si>
  <si>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</si>
  <si>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</si>
  <si>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</si>
  <si>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</si>
  <si>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</si>
  <si>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</si>
  <si>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</si>
  <si>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</si>
  <si>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</si>
  <si>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</si>
  <si>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</si>
  <si>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</si>
  <si>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</si>
  <si>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</si>
  <si>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</si>
  <si>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</si>
  <si>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</si>
  <si>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</si>
  <si>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</si>
  <si>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</si>
  <si>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</si>
  <si>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</si>
  <si>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</si>
  <si>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</si>
  <si>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</si>
  <si>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</si>
  <si>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</si>
  <si>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</si>
  <si>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</si>
  <si>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</si>
  <si>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</si>
  <si>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</si>
  <si>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</si>
  <si>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</si>
  <si>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</si>
  <si>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</si>
  <si>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</si>
  <si>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</si>
  <si>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</si>
  <si>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</si>
  <si>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</si>
  <si>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</si>
  <si>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</si>
  <si>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</si>
  <si>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</si>
  <si>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</si>
  <si>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</si>
  <si>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</si>
  <si>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</si>
  <si>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</si>
  <si>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</si>
  <si>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</si>
  <si>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</si>
  <si>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</si>
  <si>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</si>
  <si>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</si>
  <si>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</si>
  <si>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</si>
  <si>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</si>
  <si>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</si>
  <si>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</si>
  <si>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</si>
  <si>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</si>
  <si>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</si>
  <si>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</si>
  <si>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</si>
  <si>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</si>
  <si>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</si>
  <si>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</si>
  <si>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</si>
  <si>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</si>
  <si>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</si>
  <si>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</si>
  <si>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</si>
  <si>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</si>
  <si>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</si>
  <si>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</si>
  <si>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</si>
  <si>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</si>
  <si>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</si>
  <si>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</si>
  <si>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</si>
  <si>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</si>
  <si>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</si>
  <si>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</si>
  <si>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</si>
  <si>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</si>
  <si>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</si>
  <si>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</si>
  <si>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</si>
  <si>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</si>
  <si>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</si>
  <si>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</si>
  <si>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</si>
  <si>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</si>
  <si>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</si>
  <si>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</si>
  <si>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</si>
  <si>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</si>
  <si>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</si>
  <si>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</si>
  <si>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</si>
  <si>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</si>
  <si>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</si>
  <si>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</si>
  <si>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</si>
  <si>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</si>
  <si>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</si>
  <si>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</si>
  <si>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</si>
  <si>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</si>
  <si>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</si>
  <si>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</si>
  <si>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</si>
  <si>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</si>
  <si>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</si>
  <si>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</si>
  <si>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</si>
  <si>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</si>
  <si>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</si>
  <si>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</si>
  <si>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</si>
  <si>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</si>
  <si>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</si>
  <si>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</si>
  <si>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</si>
  <si>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</si>
  <si>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</si>
  <si>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</si>
  <si>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</si>
  <si>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</si>
  <si>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</si>
  <si>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</si>
  <si>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</si>
  <si>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</si>
  <si>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</si>
  <si>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</si>
  <si>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</si>
  <si>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</si>
  <si>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</si>
  <si>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</si>
  <si>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</si>
  <si>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</si>
  <si>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</si>
  <si>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</si>
  <si>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</si>
  <si>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</si>
  <si>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</si>
  <si>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</si>
  <si>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</si>
  <si>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</si>
  <si>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</si>
  <si>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</si>
  <si>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</si>
  <si>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</si>
  <si>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</si>
  <si>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</si>
  <si>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</si>
  <si>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</si>
  <si>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</si>
  <si>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</si>
  <si>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</si>
  <si>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</si>
  <si>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</si>
  <si>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</si>
  <si>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</si>
  <si>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</si>
  <si>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</si>
  <si>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</si>
  <si>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</si>
  <si>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</si>
  <si>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</si>
  <si>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</si>
  <si>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</si>
  <si>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</si>
  <si>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</si>
  <si>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</si>
  <si>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</si>
  <si>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</si>
  <si>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</si>
  <si>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</si>
  <si>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</si>
  <si>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</si>
  <si>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</si>
  <si>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</si>
  <si>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</si>
  <si>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</si>
  <si>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</si>
  <si>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</si>
  <si>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</si>
  <si>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</si>
  <si>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</si>
  <si>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</si>
  <si>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</si>
  <si>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</si>
  <si>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</si>
  <si>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 xml:space="preserve">Shakoor Husain </t>
  </si>
  <si>
    <t xml:space="preserve"> </t>
  </si>
  <si>
    <t>Invoice No # :0001</t>
  </si>
  <si>
    <t>Gourmet Food K Block DHA</t>
  </si>
  <si>
    <t xml:space="preserve">Gourmet Food Lal Pull </t>
  </si>
  <si>
    <t xml:space="preserve">Gourmet Food Shadbagh </t>
  </si>
  <si>
    <t xml:space="preserve">Gourmet Food Railway Plaza </t>
  </si>
  <si>
    <t xml:space="preserve">Gourmet Food Rustam Park </t>
  </si>
  <si>
    <t>Gourmet Food Awan Market Ferozpur Road</t>
  </si>
  <si>
    <t xml:space="preserve">Gourmet Food Tajbagh </t>
  </si>
  <si>
    <t>Gourmet Food Zaraar Shaheed Road</t>
  </si>
  <si>
    <t>Gourmet Food Bedian Road</t>
  </si>
  <si>
    <t xml:space="preserve">Gourmet Food Ismail Nager </t>
  </si>
  <si>
    <t>Gourmet Food Begum Road</t>
  </si>
  <si>
    <t xml:space="preserve">Gourmet Food Kanah </t>
  </si>
  <si>
    <t xml:space="preserve">Gourmet Food Kot Abdul Malik </t>
  </si>
  <si>
    <t xml:space="preserve">Gourmet Food Shadra Town </t>
  </si>
  <si>
    <t>Gourmet Food Bilal Ganjh</t>
  </si>
  <si>
    <t xml:space="preserve">Gourmet Food Kot Khuaja Saeed </t>
  </si>
  <si>
    <t xml:space="preserve">Gourmet Food Killa Lakshman singh </t>
  </si>
  <si>
    <t>Gourmet Food Imamia Colony</t>
  </si>
  <si>
    <t xml:space="preserve">Gourmet Food Badami bagh </t>
  </si>
  <si>
    <t>Gourmet Food Baghban pura</t>
  </si>
  <si>
    <t>Gourmet Food Nadra Abad</t>
  </si>
  <si>
    <t>Gourmet Food Ghazi Road</t>
  </si>
  <si>
    <t>Gourmet Food FF DHA</t>
  </si>
  <si>
    <t>Gourmet Food Sultanpura</t>
  </si>
  <si>
    <t>Gourmet Food Militery Account</t>
  </si>
  <si>
    <t>Gourmet Food Nishat Colony</t>
  </si>
  <si>
    <t>Gourmet Food Rehmanpura</t>
  </si>
  <si>
    <t>Gourmet Food Awan Market</t>
  </si>
  <si>
    <t>Gourmet Food Ismail 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</si>
</sst>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B20" workbookViewId="0">
      <selection activeCell="S33" sqref="S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513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v>46300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17" t="str">
        <f>+'1'!A6:A6</f>
        <v>Gourmet Food K Block DHA</v>
      </c>
      <c r="T3" s="300">
        <f>+'1'!P35</f>
        <v>15223.111006271187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413" t="str">
        <f>+'2'!A6:A6</f>
        <v xml:space="preserve">Gourmet Food Lal Pull 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413" t="str">
        <f>+'3'!A6:A6</f>
        <v xml:space="preserve">Gourmet Food Shadbagh 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17" t="str">
        <f>+'4'!A6:A6</f>
        <v xml:space="preserve">Gourmet Food Railway Plaza </v>
      </c>
      <c r="T6" s="300">
        <f>+'4'!P35</f>
        <v>5074.3703354237296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280</v>
      </c>
      <c r="I7" s="235">
        <f>(G7*D7)*F7+H7*F7</f>
        <v>14689.5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2644.1099999999997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12045.39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2776.2711864406765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74.108305932203379</v>
      </c>
      <c r="P7" s="309">
        <f>M7+N7+O7</f>
        <v>14895.76949237288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8">
        <v>5</v>
      </c>
      <c r="S7" s="317" t="str">
        <f>+'5'!A6:A6</f>
        <v xml:space="preserve">Gourmet Food Rustam Park </v>
      </c>
      <c r="T7" s="300">
        <f>+'5'!P35</f>
        <v>5892.8065301694915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1510.9199999999998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6883.08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42.347603389830503</v>
      </c>
      <c r="P8" s="310">
        <f t="shared" ref="P8:P15" si="2">M8+N8+O8</f>
        <v>8511.8682813559299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8">
        <v>6</v>
      </c>
      <c r="S8" s="317" t="str">
        <f>+'6'!A6:A6</f>
        <v>Gourmet Food Awan Market Ferozpur Road</v>
      </c>
      <c r="T8" s="300">
        <f>+'6'!P35</f>
        <v>8839.2097952542372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1510.9199999999998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6883.08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42.347603389830503</v>
      </c>
      <c r="P9" s="310">
        <f t="shared" si="2"/>
        <v>8511.8682813559299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413" t="str">
        <f>+'7'!A6:A6</f>
        <v xml:space="preserve">Gourmet Food Tajbagh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5230.079999999999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23825.920000000002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146.58722711864411</v>
      </c>
      <c r="P10" s="310">
        <f t="shared" si="2"/>
        <v>29464.032650847461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8">
        <v>8</v>
      </c>
      <c r="S10" s="317" t="str">
        <f>+'8'!A6:A6</f>
        <v>Gourmet Food Zaraar Shaheed Road</v>
      </c>
      <c r="T10" s="300">
        <f>+'8'!P35</f>
        <v>8839.2097952542372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440</v>
      </c>
      <c r="I11" s="236">
        <f t="shared" si="0"/>
        <v>31961.599999999999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5753.0879999999988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26208.511999999999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6040.6779661016963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161.24594983050852</v>
      </c>
      <c r="P11" s="310">
        <f t="shared" si="2"/>
        <v>32410.435915932201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8">
        <v>9</v>
      </c>
      <c r="S11" s="317" t="str">
        <f>+'9'!A6:A6</f>
        <v>Gourmet Food Bedian Road</v>
      </c>
      <c r="T11" s="300">
        <f>+'9'!P35</f>
        <v>13095.143935932207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560</v>
      </c>
      <c r="I12" s="236">
        <f t="shared" si="0"/>
        <v>40678.400000000001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7322.1119999999983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33356.288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7688.1355932203414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205.22211796610176</v>
      </c>
      <c r="P12" s="310">
        <f t="shared" si="2"/>
        <v>41249.645711186444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8">
        <v>10</v>
      </c>
      <c r="S12" s="317" t="str">
        <f>+'10'!A6:A6</f>
        <v xml:space="preserve">Gourmet Food Ismail Nager </v>
      </c>
      <c r="T12" s="300">
        <f>+'10'!P35</f>
        <v>8020.7736005084762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413" t="str">
        <f>+'11'!A6:A6</f>
        <v>Gourmet Food Begum Road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17" t="str">
        <f>+'12'!A6:A6</f>
        <v xml:space="preserve">Gourmet Food Kanah </v>
      </c>
      <c r="T14" s="300">
        <f>+'12'!P35</f>
        <v>13095.143935932207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413" t="str">
        <f>+'13'!A6:A6</f>
        <v xml:space="preserve">Gourmet Food Kot Abdul Malik </v>
      </c>
      <c r="T15" s="300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274">
        <f>H16/40</f>
        <v>50</v>
      </c>
      <c r="H16" s="113">
        <f t="shared" ref="H16:M16" si="3">SUM(H7:H15)</f>
        <v>2000</v>
      </c>
      <c r="I16" s="114">
        <f t="shared" si="3"/>
        <v>133173.5</v>
      </c>
      <c r="J16" s="274">
        <f>SUM(J7:J15)</f>
        <v>23971.229999999996</v>
      </c>
      <c r="K16" s="275">
        <f t="shared" si="3"/>
        <v>0</v>
      </c>
      <c r="L16" s="276">
        <f t="shared" si="3"/>
        <v>0</v>
      </c>
      <c r="M16" s="232">
        <f t="shared" si="3"/>
        <v>109202.27</v>
      </c>
      <c r="N16" s="233">
        <f>SUM(N7:N15)</f>
        <v>25169.491525423731</v>
      </c>
      <c r="O16" s="101">
        <f>SUM(O7:O15)</f>
        <v>671.85880762711884</v>
      </c>
      <c r="P16" s="113">
        <f>SUM(P7:P15)</f>
        <v>135043.62033305084</v>
      </c>
      <c r="Q16" s="128">
        <f>SUM(Q7:Q15)</f>
        <v>0</v>
      </c>
      <c r="R16" s="318">
        <v>14</v>
      </c>
      <c r="S16" s="413" t="str">
        <f>+'14'!A6:A6</f>
        <v xml:space="preserve">Gourmet Food Shadra Town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413" t="str">
        <f>+'15'!A6:A6</f>
        <v>Gourmet Food Bilal Ganjh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Kot Khuaja Saeed </v>
      </c>
      <c r="T18" s="300">
        <f>+'16'!P35</f>
        <v>8839.2097952542372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133173.5</v>
      </c>
      <c r="R19" s="299">
        <v>17</v>
      </c>
      <c r="S19" s="413" t="str">
        <f>+'17'!A6:A6</f>
        <v xml:space="preserve">Gourmet Food Killa Lakshman singh </v>
      </c>
      <c r="T19" s="300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23971.229999999996</v>
      </c>
      <c r="R20" s="299">
        <v>18</v>
      </c>
      <c r="S20" s="413" t="str">
        <f>+'18'!A6:A6</f>
        <v>Gourmet Food Imamia Colony</v>
      </c>
      <c r="T20" s="300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0</v>
      </c>
      <c r="R21" s="299">
        <v>19</v>
      </c>
      <c r="S21" s="413" t="str">
        <f>+'19'!A6:A6</f>
        <v xml:space="preserve">Gourmet Food Badami bagh </v>
      </c>
      <c r="T21" s="300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109202.27</v>
      </c>
      <c r="R22" s="299">
        <v>20</v>
      </c>
      <c r="S22" s="413" t="str">
        <f>+'20'!A6:A6</f>
        <v>Gourmet Food Baghban pura</v>
      </c>
      <c r="T22" s="300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25169.491525423731</v>
      </c>
      <c r="R23" s="299">
        <v>21</v>
      </c>
      <c r="S23" s="317" t="str">
        <f>+'21'!A6:A6</f>
        <v>Gourmet Food Nadra Abad</v>
      </c>
      <c r="T23" s="300">
        <f>+'21'!P35</f>
        <v>5892.8065301694915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134371.76152542373</v>
      </c>
      <c r="R24" s="299">
        <v>22</v>
      </c>
      <c r="S24" s="413" t="str">
        <f>+'22'!A6:A6</f>
        <v>Gourmet Food Ghazi Road</v>
      </c>
      <c r="T24" s="300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671.85880762711884</v>
      </c>
      <c r="R25" s="299">
        <v>23</v>
      </c>
      <c r="S25" s="317" t="str">
        <f>+'23'!A6:A6</f>
        <v>Gourmet Food FF DHA</v>
      </c>
      <c r="T25" s="300">
        <f>+'23'!P35</f>
        <v>5892.8065301694915</v>
      </c>
    </row>
    <row r="26" spans="1:20" ht="21.75" customHeight="1" thickBot="1" x14ac:dyDescent="0.4">
      <c r="N26" s="343" t="s">
        <v>88</v>
      </c>
      <c r="O26" s="344"/>
      <c r="P26" s="297">
        <f>+P24+P25</f>
        <v>135043.62033305084</v>
      </c>
      <c r="R26" s="299">
        <v>24</v>
      </c>
      <c r="S26" s="317" t="str">
        <f>+'24'!A6:A6</f>
        <v>Gourmet Food Sultanpura</v>
      </c>
      <c r="T26" s="300">
        <f>+'24'!P35</f>
        <v>15223.111006271187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17" t="str">
        <f>+'25'!A6:A6</f>
        <v>Gourmet Food Militery Account</v>
      </c>
      <c r="T27" s="300">
        <f>+'25'!P35</f>
        <v>8020.7736005084762</v>
      </c>
    </row>
    <row r="28" spans="1:20" ht="21.75" customHeight="1" x14ac:dyDescent="0.35">
      <c r="R28" s="299">
        <v>26</v>
      </c>
      <c r="S28" s="317" t="str">
        <f>+'26'!A6:A6</f>
        <v>Gourmet Food Nishat Colony</v>
      </c>
      <c r="T28" s="300">
        <f>+'26'!P35</f>
        <v>13095.143935932207</v>
      </c>
    </row>
    <row r="29" spans="1:20" ht="21.75" customHeight="1" x14ac:dyDescent="0.35">
      <c r="L29">
        <v>0</v>
      </c>
      <c r="R29" s="299">
        <v>27</v>
      </c>
      <c r="S29" s="413" t="str">
        <f>+'27'!A6:A6</f>
        <v>Gourmet Food Rehmanpura</v>
      </c>
      <c r="T29" s="300">
        <f>+'27'!P35</f>
        <v>0</v>
      </c>
    </row>
    <row r="30" spans="1:20" ht="21.75" customHeight="1" x14ac:dyDescent="0.35">
      <c r="R30" s="299">
        <v>28</v>
      </c>
      <c r="S30" s="413" t="str">
        <f>+'28'!A6:A6</f>
        <v>Gourmet Food Awan Market</v>
      </c>
      <c r="T30" s="300">
        <f>+'28'!P35</f>
        <v>0</v>
      </c>
    </row>
    <row r="31" spans="1:20" ht="21.75" customHeight="1" x14ac:dyDescent="0.35">
      <c r="R31" s="299">
        <v>29</v>
      </c>
      <c r="S31" s="413" t="str">
        <f>+'29'!A6:A6</f>
        <v>Gourmet Food Ismail Nager</v>
      </c>
      <c r="T31" s="300">
        <f>+'29'!P35</f>
        <v>0</v>
      </c>
    </row>
    <row r="32" spans="1:20" ht="21.75" customHeight="1" x14ac:dyDescent="0.35">
      <c r="R32" s="299">
        <v>30</v>
      </c>
      <c r="S32" s="413" t="str">
        <f>+'30'!A6:A6</f>
        <v xml:space="preserve">Gourmet Food Kanah 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135043.62033305084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zoomScaleNormal="10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2702.2139999999995</v>
      </c>
      <c r="K25" s="275">
        <f t="shared" si="10"/>
        <v>0</v>
      </c>
      <c r="L25" s="276">
        <f t="shared" si="10"/>
        <v>0</v>
      </c>
      <c r="M25" s="232">
        <f t="shared" si="10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15012.300000000001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2702.2139999999995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12310.086000000001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15147.374135593222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3" t="s">
        <v>88</v>
      </c>
      <c r="O35" s="344"/>
      <c r="P35" s="297">
        <f>+P33+P34</f>
        <v>15223.111006271187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  <c r="F2" t="s">
        <v>516</v>
      </c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46301</v>
      </c>
      <c r="O5" s="368"/>
      <c r="P5" s="368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4103.362000000001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5049.1247118644078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3" t="s">
        <v>88</v>
      </c>
      <c r="O35" s="344"/>
      <c r="P35" s="297">
        <f>+P33+P34</f>
        <v>5074.3703354237296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zoomScaleNormal="100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5811.2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1046.0159999999998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4765.1840000000002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5863.4890847457627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3" t="s">
        <v>88</v>
      </c>
      <c r="O35" s="344"/>
      <c r="P35" s="297">
        <f>+P33+P34</f>
        <v>5892.8065301694915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8716.7999999999993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1569.0239999999999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7147.7759999999998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8795.2336271186432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3" t="s">
        <v>88</v>
      </c>
      <c r="O35" s="344"/>
      <c r="P35" s="297">
        <f>+P33+P34</f>
        <v>8839.2097952542372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zoomScale="110" zoomScaleNormal="1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8716.7999999999993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1569.0239999999999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7147.7759999999998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8795.2336271186432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3" t="s">
        <v>88</v>
      </c>
      <c r="O35" s="344"/>
      <c r="P35" s="297">
        <f>+P33+P34</f>
        <v>8839.2097952542372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12913.800000000001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2324.4839999999995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10589.316000000003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13029.993966101698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3" t="s">
        <v>88</v>
      </c>
      <c r="O35" s="344"/>
      <c r="P35" s="297">
        <f>+P33+P34</f>
        <v>13095.143935932207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7909.7000000000007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1423.7459999999996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6485.9540000000015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7980.8692542372901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3" t="s">
        <v>88</v>
      </c>
      <c r="O35" s="344"/>
      <c r="P35" s="297">
        <f>+P33+P34</f>
        <v>8020.7736005084762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46301</v>
      </c>
      <c r="O5" s="368"/>
      <c r="P5" s="368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12913.800000000001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2324.4839999999995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10589.316000000003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13029.993966101698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3" t="s">
        <v>88</v>
      </c>
      <c r="O35" s="344"/>
      <c r="P35" s="297">
        <f>+P33+P34</f>
        <v>13095.143935932207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46301</v>
      </c>
      <c r="O5" s="368"/>
      <c r="P5" s="368"/>
      <c r="R5" s="85"/>
      <c r="S5" s="266"/>
    </row>
    <row r="6" spans="1:22 16383:16384" ht="15" customHeight="1" x14ac:dyDescent="0.4">
      <c r="A6" s="397" t="s">
        <v>530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46301</v>
      </c>
      <c r="O5" s="368"/>
      <c r="P5" s="368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46301</v>
      </c>
      <c r="O5" s="368"/>
      <c r="P5" s="368"/>
      <c r="R5" s="85"/>
      <c r="S5" s="266"/>
    </row>
    <row r="6" spans="1:22 16383:16384" ht="15" customHeight="1" x14ac:dyDescent="0.4">
      <c r="A6" s="397" t="s">
        <v>532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533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8716.7999999999993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1569.0239999999999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  <c r="S30" s="215"/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7147.7759999999998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8795.2336271186432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3" t="s">
        <v>88</v>
      </c>
      <c r="O35" s="344"/>
      <c r="P35" s="297">
        <f>+P33+P34</f>
        <v>8839.2097952542372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46301</v>
      </c>
      <c r="O5" s="368"/>
      <c r="P5" s="368"/>
      <c r="R5" s="85"/>
      <c r="S5" s="266"/>
    </row>
    <row r="6" spans="1:22 16383:16384" ht="15" customHeight="1" x14ac:dyDescent="0.4">
      <c r="A6" s="397" t="s">
        <v>534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46301</v>
      </c>
      <c r="O5" s="368"/>
      <c r="P5" s="368"/>
      <c r="R5" s="85"/>
      <c r="S5" s="266"/>
    </row>
    <row r="6" spans="1:22 16383:16384" ht="15" customHeight="1" x14ac:dyDescent="0.4">
      <c r="A6" s="397" t="s">
        <v>535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46301</v>
      </c>
      <c r="O5" s="368"/>
      <c r="P5" s="368"/>
      <c r="R5" s="85"/>
      <c r="S5" s="266"/>
    </row>
    <row r="6" spans="1:22 16383:16384" ht="15" customHeight="1" x14ac:dyDescent="0.4">
      <c r="A6" s="397" t="s">
        <v>536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8.75" customHeight="1" x14ac:dyDescent="0.4">
      <c r="A6" s="397" t="s">
        <v>537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538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5811.2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1046.0159999999998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4765.1840000000002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5863.4890847457627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3" t="s">
        <v>88</v>
      </c>
      <c r="O35" s="344"/>
      <c r="P35" s="297">
        <f>+P33+P34</f>
        <v>5892.8065301694915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539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540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5811.2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1046.0159999999998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4765.1840000000002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5863.4890847457627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3" t="s">
        <v>88</v>
      </c>
      <c r="O35" s="344"/>
      <c r="P35" s="297">
        <f>+P33+P34</f>
        <v>5892.8065301694915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541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15012.300000000001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2702.2139999999995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12310.086000000001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15147.374135593222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3" t="s">
        <v>88</v>
      </c>
      <c r="O35" s="344"/>
      <c r="P35" s="297">
        <f>+P33+P34</f>
        <v>15223.111006271187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542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7909.7000000000007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1423.7459999999996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6485.9540000000015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7980.8692542372901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3" t="s">
        <v>88</v>
      </c>
      <c r="O35" s="344"/>
      <c r="P35" s="297">
        <f>+P33+P34</f>
        <v>8020.7736005084762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543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12913.800000000001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2324.4839999999995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10589.316000000003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13029.993966101698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3" t="s">
        <v>88</v>
      </c>
      <c r="O35" s="344"/>
      <c r="P35" s="297">
        <f>+P33+P34</f>
        <v>13095.143935932207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1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46301</v>
      </c>
      <c r="O5" s="368"/>
      <c r="P5" s="368"/>
      <c r="R5" s="85"/>
      <c r="S5" s="266"/>
    </row>
    <row r="6" spans="1:22 16383:16384" ht="15" customHeight="1" x14ac:dyDescent="0.4">
      <c r="A6" s="397" t="s">
        <v>544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3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545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8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546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8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69" t="s">
        <v>69</v>
      </c>
      <c r="L6" s="369"/>
      <c r="M6" s="369"/>
      <c r="N6" s="398" t="s">
        <v>515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46304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46303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2026-10-08T07:28:16Z</dcterms:modified>
</cp:coreProperties>
</file>