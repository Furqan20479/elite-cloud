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E0C0FA9-5440-436F-BBD9-5313C8C4C648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M20" i="43" s="1"/>
  <c r="O20" i="43" s="1"/>
  <c r="P20" i="43" s="1"/>
  <c r="R20" i="43" s="1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M16" i="48"/>
  <c r="M20" i="71"/>
  <c r="O20" i="71" s="1"/>
  <c r="P20" i="71" s="1"/>
  <c r="R20" i="71" s="1"/>
  <c r="M20" i="48"/>
  <c r="O20" i="48" s="1"/>
  <c r="P20" i="48" s="1"/>
  <c r="R20" i="48" s="1"/>
  <c r="M22" i="52"/>
  <c r="O22" i="52" s="1"/>
  <c r="P22" i="52" s="1"/>
  <c r="M21" i="69"/>
  <c r="O21" i="69" s="1"/>
  <c r="P21" i="69" s="1"/>
  <c r="M23" i="56"/>
  <c r="O23" i="56" s="1"/>
  <c r="P23" i="56" s="1"/>
  <c r="M16" i="65"/>
  <c r="M16" i="72"/>
  <c r="M22" i="43"/>
  <c r="O22" i="43" s="1"/>
  <c r="P22" i="43" s="1"/>
  <c r="M23" i="59"/>
  <c r="M23" i="44"/>
  <c r="O23" i="44" s="1"/>
  <c r="P23" i="44" s="1"/>
  <c r="M16" i="44"/>
  <c r="M20" i="70"/>
  <c r="O20" i="70" s="1"/>
  <c r="P20" i="70" s="1"/>
  <c r="R20" i="70" s="1"/>
  <c r="M23" i="65"/>
  <c r="J7" i="62"/>
  <c r="K12" i="62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43"/>
  <c r="O21" i="43" s="1"/>
  <c r="P21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3" i="64"/>
  <c r="O23" i="64" s="1"/>
  <c r="P23" i="64" s="1"/>
  <c r="M23" i="53"/>
  <c r="O23" i="53" s="1"/>
  <c r="P23" i="53" s="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O16" i="6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3" i="59" l="1"/>
  <c r="P23" i="59" s="1"/>
  <c r="P25" i="59" s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<sst xmlns="http://schemas.openxmlformats.org/spreadsheetml/2006/main" count="3950" uniqueCount="523">
  <si>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</si>
  <si>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</si>
  <si>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</si>
  <si>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</si>
  <si>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</si>
  <si>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</si>
  <si>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</si>
  <si>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</si>
  <si>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</si>
  <si>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</si>
  <si>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</si>
  <si>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</si>
  <si>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</si>
  <si>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</si>
  <si>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</si>
  <si>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</si>
  <si>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</si>
  <si>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</si>
  <si>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</si>
  <si>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</si>
  <si>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</si>
  <si>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</si>
  <si>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</si>
  <si>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</si>
  <si>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</si>
  <si>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</si>
  <si>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</si>
  <si>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</si>
  <si>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</si>
  <si>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</si>
  <si>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</si>
  <si>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</si>
  <si>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</si>
  <si>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</si>
  <si>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</si>
  <si>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</si>
  <si>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</si>
  <si>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</si>
  <si>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</si>
  <si>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</si>
  <si>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</si>
  <si>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</si>
  <si>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</si>
  <si>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</si>
  <si>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</si>
  <si>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</si>
  <si>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</si>
  <si>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</si>
  <si>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</si>
  <si>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</si>
  <si>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</si>
  <si>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</si>
  <si>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</si>
  <si>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</si>
  <si>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</si>
  <si>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</si>
  <si>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</si>
  <si>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</si>
  <si>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</si>
  <si>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</si>
  <si>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</si>
  <si>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</si>
  <si>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</si>
  <si>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</si>
  <si>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</si>
  <si>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</si>
  <si>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</si>
  <si>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</si>
  <si>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</si>
  <si>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</si>
  <si>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</si>
  <si>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</si>
  <si>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</si>
  <si>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</si>
  <si>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</si>
  <si>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</si>
  <si>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</si>
  <si>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</si>
  <si>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</si>
  <si>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</si>
  <si>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</si>
  <si>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</si>
  <si>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</si>
  <si>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</si>
  <si>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</si>
  <si>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</si>
  <si>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</si>
  <si>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</si>
  <si>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</si>
  <si>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</si>
  <si>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</si>
  <si>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</si>
  <si>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</si>
  <si>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</si>
  <si>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</si>
  <si>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</si>
  <si>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</si>
  <si>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</si>
  <si>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</si>
  <si>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</si>
  <si>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</si>
  <si>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</si>
  <si>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</si>
  <si>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</si>
  <si>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</si>
  <si>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</si>
  <si>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</si>
  <si>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</si>
  <si>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</si>
  <si>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</si>
  <si>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</si>
  <si>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</si>
  <si>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</si>
  <si>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</si>
  <si>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</si>
  <si>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</si>
  <si>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</si>
  <si>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</si>
  <si>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</si>
  <si>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</si>
  <si>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</si>
  <si>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</si>
  <si>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</si>
  <si>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</si>
  <si>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</si>
  <si>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</si>
  <si>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</si>
  <si>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</si>
  <si>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</si>
  <si>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</si>
  <si>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</si>
  <si>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</si>
  <si>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</si>
  <si>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</si>
  <si>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</si>
  <si>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</si>
  <si>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</si>
  <si>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</si>
  <si>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</si>
  <si>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</si>
  <si>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</si>
  <si>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</si>
  <si>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</si>
  <si>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</si>
  <si>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</si>
  <si>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</si>
  <si>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</si>
  <si>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</si>
  <si>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</si>
  <si>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</si>
  <si>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</si>
  <si>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</si>
  <si>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</si>
  <si>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</si>
  <si>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</si>
  <si>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</si>
  <si>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</si>
  <si>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</si>
  <si>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</si>
  <si>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</si>
  <si>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</si>
  <si>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</si>
  <si>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</si>
  <si>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</si>
  <si>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</si>
  <si>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</si>
  <si>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</si>
  <si>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</si>
  <si>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</si>
  <si>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</si>
  <si>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</si>
  <si>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</si>
  <si>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</si>
  <si>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</si>
  <si>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</si>
  <si>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</si>
  <si>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</si>
  <si>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</si>
  <si>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</si>
  <si>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</si>
  <si>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</si>
  <si>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</si>
  <si>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</si>
  <si>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</si>
  <si>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</si>
  <si>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</si>
  <si>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</si>
  <si>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</si>
  <si>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</si>
  <si>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</si>
  <si>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</si>
  <si>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</si>
  <si>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</si>
  <si>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</si>
  <si>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</si>
  <si>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</si>
  <si>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</si>
  <si>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</si>
  <si>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</si>
  <si>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</si>
  <si>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</si>
  <si>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</si>
  <si>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</si>
  <si>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</si>
  <si>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</si>
  <si>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</si>
  <si>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</si>
  <si>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</si>
  <si>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</si>
  <si>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</si>
  <si>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</si>
  <si>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</si>
  <si>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</si>
  <si>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</si>
  <si>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</si>
  <si>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</si>
  <si>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</si>
  <si>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</si>
  <si>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</si>
  <si>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</si>
  <si>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</si>
  <si>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</si>
  <si>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</si>
  <si>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</si>
  <si>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</si>
  <si>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</si>
  <si>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</si>
  <si>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</si>
  <si>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</si>
  <si>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</si>
  <si>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</si>
  <si>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</si>
  <si>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</si>
  <si>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</si>
  <si>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</si>
  <si>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</si>
  <si>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</si>
  <si>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</si>
  <si>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</si>
  <si>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</si>
  <si>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</si>
  <si>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</si>
  <si>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</si>
  <si>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</si>
  <si>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</si>
  <si>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</si>
  <si>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</si>
  <si>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</si>
  <si>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</si>
  <si>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</si>
  <si>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</si>
  <si>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</si>
  <si>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</si>
  <si>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</si>
  <si>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</si>
  <si>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</si>
  <si>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</si>
  <si>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</si>
  <si>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</si>
  <si>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</si>
  <si>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</si>
  <si>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</si>
  <si>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</si>
  <si>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</si>
  <si>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</si>
  <si>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</si>
  <si>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</si>
  <si>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</si>
  <si>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</si>
  <si>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</si>
  <si>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</si>
  <si>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</si>
  <si>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</si>
  <si>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</si>
  <si>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</si>
  <si>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</si>
  <si>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</si>
  <si>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</si>
  <si>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</si>
  <si>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</si>
  <si>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</si>
  <si>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</si>
  <si>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</si>
  <si>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</si>
  <si>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</si>
  <si>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</si>
  <si>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</si>
  <si>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</si>
  <si>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</si>
  <si>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</si>
  <si>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</si>
  <si>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</si>
  <si>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</si>
  <si>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</si>
  <si>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</si>
  <si>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</si>
  <si>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</si>
  <si>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</si>
  <si>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</si>
  <si>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</si>
  <si>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</si>
  <si>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</si>
  <si>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</si>
  <si>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</si>
  <si>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</si>
  <si>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</si>
  <si>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</si>
  <si>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</si>
  <si>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</si>
  <si>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</si>
  <si>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</si>
  <si>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</si>
  <si>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</si>
  <si>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</si>
  <si>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</si>
  <si>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</si>
  <si>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</si>
  <si>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</si>
  <si>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</si>
  <si>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</si>
  <si>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</si>
  <si>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</si>
  <si>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</si>
  <si>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</si>
  <si>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</si>
  <si>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</si>
  <si>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</si>
  <si>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</si>
  <si>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</si>
  <si>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</si>
  <si>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</si>
  <si>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</si>
  <si>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</si>
  <si>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</si>
  <si>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</si>
  <si>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</si>
  <si>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</si>
  <si>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</si>
  <si>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</si>
  <si>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</si>
  <si>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</si>
  <si>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</si>
  <si>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</si>
  <si>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</si>
  <si>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</si>
  <si>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</si>
  <si>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</si>
  <si>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</si>
  <si>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</si>
  <si>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</si>
  <si>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</si>
  <si>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</si>
  <si>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</si>
  <si>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</si>
  <si>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</si>
  <si>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</si>
  <si>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</si>
  <si>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</si>
  <si>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</si>
  <si>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</si>
  <si>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</si>
  <si>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</si>
  <si>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</si>
  <si>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</si>
  <si>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</si>
  <si>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</si>
  <si>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</si>
  <si>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</si>
  <si>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</si>
  <si>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</si>
  <si>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</si>
  <si>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</si>
  <si>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</si>
  <si>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</si>
  <si>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</si>
  <si>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</si>
  <si>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</si>
  <si>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</si>
  <si>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</si>
  <si>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</si>
  <si>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</si>
  <si>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</si>
  <si>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</si>
  <si>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</si>
  <si>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</si>
  <si>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</si>
  <si>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</si>
  <si>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</si>
  <si>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</si>
  <si>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</si>
  <si>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</si>
  <si>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</si>
  <si>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</si>
  <si>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</si>
  <si>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</si>
  <si>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</si>
  <si>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</si>
  <si>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</si>
  <si>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</si>
  <si>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</si>
  <si>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</si>
  <si>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</si>
  <si>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</si>
  <si>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</si>
  <si>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</si>
  <si>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</si>
  <si>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</si>
  <si>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</si>
  <si>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</si>
  <si>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</si>
  <si>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</si>
  <si>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</si>
  <si>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</si>
  <si>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</si>
  <si>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</si>
  <si>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</si>
  <si>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</si>
  <si>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</si>
  <si>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</si>
  <si>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</si>
  <si>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</si>
  <si>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</si>
  <si>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</si>
  <si>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</si>
  <si>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</si>
  <si>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</si>
  <si>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</si>
  <si>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</si>
  <si>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</si>
  <si>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</si>
  <si>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</si>
  <si>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</si>
  <si>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</si>
  <si>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</si>
  <si>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</si>
  <si>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</si>
  <si>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</si>
  <si>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</si>
  <si>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</si>
  <si>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</si>
  <si>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</si>
  <si>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</si>
  <si>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</si>
  <si>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</si>
  <si>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</si>
  <si>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</si>
  <si>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</si>
  <si>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</si>
  <si>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</si>
  <si>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</si>
  <si>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</si>
  <si>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</si>
  <si>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</si>
  <si>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</si>
  <si>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</si>
  <si>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</si>
  <si>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</si>
  <si>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</si>
  <si>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</si>
  <si>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</si>
  <si>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</si>
  <si>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</si>
  <si>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</si>
  <si>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</si>
  <si>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</si>
  <si>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</si>
  <si>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</si>
  <si>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</si>
  <si>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</si>
  <si>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</si>
  <si>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</si>
  <si>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</si>
  <si>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</si>
  <si>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</si>
  <si>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</si>
  <si>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</si>
  <si>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</si>
  <si>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</si>
  <si>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</si>
  <si>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</si>
  <si>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</si>
  <si>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</si>
  <si>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</si>
  <si>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</si>
  <si>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</si>
  <si>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</si>
  <si>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</si>
  <si>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</si>
  <si>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</si>
  <si>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</si>
  <si>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</si>
  <si>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</si>
  <si>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</si>
  <si>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</si>
  <si>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</si>
  <si>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</si>
  <si>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</si>
  <si>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</si>
  <si>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</si>
  <si>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</si>
  <si>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</si>
  <si>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</si>
  <si>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</si>
  <si>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</si>
  <si>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</si>
  <si>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</si>
  <si>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</si>
  <si>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</si>
  <si>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</si>
  <si>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</si>
  <si>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</si>
  <si>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</si>
  <si>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</si>
  <si>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</si>
  <si>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</si>
  <si>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SB Traders </t>
  </si>
  <si>
    <t xml:space="preserve">NTN #: 4655329-3 </t>
  </si>
  <si>
    <t xml:space="preserve">Address: Shadbagh </t>
  </si>
  <si>
    <t>Invoice No # :01210</t>
  </si>
  <si>
    <t xml:space="preserve">MB Traders </t>
  </si>
  <si>
    <t>Address: Askari 11</t>
  </si>
  <si>
    <t>NTN #: 5526536-5</t>
  </si>
  <si>
    <t>Invoice No # :0114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</si>
</sst>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46304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MB Traders </v>
      </c>
      <c r="T3" s="301">
        <f>+'1'!P35</f>
        <v>12502.025700635595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SB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SB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SB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SB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SB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SB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SB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203.39200000000002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1198.56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7.3656813559322032</v>
      </c>
      <c r="P11" s="311">
        <f t="shared" si="2"/>
        <v>1480.5019525423727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SB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SB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SB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SB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SB Traders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4.5</v>
      </c>
      <c r="H16" s="113">
        <f t="shared" ref="H16:M16" si="3">SUM(H7:H15)</f>
        <v>180</v>
      </c>
      <c r="I16" s="114">
        <f t="shared" si="3"/>
        <v>12268.1</v>
      </c>
      <c r="J16" s="274">
        <f>SUM(J7:J15)</f>
        <v>1717.5340000000001</v>
      </c>
      <c r="K16" s="275">
        <f t="shared" si="3"/>
        <v>429.38350000000003</v>
      </c>
      <c r="L16" s="276">
        <f t="shared" si="3"/>
        <v>0</v>
      </c>
      <c r="M16" s="232">
        <f t="shared" si="3"/>
        <v>10121.182499999999</v>
      </c>
      <c r="N16" s="233">
        <f>SUM(N7:N15)</f>
        <v>2318.6440677966102</v>
      </c>
      <c r="O16" s="101">
        <f>SUM(O7:O15)</f>
        <v>62.199132838983047</v>
      </c>
      <c r="P16" s="113">
        <f>SUM(P7:P15)</f>
        <v>12502.025700635591</v>
      </c>
      <c r="Q16" s="128">
        <f>SUM(Q7:Q15)</f>
        <v>0</v>
      </c>
      <c r="R16" s="314">
        <v>14</v>
      </c>
      <c r="S16" s="300" t="str">
        <f>+'14'!A6:A6</f>
        <v xml:space="preserve">SB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SB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SB Traders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12268.1</v>
      </c>
      <c r="R19" s="299">
        <v>17</v>
      </c>
      <c r="S19" s="300" t="str">
        <f>+'17'!A6:A6</f>
        <v xml:space="preserve">SB Traders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1717.5340000000001</v>
      </c>
      <c r="R20" s="299">
        <v>18</v>
      </c>
      <c r="S20" s="300" t="str">
        <f>+'18'!A6:A6</f>
        <v xml:space="preserve">SB Traders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429.38350000000003</v>
      </c>
      <c r="R21" s="299">
        <v>19</v>
      </c>
      <c r="S21" s="300" t="str">
        <f>+'19'!A6:A6</f>
        <v xml:space="preserve">SB Traders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10121.182500000001</v>
      </c>
      <c r="R22" s="299">
        <v>20</v>
      </c>
      <c r="S22" s="300" t="str">
        <f>+'20'!A6:A6</f>
        <v xml:space="preserve">SB Traders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2318.6440677966102</v>
      </c>
      <c r="R23" s="299">
        <v>21</v>
      </c>
      <c r="S23" s="300" t="str">
        <f>+'21'!A6:A6</f>
        <v xml:space="preserve">SB Traders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12439.826567796612</v>
      </c>
      <c r="R24" s="299">
        <v>22</v>
      </c>
      <c r="S24" s="300" t="str">
        <f>+'22'!A6:A6</f>
        <v xml:space="preserve">SB Traders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62.199132838983047</v>
      </c>
      <c r="R25" s="299">
        <v>23</v>
      </c>
      <c r="S25" s="300" t="str">
        <f>+'23'!A6:A6</f>
        <v xml:space="preserve">SB Traders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12502.025700635595</v>
      </c>
      <c r="R26" s="299">
        <v>24</v>
      </c>
      <c r="S26" s="300" t="str">
        <f>+'24'!A6:A6</f>
        <v xml:space="preserve">SB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SB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SB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SB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SB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SB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SB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12502.025700635595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522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46302</v>
      </c>
      <c r="O5" s="393"/>
      <c r="P5" s="393"/>
      <c r="R5" s="85"/>
      <c r="S5" s="266"/>
    </row>
    <row r="6" spans="1:22 16383:16384" ht="17.2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203.39200000000002</v>
      </c>
      <c r="K20" s="128">
        <f t="shared" si="1"/>
        <v>50.848000000000006</v>
      </c>
      <c r="L20" s="119">
        <f t="shared" si="1"/>
        <v>0</v>
      </c>
      <c r="M20" s="230">
        <f t="shared" si="2"/>
        <v>1198.56</v>
      </c>
      <c r="N20" s="277">
        <f t="shared" si="3"/>
        <v>274.57627118644069</v>
      </c>
      <c r="O20" s="239">
        <f t="shared" si="4"/>
        <v>7.3656813559322032</v>
      </c>
      <c r="P20" s="311">
        <f t="shared" si="5"/>
        <v>1480.5019525423727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180</v>
      </c>
      <c r="I25" s="114">
        <f t="shared" ref="I25:M25" si="10">SUM(I16:I24)</f>
        <v>12268.1</v>
      </c>
      <c r="J25" s="274">
        <f>SUM(J16:J24)</f>
        <v>1717.5340000000001</v>
      </c>
      <c r="K25" s="275">
        <f t="shared" si="10"/>
        <v>429.38350000000003</v>
      </c>
      <c r="L25" s="276">
        <f t="shared" si="10"/>
        <v>0</v>
      </c>
      <c r="M25" s="232">
        <f t="shared" si="10"/>
        <v>10121.182499999999</v>
      </c>
      <c r="N25" s="233">
        <f>SUM(N16:N24)</f>
        <v>2318.6440677966102</v>
      </c>
      <c r="O25" s="101">
        <f>SUM(O16:O24)</f>
        <v>62.199132838983047</v>
      </c>
      <c r="P25" s="113">
        <f>SUM(P16:P24)</f>
        <v>12502.025700635591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12268.1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1717.5340000000001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429.38350000000003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10121.182500000001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2318.6440677966102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12439.826567796612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62.199132838983061</v>
      </c>
    </row>
    <row r="35" spans="2:16" ht="15.75" customHeight="1" thickBot="1" x14ac:dyDescent="0.4">
      <c r="N35" s="373" t="s">
        <v>88</v>
      </c>
      <c r="O35" s="374"/>
      <c r="P35" s="297">
        <f>+P33+P34</f>
        <v>12502.025700635595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46305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46304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2026-10-09T05:05:23Z</dcterms:modified>
</cp:coreProperties>
</file>