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51A5C1-C168-414D-AE02-2F9290780A8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47" l="1"/>
  <c r="H16" i="47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20" i="47"/>
  <c r="O20" i="47" s="1"/>
  <c r="P20" i="47" s="1"/>
  <c r="R20" i="47" s="1"/>
  <c r="M21" i="44"/>
  <c r="O21" i="44" s="1"/>
  <c r="P21" i="44" s="1"/>
  <c r="M17" i="44"/>
  <c r="O17" i="44" s="1"/>
  <c r="P17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<sst xmlns="http://schemas.openxmlformats.org/spreadsheetml/2006/main" count="3948" uniqueCount="522">
  <si>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</si>
  <si>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</si>
  <si>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</si>
  <si>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</si>
  <si>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</si>
  <si>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</si>
  <si>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</si>
  <si>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</si>
  <si>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</si>
  <si>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</si>
  <si>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</si>
  <si>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</si>
  <si>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</si>
  <si>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</si>
  <si>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</si>
  <si>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</si>
  <si>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</si>
  <si>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</si>
  <si>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</si>
  <si>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</si>
  <si>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</si>
  <si>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</si>
  <si>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</si>
  <si>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</si>
  <si>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</si>
  <si>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</si>
  <si>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</si>
  <si>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</si>
  <si>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</si>
  <si>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</si>
  <si>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</si>
  <si>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</si>
  <si>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</si>
  <si>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</si>
  <si>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</si>
  <si>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</si>
  <si>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</si>
  <si>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</si>
  <si>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</si>
  <si>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</si>
  <si>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</si>
  <si>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</si>
  <si>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</si>
  <si>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</si>
  <si>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</si>
  <si>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</si>
  <si>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</si>
  <si>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</si>
  <si>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</si>
  <si>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</si>
  <si>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</si>
  <si>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</si>
  <si>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</si>
  <si>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</si>
  <si>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</si>
  <si>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</si>
  <si>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</si>
  <si>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</si>
  <si>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</si>
  <si>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</si>
  <si>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</si>
  <si>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</si>
  <si>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</si>
  <si>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</si>
  <si>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</si>
  <si>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</si>
  <si>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</si>
  <si>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</si>
  <si>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</si>
  <si>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</si>
  <si>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</si>
  <si>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</si>
  <si>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</si>
  <si>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</si>
  <si>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</si>
  <si>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</si>
  <si>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</si>
  <si>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</si>
  <si>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</si>
  <si>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</si>
  <si>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</si>
  <si>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</si>
  <si>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</si>
  <si>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</si>
  <si>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</si>
  <si>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</si>
  <si>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</si>
  <si>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</si>
  <si>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</si>
  <si>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</si>
  <si>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</si>
  <si>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</si>
  <si>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</si>
  <si>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</si>
  <si>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</si>
  <si>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</si>
  <si>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</si>
  <si>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</si>
  <si>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</si>
  <si>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</si>
  <si>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</si>
  <si>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</si>
  <si>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</si>
  <si>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</si>
  <si>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</si>
  <si>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</si>
  <si>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</si>
  <si>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</si>
  <si>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</si>
  <si>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</si>
  <si>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</si>
  <si>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</si>
  <si>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</si>
  <si>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</si>
  <si>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</si>
  <si>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</si>
  <si>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</si>
  <si>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</si>
  <si>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</si>
  <si>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</si>
  <si>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</si>
  <si>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</si>
  <si>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</si>
  <si>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</si>
  <si>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</si>
  <si>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</si>
  <si>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</si>
  <si>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</si>
  <si>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</si>
  <si>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</si>
  <si>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</si>
  <si>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</si>
  <si>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</si>
  <si>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</si>
  <si>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</si>
  <si>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</si>
  <si>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</si>
  <si>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</si>
  <si>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</si>
  <si>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</si>
  <si>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</si>
  <si>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</si>
  <si>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</si>
  <si>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</si>
  <si>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</si>
  <si>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</si>
  <si>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</si>
  <si>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</si>
  <si>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</si>
  <si>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</si>
  <si>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</si>
  <si>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</si>
  <si>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</si>
  <si>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</si>
  <si>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</si>
  <si>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</si>
  <si>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</si>
  <si>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</si>
  <si>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</si>
  <si>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</si>
  <si>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</si>
  <si>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</si>
  <si>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</si>
  <si>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</si>
  <si>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</si>
  <si>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</si>
  <si>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</si>
  <si>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</si>
  <si>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</si>
  <si>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</si>
  <si>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</si>
  <si>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</si>
  <si>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</si>
  <si>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</si>
  <si>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</si>
  <si>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</si>
  <si>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</si>
  <si>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</si>
  <si>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</si>
  <si>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</si>
  <si>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</si>
  <si>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</si>
  <si>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</si>
  <si>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</si>
  <si>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</si>
  <si>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</si>
  <si>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</si>
  <si>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</si>
  <si>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</si>
  <si>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</si>
  <si>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</si>
  <si>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</si>
  <si>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</si>
  <si>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</si>
  <si>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</si>
  <si>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</si>
  <si>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</si>
  <si>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</si>
  <si>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</si>
  <si>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</si>
  <si>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</si>
  <si>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</si>
  <si>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</si>
  <si>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</si>
  <si>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</si>
  <si>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</si>
  <si>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</si>
  <si>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</si>
  <si>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</si>
  <si>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</si>
  <si>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</si>
  <si>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</si>
  <si>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</si>
  <si>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</si>
  <si>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</si>
  <si>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</si>
  <si>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</si>
  <si>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</si>
  <si>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</si>
  <si>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</si>
  <si>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</si>
  <si>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</si>
  <si>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</si>
  <si>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</si>
  <si>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</si>
  <si>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</si>
  <si>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</si>
  <si>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</si>
  <si>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</si>
  <si>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</si>
  <si>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</si>
  <si>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</si>
  <si>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</si>
  <si>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</si>
  <si>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</si>
  <si>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</si>
  <si>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</si>
  <si>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</si>
  <si>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</si>
  <si>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</si>
  <si>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</si>
  <si>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</si>
  <si>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</si>
  <si>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</si>
  <si>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</si>
  <si>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</si>
  <si>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</si>
  <si>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</si>
  <si>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</si>
  <si>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</si>
  <si>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</si>
  <si>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</si>
  <si>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</si>
  <si>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</si>
  <si>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</si>
  <si>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</si>
  <si>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</si>
  <si>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</si>
  <si>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</si>
  <si>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</si>
  <si>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</si>
  <si>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</si>
  <si>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</si>
  <si>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</si>
  <si>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</si>
  <si>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</si>
  <si>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</si>
  <si>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</si>
  <si>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</si>
  <si>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</si>
  <si>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</si>
  <si>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</si>
  <si>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</si>
  <si>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</si>
  <si>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</si>
  <si>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</si>
  <si>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</si>
  <si>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</si>
  <si>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</si>
  <si>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</si>
  <si>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</si>
  <si>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</si>
  <si>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</si>
  <si>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</si>
  <si>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</si>
  <si>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</si>
  <si>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</si>
  <si>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</si>
  <si>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</si>
  <si>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</si>
  <si>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</si>
  <si>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</si>
  <si>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</si>
  <si>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</si>
  <si>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</si>
  <si>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</si>
  <si>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</si>
  <si>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</si>
  <si>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</si>
  <si>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</si>
  <si>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</si>
  <si>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</si>
  <si>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</si>
  <si>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</si>
  <si>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</si>
  <si>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</si>
  <si>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</si>
  <si>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</si>
  <si>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</si>
  <si>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</si>
  <si>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</si>
  <si>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</si>
  <si>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</si>
  <si>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</si>
  <si>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</si>
  <si>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</si>
  <si>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</si>
  <si>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</si>
  <si>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</si>
  <si>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</si>
  <si>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</si>
  <si>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</si>
  <si>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</si>
  <si>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</si>
  <si>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</si>
  <si>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</si>
  <si>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</si>
  <si>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</si>
  <si>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</si>
  <si>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</si>
  <si>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</si>
  <si>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</si>
  <si>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</si>
  <si>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</si>
  <si>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</si>
  <si>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</si>
  <si>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</si>
  <si>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</si>
  <si>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</si>
  <si>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</si>
  <si>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</si>
  <si>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</si>
  <si>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</si>
  <si>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</si>
  <si>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</si>
  <si>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</si>
  <si>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</si>
  <si>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</si>
  <si>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</si>
  <si>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</si>
  <si>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</si>
  <si>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</si>
  <si>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</si>
  <si>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</si>
  <si>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</si>
  <si>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</si>
  <si>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</si>
  <si>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</si>
  <si>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</si>
  <si>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</si>
  <si>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</si>
  <si>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</si>
  <si>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</si>
  <si>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</si>
  <si>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</si>
  <si>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</si>
  <si>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</si>
  <si>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</si>
  <si>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</si>
  <si>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</si>
  <si>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</si>
  <si>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</si>
  <si>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</si>
  <si>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</si>
  <si>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</si>
  <si>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</si>
  <si>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</si>
  <si>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</si>
  <si>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</si>
  <si>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</si>
  <si>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</si>
  <si>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</si>
  <si>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</si>
  <si>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</si>
  <si>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</si>
  <si>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</si>
  <si>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</si>
  <si>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</si>
  <si>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</si>
  <si>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</si>
  <si>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</si>
  <si>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</si>
  <si>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</si>
  <si>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</si>
  <si>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</si>
  <si>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</si>
  <si>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</si>
  <si>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</si>
  <si>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</si>
  <si>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</si>
  <si>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</si>
  <si>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</si>
  <si>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</si>
  <si>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</si>
  <si>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</si>
  <si>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</si>
  <si>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</si>
  <si>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</si>
  <si>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</si>
  <si>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</si>
  <si>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</si>
  <si>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</si>
  <si>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</si>
  <si>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</si>
  <si>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</si>
  <si>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</si>
  <si>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</si>
  <si>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</si>
  <si>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</si>
  <si>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</si>
  <si>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</si>
  <si>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</si>
  <si>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</si>
  <si>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</si>
  <si>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</si>
  <si>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</si>
  <si>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</si>
  <si>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</si>
  <si>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</si>
  <si>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</si>
  <si>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</si>
  <si>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</si>
  <si>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</si>
  <si>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</si>
  <si>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</si>
  <si>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</si>
  <si>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</si>
  <si>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</si>
  <si>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</si>
  <si>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</si>
  <si>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</si>
  <si>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</si>
  <si>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</si>
  <si>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</si>
  <si>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</si>
  <si>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</si>
  <si>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</si>
  <si>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</si>
  <si>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</si>
  <si>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</si>
  <si>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</si>
  <si>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</si>
  <si>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</si>
  <si>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</si>
  <si>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</si>
  <si>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</si>
  <si>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</si>
  <si>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</si>
  <si>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</si>
  <si>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</si>
  <si>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</si>
  <si>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</si>
  <si>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</si>
  <si>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</si>
  <si>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</si>
  <si>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</si>
  <si>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</si>
  <si>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</si>
  <si>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</si>
  <si>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</si>
  <si>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</si>
  <si>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</si>
  <si>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</si>
  <si>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</si>
  <si>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</si>
  <si>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</si>
  <si>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</si>
  <si>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</si>
  <si>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</si>
  <si>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</si>
  <si>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</si>
  <si>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</si>
  <si>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</si>
  <si>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</si>
  <si>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</si>
  <si>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</si>
  <si>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</si>
  <si>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</si>
  <si>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</si>
  <si>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</si>
  <si>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</si>
  <si>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</si>
  <si>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</si>
  <si>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</si>
  <si>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</si>
  <si>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</si>
  <si>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</si>
  <si>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</si>
  <si>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</si>
  <si>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</si>
  <si>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</si>
  <si>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</si>
  <si>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</si>
  <si>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</si>
  <si>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</si>
  <si>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</si>
  <si>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</si>
  <si>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</si>
  <si>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</si>
  <si>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</si>
  <si>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</si>
  <si>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</si>
  <si>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</si>
  <si>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</si>
  <si>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</si>
  <si>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Bismillah Store</t>
  </si>
  <si>
    <t>Address: Gopal Nagar Bazar</t>
  </si>
  <si>
    <t>Fazale Kabeer</t>
  </si>
  <si>
    <t xml:space="preserve">New Kashmir Bakery </t>
  </si>
  <si>
    <t xml:space="preserve">Ali Masala Jaat </t>
  </si>
  <si>
    <t>Gujjer Store</t>
  </si>
  <si>
    <t>Shaheen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</si>
</sst>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Bismillah Store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Fazale Kabeer</v>
      </c>
      <c r="T4" s="301">
        <f>+'2'!P35</f>
        <v>3580.5156381800853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New Kashmir Bakery </v>
      </c>
      <c r="T5" s="301">
        <f>+'3'!P35</f>
        <v>6076.4210639141938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Ali Masala Jaat </v>
      </c>
      <c r="T6" s="301">
        <f>+'4'!P35</f>
        <v>2430.5684255656784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52</v>
      </c>
      <c r="I7" s="235">
        <f>(G7*D7)*F7+H7*F7</f>
        <v>2728.0499999999997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218.244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95.481750000000005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2414.3242499999997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515.59322033898286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14.649587351694915</v>
      </c>
      <c r="P7" s="310">
        <f>M7+N7+O7</f>
        <v>2944.5670576906778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22</v>
      </c>
      <c r="R7" s="313">
        <v>5</v>
      </c>
      <c r="S7" s="300" t="str">
        <f>+'5'!A6:A6</f>
        <v>Gujjer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48</v>
      </c>
      <c r="I8" s="236">
        <f t="shared" ref="I8:I14" si="0">(G8*D8)*F8+H8*F8</f>
        <v>2518.1999999999998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201.45599999999996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88.137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2228.607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475.93220338983025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13.522696016949151</v>
      </c>
      <c r="P8" s="311">
        <f t="shared" ref="P8:P15" si="2">M8+N8+O8</f>
        <v>2718.0618994067795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>Shaheen Bakery</v>
      </c>
      <c r="T8" s="301">
        <f>+'6'!P35</f>
        <v>2530.7527152489406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209.84999999999997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26.525172610169495</v>
      </c>
      <c r="P10" s="311">
        <f t="shared" si="2"/>
        <v>5331.5596946440692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284.74880000000002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3150.0336000000002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19.113727322033903</v>
      </c>
      <c r="P11" s="311">
        <f t="shared" si="2"/>
        <v>3841.859191728814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686.44067796610182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7.9249999999999998</v>
      </c>
      <c r="H16" s="113">
        <f t="shared" ref="H16:M16" si="3">SUM(H7:H15)</f>
        <v>317</v>
      </c>
      <c r="I16" s="114">
        <f t="shared" si="3"/>
        <v>20000.255000000001</v>
      </c>
      <c r="J16" s="274">
        <f>SUM(J7:J15)</f>
        <v>1600.0204000000001</v>
      </c>
      <c r="K16" s="275">
        <f t="shared" si="3"/>
        <v>700.00892499999998</v>
      </c>
      <c r="L16" s="276">
        <f t="shared" si="3"/>
        <v>0</v>
      </c>
      <c r="M16" s="232">
        <f t="shared" si="3"/>
        <v>17700.225675000002</v>
      </c>
      <c r="N16" s="233">
        <f>SUM(N7:N15)</f>
        <v>3779.9999999999995</v>
      </c>
      <c r="O16" s="101">
        <f>SUM(O7:O15)</f>
        <v>107.401128375</v>
      </c>
      <c r="P16" s="113">
        <f>SUM(P7:P15)</f>
        <v>21587.626803375002</v>
      </c>
      <c r="Q16" s="128">
        <f>SUM(Q7:Q15)</f>
        <v>23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20000.255000000001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1600.0204000000001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700.00892499999998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17700.225675000002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3779.9999999999995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21480.225675000002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107.401128375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21587.626803375002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21587.626803375002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54</v>
      </c>
      <c r="I25" s="114">
        <f t="shared" si="7"/>
        <v>3317.2350000000006</v>
      </c>
      <c r="J25" s="274">
        <f>SUM(J16:J24)</f>
        <v>265.37880000000001</v>
      </c>
      <c r="K25" s="275">
        <f t="shared" si="7"/>
        <v>116.10322500000001</v>
      </c>
      <c r="L25" s="276">
        <f t="shared" si="7"/>
        <v>0</v>
      </c>
      <c r="M25" s="232">
        <f t="shared" si="7"/>
        <v>2935.7529750000003</v>
      </c>
      <c r="N25" s="233">
        <f>SUM(N16:N24)</f>
        <v>626.94915254237287</v>
      </c>
      <c r="O25" s="101">
        <f>SUM(O16:O24)</f>
        <v>17.813510637711865</v>
      </c>
      <c r="P25" s="234">
        <f>SUM(P16:P24)</f>
        <v>3580.5156381800844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3317.2350000000006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265.37880000000001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116.10322500000001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2935.7529750000008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626.94915254237287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3562.7021275423735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17.813510637711868</v>
      </c>
    </row>
    <row r="35" spans="2:16" ht="15.75" customHeight="1" thickBot="1" x14ac:dyDescent="0.4">
      <c r="N35" s="374" t="s">
        <v>88</v>
      </c>
      <c r="O35" s="375"/>
      <c r="P35" s="297">
        <f>+P33+P34</f>
        <v>3580.5156381800853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90</v>
      </c>
      <c r="I25" s="114">
        <f t="shared" si="7"/>
        <v>5629.6124999999993</v>
      </c>
      <c r="J25" s="274">
        <f>SUM(J16:J24)</f>
        <v>450.36900000000003</v>
      </c>
      <c r="K25" s="275">
        <f t="shared" si="7"/>
        <v>197.03643750000001</v>
      </c>
      <c r="L25" s="276">
        <f t="shared" si="7"/>
        <v>0</v>
      </c>
      <c r="M25" s="232">
        <f t="shared" si="7"/>
        <v>4982.2070624999997</v>
      </c>
      <c r="N25" s="233">
        <f>SUM(N16:N24)</f>
        <v>1063.9830508474574</v>
      </c>
      <c r="O25" s="101">
        <f>SUM(O16:O24)</f>
        <v>30.230950566737288</v>
      </c>
      <c r="P25" s="234">
        <f>SUM(P16:P24)</f>
        <v>6076.4210639141938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5629.6124999999993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450.36900000000003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197.03643750000001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4982.2070624999997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1063.9830508474574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6046.1901133474566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30.230950566737285</v>
      </c>
    </row>
    <row r="35" spans="2:16" ht="15.75" customHeight="1" thickBot="1" x14ac:dyDescent="0.4">
      <c r="N35" s="374" t="s">
        <v>88</v>
      </c>
      <c r="O35" s="375"/>
      <c r="P35" s="297">
        <f>+P33+P34</f>
        <v>6076.4210639141938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3" sqref="I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2251.8450000000003</v>
      </c>
      <c r="J25" s="274">
        <f>SUM(J16:J24)</f>
        <v>180.14759999999998</v>
      </c>
      <c r="K25" s="275">
        <f t="shared" si="7"/>
        <v>78.814575000000005</v>
      </c>
      <c r="L25" s="276">
        <f t="shared" si="7"/>
        <v>0</v>
      </c>
      <c r="M25" s="232">
        <f t="shared" si="7"/>
        <v>1992.8828249999999</v>
      </c>
      <c r="N25" s="233">
        <f>SUM(N16:N24)</f>
        <v>425.59322033898309</v>
      </c>
      <c r="O25" s="101">
        <f>SUM(O16:O24)</f>
        <v>12.092380226694914</v>
      </c>
      <c r="P25" s="234">
        <f>SUM(P16:P24)</f>
        <v>2430.5684255656779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2251.8450000000003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180.14759999999998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78.814575000000005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1992.8828250000004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425.59322033898309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2418.4760453389836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12.092380226694917</v>
      </c>
    </row>
    <row r="35" spans="2:16" ht="15.75" customHeight="1" thickBot="1" x14ac:dyDescent="0.4">
      <c r="N35" s="374" t="s">
        <v>88</v>
      </c>
      <c r="O35" s="375"/>
      <c r="P35" s="297">
        <f>+P33+P34</f>
        <v>2430.5684255656784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6-2</f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>
        <v>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6-1</f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37</v>
      </c>
      <c r="I25" s="114">
        <f t="shared" si="7"/>
        <v>2344.6624999999999</v>
      </c>
      <c r="J25" s="274">
        <f>SUM(J16:J24)</f>
        <v>187.57299999999998</v>
      </c>
      <c r="K25" s="275">
        <f t="shared" si="7"/>
        <v>82.063187500000012</v>
      </c>
      <c r="L25" s="276">
        <f t="shared" si="7"/>
        <v>0</v>
      </c>
      <c r="M25" s="232">
        <f t="shared" si="7"/>
        <v>2075.0263125000001</v>
      </c>
      <c r="N25" s="233">
        <f>SUM(N16:N24)</f>
        <v>443.13559322033893</v>
      </c>
      <c r="O25" s="101">
        <f>SUM(O16:O24)</f>
        <v>12.590809528601694</v>
      </c>
      <c r="P25" s="234">
        <f>SUM(P16:P24)</f>
        <v>2530.7527152489406</v>
      </c>
      <c r="Q25" s="239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2344.6624999999999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187.57299999999998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82.063187500000012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2075.0263125000001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443.13559322033893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2518.1619057203388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12.590809528601694</v>
      </c>
    </row>
    <row r="35" spans="2:16" ht="15.75" customHeight="1" thickBot="1" x14ac:dyDescent="0.4">
      <c r="N35" s="374" t="s">
        <v>88</v>
      </c>
      <c r="O35" s="375"/>
      <c r="P35" s="297">
        <f>+P33+P34</f>
        <v>2530.7527152489406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2026-10-09T05:03:24Z</dcterms:modified>
</cp:coreProperties>
</file>