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6449C34-A626-435D-9493-DA1C82A8DE5C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K12" i="62" l="1"/>
  <c r="M21" i="47"/>
  <c r="O21" i="47" s="1"/>
  <c r="P21" i="47" s="1"/>
  <c r="M20" i="47"/>
  <c r="O20" i="47" s="1"/>
  <c r="P20" i="47" s="1"/>
  <c r="R20" i="47" s="1"/>
  <c r="M21" i="44"/>
  <c r="O21" i="44" s="1"/>
  <c r="P21" i="44" s="1"/>
  <c r="M17" i="44"/>
  <c r="O17" i="44" s="1"/>
  <c r="P17" i="44" s="1"/>
  <c r="J7" i="62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<sst xmlns="http://schemas.openxmlformats.org/spreadsheetml/2006/main" count="3948" uniqueCount="522">
  <si>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</si>
  <si>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</si>
  <si>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</si>
  <si>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</si>
  <si>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</si>
  <si>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</si>
  <si>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</si>
  <si>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</si>
  <si>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</si>
  <si>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</si>
  <si>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</si>
  <si>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</si>
  <si>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</si>
  <si>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</si>
  <si>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</si>
  <si>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</si>
  <si>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</si>
  <si>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</si>
  <si>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</si>
  <si>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</si>
  <si>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</si>
  <si>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</si>
  <si>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</si>
  <si>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</si>
  <si>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</si>
  <si>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</si>
  <si>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</si>
  <si>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</si>
  <si>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</si>
  <si>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</si>
  <si>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</si>
  <si>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</si>
  <si>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</si>
  <si>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</si>
  <si>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</si>
  <si>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</si>
  <si>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</si>
  <si>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</si>
  <si>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</si>
  <si>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</si>
  <si>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</si>
  <si>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</si>
  <si>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</si>
  <si>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</si>
  <si>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</si>
  <si>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</si>
  <si>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</si>
  <si>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</si>
  <si>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</si>
  <si>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</si>
  <si>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</si>
  <si>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</si>
  <si>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</si>
  <si>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</si>
  <si>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</si>
  <si>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</si>
  <si>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</si>
  <si>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</si>
  <si>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</si>
  <si>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</si>
  <si>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</si>
  <si>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</si>
  <si>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</si>
  <si>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</si>
  <si>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</si>
  <si>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</si>
  <si>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</si>
  <si>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</si>
  <si>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</si>
  <si>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</si>
  <si>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</si>
  <si>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</si>
  <si>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</si>
  <si>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</si>
  <si>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</si>
  <si>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</si>
  <si>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</si>
  <si>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</si>
  <si>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</si>
  <si>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</si>
  <si>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</si>
  <si>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</si>
  <si>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</si>
  <si>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</si>
  <si>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</si>
  <si>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</si>
  <si>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</si>
  <si>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</si>
  <si>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</si>
  <si>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</si>
  <si>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</si>
  <si>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</si>
  <si>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</si>
  <si>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</si>
  <si>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</si>
  <si>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</si>
  <si>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</si>
  <si>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</si>
  <si>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</si>
  <si>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</si>
  <si>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</si>
  <si>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</si>
  <si>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</si>
  <si>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</si>
  <si>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</si>
  <si>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</si>
  <si>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</si>
  <si>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</si>
  <si>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</si>
  <si>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</si>
  <si>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</si>
  <si>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</si>
  <si>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</si>
  <si>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</si>
  <si>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</si>
  <si>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</si>
  <si>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</si>
  <si>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</si>
  <si>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</si>
  <si>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</si>
  <si>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</si>
  <si>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</si>
  <si>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</si>
  <si>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</si>
  <si>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</si>
  <si>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</si>
  <si>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</si>
  <si>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</si>
  <si>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</si>
  <si>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</si>
  <si>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</si>
  <si>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</si>
  <si>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</si>
  <si>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</si>
  <si>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</si>
  <si>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</si>
  <si>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</si>
  <si>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</si>
  <si>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</si>
  <si>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</si>
  <si>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</si>
  <si>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</si>
  <si>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</si>
  <si>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</si>
  <si>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</si>
  <si>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</si>
  <si>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</si>
  <si>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</si>
  <si>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</si>
  <si>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</si>
  <si>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</si>
  <si>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</si>
  <si>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</si>
  <si>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</si>
  <si>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</si>
  <si>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</si>
  <si>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</si>
  <si>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</si>
  <si>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</si>
  <si>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</si>
  <si>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</si>
  <si>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</si>
  <si>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</si>
  <si>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</si>
  <si>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</si>
  <si>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</si>
  <si>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</si>
  <si>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</si>
  <si>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</si>
  <si>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</si>
  <si>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</si>
  <si>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</si>
  <si>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</si>
  <si>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</si>
  <si>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</si>
  <si>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</si>
  <si>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</si>
  <si>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</si>
  <si>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</si>
  <si>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</si>
  <si>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</si>
  <si>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</si>
  <si>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</si>
  <si>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</si>
  <si>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</si>
  <si>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</si>
  <si>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</si>
  <si>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</si>
  <si>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</si>
  <si>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</si>
  <si>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</si>
  <si>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</si>
  <si>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</si>
  <si>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</si>
  <si>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</si>
  <si>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</si>
  <si>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</si>
  <si>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</si>
  <si>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</si>
  <si>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</si>
  <si>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</si>
  <si>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</si>
  <si>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</si>
  <si>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</si>
  <si>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</si>
  <si>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</si>
  <si>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</si>
  <si>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</si>
  <si>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</si>
  <si>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</si>
  <si>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</si>
  <si>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</si>
  <si>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</si>
  <si>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</si>
  <si>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</si>
  <si>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</si>
  <si>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</si>
  <si>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</si>
  <si>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</si>
  <si>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</si>
  <si>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</si>
  <si>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</si>
  <si>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</si>
  <si>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</si>
  <si>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</si>
  <si>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</si>
  <si>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</si>
  <si>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</si>
  <si>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</si>
  <si>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</si>
  <si>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</si>
  <si>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</si>
  <si>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</si>
  <si>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</si>
  <si>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</si>
  <si>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</si>
  <si>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</si>
  <si>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</si>
  <si>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</si>
  <si>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</si>
  <si>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</si>
  <si>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</si>
  <si>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</si>
  <si>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</si>
  <si>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</si>
  <si>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</si>
  <si>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</si>
  <si>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</si>
  <si>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</si>
  <si>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</si>
  <si>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</si>
  <si>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</si>
  <si>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</si>
  <si>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</si>
  <si>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</si>
  <si>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</si>
  <si>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</si>
  <si>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</si>
  <si>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</si>
  <si>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</si>
  <si>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</si>
  <si>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</si>
  <si>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</si>
  <si>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</si>
  <si>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</si>
  <si>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</si>
  <si>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</si>
  <si>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</si>
  <si>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</si>
  <si>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</si>
  <si>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</si>
  <si>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</si>
  <si>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</si>
  <si>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</si>
  <si>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</si>
  <si>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</si>
  <si>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</si>
  <si>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</si>
  <si>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</si>
  <si>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</si>
  <si>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</si>
  <si>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</si>
  <si>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</si>
  <si>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</si>
  <si>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</si>
  <si>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</si>
  <si>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</si>
  <si>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</si>
  <si>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</si>
  <si>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</si>
  <si>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</si>
  <si>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</si>
  <si>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</si>
  <si>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</si>
  <si>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</si>
  <si>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</si>
  <si>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</si>
  <si>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</si>
  <si>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</si>
  <si>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</si>
  <si>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</si>
  <si>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</si>
  <si>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</si>
  <si>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</si>
  <si>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</si>
  <si>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</si>
  <si>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</si>
  <si>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</si>
  <si>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</si>
  <si>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</si>
  <si>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</si>
  <si>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</si>
  <si>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</si>
  <si>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</si>
  <si>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</si>
  <si>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</si>
  <si>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</si>
  <si>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</si>
  <si>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</si>
  <si>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</si>
  <si>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</si>
  <si>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</si>
  <si>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</si>
  <si>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</si>
  <si>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</si>
  <si>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</si>
  <si>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</si>
  <si>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</si>
  <si>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</si>
  <si>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</si>
  <si>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</si>
  <si>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</si>
  <si>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</si>
  <si>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</si>
  <si>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</si>
  <si>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</si>
  <si>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</si>
  <si>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</si>
  <si>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</si>
  <si>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</si>
  <si>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</si>
  <si>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</si>
  <si>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</si>
  <si>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</si>
  <si>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</si>
  <si>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</si>
  <si>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</si>
  <si>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</si>
  <si>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</si>
  <si>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</si>
  <si>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</si>
  <si>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</si>
  <si>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</si>
  <si>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</si>
  <si>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</si>
  <si>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</si>
  <si>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</si>
  <si>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</si>
  <si>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</si>
  <si>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</si>
  <si>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</si>
  <si>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</si>
  <si>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</si>
  <si>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</si>
  <si>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</si>
  <si>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</si>
  <si>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</si>
  <si>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</si>
  <si>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</si>
  <si>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</si>
  <si>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</si>
  <si>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</si>
  <si>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</si>
  <si>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</si>
  <si>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</si>
  <si>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</si>
  <si>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</si>
  <si>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</si>
  <si>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</si>
  <si>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</si>
  <si>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</si>
  <si>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</si>
  <si>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</si>
  <si>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</si>
  <si>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</si>
  <si>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</si>
  <si>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</si>
  <si>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</si>
  <si>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</si>
  <si>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</si>
  <si>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</si>
  <si>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</si>
  <si>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</si>
  <si>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</si>
  <si>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</si>
  <si>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</si>
  <si>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</si>
  <si>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</si>
  <si>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</si>
  <si>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</si>
  <si>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</si>
  <si>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</si>
  <si>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</si>
  <si>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</si>
  <si>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</si>
  <si>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</si>
  <si>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</si>
  <si>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</si>
  <si>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</si>
  <si>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</si>
  <si>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</si>
  <si>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</si>
  <si>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</si>
  <si>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</si>
  <si>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</si>
  <si>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</si>
  <si>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</si>
  <si>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</si>
  <si>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</si>
  <si>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</si>
  <si>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</si>
  <si>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</si>
  <si>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</si>
  <si>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</si>
  <si>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</si>
  <si>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</si>
  <si>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</si>
  <si>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</si>
  <si>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</si>
  <si>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</si>
  <si>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</si>
  <si>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</si>
  <si>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</si>
  <si>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</si>
  <si>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</si>
  <si>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</si>
  <si>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</si>
  <si>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</si>
  <si>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</si>
  <si>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</si>
  <si>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</si>
  <si>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</si>
  <si>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</si>
  <si>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</si>
  <si>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</si>
  <si>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</si>
  <si>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</si>
  <si>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</si>
  <si>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</si>
  <si>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</si>
  <si>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</si>
  <si>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</si>
  <si>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</si>
  <si>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</si>
  <si>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</si>
  <si>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</si>
  <si>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</si>
  <si>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</si>
  <si>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</si>
  <si>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</si>
  <si>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</si>
  <si>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</si>
  <si>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</si>
  <si>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</si>
  <si>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</si>
  <si>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</si>
  <si>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</si>
  <si>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</si>
  <si>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</si>
  <si>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</si>
  <si>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</si>
  <si>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</si>
  <si>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</si>
  <si>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</si>
  <si>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</si>
  <si>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</si>
  <si>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</si>
  <si>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</si>
  <si>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</si>
  <si>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</si>
  <si>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</si>
  <si>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</si>
  <si>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</si>
  <si>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</si>
  <si>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</si>
  <si>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</si>
  <si>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</si>
  <si>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</si>
  <si>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</si>
  <si>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</si>
  <si>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</si>
  <si>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</si>
  <si>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</si>
  <si>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</si>
  <si>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</si>
  <si>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</si>
  <si>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</si>
  <si>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</si>
  <si>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</si>
  <si>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</si>
  <si>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</si>
  <si>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</si>
  <si>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</si>
  <si>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</si>
  <si>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</si>
  <si>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</si>
  <si>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</si>
  <si>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</si>
  <si>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</si>
  <si>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</si>
  <si>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</si>
  <si>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</si>
  <si>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</si>
  <si>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</si>
  <si>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Furqan</t>
  </si>
  <si>
    <t>Bismillah Store</t>
  </si>
  <si>
    <t>Address: Gopal Nagar Bazar</t>
  </si>
  <si>
    <t>Fazale Kabeer</t>
  </si>
  <si>
    <t xml:space="preserve">New Kashmir Bakery </t>
  </si>
  <si>
    <t xml:space="preserve">Ali Masala Jaat </t>
  </si>
  <si>
    <t>Gujjer Store</t>
  </si>
  <si>
    <t>Shaheen Bakery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</si>
</sst>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7" sqref="H7:H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46303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Bismillah Store</v>
      </c>
      <c r="T3" s="301">
        <f>+'1'!P35</f>
        <v>5401.2631679237284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Fazale Kabeer</v>
      </c>
      <c r="T4" s="301">
        <f>+'2'!P35</f>
        <v>3580.5156381800853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New Kashmir Bakery </v>
      </c>
      <c r="T5" s="301">
        <f>+'3'!P35</f>
        <v>6076.4210639141938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Ali Masala Jaat </v>
      </c>
      <c r="T6" s="301">
        <f>+'4'!P35</f>
        <v>2430.5684255656784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74</v>
      </c>
      <c r="I7" s="235">
        <f>(G7*D7)*F7+H7*F7</f>
        <v>3882.2249999999999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310.57799999999997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135.87787499999999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3435.7691249999998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733.72881355932179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20.847489692796611</v>
      </c>
      <c r="P7" s="310">
        <f>M7+N7+O7</f>
        <v>4190.3454282521179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Gujjer Store</v>
      </c>
      <c r="T7" s="301">
        <f>+'5'!P35</f>
        <v>2700.6315839618646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49</v>
      </c>
      <c r="I8" s="236">
        <f t="shared" ref="I8:I14" si="0">(G8*D8)*F8+H8*F8</f>
        <v>2570.6624999999999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205.65299999999996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89.973187499999995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2275.0363124999999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485.84745762711839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13.804418850635592</v>
      </c>
      <c r="P8" s="311">
        <f t="shared" ref="P8:P15" si="2">M8+N8+O8</f>
        <v>2774.6881889777537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Shaheen Bakery</v>
      </c>
      <c r="T8" s="301">
        <f>+'6'!P35</f>
        <v>2700.6315839618646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50</v>
      </c>
      <c r="I9" s="236">
        <f t="shared" si="0"/>
        <v>2623.125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209.84999999999997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91.809375000000003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2321.4656249999998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495.76271186440653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14.086141684322033</v>
      </c>
      <c r="P9" s="311">
        <f t="shared" si="2"/>
        <v>2831.3144785487284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68</v>
      </c>
      <c r="I10" s="236">
        <f t="shared" si="0"/>
        <v>4939.5200000000004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395.16160000000002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172.88320000000002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4371.4752000000008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933.55932203389841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26.525172610169495</v>
      </c>
      <c r="P10" s="311">
        <f t="shared" si="2"/>
        <v>5331.5596946440692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49</v>
      </c>
      <c r="I11" s="236">
        <f t="shared" si="0"/>
        <v>3559.36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284.74880000000002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124.57760000000002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3150.0336000000002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672.7118644067798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19.113727322033903</v>
      </c>
      <c r="P11" s="311">
        <f t="shared" si="2"/>
        <v>3841.859191728814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50</v>
      </c>
      <c r="I12" s="236">
        <f t="shared" si="0"/>
        <v>3632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290.56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127.12000000000002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3214.32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686.44067796610182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19.503803389830509</v>
      </c>
      <c r="P12" s="311">
        <f t="shared" si="2"/>
        <v>3920.2644813559323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8.5</v>
      </c>
      <c r="H16" s="113">
        <f t="shared" ref="H16:M16" si="3">SUM(H7:H15)</f>
        <v>340</v>
      </c>
      <c r="I16" s="114">
        <f t="shared" si="3"/>
        <v>21206.892500000002</v>
      </c>
      <c r="J16" s="274">
        <f>SUM(J7:J15)</f>
        <v>1696.5514000000001</v>
      </c>
      <c r="K16" s="275">
        <f t="shared" si="3"/>
        <v>742.24123750000001</v>
      </c>
      <c r="L16" s="276">
        <f t="shared" si="3"/>
        <v>0</v>
      </c>
      <c r="M16" s="232">
        <f t="shared" si="3"/>
        <v>18768.099862500003</v>
      </c>
      <c r="N16" s="233">
        <f>SUM(N7:N15)</f>
        <v>4008.0508474576268</v>
      </c>
      <c r="O16" s="101">
        <f>SUM(O7:O15)</f>
        <v>113.88075354978814</v>
      </c>
      <c r="P16" s="113">
        <f>SUM(P7:P15)</f>
        <v>22890.031463507417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21206.892500000002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1696.5514000000001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742.24123750000001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18768.099862500003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4008.0508474576268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22776.15070995763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113.88075354978814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22890.031463507417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22890.031463507417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I3" sqref="I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ref="I18:I21" si="7">(G18*D18)*F18+H18*F18</f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7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7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80</v>
      </c>
      <c r="I25" s="114">
        <f t="shared" ref="I25:M25" si="10">SUM(I16:I24)</f>
        <v>5004.1000000000004</v>
      </c>
      <c r="J25" s="274">
        <f>SUM(J16:J24)</f>
        <v>400.32800000000003</v>
      </c>
      <c r="K25" s="275">
        <f t="shared" si="10"/>
        <v>175.14350000000002</v>
      </c>
      <c r="L25" s="276">
        <f t="shared" si="10"/>
        <v>0</v>
      </c>
      <c r="M25" s="232">
        <f t="shared" si="10"/>
        <v>4428.6284999999998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5401.2631679237284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5004.1000000000004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400.32800000000003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175.14350000000002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4428.6284999999998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5374.3912118644066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26.871956059322034</v>
      </c>
    </row>
    <row r="35" spans="2:16" ht="15.75" customHeight="1" thickBot="1" x14ac:dyDescent="0.4">
      <c r="N35" s="374" t="s">
        <v>88</v>
      </c>
      <c r="O35" s="375"/>
      <c r="P35" s="297">
        <f>+P33+P34</f>
        <v>5401.2631679237284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I3" sqref="I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118">
        <f>M16+N16+O16</f>
        <v>679.51547485169488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Q20" s="319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54</v>
      </c>
      <c r="I25" s="114">
        <f t="shared" si="7"/>
        <v>3317.2350000000006</v>
      </c>
      <c r="J25" s="274">
        <f>SUM(J16:J24)</f>
        <v>265.37880000000001</v>
      </c>
      <c r="K25" s="275">
        <f t="shared" si="7"/>
        <v>116.10322500000001</v>
      </c>
      <c r="L25" s="276">
        <f t="shared" si="7"/>
        <v>0</v>
      </c>
      <c r="M25" s="232">
        <f t="shared" si="7"/>
        <v>2935.7529750000003</v>
      </c>
      <c r="N25" s="233">
        <f>SUM(N16:N24)</f>
        <v>626.94915254237287</v>
      </c>
      <c r="O25" s="101">
        <f>SUM(O16:O24)</f>
        <v>17.813510637711865</v>
      </c>
      <c r="P25" s="234">
        <f>SUM(P16:P24)</f>
        <v>3580.5156381800844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3317.2350000000006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265.37880000000001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116.10322500000001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2935.7529750000008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626.94915254237287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3562.7021275423735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17.813510637711868</v>
      </c>
    </row>
    <row r="35" spans="2:16" ht="15.75" customHeight="1" thickBot="1" x14ac:dyDescent="0.4">
      <c r="N35" s="374" t="s">
        <v>88</v>
      </c>
      <c r="O35" s="375"/>
      <c r="P35" s="297">
        <f>+P33+P34</f>
        <v>3580.5156381800853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I3" sqref="I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8.7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15</v>
      </c>
      <c r="I17" s="236">
        <f t="shared" ref="I17:I23" si="0">(G17*D17)*F17+H17*F17</f>
        <v>786.9375</v>
      </c>
      <c r="J17" s="272">
        <f t="shared" ref="J17:L24" si="1">$I17*S17</f>
        <v>62.954999999999998</v>
      </c>
      <c r="K17" s="128">
        <f>$I17*T17</f>
        <v>27.542812500000004</v>
      </c>
      <c r="L17" s="119">
        <f>$I17*U17</f>
        <v>0</v>
      </c>
      <c r="M17" s="230">
        <f t="shared" ref="M17:M24" si="2">I17-SUM(J17:L17)</f>
        <v>696.43968749999999</v>
      </c>
      <c r="N17" s="277">
        <f t="shared" ref="N17:N24" si="3">+(G17*D17+H17)*V17</f>
        <v>148.72881355932196</v>
      </c>
      <c r="O17" s="239">
        <f t="shared" ref="O17:O24" si="4">(N17+M17)*$O$15</f>
        <v>4.22584250529661</v>
      </c>
      <c r="P17" s="119">
        <f t="shared" ref="P17:P24" si="5">M17+N17+O17</f>
        <v>849.39434356461845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119">
        <f t="shared" si="5"/>
        <v>1176.0793444067797</v>
      </c>
      <c r="Q20" s="319"/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90</v>
      </c>
      <c r="I25" s="114">
        <f t="shared" si="7"/>
        <v>5629.6124999999993</v>
      </c>
      <c r="J25" s="274">
        <f>SUM(J16:J24)</f>
        <v>450.36900000000003</v>
      </c>
      <c r="K25" s="275">
        <f t="shared" si="7"/>
        <v>197.03643750000001</v>
      </c>
      <c r="L25" s="276">
        <f t="shared" si="7"/>
        <v>0</v>
      </c>
      <c r="M25" s="232">
        <f t="shared" si="7"/>
        <v>4982.2070624999997</v>
      </c>
      <c r="N25" s="233">
        <f>SUM(N16:N24)</f>
        <v>1063.9830508474574</v>
      </c>
      <c r="O25" s="101">
        <f>SUM(O16:O24)</f>
        <v>30.230950566737288</v>
      </c>
      <c r="P25" s="234">
        <f>SUM(P16:P24)</f>
        <v>6076.4210639141938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5629.6124999999993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450.36900000000003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197.03643750000001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4982.2070624999997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1063.9830508474574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6046.1901133474566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30.230950566737285</v>
      </c>
    </row>
    <row r="35" spans="2:16" ht="15.75" customHeight="1" thickBot="1" x14ac:dyDescent="0.4">
      <c r="N35" s="374" t="s">
        <v>88</v>
      </c>
      <c r="O35" s="375"/>
      <c r="P35" s="297">
        <f>+P33+P34</f>
        <v>6076.4210639141938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I3" sqref="I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36</v>
      </c>
      <c r="I25" s="114">
        <f t="shared" si="7"/>
        <v>2251.8450000000003</v>
      </c>
      <c r="J25" s="274">
        <f>SUM(J16:J24)</f>
        <v>180.14759999999998</v>
      </c>
      <c r="K25" s="275">
        <f t="shared" si="7"/>
        <v>78.814575000000005</v>
      </c>
      <c r="L25" s="276">
        <f t="shared" si="7"/>
        <v>0</v>
      </c>
      <c r="M25" s="232">
        <f t="shared" si="7"/>
        <v>1992.8828249999999</v>
      </c>
      <c r="N25" s="233">
        <f>SUM(N16:N24)</f>
        <v>425.59322033898309</v>
      </c>
      <c r="O25" s="101">
        <f>SUM(O16:O24)</f>
        <v>12.092380226694914</v>
      </c>
      <c r="P25" s="234">
        <f>SUM(P16:P24)</f>
        <v>2430.5684255656779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2251.8450000000003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180.14759999999998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78.814575000000005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1992.8828250000004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425.59322033898309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2418.4760453389836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12.092380226694917</v>
      </c>
    </row>
    <row r="35" spans="2:16" ht="15.75" customHeight="1" thickBot="1" x14ac:dyDescent="0.4">
      <c r="N35" s="374" t="s">
        <v>88</v>
      </c>
      <c r="O35" s="375"/>
      <c r="P35" s="297">
        <f>+P33+P34</f>
        <v>2430.5684255656784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4" workbookViewId="0">
      <selection activeCell="I3" sqref="I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2502.0500000000002</v>
      </c>
      <c r="J25" s="274">
        <f>SUM(J16:J24)</f>
        <v>200.16399999999999</v>
      </c>
      <c r="K25" s="275">
        <f t="shared" si="7"/>
        <v>87.571750000000009</v>
      </c>
      <c r="L25" s="276">
        <f t="shared" si="7"/>
        <v>0</v>
      </c>
      <c r="M25" s="232">
        <f t="shared" si="7"/>
        <v>2214.3142500000004</v>
      </c>
      <c r="N25" s="233">
        <f>SUM(N16:N24)</f>
        <v>472.88135593220329</v>
      </c>
      <c r="O25" s="101">
        <f>SUM(O16:O24)</f>
        <v>13.435978029661017</v>
      </c>
      <c r="P25" s="234">
        <f>SUM(P16:P24)</f>
        <v>2700.6315839618646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2502.0500000000002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200.16399999999999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87.571750000000009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2214.3142500000004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472.88135593220329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2687.1956059322038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13.435978029661019</v>
      </c>
    </row>
    <row r="35" spans="2:16" ht="15.75" customHeight="1" thickBot="1" x14ac:dyDescent="0.4">
      <c r="N35" s="374" t="s">
        <v>88</v>
      </c>
      <c r="O35" s="375"/>
      <c r="P35" s="297">
        <f>+P33+P34</f>
        <v>2700.6315839618646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activeCell="I3" sqref="I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</v>
      </c>
      <c r="I18" s="236">
        <f t="shared" si="0"/>
        <v>419.7</v>
      </c>
      <c r="J18" s="272">
        <f t="shared" si="1"/>
        <v>33.576000000000001</v>
      </c>
      <c r="K18" s="128">
        <f t="shared" si="1"/>
        <v>14.689500000000001</v>
      </c>
      <c r="L18" s="119">
        <f t="shared" si="1"/>
        <v>0</v>
      </c>
      <c r="M18" s="230">
        <f t="shared" si="2"/>
        <v>371.43449999999996</v>
      </c>
      <c r="N18" s="277">
        <f t="shared" si="3"/>
        <v>79.322033898305051</v>
      </c>
      <c r="O18" s="239">
        <f t="shared" si="4"/>
        <v>2.2537826694915251</v>
      </c>
      <c r="P18" s="119">
        <f t="shared" si="5"/>
        <v>453.01031656779651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</v>
      </c>
      <c r="I21" s="236">
        <f t="shared" si="0"/>
        <v>581.12</v>
      </c>
      <c r="J21" s="272">
        <f t="shared" si="1"/>
        <v>46.489600000000003</v>
      </c>
      <c r="K21" s="128">
        <f t="shared" si="1"/>
        <v>20.339200000000002</v>
      </c>
      <c r="L21" s="119">
        <f t="shared" si="1"/>
        <v>0</v>
      </c>
      <c r="M21" s="230">
        <f t="shared" si="2"/>
        <v>514.2912</v>
      </c>
      <c r="N21" s="277">
        <f t="shared" si="3"/>
        <v>109.83050847457628</v>
      </c>
      <c r="O21" s="239">
        <f t="shared" si="4"/>
        <v>3.1206085423728815</v>
      </c>
      <c r="P21" s="119">
        <f t="shared" si="5"/>
        <v>627.24231701694919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2502.0500000000002</v>
      </c>
      <c r="J25" s="274">
        <f>SUM(J16:J24)</f>
        <v>200.16399999999999</v>
      </c>
      <c r="K25" s="275">
        <f t="shared" si="7"/>
        <v>87.571750000000009</v>
      </c>
      <c r="L25" s="276">
        <f t="shared" si="7"/>
        <v>0</v>
      </c>
      <c r="M25" s="232">
        <f t="shared" si="7"/>
        <v>2214.3142499999999</v>
      </c>
      <c r="N25" s="233">
        <f>SUM(N16:N24)</f>
        <v>472.88135593220329</v>
      </c>
      <c r="O25" s="101">
        <f>SUM(O16:O24)</f>
        <v>13.435978029661017</v>
      </c>
      <c r="P25" s="234">
        <f>SUM(P16:P24)</f>
        <v>2700.6315839618642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2502.0500000000002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200.16399999999999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87.571750000000009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2214.3142500000004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472.88135593220329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2687.1956059322038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13.435978029661019</v>
      </c>
    </row>
    <row r="35" spans="2:16" ht="15.75" customHeight="1" thickBot="1" x14ac:dyDescent="0.4">
      <c r="N35" s="374" t="s">
        <v>88</v>
      </c>
      <c r="O35" s="375"/>
      <c r="P35" s="297">
        <f>+P33+P34</f>
        <v>2700.6315839618646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46304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46303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2026-10-08T06:20:29Z</dcterms:modified>
</cp:coreProperties>
</file>