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549FEFC-DE59-4BAD-B569-6AE5A578DADA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R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<sst xmlns="http://schemas.openxmlformats.org/spreadsheetml/2006/main" count="3973" uniqueCount="521">
  <si>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</si>
  <si>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</si>
  <si>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</si>
  <si>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</si>
  <si>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</si>
  <si>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</si>
  <si>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</si>
  <si>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</si>
  <si>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</si>
  <si>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</si>
  <si>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</si>
  <si>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</si>
  <si>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</si>
  <si>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</si>
  <si>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</si>
  <si>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</si>
  <si>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</si>
  <si>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</si>
  <si>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</si>
  <si>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</si>
  <si>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</si>
  <si>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</si>
  <si>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</si>
  <si>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</si>
  <si>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</si>
  <si>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</si>
  <si>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</si>
  <si>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</si>
  <si>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</si>
  <si>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</si>
  <si>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</si>
  <si>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</si>
  <si>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</si>
  <si>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</si>
  <si>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</si>
  <si>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</si>
  <si>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</si>
  <si>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</si>
  <si>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</si>
  <si>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</si>
  <si>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</si>
  <si>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</si>
  <si>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</si>
  <si>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</si>
  <si>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</si>
  <si>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</si>
  <si>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</si>
  <si>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</si>
  <si>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</si>
  <si>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</si>
  <si>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</si>
  <si>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</si>
  <si>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</si>
  <si>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</si>
  <si>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</si>
  <si>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</si>
  <si>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</si>
  <si>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</si>
  <si>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</si>
  <si>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</si>
  <si>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</si>
  <si>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</si>
  <si>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</si>
  <si>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</si>
  <si>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</si>
  <si>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</si>
  <si>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</si>
  <si>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</si>
  <si>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</si>
  <si>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</si>
  <si>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</si>
  <si>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</si>
  <si>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</si>
  <si>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</si>
  <si>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</si>
  <si>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</si>
  <si>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</si>
  <si>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</si>
  <si>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</si>
  <si>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</si>
  <si>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</si>
  <si>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</si>
  <si>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</si>
  <si>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</si>
  <si>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</si>
  <si>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</si>
  <si>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</si>
  <si>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</si>
  <si>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</si>
  <si>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</si>
  <si>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</si>
  <si>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</si>
  <si>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</si>
  <si>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</si>
  <si>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</si>
  <si>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</si>
  <si>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</si>
  <si>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</si>
  <si>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</si>
  <si>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</si>
  <si>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</si>
  <si>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</si>
  <si>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</si>
  <si>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</si>
  <si>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</si>
  <si>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</si>
  <si>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</si>
  <si>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</si>
  <si>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</si>
  <si>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</si>
  <si>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</si>
  <si>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</si>
  <si>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</si>
  <si>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</si>
  <si>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</si>
  <si>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</si>
  <si>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</si>
  <si>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</si>
  <si>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</si>
  <si>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</si>
  <si>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</si>
  <si>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</si>
  <si>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</si>
  <si>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</si>
  <si>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</si>
  <si>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</si>
  <si>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</si>
  <si>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</si>
  <si>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</si>
  <si>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</si>
  <si>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</si>
  <si>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</si>
  <si>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</si>
  <si>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</si>
  <si>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</si>
  <si>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</si>
  <si>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</si>
  <si>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</si>
  <si>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</si>
  <si>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</si>
  <si>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</si>
  <si>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</si>
  <si>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</si>
  <si>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</si>
  <si>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</si>
  <si>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</si>
  <si>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</si>
  <si>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</si>
  <si>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</si>
  <si>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</si>
  <si>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</si>
  <si>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</si>
  <si>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</si>
  <si>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</si>
  <si>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</si>
  <si>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</si>
  <si>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</si>
  <si>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</si>
  <si>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</si>
  <si>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</si>
  <si>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</si>
  <si>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</si>
  <si>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</si>
  <si>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</si>
  <si>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</si>
  <si>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</si>
  <si>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</si>
  <si>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</si>
  <si>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</si>
  <si>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</si>
  <si>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</si>
  <si>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</si>
  <si>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</si>
  <si>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</si>
  <si>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</si>
  <si>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</si>
  <si>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</si>
  <si>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</si>
  <si>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</si>
  <si>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</si>
  <si>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</si>
  <si>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</si>
  <si>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</si>
  <si>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</si>
  <si>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</si>
  <si>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</si>
  <si>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</si>
  <si>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</si>
  <si>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</si>
  <si>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</si>
  <si>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</si>
  <si>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</si>
  <si>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</si>
  <si>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</si>
  <si>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</si>
  <si>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</si>
  <si>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</si>
  <si>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</si>
  <si>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</si>
  <si>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</si>
  <si>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</si>
  <si>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</si>
  <si>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</si>
  <si>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</si>
  <si>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</si>
  <si>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</si>
  <si>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</si>
  <si>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</si>
  <si>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</si>
  <si>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</si>
  <si>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</si>
  <si>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</si>
  <si>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</si>
  <si>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</si>
  <si>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</si>
  <si>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</si>
  <si>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</si>
  <si>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</si>
  <si>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</si>
  <si>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</si>
  <si>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</si>
  <si>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</si>
  <si>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</si>
  <si>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</si>
  <si>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</si>
  <si>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</si>
  <si>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</si>
  <si>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</si>
  <si>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</si>
  <si>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</si>
  <si>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</si>
  <si>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</si>
  <si>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</si>
  <si>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</si>
  <si>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</si>
  <si>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</si>
  <si>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</si>
  <si>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</si>
  <si>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</si>
  <si>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</si>
  <si>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</si>
  <si>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</si>
  <si>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</si>
  <si>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</si>
  <si>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</si>
  <si>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</si>
  <si>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</si>
  <si>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</si>
  <si>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</si>
  <si>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</si>
  <si>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</si>
  <si>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</si>
  <si>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</si>
  <si>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</si>
  <si>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</si>
  <si>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</si>
  <si>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</si>
  <si>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</si>
  <si>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</si>
  <si>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</si>
  <si>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</si>
  <si>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</si>
  <si>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</si>
  <si>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</si>
  <si>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</si>
  <si>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</si>
  <si>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</si>
  <si>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</si>
  <si>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</si>
  <si>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</si>
  <si>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</si>
  <si>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</si>
  <si>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</si>
  <si>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</si>
  <si>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</si>
  <si>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</si>
  <si>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</si>
  <si>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</si>
  <si>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</si>
  <si>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</si>
  <si>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</si>
  <si>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</si>
  <si>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</si>
  <si>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</si>
  <si>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</si>
  <si>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</si>
  <si>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</si>
  <si>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</si>
  <si>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</si>
  <si>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</si>
  <si>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</si>
  <si>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</si>
  <si>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</si>
  <si>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</si>
  <si>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</si>
  <si>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</si>
  <si>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</si>
  <si>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</si>
  <si>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</si>
  <si>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</si>
  <si>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</si>
  <si>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</si>
  <si>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</si>
  <si>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</si>
  <si>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</si>
  <si>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</si>
  <si>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</si>
  <si>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</si>
  <si>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</si>
  <si>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</si>
  <si>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</si>
  <si>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</si>
  <si>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</si>
  <si>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</si>
  <si>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</si>
  <si>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</si>
  <si>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</si>
  <si>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</si>
  <si>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</si>
  <si>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</si>
  <si>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</si>
  <si>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</si>
  <si>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</si>
  <si>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</si>
  <si>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</si>
  <si>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</si>
  <si>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</si>
  <si>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</si>
  <si>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</si>
  <si>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</si>
  <si>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</si>
  <si>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</si>
  <si>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</si>
  <si>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</si>
  <si>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</si>
  <si>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</si>
  <si>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</si>
  <si>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</si>
  <si>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</si>
  <si>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</si>
  <si>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</si>
  <si>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</si>
  <si>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</si>
  <si>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</si>
  <si>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</si>
  <si>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</si>
  <si>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</si>
  <si>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</si>
  <si>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</si>
  <si>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</si>
  <si>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</si>
  <si>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</si>
  <si>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</si>
  <si>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</si>
  <si>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</si>
  <si>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</si>
  <si>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</si>
  <si>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</si>
  <si>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</si>
  <si>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</si>
  <si>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</si>
  <si>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</si>
  <si>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</si>
  <si>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</si>
  <si>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</si>
  <si>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</si>
  <si>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</si>
  <si>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</si>
  <si>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</si>
  <si>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</si>
  <si>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</si>
  <si>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</si>
  <si>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</si>
  <si>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</si>
  <si>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</si>
  <si>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</si>
  <si>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</si>
  <si>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</si>
  <si>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</si>
  <si>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</si>
  <si>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</si>
  <si>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</si>
  <si>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</si>
  <si>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</si>
  <si>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</si>
  <si>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</si>
  <si>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</si>
  <si>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</si>
  <si>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</si>
  <si>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</si>
  <si>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</si>
  <si>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</si>
  <si>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</si>
  <si>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</si>
  <si>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</si>
  <si>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</si>
  <si>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</si>
  <si>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</si>
  <si>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</si>
  <si>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</si>
  <si>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</si>
  <si>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</si>
  <si>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</si>
  <si>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</si>
  <si>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</si>
  <si>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</si>
  <si>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</si>
  <si>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</si>
  <si>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</si>
  <si>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</si>
  <si>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</si>
  <si>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</si>
  <si>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</si>
  <si>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</si>
  <si>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</si>
  <si>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</si>
  <si>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</si>
  <si>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</si>
  <si>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</si>
  <si>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</si>
  <si>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</si>
  <si>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</si>
  <si>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</si>
  <si>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</si>
  <si>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</si>
  <si>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</si>
  <si>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</si>
  <si>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</si>
  <si>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</si>
  <si>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</si>
  <si>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</si>
  <si>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</si>
  <si>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</si>
  <si>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</si>
  <si>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</si>
  <si>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</si>
  <si>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</si>
  <si>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</si>
  <si>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</si>
  <si>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</si>
  <si>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</si>
  <si>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</si>
  <si>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</si>
  <si>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</si>
  <si>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</si>
  <si>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</si>
  <si>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</si>
  <si>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</si>
  <si>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</si>
  <si>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</si>
  <si>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</si>
  <si>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</si>
  <si>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</si>
  <si>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</si>
  <si>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</si>
  <si>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</si>
  <si>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</si>
  <si>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</si>
  <si>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</si>
  <si>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</si>
  <si>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</si>
  <si>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</si>
  <si>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</si>
  <si>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</si>
  <si>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</si>
  <si>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</si>
  <si>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</si>
  <si>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</si>
  <si>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</si>
  <si>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</si>
  <si>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</si>
  <si>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</si>
  <si>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</si>
  <si>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</si>
  <si>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</si>
  <si>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</si>
  <si>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</si>
  <si>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</si>
  <si>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</si>
  <si>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</si>
  <si>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</si>
  <si>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</si>
  <si>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</si>
  <si>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</si>
  <si>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</si>
  <si>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</si>
  <si>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</si>
  <si>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</si>
  <si>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</si>
  <si>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</si>
  <si>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</si>
  <si>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</si>
  <si>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</si>
  <si>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</si>
  <si>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</si>
  <si>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</si>
  <si>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</si>
  <si>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</si>
  <si>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</si>
  <si>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</si>
  <si>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</si>
  <si>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</si>
  <si>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</si>
  <si>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</si>
  <si>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</si>
  <si>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</si>
  <si>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</si>
  <si>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</si>
  <si>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</si>
  <si>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</si>
  <si>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</si>
  <si>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</si>
  <si>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</si>
  <si>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</si>
  <si>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</si>
  <si>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</si>
  <si>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</si>
  <si>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</si>
  <si>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</si>
  <si>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:12442</t>
  </si>
  <si>
    <t>Qamar TSO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</si>
</sst>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499</v>
      </c>
      <c r="F2" s="357"/>
      <c r="G2" s="357"/>
      <c r="H2" s="354" t="s">
        <v>510</v>
      </c>
      <c r="I2" s="354"/>
      <c r="J2" s="355"/>
      <c r="R2" s="351" t="s">
        <v>498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500</v>
      </c>
      <c r="F3" s="361"/>
      <c r="G3" s="361"/>
      <c r="H3" s="358">
        <f>+'1'!N4:N4</f>
        <v>46302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Nabeel Traders </v>
      </c>
      <c r="T3" s="301">
        <f>+'1'!P35</f>
        <v>580520.26901694911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75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217920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34867.199999999997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7627.2000000000007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175425.6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41186.4406779661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1083.0602033898306</v>
      </c>
      <c r="P10" s="311">
        <f t="shared" si="2"/>
        <v>217695.10088135593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50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145280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23244.799999999999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5084.8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116950.39999999999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27457.627118644068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722.04013559322038</v>
      </c>
      <c r="P11" s="311">
        <f t="shared" si="2"/>
        <v>145130.06725423728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75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217920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34867.199999999997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7627.2000000000007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175425.6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41186.4406779661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1083.0602033898306</v>
      </c>
      <c r="P12" s="311">
        <f t="shared" si="2"/>
        <v>217695.10088135593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581120</v>
      </c>
      <c r="J16" s="274">
        <f>SUM(J7:J15)</f>
        <v>92979.199999999997</v>
      </c>
      <c r="K16" s="275">
        <f t="shared" si="3"/>
        <v>20339.2</v>
      </c>
      <c r="L16" s="276">
        <f t="shared" si="3"/>
        <v>0</v>
      </c>
      <c r="M16" s="232">
        <f t="shared" si="3"/>
        <v>467801.59999999998</v>
      </c>
      <c r="N16" s="233">
        <f>SUM(N7:N15)</f>
        <v>109830.50847457626</v>
      </c>
      <c r="O16" s="101">
        <f>SUM(O7:O15)</f>
        <v>2888.1605423728815</v>
      </c>
      <c r="P16" s="113">
        <f>SUM(P7:P15)</f>
        <v>580520.26901694911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581120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92979.199999999997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20339.2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467801.59999999998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109830.50847457626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577632.10847457626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2888.1605423728815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580520.26901694911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580520.26901694911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519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8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7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8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75</v>
      </c>
      <c r="H19" s="96"/>
      <c r="I19" s="236">
        <f t="shared" si="7"/>
        <v>217920</v>
      </c>
      <c r="J19" s="272">
        <f t="shared" si="1"/>
        <v>34867.199999999997</v>
      </c>
      <c r="K19" s="128">
        <f t="shared" si="1"/>
        <v>7627.2000000000007</v>
      </c>
      <c r="L19" s="119">
        <f t="shared" si="1"/>
        <v>0</v>
      </c>
      <c r="M19" s="230">
        <f t="shared" si="2"/>
        <v>175425.6</v>
      </c>
      <c r="N19" s="277">
        <f t="shared" si="3"/>
        <v>41186.4406779661</v>
      </c>
      <c r="O19" s="239">
        <f t="shared" si="4"/>
        <v>1083.0602033898306</v>
      </c>
      <c r="P19" s="119">
        <f t="shared" si="5"/>
        <v>217695.10088135593</v>
      </c>
      <c r="Q19" s="320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50</v>
      </c>
      <c r="H20" s="96"/>
      <c r="I20" s="236">
        <f t="shared" si="7"/>
        <v>145280</v>
      </c>
      <c r="J20" s="272">
        <f t="shared" si="1"/>
        <v>23244.799999999999</v>
      </c>
      <c r="K20" s="128">
        <f t="shared" si="1"/>
        <v>5084.8</v>
      </c>
      <c r="L20" s="119">
        <f t="shared" si="1"/>
        <v>0</v>
      </c>
      <c r="M20" s="230">
        <f t="shared" si="2"/>
        <v>116950.39999999999</v>
      </c>
      <c r="N20" s="277">
        <f t="shared" si="3"/>
        <v>27457.627118644068</v>
      </c>
      <c r="O20" s="239">
        <f t="shared" si="4"/>
        <v>722.04013559322038</v>
      </c>
      <c r="P20" s="119">
        <f t="shared" si="5"/>
        <v>145130.06725423728</v>
      </c>
      <c r="Q20" s="320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75</v>
      </c>
      <c r="H21" s="96"/>
      <c r="I21" s="236">
        <f t="shared" si="7"/>
        <v>217920</v>
      </c>
      <c r="J21" s="272">
        <f t="shared" si="1"/>
        <v>34867.199999999997</v>
      </c>
      <c r="K21" s="128">
        <f t="shared" si="1"/>
        <v>7627.2000000000007</v>
      </c>
      <c r="L21" s="119">
        <f t="shared" si="1"/>
        <v>0</v>
      </c>
      <c r="M21" s="230">
        <f t="shared" si="2"/>
        <v>175425.6</v>
      </c>
      <c r="N21" s="277">
        <f t="shared" si="3"/>
        <v>41186.4406779661</v>
      </c>
      <c r="O21" s="239">
        <f t="shared" si="4"/>
        <v>1083.0602033898306</v>
      </c>
      <c r="P21" s="119">
        <f t="shared" si="5"/>
        <v>217695.10088135593</v>
      </c>
      <c r="Q21" s="320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200</v>
      </c>
      <c r="H25" s="113">
        <f t="shared" ref="H25" si="9">SUM(H16:H24)</f>
        <v>0</v>
      </c>
      <c r="I25" s="114">
        <f t="shared" ref="I25:M25" si="10">SUM(I16:I24)</f>
        <v>581120</v>
      </c>
      <c r="J25" s="274">
        <f>SUM(J16:J24)</f>
        <v>92979.199999999997</v>
      </c>
      <c r="K25" s="275">
        <f t="shared" si="10"/>
        <v>20339.2</v>
      </c>
      <c r="L25" s="276">
        <f t="shared" si="10"/>
        <v>0</v>
      </c>
      <c r="M25" s="232">
        <f t="shared" si="10"/>
        <v>467801.59999999998</v>
      </c>
      <c r="N25" s="233">
        <f>SUM(N16:N24)</f>
        <v>109830.50847457626</v>
      </c>
      <c r="O25" s="101">
        <f>SUM(O16:O24)</f>
        <v>2888.1605423728815</v>
      </c>
      <c r="P25" s="234">
        <f>SUM(P16:P24)</f>
        <v>580520.26901694911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581120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92979.199999999997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20339.2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467801.59999999998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109830.50847457626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577632.10847457626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2888.1605423728815</v>
      </c>
    </row>
    <row r="35" spans="2:16" ht="15.75" customHeight="1" thickBot="1" x14ac:dyDescent="0.4">
      <c r="N35" s="345" t="s">
        <v>88</v>
      </c>
      <c r="O35" s="346"/>
      <c r="P35" s="297">
        <f>+P33+P34</f>
        <v>580520.26901694911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46246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46245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508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46263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46262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518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7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502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503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8.75" customHeight="1" x14ac:dyDescent="0.4">
      <c r="A6" s="399" t="s">
        <v>504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2026-10-08T11:41:58Z</dcterms:modified>
</cp:coreProperties>
</file>