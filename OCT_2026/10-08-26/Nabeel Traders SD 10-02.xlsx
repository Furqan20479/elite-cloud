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60DA74CC-E37A-42FD-973C-4DA259C977A5}" xr6:coauthVersionLast="47" xr6:coauthVersionMax="47" xr10:uidLastSave="{00000000-0000-0000-0000-000000000000}"/>
  <bookViews>
    <workbookView xWindow="-110" yWindow="-110" windowWidth="19420" windowHeight="10420" tabRatio="594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  <definedName name="_xlnm.Print_Area" localSheetId="4">'1'!$A$1:$P$36</definedName>
  </definedNames>
  <calcPr calcId="191029"/>
</workbook>
</file>

<file path=xl/calcChain.xml><?xml version="1.0" encoding="utf-8"?>
<calcChain xmlns="http://schemas.openxmlformats.org/spreadsheetml/2006/main">
  <c r="H11" i="62" l="1"/>
  <c r="H13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2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H3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4" i="72"/>
  <c r="N5" i="72" s="1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4" i="71"/>
  <c r="N5" i="71" s="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4" i="70"/>
  <c r="N5" i="70" s="1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4" i="69"/>
  <c r="N5" i="69" s="1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4" i="68"/>
  <c r="N5" i="68" s="1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4" i="67"/>
  <c r="N5" i="67" s="1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4" i="66"/>
  <c r="N5" i="66" s="1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4" i="65"/>
  <c r="N5" i="65" s="1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4"/>
  <c r="N5" i="64" s="1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4" i="63"/>
  <c r="N5" i="63" s="1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4" i="61"/>
  <c r="N5" i="61" s="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4" i="60"/>
  <c r="N5" i="60" s="1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4" i="59"/>
  <c r="N5" i="59" s="1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4" i="58"/>
  <c r="N5" i="58" s="1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4" i="57"/>
  <c r="N5" i="57" s="1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4" i="56"/>
  <c r="N5" i="56" s="1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4" i="55"/>
  <c r="N5" i="55" s="1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4" i="54"/>
  <c r="N5" i="54" s="1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4" i="53"/>
  <c r="N5" i="53" s="1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4" i="52"/>
  <c r="N5" i="52" s="1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4" i="51"/>
  <c r="N5" i="51" s="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4" i="50"/>
  <c r="N5" i="50" s="1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4" i="49"/>
  <c r="N5" i="49" s="1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4" i="48"/>
  <c r="N5" i="48" s="1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4" i="47"/>
  <c r="N5" i="47" s="1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4" i="46"/>
  <c r="N5" i="46" s="1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4" i="45"/>
  <c r="N5" i="45" s="1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44" l="1"/>
  <c r="M17" i="44"/>
  <c r="O17" i="44" s="1"/>
  <c r="P17" i="44" s="1"/>
  <c r="J7" i="62"/>
  <c r="M21" i="44"/>
  <c r="O21" i="44" s="1"/>
  <c r="P21" i="44" s="1"/>
  <c r="M16" i="43"/>
  <c r="M20" i="43"/>
  <c r="O20" i="43" s="1"/>
  <c r="P20" i="43" s="1"/>
  <c r="R20" i="43" s="1"/>
  <c r="M21" i="43"/>
  <c r="O21" i="43" s="1"/>
  <c r="P21" i="43" s="1"/>
  <c r="M22" i="43"/>
  <c r="O22" i="43" s="1"/>
  <c r="P22" i="43" s="1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<sst xmlns="http://schemas.openxmlformats.org/spreadsheetml/2006/main" count="3973" uniqueCount="521">
  <si>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</si>
  <si>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</si>
  <si>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</si>
  <si>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</si>
  <si>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</si>
  <si>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</si>
  <si>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</si>
  <si>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</si>
  <si>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</si>
  <si>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</si>
  <si>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</si>
  <si>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</si>
  <si>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</si>
  <si>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</si>
  <si>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</si>
  <si>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</si>
  <si>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</si>
  <si>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</si>
  <si>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</si>
  <si>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</si>
  <si>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</si>
  <si>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</si>
  <si>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</si>
  <si>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</si>
  <si>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</si>
  <si>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</si>
  <si>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</si>
  <si>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</si>
  <si>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</si>
  <si>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</si>
  <si>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</si>
  <si>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</si>
  <si>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</si>
  <si>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</si>
  <si>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</si>
  <si>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</si>
  <si>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</si>
  <si>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</si>
  <si>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</si>
  <si>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</si>
  <si>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</si>
  <si>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</si>
  <si>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</si>
  <si>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</si>
  <si>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</si>
  <si>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</si>
  <si>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</si>
  <si>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</si>
  <si>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</si>
  <si>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</si>
  <si>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</si>
  <si>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</si>
  <si>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</si>
  <si>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</si>
  <si>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</si>
  <si>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</si>
  <si>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</si>
  <si>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</si>
  <si>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</si>
  <si>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</si>
  <si>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</si>
  <si>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</si>
  <si>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</si>
  <si>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</si>
  <si>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</si>
  <si>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</si>
  <si>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</si>
  <si>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</si>
  <si>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</si>
  <si>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</si>
  <si>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</si>
  <si>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</si>
  <si>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</si>
  <si>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</si>
  <si>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</si>
  <si>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</si>
  <si>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</si>
  <si>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</si>
  <si>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</si>
  <si>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</si>
  <si>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</si>
  <si>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</si>
  <si>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</si>
  <si>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</si>
  <si>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</si>
  <si>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</si>
  <si>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</si>
  <si>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</si>
  <si>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</si>
  <si>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</si>
  <si>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</si>
  <si>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</si>
  <si>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</si>
  <si>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</si>
  <si>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</si>
  <si>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</si>
  <si>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</si>
  <si>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</si>
  <si>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</si>
  <si>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</si>
  <si>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</si>
  <si>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</si>
  <si>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</si>
  <si>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</si>
  <si>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</si>
  <si>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</si>
  <si>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</si>
  <si>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</si>
  <si>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</si>
  <si>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</si>
  <si>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</si>
  <si>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</si>
  <si>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</si>
  <si>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</si>
  <si>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</si>
  <si>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</si>
  <si>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</si>
  <si>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</si>
  <si>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</si>
  <si>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</si>
  <si>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</si>
  <si>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</si>
  <si>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</si>
  <si>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</si>
  <si>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</si>
  <si>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</si>
  <si>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</si>
  <si>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</si>
  <si>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</si>
  <si>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</si>
  <si>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</si>
  <si>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</si>
  <si>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</si>
  <si>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</si>
  <si>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</si>
  <si>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</si>
  <si>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</si>
  <si>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</si>
  <si>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</si>
  <si>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</si>
  <si>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</si>
  <si>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</si>
  <si>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</si>
  <si>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</si>
  <si>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</si>
  <si>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</si>
  <si>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</si>
  <si>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</si>
  <si>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</si>
  <si>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</si>
  <si>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</si>
  <si>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</si>
  <si>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</si>
  <si>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</si>
  <si>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</si>
  <si>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</si>
  <si>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</si>
  <si>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</si>
  <si>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</si>
  <si>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</si>
  <si>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</si>
  <si>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</si>
  <si>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</si>
  <si>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</si>
  <si>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</si>
  <si>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</si>
  <si>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</si>
  <si>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</si>
  <si>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</si>
  <si>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</si>
  <si>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</si>
  <si>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</si>
  <si>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</si>
  <si>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</si>
  <si>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</si>
  <si>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</si>
  <si>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</si>
  <si>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</si>
  <si>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</si>
  <si>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</si>
  <si>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</si>
  <si>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</si>
  <si>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</si>
  <si>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</si>
  <si>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</si>
  <si>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</si>
  <si>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</si>
  <si>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</si>
  <si>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</si>
  <si>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</si>
  <si>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</si>
  <si>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</si>
  <si>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</si>
  <si>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</si>
  <si>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</si>
  <si>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</si>
  <si>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</si>
  <si>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</si>
  <si>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</si>
  <si>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</si>
  <si>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</si>
  <si>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</si>
  <si>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</si>
  <si>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</si>
  <si>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</si>
  <si>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</si>
  <si>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</si>
  <si>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</si>
  <si>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</si>
  <si>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</si>
  <si>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</si>
  <si>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</si>
  <si>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</si>
  <si>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</si>
  <si>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</si>
  <si>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</si>
  <si>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</si>
  <si>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</si>
  <si>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</si>
  <si>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</si>
  <si>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</si>
  <si>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</si>
  <si>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</si>
  <si>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</si>
  <si>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</si>
  <si>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</si>
  <si>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</si>
  <si>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</si>
  <si>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</si>
  <si>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</si>
  <si>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</si>
  <si>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</si>
  <si>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</si>
  <si>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</si>
  <si>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</si>
  <si>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</si>
  <si>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</si>
  <si>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</si>
  <si>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</si>
  <si>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</si>
  <si>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</si>
  <si>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</si>
  <si>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</si>
  <si>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</si>
  <si>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</si>
  <si>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</si>
  <si>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</si>
  <si>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</si>
  <si>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</si>
  <si>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</si>
  <si>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</si>
  <si>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</si>
  <si>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</si>
  <si>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</si>
  <si>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</si>
  <si>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</si>
  <si>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</si>
  <si>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</si>
  <si>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</si>
  <si>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</si>
  <si>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</si>
  <si>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</si>
  <si>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</si>
  <si>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</si>
  <si>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</si>
  <si>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</si>
  <si>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</si>
  <si>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</si>
  <si>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</si>
  <si>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</si>
  <si>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</si>
  <si>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</si>
  <si>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</si>
  <si>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</si>
  <si>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</si>
  <si>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</si>
  <si>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</si>
  <si>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</si>
  <si>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</si>
  <si>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</si>
  <si>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</si>
  <si>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</si>
  <si>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</si>
  <si>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</si>
  <si>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</si>
  <si>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</si>
  <si>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</si>
  <si>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</si>
  <si>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</si>
  <si>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</si>
  <si>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</si>
  <si>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</si>
  <si>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</si>
  <si>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</si>
  <si>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</si>
  <si>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</si>
  <si>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</si>
  <si>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</si>
  <si>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</si>
  <si>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</si>
  <si>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</si>
  <si>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</si>
  <si>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</si>
  <si>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</si>
  <si>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</si>
  <si>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</si>
  <si>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</si>
  <si>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</si>
  <si>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</si>
  <si>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</si>
  <si>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</si>
  <si>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</si>
  <si>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</si>
  <si>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</si>
  <si>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</si>
  <si>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</si>
  <si>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</si>
  <si>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</si>
  <si>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</si>
  <si>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</si>
  <si>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</si>
  <si>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</si>
  <si>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</si>
  <si>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</si>
  <si>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</si>
  <si>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</si>
  <si>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</si>
  <si>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</si>
  <si>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</si>
  <si>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</si>
  <si>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</si>
  <si>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</si>
  <si>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</si>
  <si>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</si>
  <si>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</si>
  <si>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</si>
  <si>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</si>
  <si>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</si>
  <si>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</si>
  <si>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</si>
  <si>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</si>
  <si>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</si>
  <si>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</si>
  <si>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</si>
  <si>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</si>
  <si>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</si>
  <si>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</si>
  <si>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</si>
  <si>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</si>
  <si>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</si>
  <si>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</si>
  <si>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</si>
  <si>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</si>
  <si>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</si>
  <si>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</si>
  <si>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</si>
  <si>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</si>
  <si>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</si>
  <si>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</si>
  <si>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</si>
  <si>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</si>
  <si>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</si>
  <si>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</si>
  <si>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</si>
  <si>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</si>
  <si>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</si>
  <si>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</si>
  <si>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</si>
  <si>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</si>
  <si>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</si>
  <si>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</si>
  <si>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</si>
  <si>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</si>
  <si>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</si>
  <si>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</si>
  <si>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</si>
  <si>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</si>
  <si>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</si>
  <si>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</si>
  <si>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</si>
  <si>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</si>
  <si>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</si>
  <si>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</si>
  <si>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</si>
  <si>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</si>
  <si>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</si>
  <si>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</si>
  <si>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</si>
  <si>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</si>
  <si>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</si>
  <si>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</si>
  <si>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</si>
  <si>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</si>
  <si>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</si>
  <si>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</si>
  <si>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</si>
  <si>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</si>
  <si>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</si>
  <si>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</si>
  <si>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</si>
  <si>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</si>
  <si>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</si>
  <si>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</si>
  <si>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</si>
  <si>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</si>
  <si>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</si>
  <si>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</si>
  <si>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</si>
  <si>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</si>
  <si>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</si>
  <si>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</si>
  <si>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</si>
  <si>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</si>
  <si>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</si>
  <si>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</si>
  <si>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</si>
  <si>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</si>
  <si>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</si>
  <si>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</si>
  <si>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</si>
  <si>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</si>
  <si>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</si>
  <si>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</si>
  <si>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</si>
  <si>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</si>
  <si>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</si>
  <si>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</si>
  <si>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</si>
  <si>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</si>
  <si>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</si>
  <si>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</si>
  <si>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</si>
  <si>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</si>
  <si>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</si>
  <si>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</si>
  <si>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</si>
  <si>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</si>
  <si>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</si>
  <si>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</si>
  <si>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</si>
  <si>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</si>
  <si>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</si>
  <si>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</si>
  <si>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</si>
  <si>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</si>
  <si>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</si>
  <si>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</si>
  <si>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</si>
  <si>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</si>
  <si>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</si>
  <si>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</si>
  <si>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</si>
  <si>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</si>
  <si>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</si>
  <si>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</si>
  <si>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</si>
  <si>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</si>
  <si>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</si>
  <si>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</si>
  <si>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</si>
  <si>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</si>
  <si>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</si>
  <si>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</si>
  <si>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</si>
  <si>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</si>
  <si>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</si>
  <si>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</si>
  <si>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</si>
  <si>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</si>
  <si>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</si>
  <si>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</si>
  <si>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</si>
  <si>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</si>
  <si>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</si>
  <si>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</si>
  <si>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</si>
  <si>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</si>
  <si>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</si>
  <si>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</si>
  <si>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</si>
  <si>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</si>
  <si>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</si>
  <si>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</si>
  <si>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</si>
  <si>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</si>
  <si>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</si>
  <si>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</si>
  <si>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</si>
  <si>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</si>
  <si>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</si>
  <si>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</si>
  <si>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</si>
  <si>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</si>
  <si>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</si>
  <si>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</si>
  <si>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</si>
  <si>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</si>
  <si>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</si>
  <si>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</si>
  <si>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</si>
  <si>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Date</t>
  </si>
  <si>
    <t>Golden Cash</t>
  </si>
  <si>
    <t>Pak Madina</t>
  </si>
  <si>
    <t>Watto Store</t>
  </si>
  <si>
    <t>Faheem Store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</si>
  <si>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</si>
  <si>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</si>
  <si>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</si>
  <si>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</si>
  <si>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</si>
  <si>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</si>
  <si>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</si>
  <si>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</si>
  <si>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</si>
  <si>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 xml:space="preserve">Nabeel Traders </t>
  </si>
  <si>
    <t xml:space="preserve">Address: Mughalpura </t>
  </si>
  <si>
    <t>Address: Mughalpura</t>
  </si>
  <si>
    <t>Address:Mughalpura</t>
  </si>
  <si>
    <t>Shakoor</t>
  </si>
  <si>
    <t>Invoice No # :12442</t>
  </si>
  <si>
    <t>Qamar TSO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</si>
</sst>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/>
    </xf>
    <xf numFmtId="167" fontId="0" fillId="0" borderId="21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4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3" t="s">
        <v>91</v>
      </c>
      <c r="B2" s="393"/>
      <c r="C2" s="393"/>
      <c r="E2" s="385" t="s">
        <v>499</v>
      </c>
      <c r="F2" s="386"/>
      <c r="G2" s="386"/>
      <c r="H2" s="383" t="s">
        <v>510</v>
      </c>
      <c r="I2" s="383"/>
      <c r="J2" s="384"/>
      <c r="R2" s="380" t="s">
        <v>498</v>
      </c>
      <c r="S2" s="381"/>
      <c r="T2" s="382"/>
    </row>
    <row r="3" spans="1:20 16377:16378" ht="21.75" customHeight="1" thickBot="1" x14ac:dyDescent="0.4">
      <c r="A3" s="394" t="s">
        <v>92</v>
      </c>
      <c r="B3" s="394"/>
      <c r="C3" s="394"/>
      <c r="E3" s="389" t="s">
        <v>500</v>
      </c>
      <c r="F3" s="390"/>
      <c r="G3" s="390"/>
      <c r="H3" s="387">
        <f>+'1'!N4:N4</f>
        <v>46302</v>
      </c>
      <c r="I3" s="387"/>
      <c r="J3" s="388"/>
      <c r="K3" s="395" t="s">
        <v>43</v>
      </c>
      <c r="L3" s="395"/>
      <c r="M3" s="395"/>
      <c r="N3" s="394"/>
      <c r="O3" s="394"/>
      <c r="P3" s="394"/>
      <c r="R3" s="299">
        <v>1</v>
      </c>
      <c r="S3" s="300" t="str">
        <f>+'1'!A6:A6</f>
        <v xml:space="preserve">Nabeel Traders </v>
      </c>
      <c r="T3" s="301">
        <f>+'1'!P35</f>
        <v>881262.06443961873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 xml:space="preserve">Nabeel Traders 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45" t="s">
        <v>51</v>
      </c>
      <c r="B5" s="346"/>
      <c r="C5" s="349" t="s">
        <v>90</v>
      </c>
      <c r="D5" s="115" t="s">
        <v>52</v>
      </c>
      <c r="E5" s="351" t="s">
        <v>58</v>
      </c>
      <c r="F5" s="352"/>
      <c r="G5" s="353" t="s">
        <v>54</v>
      </c>
      <c r="H5" s="354"/>
      <c r="I5" s="355" t="s">
        <v>77</v>
      </c>
      <c r="J5" s="392" t="s">
        <v>55</v>
      </c>
      <c r="K5" s="353"/>
      <c r="L5" s="354"/>
      <c r="M5" s="346" t="s">
        <v>84</v>
      </c>
      <c r="N5" s="391" t="s">
        <v>495</v>
      </c>
      <c r="O5" s="103" t="s">
        <v>89</v>
      </c>
      <c r="P5" s="115" t="s">
        <v>56</v>
      </c>
      <c r="Q5" s="315" t="s">
        <v>513</v>
      </c>
      <c r="R5" s="314">
        <v>3</v>
      </c>
      <c r="S5" s="300" t="str">
        <f>+'3'!A6:A6</f>
        <v xml:space="preserve">Nabeel Traders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47"/>
      <c r="B6" s="348"/>
      <c r="C6" s="35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6"/>
      <c r="J6" s="143" t="s">
        <v>59</v>
      </c>
      <c r="K6" s="144" t="s">
        <v>39</v>
      </c>
      <c r="L6" s="145" t="s">
        <v>493</v>
      </c>
      <c r="M6" s="348"/>
      <c r="N6" s="356"/>
      <c r="O6" s="228" t="e">
        <f>IF(#REF!="Filer",0.5%,2.5%)</f>
        <v>#REF!</v>
      </c>
      <c r="P6" s="111" t="s">
        <v>38</v>
      </c>
      <c r="Q6" s="315" t="s">
        <v>512</v>
      </c>
      <c r="R6" s="314">
        <v>4</v>
      </c>
      <c r="S6" s="300" t="str">
        <f>+'4'!A6:A6</f>
        <v>Fine Dedical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5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10492.5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1678.8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367.23750000000001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8446.4624999999996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1983.0508474576263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52.147566737288123</v>
      </c>
      <c r="P7" s="310">
        <f>M7+N7+O7</f>
        <v>10481.660914194914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Golden Cash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Fine Dedical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Fine Dedical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100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0</v>
      </c>
      <c r="I10" s="236">
        <f t="shared" si="0"/>
        <v>290560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46489.599999999999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10169.6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233900.79999999999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54915.254237288136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1444.0802711864408</v>
      </c>
      <c r="P10" s="311">
        <f t="shared" si="2"/>
        <v>290260.13450847456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Fine Dedical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80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0</v>
      </c>
      <c r="I11" s="236">
        <f t="shared" si="0"/>
        <v>232448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37191.68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8135.6800000000012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187120.64000000001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43932.203389830509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1155.2642169491526</v>
      </c>
      <c r="P11" s="311">
        <f t="shared" si="2"/>
        <v>232208.10760677967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Fine Dedical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120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0</v>
      </c>
      <c r="I12" s="236">
        <f t="shared" si="0"/>
        <v>348672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55787.520000000004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12203.52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280680.95999999996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65898.305084745763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1732.8963254237285</v>
      </c>
      <c r="P12" s="311">
        <f t="shared" si="2"/>
        <v>348312.16141016944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Fine Dedical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Fine Dedical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96">
        <f>COUNT(A7:A15)</f>
        <v>0</v>
      </c>
      <c r="B16" s="357"/>
      <c r="C16" s="357" t="s">
        <v>40</v>
      </c>
      <c r="D16" s="357"/>
      <c r="E16" s="357"/>
      <c r="F16" s="358"/>
      <c r="G16" s="117">
        <f>H16/40</f>
        <v>0</v>
      </c>
      <c r="H16" s="113">
        <f t="shared" ref="H16:M16" si="3">SUM(H7:H15)</f>
        <v>0</v>
      </c>
      <c r="I16" s="114">
        <f t="shared" si="3"/>
        <v>882172.5</v>
      </c>
      <c r="J16" s="274">
        <f>SUM(J7:J15)</f>
        <v>141147.6</v>
      </c>
      <c r="K16" s="275">
        <f t="shared" si="3"/>
        <v>30876.037500000002</v>
      </c>
      <c r="L16" s="276">
        <f t="shared" si="3"/>
        <v>0</v>
      </c>
      <c r="M16" s="232">
        <f t="shared" si="3"/>
        <v>710148.86249999993</v>
      </c>
      <c r="N16" s="233">
        <f>SUM(N7:N15)</f>
        <v>166728.81355932204</v>
      </c>
      <c r="O16" s="101">
        <f>SUM(O7:O15)</f>
        <v>4384.3883802966102</v>
      </c>
      <c r="P16" s="113">
        <f>SUM(P7:P15)</f>
        <v>881262.06443961849</v>
      </c>
      <c r="Q16" s="128">
        <f>SUM(Q7:Q15)</f>
        <v>0</v>
      </c>
      <c r="R16" s="314">
        <v>14</v>
      </c>
      <c r="S16" s="300" t="str">
        <f>+'14'!A6:A6</f>
        <v>Fine Dedical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59" t="s">
        <v>64</v>
      </c>
      <c r="C19" s="360"/>
      <c r="D19" s="360"/>
      <c r="E19" s="360"/>
      <c r="F19" s="360"/>
      <c r="G19" s="360"/>
      <c r="H19" s="360"/>
      <c r="I19" s="360"/>
      <c r="J19" s="360"/>
      <c r="K19" s="360"/>
      <c r="L19" s="361"/>
      <c r="N19" s="368" t="s">
        <v>60</v>
      </c>
      <c r="O19" s="369"/>
      <c r="P19" s="139">
        <f>I16</f>
        <v>882172.5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62"/>
      <c r="C20" s="363"/>
      <c r="D20" s="363"/>
      <c r="E20" s="363"/>
      <c r="F20" s="363"/>
      <c r="G20" s="363"/>
      <c r="H20" s="363"/>
      <c r="I20" s="363"/>
      <c r="J20" s="363"/>
      <c r="K20" s="363"/>
      <c r="L20" s="364"/>
      <c r="N20" s="370" t="s">
        <v>85</v>
      </c>
      <c r="O20" s="371"/>
      <c r="P20" s="140">
        <f>+J16</f>
        <v>141147.6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62"/>
      <c r="C21" s="363"/>
      <c r="D21" s="363"/>
      <c r="E21" s="363"/>
      <c r="F21" s="363"/>
      <c r="G21" s="363"/>
      <c r="H21" s="363"/>
      <c r="I21" s="363"/>
      <c r="J21" s="363"/>
      <c r="K21" s="363"/>
      <c r="L21" s="364"/>
      <c r="N21" s="370" t="s">
        <v>86</v>
      </c>
      <c r="O21" s="371"/>
      <c r="P21" s="140">
        <f>+K16+L16</f>
        <v>30876.037500000002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62"/>
      <c r="C22" s="363"/>
      <c r="D22" s="363"/>
      <c r="E22" s="363"/>
      <c r="F22" s="363"/>
      <c r="G22" s="363"/>
      <c r="H22" s="363"/>
      <c r="I22" s="363"/>
      <c r="J22" s="363"/>
      <c r="K22" s="363"/>
      <c r="L22" s="364"/>
      <c r="M22" s="131"/>
      <c r="N22" s="370" t="s">
        <v>87</v>
      </c>
      <c r="O22" s="371"/>
      <c r="P22" s="140">
        <f>P19-P20-P21</f>
        <v>710148.86250000005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62"/>
      <c r="C23" s="363"/>
      <c r="D23" s="363"/>
      <c r="E23" s="363"/>
      <c r="F23" s="363"/>
      <c r="G23" s="363"/>
      <c r="H23" s="363"/>
      <c r="I23" s="363"/>
      <c r="J23" s="363"/>
      <c r="K23" s="363"/>
      <c r="L23" s="364"/>
      <c r="M23" s="131"/>
      <c r="N23" s="136" t="s">
        <v>61</v>
      </c>
      <c r="O23" s="133">
        <v>0.18</v>
      </c>
      <c r="P23" s="140">
        <f>+N16</f>
        <v>166728.81355932204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62"/>
      <c r="C24" s="363"/>
      <c r="D24" s="363"/>
      <c r="E24" s="363"/>
      <c r="F24" s="363"/>
      <c r="G24" s="363"/>
      <c r="H24" s="363"/>
      <c r="I24" s="363"/>
      <c r="J24" s="363"/>
      <c r="K24" s="363"/>
      <c r="L24" s="364"/>
      <c r="M24" s="131"/>
      <c r="N24" s="372" t="s">
        <v>76</v>
      </c>
      <c r="O24" s="373"/>
      <c r="P24" s="140">
        <f>P22+P23</f>
        <v>876877.67605932208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65"/>
      <c r="C25" s="366"/>
      <c r="D25" s="366"/>
      <c r="E25" s="366"/>
      <c r="F25" s="366"/>
      <c r="G25" s="366"/>
      <c r="H25" s="366"/>
      <c r="I25" s="366"/>
      <c r="J25" s="366"/>
      <c r="K25" s="366"/>
      <c r="L25" s="367"/>
      <c r="M25" s="99"/>
      <c r="N25" s="138" t="s">
        <v>83</v>
      </c>
      <c r="O25" s="137" t="e">
        <f>IF(#REF!="Filer",0.5%,2.5%)</f>
        <v>#REF!</v>
      </c>
      <c r="P25" s="140">
        <f>+O16</f>
        <v>4384.3883802966102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74" t="s">
        <v>88</v>
      </c>
      <c r="O26" s="375"/>
      <c r="P26" s="297">
        <f>+P24+P25</f>
        <v>881262.06443961873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6"/>
      <c r="D27" s="376"/>
      <c r="E27" s="376"/>
      <c r="F27" s="376"/>
      <c r="G27" s="376"/>
      <c r="H27" s="376"/>
      <c r="I27" s="377"/>
      <c r="J27" s="378"/>
      <c r="K27" s="379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881262.06443961873</v>
      </c>
    </row>
    <row r="44" spans="2:20" x14ac:dyDescent="0.35">
      <c r="B44" t="s">
        <v>506</v>
      </c>
    </row>
    <row r="45" spans="2:20" x14ac:dyDescent="0.35">
      <c r="B45" t="s">
        <v>507</v>
      </c>
    </row>
    <row r="46" spans="2:20" x14ac:dyDescent="0.35">
      <c r="B46" t="s">
        <v>508</v>
      </c>
    </row>
    <row r="47" spans="2:20" x14ac:dyDescent="0.35">
      <c r="B47" t="s">
        <v>509</v>
      </c>
    </row>
    <row r="48" spans="2:20" x14ac:dyDescent="0.35">
      <c r="B48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workbookViewId="0">
      <selection activeCell="E4" sqref="E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81640625" bestFit="1" customWidth="1"/>
    <col min="9" max="9" width="9.36328125" bestFit="1" customWidth="1"/>
    <col min="10" max="12" width="8.36328125" bestFit="1" customWidth="1"/>
    <col min="13" max="13" width="11.90625" bestFit="1" customWidth="1"/>
    <col min="14" max="14" width="8.36328125" style="61" bestFit="1" customWidth="1"/>
    <col min="15" max="15" width="7.36328125" bestFit="1" customWidth="1"/>
    <col min="16" max="16" width="9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519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505</v>
      </c>
      <c r="B4" s="394"/>
      <c r="C4" s="394"/>
      <c r="F4" s="85"/>
      <c r="G4" s="1"/>
      <c r="K4" s="395" t="s">
        <v>44</v>
      </c>
      <c r="L4" s="395"/>
      <c r="M4" s="395"/>
      <c r="N4" s="398">
        <v>46302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46301</v>
      </c>
      <c r="O5" s="394"/>
      <c r="P5" s="394"/>
      <c r="R5" s="85"/>
      <c r="S5" s="266"/>
    </row>
    <row r="6" spans="1:22 16383:16384" ht="17.25" customHeight="1" x14ac:dyDescent="0.4">
      <c r="A6" s="400" t="s">
        <v>514</v>
      </c>
      <c r="B6" s="400"/>
      <c r="C6" s="400"/>
      <c r="F6" s="85"/>
      <c r="G6" s="86"/>
      <c r="K6" s="395" t="s">
        <v>69</v>
      </c>
      <c r="L6" s="395"/>
      <c r="M6" s="395"/>
      <c r="N6" s="397" t="s">
        <v>520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511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18" t="s">
        <v>513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317">
        <v>0.16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18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>
        <v>5</v>
      </c>
      <c r="H16" s="112"/>
      <c r="I16" s="235">
        <f>(G16*D16)*F16+H16*F16</f>
        <v>10492.5</v>
      </c>
      <c r="J16" s="271">
        <f>$I16*S16</f>
        <v>1678.8</v>
      </c>
      <c r="K16" s="127">
        <f>$I16*T16</f>
        <v>367.23750000000001</v>
      </c>
      <c r="L16" s="118">
        <f>$I16*U16</f>
        <v>0</v>
      </c>
      <c r="M16" s="229">
        <f>I16-SUM(J16:L16)</f>
        <v>8446.4624999999996</v>
      </c>
      <c r="N16" s="248">
        <f>+(G16*D16+H16)*V16</f>
        <v>1983.0508474576263</v>
      </c>
      <c r="O16" s="238">
        <f>(N16+M16)*$O$15</f>
        <v>52.147566737288123</v>
      </c>
      <c r="P16" s="118">
        <f>M16+N16+O16</f>
        <v>10481.660914194914</v>
      </c>
      <c r="Q16" s="319"/>
      <c r="S16" s="269">
        <v>0.16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20"/>
      <c r="S17" s="269">
        <f>+S16</f>
        <v>0.16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20"/>
      <c r="S18" s="269">
        <f>+S17</f>
        <v>0.16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>
        <v>100</v>
      </c>
      <c r="H19" s="96"/>
      <c r="I19" s="236">
        <f t="shared" si="7"/>
        <v>290560</v>
      </c>
      <c r="J19" s="272">
        <f t="shared" si="1"/>
        <v>46489.599999999999</v>
      </c>
      <c r="K19" s="128">
        <f t="shared" si="1"/>
        <v>10169.6</v>
      </c>
      <c r="L19" s="119">
        <f t="shared" si="1"/>
        <v>0</v>
      </c>
      <c r="M19" s="230">
        <f t="shared" si="2"/>
        <v>233900.79999999999</v>
      </c>
      <c r="N19" s="277">
        <f t="shared" si="3"/>
        <v>54915.254237288136</v>
      </c>
      <c r="O19" s="239">
        <f t="shared" si="4"/>
        <v>1444.0802711864408</v>
      </c>
      <c r="P19" s="119">
        <f t="shared" si="5"/>
        <v>290260.13450847456</v>
      </c>
      <c r="Q19" s="320"/>
      <c r="S19" s="269">
        <f>+S18</f>
        <v>0.16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>
        <v>80</v>
      </c>
      <c r="H20" s="96"/>
      <c r="I20" s="236">
        <f t="shared" si="7"/>
        <v>232448</v>
      </c>
      <c r="J20" s="272">
        <f t="shared" si="1"/>
        <v>37191.68</v>
      </c>
      <c r="K20" s="128">
        <f t="shared" si="1"/>
        <v>8135.6800000000012</v>
      </c>
      <c r="L20" s="119">
        <f t="shared" si="1"/>
        <v>0</v>
      </c>
      <c r="M20" s="230">
        <f t="shared" si="2"/>
        <v>187120.64000000001</v>
      </c>
      <c r="N20" s="277">
        <f t="shared" si="3"/>
        <v>43932.203389830509</v>
      </c>
      <c r="O20" s="239">
        <f t="shared" si="4"/>
        <v>1155.2642169491526</v>
      </c>
      <c r="P20" s="119">
        <f t="shared" si="5"/>
        <v>232208.10760677967</v>
      </c>
      <c r="Q20" s="320"/>
      <c r="S20" s="269">
        <f>+S19</f>
        <v>0.16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>
        <v>120</v>
      </c>
      <c r="H21" s="96"/>
      <c r="I21" s="236">
        <f t="shared" si="7"/>
        <v>348672</v>
      </c>
      <c r="J21" s="272">
        <f t="shared" si="1"/>
        <v>55787.520000000004</v>
      </c>
      <c r="K21" s="128">
        <f t="shared" si="1"/>
        <v>12203.52</v>
      </c>
      <c r="L21" s="119">
        <f t="shared" si="1"/>
        <v>0</v>
      </c>
      <c r="M21" s="230">
        <f t="shared" si="2"/>
        <v>280680.95999999996</v>
      </c>
      <c r="N21" s="277">
        <f t="shared" si="3"/>
        <v>65898.305084745763</v>
      </c>
      <c r="O21" s="239">
        <f t="shared" si="4"/>
        <v>1732.8963254237285</v>
      </c>
      <c r="P21" s="119">
        <f t="shared" si="5"/>
        <v>348312.16141016944</v>
      </c>
      <c r="Q21" s="320"/>
      <c r="S21" s="269">
        <f>+S20</f>
        <v>0.16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20"/>
      <c r="S22" s="269">
        <v>0.11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20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20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" si="8">SUM(G16:G24)</f>
        <v>305</v>
      </c>
      <c r="H25" s="113">
        <f t="shared" ref="H25" si="9">SUM(H16:H24)</f>
        <v>0</v>
      </c>
      <c r="I25" s="114">
        <f t="shared" ref="I25:M25" si="10">SUM(I16:I24)</f>
        <v>882172.5</v>
      </c>
      <c r="J25" s="274">
        <f>SUM(J16:J24)</f>
        <v>141147.6</v>
      </c>
      <c r="K25" s="275">
        <f t="shared" si="10"/>
        <v>30876.037500000002</v>
      </c>
      <c r="L25" s="276">
        <f t="shared" si="10"/>
        <v>0</v>
      </c>
      <c r="M25" s="232">
        <f t="shared" si="10"/>
        <v>710148.86249999993</v>
      </c>
      <c r="N25" s="233">
        <f>SUM(N16:N24)</f>
        <v>166728.81355932204</v>
      </c>
      <c r="O25" s="101">
        <f>SUM(O16:O24)</f>
        <v>4384.3883802966102</v>
      </c>
      <c r="P25" s="234">
        <f>SUM(P16:P24)</f>
        <v>881262.06443961849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882172.5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141147.6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30876.037500000002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710148.86250000005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166728.81355932204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876877.67605932208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4384.3883802966102</v>
      </c>
    </row>
    <row r="35" spans="2:16" ht="15.75" customHeight="1" thickBot="1" x14ac:dyDescent="0.4">
      <c r="N35" s="374" t="s">
        <v>88</v>
      </c>
      <c r="O35" s="375"/>
      <c r="P35" s="297">
        <f>+P33+P34</f>
        <v>881262.06443961873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88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7" workbookViewId="0">
      <selection activeCell="G16" sqref="G16:G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1" width="8.3632812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9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505</v>
      </c>
      <c r="B4" s="394"/>
      <c r="C4" s="394"/>
      <c r="F4" s="85"/>
      <c r="G4" s="1"/>
      <c r="K4" s="395" t="s">
        <v>44</v>
      </c>
      <c r="L4" s="395"/>
      <c r="M4" s="395"/>
      <c r="N4" s="398">
        <v>46246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46245</v>
      </c>
      <c r="O5" s="394"/>
      <c r="P5" s="394"/>
      <c r="R5" s="85"/>
      <c r="S5" s="266"/>
    </row>
    <row r="6" spans="1:22 16383:16384" ht="15" customHeight="1" x14ac:dyDescent="0.4">
      <c r="A6" s="400" t="s">
        <v>514</v>
      </c>
      <c r="B6" s="400"/>
      <c r="C6" s="400"/>
      <c r="F6" s="85"/>
      <c r="G6" s="86"/>
      <c r="K6" s="395" t="s">
        <v>69</v>
      </c>
      <c r="L6" s="395"/>
      <c r="M6" s="395"/>
      <c r="N6" s="397" t="s">
        <v>508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511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0.16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0.16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0.16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0.16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0.16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0.16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112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0.11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10" workbookViewId="0">
      <selection activeCell="G16" sqref="G16:G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9.36328125" bestFit="1" customWidth="1"/>
    <col min="10" max="11" width="8.36328125" bestFit="1" customWidth="1"/>
    <col min="12" max="12" width="7.36328125" bestFit="1" customWidth="1"/>
    <col min="13" max="13" width="7.81640625" bestFit="1" customWidth="1"/>
    <col min="14" max="14" width="8.36328125" style="61" bestFit="1" customWidth="1"/>
    <col min="15" max="15" width="7.36328125" bestFit="1" customWidth="1"/>
    <col min="16" max="16" width="9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505</v>
      </c>
      <c r="B4" s="394"/>
      <c r="C4" s="394"/>
      <c r="F4" s="85"/>
      <c r="G4" s="1"/>
      <c r="K4" s="395" t="s">
        <v>44</v>
      </c>
      <c r="L4" s="395"/>
      <c r="M4" s="395"/>
      <c r="N4" s="398">
        <v>46263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46262</v>
      </c>
      <c r="O5" s="394"/>
      <c r="P5" s="394"/>
      <c r="R5" s="85"/>
      <c r="S5" s="266"/>
    </row>
    <row r="6" spans="1:22 16383:16384" ht="18.75" customHeight="1" x14ac:dyDescent="0.4">
      <c r="A6" s="400" t="s">
        <v>514</v>
      </c>
      <c r="B6" s="400"/>
      <c r="C6" s="400"/>
      <c r="F6" s="85"/>
      <c r="G6" s="86"/>
      <c r="K6" s="395" t="s">
        <v>69</v>
      </c>
      <c r="L6" s="395"/>
      <c r="M6" s="395"/>
      <c r="N6" s="397" t="s">
        <v>518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517</v>
      </c>
      <c r="B8" s="401"/>
      <c r="C8" s="401"/>
      <c r="F8" s="85"/>
      <c r="G8" s="86"/>
      <c r="K8" s="395" t="s">
        <v>67</v>
      </c>
      <c r="L8" s="395"/>
      <c r="M8" s="395"/>
      <c r="N8" s="397" t="s">
        <v>511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317">
        <v>0.16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0.16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0.16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0.16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0.16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0.16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0.16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0.11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XFD38"/>
  <sheetViews>
    <sheetView topLeftCell="A10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505</v>
      </c>
      <c r="B4" s="394"/>
      <c r="C4" s="394"/>
      <c r="F4" s="85"/>
      <c r="G4" s="1"/>
      <c r="K4" s="395" t="s">
        <v>44</v>
      </c>
      <c r="L4" s="395"/>
      <c r="M4" s="395"/>
      <c r="N4" s="398">
        <f ca="1">TODAY()+1</f>
        <v>46303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46302</v>
      </c>
      <c r="O5" s="394"/>
      <c r="P5" s="394"/>
      <c r="R5" s="85"/>
      <c r="S5" s="266"/>
    </row>
    <row r="6" spans="1:22 16383:16384" ht="15" customHeight="1" x14ac:dyDescent="0.4">
      <c r="A6" s="400" t="s">
        <v>496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511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505</v>
      </c>
      <c r="B4" s="394"/>
      <c r="C4" s="394"/>
      <c r="F4" s="85"/>
      <c r="G4" s="1"/>
      <c r="K4" s="395" t="s">
        <v>44</v>
      </c>
      <c r="L4" s="395"/>
      <c r="M4" s="395"/>
      <c r="N4" s="398">
        <f ca="1">TODAY()+1</f>
        <v>46303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46302</v>
      </c>
      <c r="O5" s="394"/>
      <c r="P5" s="394"/>
      <c r="R5" s="85"/>
      <c r="S5" s="266"/>
    </row>
    <row r="6" spans="1:22 16383:16384" ht="15" customHeight="1" x14ac:dyDescent="0.4">
      <c r="A6" s="400" t="s">
        <v>501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511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XFD38"/>
  <sheetViews>
    <sheetView topLeftCell="A7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505</v>
      </c>
      <c r="B4" s="394"/>
      <c r="C4" s="394"/>
      <c r="F4" s="85"/>
      <c r="G4" s="1"/>
      <c r="K4" s="395" t="s">
        <v>44</v>
      </c>
      <c r="L4" s="395"/>
      <c r="M4" s="395"/>
      <c r="N4" s="398">
        <f ca="1">TODAY()+1</f>
        <v>46303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46302</v>
      </c>
      <c r="O5" s="394"/>
      <c r="P5" s="394"/>
      <c r="R5" s="85"/>
      <c r="S5" s="266"/>
    </row>
    <row r="6" spans="1:22 16383:16384" ht="15" customHeight="1" x14ac:dyDescent="0.4">
      <c r="A6" s="400" t="s">
        <v>496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511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XFD38"/>
  <sheetViews>
    <sheetView topLeftCell="A7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505</v>
      </c>
      <c r="B4" s="394"/>
      <c r="C4" s="394"/>
      <c r="F4" s="85"/>
      <c r="G4" s="1"/>
      <c r="K4" s="395" t="s">
        <v>44</v>
      </c>
      <c r="L4" s="395"/>
      <c r="M4" s="395"/>
      <c r="N4" s="398">
        <f ca="1">TODAY()+1</f>
        <v>46303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46302</v>
      </c>
      <c r="O5" s="394"/>
      <c r="P5" s="394"/>
      <c r="R5" s="85"/>
      <c r="S5" s="266"/>
    </row>
    <row r="6" spans="1:22 16383:16384" ht="15" customHeight="1" x14ac:dyDescent="0.4">
      <c r="A6" s="400" t="s">
        <v>496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511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XFD38"/>
  <sheetViews>
    <sheetView topLeftCell="A7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505</v>
      </c>
      <c r="B4" s="394"/>
      <c r="C4" s="394"/>
      <c r="F4" s="85"/>
      <c r="G4" s="1"/>
      <c r="K4" s="395" t="s">
        <v>44</v>
      </c>
      <c r="L4" s="395"/>
      <c r="M4" s="395"/>
      <c r="N4" s="398">
        <f ca="1">TODAY()+1</f>
        <v>46303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46302</v>
      </c>
      <c r="O5" s="394"/>
      <c r="P5" s="394"/>
      <c r="R5" s="85"/>
      <c r="S5" s="266"/>
    </row>
    <row r="6" spans="1:22 16383:16384" ht="15" customHeight="1" x14ac:dyDescent="0.4">
      <c r="A6" s="400" t="s">
        <v>496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511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XFD38"/>
  <sheetViews>
    <sheetView topLeftCell="A7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505</v>
      </c>
      <c r="B4" s="394"/>
      <c r="C4" s="394"/>
      <c r="F4" s="85"/>
      <c r="G4" s="1"/>
      <c r="K4" s="395" t="s">
        <v>44</v>
      </c>
      <c r="L4" s="395"/>
      <c r="M4" s="395"/>
      <c r="N4" s="398">
        <f ca="1">TODAY()+1</f>
        <v>46303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46302</v>
      </c>
      <c r="O5" s="394"/>
      <c r="P5" s="394"/>
      <c r="R5" s="85"/>
      <c r="S5" s="266"/>
    </row>
    <row r="6" spans="1:22 16383:16384" ht="15" customHeight="1" x14ac:dyDescent="0.4">
      <c r="A6" s="400" t="s">
        <v>496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511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XFD38"/>
  <sheetViews>
    <sheetView topLeftCell="A7"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505</v>
      </c>
      <c r="B4" s="394"/>
      <c r="C4" s="394"/>
      <c r="F4" s="85"/>
      <c r="G4" s="1"/>
      <c r="K4" s="395" t="s">
        <v>44</v>
      </c>
      <c r="L4" s="395"/>
      <c r="M4" s="395"/>
      <c r="N4" s="398">
        <f ca="1">TODAY()+1</f>
        <v>46303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46302</v>
      </c>
      <c r="O5" s="394"/>
      <c r="P5" s="394"/>
      <c r="R5" s="85"/>
      <c r="S5" s="266"/>
    </row>
    <row r="6" spans="1:22 16383:16384" ht="15" customHeight="1" x14ac:dyDescent="0.4">
      <c r="A6" s="400" t="s">
        <v>496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511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FD38"/>
  <sheetViews>
    <sheetView topLeftCell="A13" workbookViewId="0">
      <selection activeCell="Q22" sqref="Q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505</v>
      </c>
      <c r="B4" s="394"/>
      <c r="C4" s="394"/>
      <c r="F4" s="85"/>
      <c r="G4" s="1"/>
      <c r="K4" s="395" t="s">
        <v>44</v>
      </c>
      <c r="L4" s="395"/>
      <c r="M4" s="395"/>
      <c r="N4" s="398">
        <f ca="1">TODAY()+1</f>
        <v>46303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46302</v>
      </c>
      <c r="O5" s="394"/>
      <c r="P5" s="394"/>
      <c r="R5" s="85"/>
      <c r="S5" s="266"/>
    </row>
    <row r="6" spans="1:22 16383:16384" ht="15" customHeight="1" x14ac:dyDescent="0.4">
      <c r="A6" s="400" t="s">
        <v>496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511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505</v>
      </c>
      <c r="B4" s="394"/>
      <c r="C4" s="394"/>
      <c r="F4" s="85"/>
      <c r="G4" s="1"/>
      <c r="K4" s="395" t="s">
        <v>44</v>
      </c>
      <c r="L4" s="395"/>
      <c r="M4" s="395"/>
      <c r="N4" s="398">
        <f ca="1">TODAY()+1</f>
        <v>46303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46302</v>
      </c>
      <c r="O5" s="394"/>
      <c r="P5" s="394"/>
      <c r="R5" s="85"/>
      <c r="S5" s="266"/>
    </row>
    <row r="6" spans="1:22 16383:16384" ht="15" customHeight="1" x14ac:dyDescent="0.4">
      <c r="A6" s="400" t="s">
        <v>502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511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505</v>
      </c>
      <c r="B4" s="394"/>
      <c r="C4" s="394"/>
      <c r="F4" s="85"/>
      <c r="G4" s="1"/>
      <c r="K4" s="395" t="s">
        <v>44</v>
      </c>
      <c r="L4" s="395"/>
      <c r="M4" s="395"/>
      <c r="N4" s="398">
        <f ca="1">TODAY()+1</f>
        <v>46303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46302</v>
      </c>
      <c r="O5" s="394"/>
      <c r="P5" s="394"/>
      <c r="R5" s="85"/>
      <c r="S5" s="266"/>
    </row>
    <row r="6" spans="1:22 16383:16384" ht="15" customHeight="1" x14ac:dyDescent="0.4">
      <c r="A6" s="400" t="s">
        <v>496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511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FD38"/>
  <sheetViews>
    <sheetView topLeftCell="A10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505</v>
      </c>
      <c r="B4" s="394"/>
      <c r="C4" s="394"/>
      <c r="F4" s="85"/>
      <c r="G4" s="1"/>
      <c r="K4" s="395" t="s">
        <v>44</v>
      </c>
      <c r="L4" s="395"/>
      <c r="M4" s="395"/>
      <c r="N4" s="398">
        <f ca="1">TODAY()+1</f>
        <v>46303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46302</v>
      </c>
      <c r="O5" s="394"/>
      <c r="P5" s="394"/>
      <c r="R5" s="85"/>
      <c r="S5" s="266"/>
    </row>
    <row r="6" spans="1:22 16383:16384" ht="15" customHeight="1" x14ac:dyDescent="0.4">
      <c r="A6" s="400" t="s">
        <v>496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511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FD38"/>
  <sheetViews>
    <sheetView topLeftCell="A10" workbookViewId="0">
      <selection activeCell="H7" sqref="H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505</v>
      </c>
      <c r="B4" s="394"/>
      <c r="C4" s="394"/>
      <c r="F4" s="85"/>
      <c r="G4" s="1"/>
      <c r="K4" s="395" t="s">
        <v>44</v>
      </c>
      <c r="L4" s="395"/>
      <c r="M4" s="395"/>
      <c r="N4" s="398">
        <f ca="1">TODAY()+1</f>
        <v>46303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46302</v>
      </c>
      <c r="O5" s="394"/>
      <c r="P5" s="394"/>
      <c r="R5" s="85"/>
      <c r="S5" s="266"/>
    </row>
    <row r="6" spans="1:22 16383:16384" ht="15" customHeight="1" x14ac:dyDescent="0.4">
      <c r="A6" s="400" t="s">
        <v>496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511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12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505</v>
      </c>
      <c r="B4" s="394"/>
      <c r="C4" s="394"/>
      <c r="F4" s="85"/>
      <c r="G4" s="1"/>
      <c r="K4" s="395" t="s">
        <v>44</v>
      </c>
      <c r="L4" s="395"/>
      <c r="M4" s="395"/>
      <c r="N4" s="398">
        <f ca="1">TODAY()+1</f>
        <v>46303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46302</v>
      </c>
      <c r="O5" s="394"/>
      <c r="P5" s="394"/>
      <c r="R5" s="85"/>
      <c r="S5" s="266"/>
    </row>
    <row r="6" spans="1:22 16383:16384" ht="15" customHeight="1" x14ac:dyDescent="0.4">
      <c r="A6" s="400" t="s">
        <v>496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511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505</v>
      </c>
      <c r="B4" s="394"/>
      <c r="C4" s="394"/>
      <c r="F4" s="85"/>
      <c r="G4" s="1"/>
      <c r="K4" s="395" t="s">
        <v>44</v>
      </c>
      <c r="L4" s="395"/>
      <c r="M4" s="395"/>
      <c r="N4" s="398">
        <f ca="1">TODAY()+1</f>
        <v>46303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46302</v>
      </c>
      <c r="O5" s="394"/>
      <c r="P5" s="394"/>
      <c r="R5" s="85"/>
      <c r="S5" s="266"/>
    </row>
    <row r="6" spans="1:22 16383:16384" ht="15" customHeight="1" x14ac:dyDescent="0.4">
      <c r="A6" s="400" t="s">
        <v>503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511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505</v>
      </c>
      <c r="B4" s="394"/>
      <c r="C4" s="394"/>
      <c r="F4" s="85"/>
      <c r="G4" s="1"/>
      <c r="K4" s="395" t="s">
        <v>44</v>
      </c>
      <c r="L4" s="395"/>
      <c r="M4" s="395"/>
      <c r="N4" s="398">
        <f ca="1">TODAY()+1</f>
        <v>46303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46302</v>
      </c>
      <c r="O5" s="394"/>
      <c r="P5" s="394"/>
      <c r="R5" s="85"/>
      <c r="S5" s="266"/>
    </row>
    <row r="6" spans="1:22 16383:16384" ht="15" customHeight="1" x14ac:dyDescent="0.4">
      <c r="A6" s="400" t="s">
        <v>496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511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505</v>
      </c>
      <c r="B4" s="394"/>
      <c r="C4" s="394"/>
      <c r="F4" s="85"/>
      <c r="G4" s="1"/>
      <c r="K4" s="395" t="s">
        <v>44</v>
      </c>
      <c r="L4" s="395"/>
      <c r="M4" s="395"/>
      <c r="N4" s="398">
        <f ca="1">TODAY()+1</f>
        <v>46303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46302</v>
      </c>
      <c r="O5" s="394"/>
      <c r="P5" s="394"/>
      <c r="R5" s="85"/>
      <c r="S5" s="266"/>
    </row>
    <row r="6" spans="1:22 16383:16384" ht="15" customHeight="1" x14ac:dyDescent="0.4">
      <c r="A6" s="400" t="s">
        <v>496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511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505</v>
      </c>
      <c r="B4" s="394"/>
      <c r="C4" s="394"/>
      <c r="F4" s="85"/>
      <c r="G4" s="1"/>
      <c r="K4" s="395" t="s">
        <v>44</v>
      </c>
      <c r="L4" s="395"/>
      <c r="M4" s="395"/>
      <c r="N4" s="398">
        <f ca="1">TODAY()+1</f>
        <v>46303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46302</v>
      </c>
      <c r="O5" s="394"/>
      <c r="P5" s="394"/>
      <c r="R5" s="85"/>
      <c r="S5" s="266"/>
    </row>
    <row r="6" spans="1:22 16383:16384" ht="18.75" customHeight="1" x14ac:dyDescent="0.4">
      <c r="A6" s="400" t="s">
        <v>504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511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505</v>
      </c>
      <c r="B4" s="394"/>
      <c r="C4" s="394"/>
      <c r="F4" s="85"/>
      <c r="G4" s="1"/>
      <c r="K4" s="395" t="s">
        <v>44</v>
      </c>
      <c r="L4" s="395"/>
      <c r="M4" s="395"/>
      <c r="N4" s="398">
        <f ca="1">TODAY()+1</f>
        <v>46303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46302</v>
      </c>
      <c r="O5" s="394"/>
      <c r="P5" s="394"/>
      <c r="R5" s="85"/>
      <c r="S5" s="266"/>
    </row>
    <row r="6" spans="1:22 16383:16384" ht="15" customHeight="1" x14ac:dyDescent="0.4">
      <c r="A6" s="400" t="s">
        <v>496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511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505</v>
      </c>
      <c r="B4" s="394"/>
      <c r="C4" s="394"/>
      <c r="F4" s="85"/>
      <c r="G4" s="1"/>
      <c r="K4" s="395" t="s">
        <v>44</v>
      </c>
      <c r="L4" s="395"/>
      <c r="M4" s="395"/>
      <c r="N4" s="398">
        <f ca="1">TODAY()+1</f>
        <v>46303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46302</v>
      </c>
      <c r="O5" s="394"/>
      <c r="P5" s="394"/>
      <c r="R5" s="85"/>
      <c r="S5" s="266"/>
    </row>
    <row r="6" spans="1:22 16383:16384" ht="15" customHeight="1" x14ac:dyDescent="0.4">
      <c r="A6" s="400" t="s">
        <v>496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511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505</v>
      </c>
      <c r="B4" s="394"/>
      <c r="C4" s="394"/>
      <c r="F4" s="85"/>
      <c r="G4" s="1"/>
      <c r="K4" s="395" t="s">
        <v>44</v>
      </c>
      <c r="L4" s="395"/>
      <c r="M4" s="395"/>
      <c r="N4" s="398">
        <f ca="1">TODAY()+1</f>
        <v>46303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46302</v>
      </c>
      <c r="O5" s="394"/>
      <c r="P5" s="394"/>
      <c r="R5" s="85"/>
      <c r="S5" s="266"/>
    </row>
    <row r="6" spans="1:22 16383:16384" ht="15" customHeight="1" x14ac:dyDescent="0.4">
      <c r="A6" s="400" t="s">
        <v>496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511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505</v>
      </c>
      <c r="B4" s="394"/>
      <c r="C4" s="394"/>
      <c r="F4" s="85"/>
      <c r="G4" s="1"/>
      <c r="K4" s="395" t="s">
        <v>44</v>
      </c>
      <c r="L4" s="395"/>
      <c r="M4" s="395"/>
      <c r="N4" s="398">
        <f ca="1">TODAY()+1</f>
        <v>46303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46302</v>
      </c>
      <c r="O5" s="394"/>
      <c r="P5" s="394"/>
      <c r="R5" s="85"/>
      <c r="S5" s="266"/>
    </row>
    <row r="6" spans="1:22 16383:16384" ht="15" customHeight="1" x14ac:dyDescent="0.4">
      <c r="A6" s="400" t="s">
        <v>496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511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505</v>
      </c>
      <c r="B4" s="394"/>
      <c r="C4" s="394"/>
      <c r="F4" s="85"/>
      <c r="G4" s="1"/>
      <c r="K4" s="395" t="s">
        <v>44</v>
      </c>
      <c r="L4" s="395"/>
      <c r="M4" s="395"/>
      <c r="N4" s="398">
        <f ca="1">TODAY()+1</f>
        <v>46303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46302</v>
      </c>
      <c r="O5" s="394"/>
      <c r="P5" s="394"/>
      <c r="R5" s="85"/>
      <c r="S5" s="266"/>
    </row>
    <row r="6" spans="1:22 16383:16384" ht="15" customHeight="1" x14ac:dyDescent="0.4">
      <c r="A6" s="400" t="s">
        <v>496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511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505</v>
      </c>
      <c r="B4" s="394"/>
      <c r="C4" s="394"/>
      <c r="F4" s="85"/>
      <c r="G4" s="1"/>
      <c r="K4" s="395" t="s">
        <v>44</v>
      </c>
      <c r="L4" s="395"/>
      <c r="M4" s="395"/>
      <c r="N4" s="398">
        <f ca="1">TODAY()+1</f>
        <v>46303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46302</v>
      </c>
      <c r="O5" s="394"/>
      <c r="P5" s="394"/>
      <c r="R5" s="85"/>
      <c r="S5" s="266"/>
    </row>
    <row r="6" spans="1:22 16383:16384" ht="15" customHeight="1" x14ac:dyDescent="0.4">
      <c r="A6" s="400" t="s">
        <v>496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511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505</v>
      </c>
      <c r="B4" s="394"/>
      <c r="C4" s="394"/>
      <c r="F4" s="85"/>
      <c r="G4" s="1"/>
      <c r="K4" s="395" t="s">
        <v>44</v>
      </c>
      <c r="L4" s="395"/>
      <c r="M4" s="395"/>
      <c r="N4" s="398">
        <f ca="1">TODAY()+1</f>
        <v>46303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46302</v>
      </c>
      <c r="O5" s="394"/>
      <c r="P5" s="394"/>
      <c r="R5" s="85"/>
      <c r="S5" s="266"/>
    </row>
    <row r="6" spans="1:22 16383:16384" ht="15" customHeight="1" x14ac:dyDescent="0.4">
      <c r="A6" s="400" t="s">
        <v>496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511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505</v>
      </c>
      <c r="B4" s="394"/>
      <c r="C4" s="394"/>
      <c r="F4" s="85"/>
      <c r="G4" s="1"/>
      <c r="K4" s="395" t="s">
        <v>44</v>
      </c>
      <c r="L4" s="395"/>
      <c r="M4" s="395"/>
      <c r="N4" s="398">
        <f ca="1">TODAY()+1</f>
        <v>46303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46302</v>
      </c>
      <c r="O5" s="394"/>
      <c r="P5" s="394"/>
      <c r="R5" s="85"/>
      <c r="S5" s="266"/>
    </row>
    <row r="6" spans="1:22 16383:16384" ht="15" customHeight="1" x14ac:dyDescent="0.4">
      <c r="A6" s="400" t="s">
        <v>496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511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505</v>
      </c>
      <c r="B4" s="394"/>
      <c r="C4" s="394"/>
      <c r="F4" s="85"/>
      <c r="G4" s="1"/>
      <c r="K4" s="395" t="s">
        <v>44</v>
      </c>
      <c r="L4" s="395"/>
      <c r="M4" s="395"/>
      <c r="N4" s="398">
        <f ca="1">TODAY()+1</f>
        <v>46303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46302</v>
      </c>
      <c r="O5" s="394"/>
      <c r="P5" s="394"/>
      <c r="R5" s="85"/>
      <c r="S5" s="266"/>
    </row>
    <row r="6" spans="1:22 16383:16384" ht="15" customHeight="1" x14ac:dyDescent="0.4">
      <c r="A6" s="400" t="s">
        <v>496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511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505</v>
      </c>
      <c r="B4" s="394"/>
      <c r="C4" s="394"/>
      <c r="F4" s="85"/>
      <c r="G4" s="1"/>
      <c r="K4" s="395" t="s">
        <v>44</v>
      </c>
      <c r="L4" s="395"/>
      <c r="M4" s="395"/>
      <c r="N4" s="398">
        <f ca="1">TODAY()+1</f>
        <v>46303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46302</v>
      </c>
      <c r="O5" s="394"/>
      <c r="P5" s="394"/>
      <c r="R5" s="85"/>
      <c r="S5" s="266"/>
    </row>
    <row r="6" spans="1:22 16383:16384" ht="15" customHeight="1" x14ac:dyDescent="0.4">
      <c r="A6" s="400" t="s">
        <v>496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95</v>
      </c>
      <c r="B8" s="401"/>
      <c r="C8" s="401"/>
      <c r="F8" s="85"/>
      <c r="G8" s="86"/>
      <c r="K8" s="395" t="s">
        <v>67</v>
      </c>
      <c r="L8" s="395"/>
      <c r="M8" s="395"/>
      <c r="N8" s="397" t="s">
        <v>511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3" t="s">
        <v>91</v>
      </c>
      <c r="B2" s="393"/>
      <c r="C2" s="393"/>
    </row>
    <row r="3" spans="1:18 16382:16383" ht="15" customHeight="1" x14ac:dyDescent="0.35">
      <c r="A3" s="394" t="s">
        <v>92</v>
      </c>
      <c r="B3" s="394"/>
      <c r="C3" s="394"/>
      <c r="F3" s="85"/>
      <c r="G3" s="1"/>
      <c r="J3" s="395" t="s">
        <v>43</v>
      </c>
      <c r="K3" s="395"/>
      <c r="L3" s="395"/>
      <c r="M3" s="394"/>
      <c r="N3" s="394"/>
      <c r="O3" s="39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4" t="s">
        <v>65</v>
      </c>
      <c r="B4" s="394"/>
      <c r="C4" s="394"/>
      <c r="F4" s="85"/>
      <c r="G4" s="1"/>
      <c r="J4" s="395" t="s">
        <v>44</v>
      </c>
      <c r="K4" s="395"/>
      <c r="L4" s="395"/>
      <c r="M4" s="398">
        <f ca="1">TODAY()+1</f>
        <v>46303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95" t="s">
        <v>45</v>
      </c>
      <c r="K5" s="395"/>
      <c r="L5" s="395"/>
      <c r="M5" s="398">
        <f ca="1">M4-1</f>
        <v>46302</v>
      </c>
      <c r="N5" s="394"/>
      <c r="O5" s="394"/>
      <c r="Q5" s="85"/>
      <c r="R5" s="1"/>
    </row>
    <row r="6" spans="1:18 16382:16383" ht="15" customHeight="1" x14ac:dyDescent="0.35">
      <c r="A6" s="395" t="s">
        <v>94</v>
      </c>
      <c r="B6" s="395"/>
      <c r="C6" s="395"/>
      <c r="F6" s="85"/>
      <c r="G6" s="86"/>
      <c r="J6" s="395" t="s">
        <v>69</v>
      </c>
      <c r="K6" s="395"/>
      <c r="L6" s="395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5" t="s">
        <v>73</v>
      </c>
      <c r="B7" s="395"/>
      <c r="C7" s="395"/>
      <c r="F7" s="85"/>
      <c r="G7" s="86"/>
      <c r="J7" s="395" t="s">
        <v>66</v>
      </c>
      <c r="K7" s="395"/>
      <c r="L7" s="395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1" t="s">
        <v>95</v>
      </c>
      <c r="B8" s="401"/>
      <c r="C8" s="401"/>
      <c r="F8" s="85"/>
      <c r="G8" s="86"/>
      <c r="J8" s="395" t="s">
        <v>67</v>
      </c>
      <c r="K8" s="395"/>
      <c r="L8" s="395"/>
      <c r="M8" s="397" t="s">
        <v>71</v>
      </c>
      <c r="N8" s="397"/>
      <c r="O8" s="397"/>
      <c r="Q8" s="85"/>
      <c r="R8" s="86"/>
    </row>
    <row r="9" spans="1:18 16382:16383" x14ac:dyDescent="0.35">
      <c r="A9" s="401" t="s">
        <v>96</v>
      </c>
      <c r="B9" s="401"/>
      <c r="C9" s="401"/>
      <c r="F9" s="85"/>
      <c r="G9" s="86"/>
      <c r="J9" s="395" t="s">
        <v>68</v>
      </c>
      <c r="K9" s="395"/>
      <c r="L9" s="395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401" t="s">
        <v>97</v>
      </c>
      <c r="B10" s="401"/>
      <c r="C10" s="401"/>
      <c r="F10" s="85"/>
      <c r="G10" s="1"/>
      <c r="J10" s="395" t="s">
        <v>46</v>
      </c>
      <c r="K10" s="395"/>
      <c r="L10" s="395"/>
      <c r="M10" s="394" t="s">
        <v>47</v>
      </c>
      <c r="N10" s="394"/>
      <c r="O10" s="39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5" t="s">
        <v>48</v>
      </c>
      <c r="K11" s="395"/>
      <c r="L11" s="395"/>
      <c r="M11" s="394" t="s">
        <v>49</v>
      </c>
      <c r="N11" s="394"/>
      <c r="O11" s="39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5" t="s">
        <v>50</v>
      </c>
      <c r="K12" s="395"/>
      <c r="L12" s="395"/>
      <c r="M12" s="394"/>
      <c r="N12" s="394"/>
      <c r="O12" s="39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5" t="s">
        <v>51</v>
      </c>
      <c r="B14" s="346"/>
      <c r="C14" s="349" t="s">
        <v>90</v>
      </c>
      <c r="D14" s="88" t="s">
        <v>52</v>
      </c>
      <c r="E14" s="95" t="s">
        <v>74</v>
      </c>
      <c r="F14" s="115" t="s">
        <v>53</v>
      </c>
      <c r="G14" s="392" t="s">
        <v>54</v>
      </c>
      <c r="H14" s="354"/>
      <c r="I14" s="355" t="s">
        <v>77</v>
      </c>
      <c r="J14" s="353" t="s">
        <v>55</v>
      </c>
      <c r="K14" s="354"/>
      <c r="L14" s="35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7"/>
      <c r="B15" s="348"/>
      <c r="C15" s="35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6"/>
      <c r="J15" s="144" t="s">
        <v>39</v>
      </c>
      <c r="K15" s="145" t="s">
        <v>59</v>
      </c>
      <c r="L15" s="35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1"/>
      <c r="M28" s="368" t="s">
        <v>60</v>
      </c>
      <c r="N28" s="369"/>
      <c r="O28" s="139">
        <f>I25</f>
        <v>1452.8</v>
      </c>
    </row>
    <row r="29" spans="1:18 16383:16383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4"/>
      <c r="M29" s="370" t="s">
        <v>85</v>
      </c>
      <c r="N29" s="371"/>
      <c r="O29" s="140">
        <f>K25</f>
        <v>0</v>
      </c>
    </row>
    <row r="30" spans="1:18 16383:16383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4"/>
      <c r="M30" s="370" t="s">
        <v>86</v>
      </c>
      <c r="N30" s="371"/>
      <c r="O30" s="140">
        <f>J25</f>
        <v>50.848000000000006</v>
      </c>
    </row>
    <row r="31" spans="1:18 16383:16383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4"/>
      <c r="L31" s="131"/>
      <c r="M31" s="370" t="s">
        <v>87</v>
      </c>
      <c r="N31" s="371"/>
      <c r="O31" s="140">
        <f>O28-O29-O30</f>
        <v>1401.952</v>
      </c>
    </row>
    <row r="32" spans="1:18 16383:16383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4"/>
      <c r="L33" s="131"/>
      <c r="M33" s="372" t="s">
        <v>76</v>
      </c>
      <c r="N33" s="373"/>
      <c r="O33" s="140">
        <f>O31+O32</f>
        <v>1710.3814400000001</v>
      </c>
    </row>
    <row r="34" spans="2:15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4" t="s">
        <v>88</v>
      </c>
      <c r="N35" s="375"/>
      <c r="O35" s="141">
        <f>O28-O29+O31+O34</f>
        <v>2897.511536</v>
      </c>
    </row>
    <row r="36" spans="2:15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5" t="s">
        <v>439</v>
      </c>
      <c r="E1" s="337" t="s">
        <v>58</v>
      </c>
      <c r="F1" s="337"/>
      <c r="G1" s="338" t="s">
        <v>440</v>
      </c>
      <c r="H1" s="338"/>
      <c r="I1" s="406" t="s">
        <v>441</v>
      </c>
      <c r="J1" s="406"/>
      <c r="K1" s="406" t="s">
        <v>442</v>
      </c>
      <c r="L1" s="406"/>
      <c r="M1" s="402" t="s">
        <v>484</v>
      </c>
      <c r="N1" s="403"/>
      <c r="O1" s="404"/>
    </row>
    <row r="2" spans="3:24" ht="29" x14ac:dyDescent="0.35">
      <c r="C2" s="337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9" t="s">
        <v>58</v>
      </c>
      <c r="F7" s="409"/>
      <c r="G7" s="410" t="s">
        <v>440</v>
      </c>
      <c r="H7" s="338"/>
      <c r="I7" s="339" t="s">
        <v>441</v>
      </c>
      <c r="J7" s="340"/>
      <c r="K7" s="339" t="s">
        <v>442</v>
      </c>
      <c r="L7" s="340"/>
      <c r="M7" s="402" t="s">
        <v>484</v>
      </c>
      <c r="N7" s="403"/>
      <c r="O7" s="404"/>
      <c r="P7" s="256" t="s">
        <v>475</v>
      </c>
      <c r="Q7" s="242" t="s">
        <v>473</v>
      </c>
      <c r="R7" s="405" t="s">
        <v>475</v>
      </c>
      <c r="S7" s="405" t="s">
        <v>485</v>
      </c>
      <c r="T7" s="411" t="s">
        <v>486</v>
      </c>
      <c r="U7" s="411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10"/>
      <c r="U8" s="41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2" t="s">
        <v>484</v>
      </c>
      <c r="N13" s="403"/>
      <c r="O13" s="404"/>
      <c r="P13" s="256" t="s">
        <v>475</v>
      </c>
      <c r="Q13" s="242" t="s">
        <v>473</v>
      </c>
      <c r="R13" s="405" t="s">
        <v>475</v>
      </c>
      <c r="S13" s="405" t="s">
        <v>485</v>
      </c>
      <c r="T13" s="411" t="s">
        <v>486</v>
      </c>
      <c r="U13" s="411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10"/>
      <c r="U14" s="41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2" t="s">
        <v>484</v>
      </c>
      <c r="N20" s="403"/>
      <c r="O20" s="404"/>
      <c r="P20" s="256" t="s">
        <v>475</v>
      </c>
      <c r="Q20" s="242" t="s">
        <v>473</v>
      </c>
      <c r="R20" s="405" t="s">
        <v>475</v>
      </c>
      <c r="S20" s="405" t="s">
        <v>485</v>
      </c>
      <c r="T20" s="411" t="s">
        <v>486</v>
      </c>
      <c r="U20" s="411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10"/>
      <c r="U21" s="41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2" t="s">
        <v>484</v>
      </c>
      <c r="N27" s="403"/>
      <c r="O27" s="404"/>
      <c r="P27" s="256" t="s">
        <v>475</v>
      </c>
      <c r="Q27" s="242" t="s">
        <v>473</v>
      </c>
      <c r="R27" s="405" t="s">
        <v>475</v>
      </c>
      <c r="S27" s="405" t="s">
        <v>485</v>
      </c>
      <c r="T27" s="411" t="s">
        <v>486</v>
      </c>
      <c r="U27" s="411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10"/>
      <c r="U28" s="41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5" t="s">
        <v>439</v>
      </c>
      <c r="D1" s="337" t="s">
        <v>58</v>
      </c>
      <c r="E1" s="337"/>
      <c r="F1" s="338" t="s">
        <v>440</v>
      </c>
      <c r="G1" s="338"/>
      <c r="H1" s="406" t="s">
        <v>441</v>
      </c>
      <c r="I1" s="406"/>
      <c r="J1" s="406" t="s">
        <v>442</v>
      </c>
      <c r="K1" s="406"/>
      <c r="L1" s="402" t="s">
        <v>484</v>
      </c>
      <c r="M1" s="403"/>
      <c r="N1" s="404"/>
    </row>
    <row r="2" spans="2:17" ht="29" x14ac:dyDescent="0.35">
      <c r="B2" s="337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1</vt:i4>
      </vt:variant>
    </vt:vector>
  </HeadingPairs>
  <TitlesOfParts>
    <vt:vector size="39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  <vt:lpstr>'1'!Print_Area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2026-10-07T07:06:06Z</dcterms:modified>
</cp:coreProperties>
</file>