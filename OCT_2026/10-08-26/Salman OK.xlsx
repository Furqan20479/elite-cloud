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661A699-E767-4C7F-8B38-5672C7FC4A9F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<sst xmlns="http://schemas.openxmlformats.org/spreadsheetml/2006/main" count="3948" uniqueCount="519">
  <si>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</si>
  <si>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</si>
  <si>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</si>
  <si>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</si>
  <si>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</si>
  <si>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</si>
  <si>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</si>
  <si>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</si>
  <si>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</si>
  <si>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</si>
  <si>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</si>
  <si>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</si>
  <si>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</si>
  <si>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</si>
  <si>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</si>
  <si>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</si>
  <si>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</si>
  <si>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</si>
  <si>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</si>
  <si>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</si>
  <si>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</si>
  <si>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</si>
  <si>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</si>
  <si>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</si>
  <si>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</si>
  <si>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</si>
  <si>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</si>
  <si>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</si>
  <si>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</si>
  <si>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</si>
  <si>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</si>
  <si>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</si>
  <si>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</si>
  <si>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</si>
  <si>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</si>
  <si>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</si>
  <si>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</si>
  <si>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</si>
  <si>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</si>
  <si>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</si>
  <si>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</si>
  <si>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</si>
  <si>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</si>
  <si>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</si>
  <si>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</si>
  <si>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</si>
  <si>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</si>
  <si>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</si>
  <si>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</si>
  <si>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</si>
  <si>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</si>
  <si>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</si>
  <si>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</si>
  <si>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</si>
  <si>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</si>
  <si>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</si>
  <si>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</si>
  <si>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</si>
  <si>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</si>
  <si>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</si>
  <si>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</si>
  <si>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</si>
  <si>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</si>
  <si>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</si>
  <si>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</si>
  <si>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</si>
  <si>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</si>
  <si>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</si>
  <si>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</si>
  <si>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</si>
  <si>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</si>
  <si>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</si>
  <si>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</si>
  <si>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</si>
  <si>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</si>
  <si>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</si>
  <si>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</si>
  <si>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</si>
  <si>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</si>
  <si>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</si>
  <si>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</si>
  <si>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</si>
  <si>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</si>
  <si>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</si>
  <si>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</si>
  <si>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</si>
  <si>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</si>
  <si>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</si>
  <si>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</si>
  <si>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</si>
  <si>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</si>
  <si>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</si>
  <si>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</si>
  <si>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</si>
  <si>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</si>
  <si>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</si>
  <si>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</si>
  <si>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</si>
  <si>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</si>
  <si>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</si>
  <si>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</si>
  <si>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</si>
  <si>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</si>
  <si>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</si>
  <si>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</si>
  <si>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</si>
  <si>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</si>
  <si>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</si>
  <si>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</si>
  <si>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</si>
  <si>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</si>
  <si>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</si>
  <si>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</si>
  <si>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</si>
  <si>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</si>
  <si>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</si>
  <si>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</si>
  <si>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</si>
  <si>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</si>
  <si>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</si>
  <si>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</si>
  <si>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</si>
  <si>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</si>
  <si>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</si>
  <si>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</si>
  <si>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</si>
  <si>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</si>
  <si>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</si>
  <si>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</si>
  <si>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</si>
  <si>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</si>
  <si>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</si>
  <si>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</si>
  <si>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</si>
  <si>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</si>
  <si>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</si>
  <si>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</si>
  <si>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</si>
  <si>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</si>
  <si>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</si>
  <si>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</si>
  <si>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</si>
  <si>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</si>
  <si>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</si>
  <si>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</si>
  <si>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</si>
  <si>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</si>
  <si>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</si>
  <si>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</si>
  <si>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</si>
  <si>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</si>
  <si>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</si>
  <si>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</si>
  <si>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</si>
  <si>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</si>
  <si>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</si>
  <si>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</si>
  <si>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</si>
  <si>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</si>
  <si>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</si>
  <si>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</si>
  <si>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</si>
  <si>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</si>
  <si>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</si>
  <si>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</si>
  <si>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</si>
  <si>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</si>
  <si>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</si>
  <si>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</si>
  <si>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</si>
  <si>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</si>
  <si>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</si>
  <si>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</si>
  <si>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</si>
  <si>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</si>
  <si>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</si>
  <si>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</si>
  <si>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</si>
  <si>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</si>
  <si>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</si>
  <si>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</si>
  <si>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</si>
  <si>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</si>
  <si>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</si>
  <si>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</si>
  <si>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</si>
  <si>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</si>
  <si>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</si>
  <si>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</si>
  <si>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</si>
  <si>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</si>
  <si>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</si>
  <si>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</si>
  <si>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</si>
  <si>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</si>
  <si>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</si>
  <si>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</si>
  <si>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</si>
  <si>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</si>
  <si>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</si>
  <si>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</si>
  <si>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</si>
  <si>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</si>
  <si>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</si>
  <si>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</si>
  <si>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</si>
  <si>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</si>
  <si>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</si>
  <si>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</si>
  <si>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</si>
  <si>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</si>
  <si>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</si>
  <si>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</si>
  <si>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</si>
  <si>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</si>
  <si>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</si>
  <si>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</si>
  <si>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</si>
  <si>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</si>
  <si>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</si>
  <si>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</si>
  <si>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</si>
  <si>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</si>
  <si>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</si>
  <si>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</si>
  <si>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</si>
  <si>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</si>
  <si>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</si>
  <si>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</si>
  <si>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</si>
  <si>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</si>
  <si>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</si>
  <si>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</si>
  <si>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</si>
  <si>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</si>
  <si>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</si>
  <si>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</si>
  <si>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</si>
  <si>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</si>
  <si>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</si>
  <si>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</si>
  <si>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</si>
  <si>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</si>
  <si>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</si>
  <si>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</si>
  <si>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</si>
  <si>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</si>
  <si>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</si>
  <si>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</si>
  <si>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</si>
  <si>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</si>
  <si>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</si>
  <si>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</si>
  <si>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</si>
  <si>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</si>
  <si>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</si>
  <si>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</si>
  <si>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</si>
  <si>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</si>
  <si>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</si>
  <si>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</si>
  <si>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</si>
  <si>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</si>
  <si>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</si>
  <si>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</si>
  <si>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</si>
  <si>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</si>
  <si>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</si>
  <si>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</si>
  <si>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</si>
  <si>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</si>
  <si>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</si>
  <si>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</si>
  <si>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</si>
  <si>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</si>
  <si>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</si>
  <si>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</si>
  <si>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</si>
  <si>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</si>
  <si>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</si>
  <si>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</si>
  <si>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</si>
  <si>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</si>
  <si>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</si>
  <si>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</si>
  <si>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</si>
  <si>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</si>
  <si>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</si>
  <si>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</si>
  <si>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</si>
  <si>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</si>
  <si>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</si>
  <si>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</si>
  <si>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</si>
  <si>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</si>
  <si>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</si>
  <si>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</si>
  <si>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</si>
  <si>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</si>
  <si>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</si>
  <si>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</si>
  <si>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</si>
  <si>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</si>
  <si>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</si>
  <si>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</si>
  <si>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</si>
  <si>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</si>
  <si>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</si>
  <si>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</si>
  <si>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</si>
  <si>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</si>
  <si>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</si>
  <si>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</si>
  <si>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</si>
  <si>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</si>
  <si>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</si>
  <si>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</si>
  <si>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</si>
  <si>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</si>
  <si>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</si>
  <si>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</si>
  <si>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</si>
  <si>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</si>
  <si>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</si>
  <si>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</si>
  <si>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</si>
  <si>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</si>
  <si>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</si>
  <si>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</si>
  <si>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</si>
  <si>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</si>
  <si>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</si>
  <si>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</si>
  <si>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</si>
  <si>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</si>
  <si>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</si>
  <si>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</si>
  <si>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</si>
  <si>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</si>
  <si>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</si>
  <si>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</si>
  <si>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</si>
  <si>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</si>
  <si>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</si>
  <si>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</si>
  <si>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</si>
  <si>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</si>
  <si>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</si>
  <si>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</si>
  <si>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</si>
  <si>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</si>
  <si>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</si>
  <si>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</si>
  <si>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</si>
  <si>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</si>
  <si>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</si>
  <si>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</si>
  <si>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</si>
  <si>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</si>
  <si>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</si>
  <si>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</si>
  <si>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</si>
  <si>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</si>
  <si>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</si>
  <si>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</si>
  <si>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</si>
  <si>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</si>
  <si>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</si>
  <si>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</si>
  <si>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</si>
  <si>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</si>
  <si>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</si>
  <si>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</si>
  <si>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</si>
  <si>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</si>
  <si>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</si>
  <si>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</si>
  <si>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</si>
  <si>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</si>
  <si>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</si>
  <si>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</si>
  <si>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</si>
  <si>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</si>
  <si>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</si>
  <si>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</si>
  <si>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</si>
  <si>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</si>
  <si>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</si>
  <si>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</si>
  <si>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</si>
  <si>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</si>
  <si>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</si>
  <si>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</si>
  <si>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</si>
  <si>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</si>
  <si>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</si>
  <si>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</si>
  <si>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</si>
  <si>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</si>
  <si>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</si>
  <si>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</si>
  <si>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</si>
  <si>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</si>
  <si>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</si>
  <si>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</si>
  <si>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</si>
  <si>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</si>
  <si>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</si>
  <si>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</si>
  <si>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</si>
  <si>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</si>
  <si>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</si>
  <si>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</si>
  <si>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</si>
  <si>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</si>
  <si>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</si>
  <si>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</si>
  <si>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</si>
  <si>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</si>
  <si>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</si>
  <si>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</si>
  <si>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</si>
  <si>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</si>
  <si>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</si>
  <si>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</si>
  <si>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</si>
  <si>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</si>
  <si>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</si>
  <si>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</si>
  <si>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</si>
  <si>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</si>
  <si>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</si>
  <si>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</si>
  <si>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</si>
  <si>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</si>
  <si>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</si>
  <si>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</si>
  <si>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</si>
  <si>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</si>
  <si>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</si>
  <si>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</si>
  <si>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</si>
  <si>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</si>
  <si>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</si>
  <si>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</si>
  <si>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</si>
  <si>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</si>
  <si>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</si>
  <si>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</si>
  <si>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</si>
  <si>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</si>
  <si>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</si>
  <si>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</si>
  <si>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</si>
  <si>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</si>
  <si>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</si>
  <si>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</si>
  <si>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</si>
  <si>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</si>
  <si>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</si>
  <si>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</si>
  <si>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</si>
  <si>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</si>
  <si>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</si>
  <si>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</si>
  <si>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</si>
  <si>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</si>
  <si>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</si>
  <si>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</si>
  <si>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</si>
  <si>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</si>
  <si>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</si>
  <si>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</si>
  <si>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</si>
  <si>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</si>
  <si>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</si>
  <si>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</si>
  <si>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</si>
  <si>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</si>
  <si>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</si>
  <si>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</si>
  <si>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</si>
  <si>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</si>
  <si>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</si>
  <si>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</si>
  <si>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</si>
  <si>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</si>
  <si>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</si>
  <si>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</si>
  <si>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</si>
  <si>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</si>
  <si>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</si>
  <si>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</si>
  <si>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</si>
  <si>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</si>
  <si>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</si>
  <si>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</si>
  <si>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</si>
  <si>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</si>
  <si>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</si>
  <si>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</si>
  <si>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</si>
  <si>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</si>
  <si>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</si>
  <si>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</si>
  <si>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</si>
  <si>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</si>
  <si>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</si>
  <si>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</si>
  <si>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</si>
  <si>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</si>
  <si>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</si>
  <si>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</si>
  <si>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</si>
  <si>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</si>
  <si>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 xml:space="preserve">Bakhtawer Sweet </t>
  </si>
  <si>
    <t>Umer Khan Zada Store</t>
  </si>
  <si>
    <t>Five Start GS</t>
  </si>
  <si>
    <t>Bhai Bhai Medical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</si>
</sst>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4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46303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Bakhtawer Sweet </v>
      </c>
      <c r="T3" s="301">
        <f>+'1'!P35</f>
        <v>3397.5773742584738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Umer Khan Zada Store</v>
      </c>
      <c r="T4" s="301">
        <f>+'2'!P35</f>
        <v>6272.4231701694916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Five Start GS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Bhai Bhai Medical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</v>
      </c>
      <c r="I9" s="236">
        <f t="shared" si="0"/>
        <v>1049.25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83.94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36.723750000000003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928.58625000000006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198.30508474576263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5.6344566737288133</v>
      </c>
      <c r="P9" s="311">
        <f t="shared" si="2"/>
        <v>1132.5257914194915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90</v>
      </c>
      <c r="I10" s="236">
        <f t="shared" si="0"/>
        <v>6537.6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523.00800000000004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228.81600000000003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5785.7759999999998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1235.5932203389832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35.10684610169492</v>
      </c>
      <c r="P10" s="311">
        <f t="shared" si="2"/>
        <v>7056.4760664406776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116.224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1285.7280000000001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7.8015213559322039</v>
      </c>
      <c r="P12" s="311">
        <f t="shared" si="2"/>
        <v>1568.1057925423729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4.5</v>
      </c>
      <c r="H16" s="113">
        <f t="shared" ref="H16:M16" si="3">SUM(H7:H15)</f>
        <v>180</v>
      </c>
      <c r="I16" s="114">
        <f t="shared" si="3"/>
        <v>11864.55</v>
      </c>
      <c r="J16" s="274">
        <f>SUM(J7:J15)</f>
        <v>949.16399999999999</v>
      </c>
      <c r="K16" s="275">
        <f t="shared" si="3"/>
        <v>415.25925000000001</v>
      </c>
      <c r="L16" s="276">
        <f t="shared" si="3"/>
        <v>0</v>
      </c>
      <c r="M16" s="232">
        <f t="shared" si="3"/>
        <v>10500.126749999999</v>
      </c>
      <c r="N16" s="233">
        <f>SUM(N7:N15)</f>
        <v>2242.3728813559323</v>
      </c>
      <c r="O16" s="101">
        <f>SUM(O7:O15)</f>
        <v>63.712498156779667</v>
      </c>
      <c r="P16" s="113">
        <f>SUM(P7:P15)</f>
        <v>12806.212129512711</v>
      </c>
      <c r="Q16" s="128">
        <f>SUM(Q7:Q15)</f>
        <v>40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11864.55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949.16399999999999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415.25925000000001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10500.126749999999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2242.3728813559323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12742.499631355931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63.712498156779667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12806.212129512711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12806.212129512711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60</v>
      </c>
      <c r="I25" s="114">
        <f t="shared" ref="I25:M25" si="10">SUM(I16:I24)</f>
        <v>3147.75</v>
      </c>
      <c r="J25" s="274">
        <f>SUM(J16:J24)</f>
        <v>251.82</v>
      </c>
      <c r="K25" s="275">
        <f t="shared" si="10"/>
        <v>110.17125000000001</v>
      </c>
      <c r="L25" s="276">
        <f t="shared" si="10"/>
        <v>0</v>
      </c>
      <c r="M25" s="232">
        <f t="shared" si="10"/>
        <v>2785.75875</v>
      </c>
      <c r="N25" s="233">
        <f>SUM(N16:N24)</f>
        <v>594.91525423728785</v>
      </c>
      <c r="O25" s="101">
        <f>SUM(O16:O24)</f>
        <v>16.90337002118644</v>
      </c>
      <c r="P25" s="234">
        <f>SUM(P16:P24)</f>
        <v>3397.5773742584743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3147.75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251.82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110.17125000000001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2785.75875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594.91525423728785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3380.6740042372876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16.90337002118644</v>
      </c>
    </row>
    <row r="35" spans="2:16" ht="15.75" customHeight="1" thickBot="1" x14ac:dyDescent="0.4">
      <c r="N35" s="345" t="s">
        <v>88</v>
      </c>
      <c r="O35" s="346"/>
      <c r="P35" s="297">
        <f>+P33+P34</f>
        <v>3397.5773742584738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46305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46304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2026-10-09T05:05:47Z</dcterms:modified>
</cp:coreProperties>
</file>