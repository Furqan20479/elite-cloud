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6D8B41-F766-4EAC-8959-12F98F6DCFA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J25" i="61"/>
  <c r="P29" i="61" s="1"/>
  <c r="M17" i="56"/>
  <c r="O17" i="56" s="1"/>
  <c r="P17" i="56" s="1"/>
  <c r="M20" i="53"/>
  <c r="O20" i="53" s="1"/>
  <c r="P20" i="53" s="1"/>
  <c r="R20" i="53" s="1"/>
  <c r="M16" i="59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16" i="70"/>
  <c r="O25" i="52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<sst xmlns="http://schemas.openxmlformats.org/spreadsheetml/2006/main" count="3948" uniqueCount="520">
  <si>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</si>
  <si>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</si>
  <si>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</si>
  <si>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</si>
  <si>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</si>
  <si>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</si>
  <si>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</si>
  <si>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</si>
  <si>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</si>
  <si>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</si>
  <si>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</si>
  <si>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</si>
  <si>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</si>
  <si>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</si>
  <si>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</si>
  <si>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</si>
  <si>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</si>
  <si>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</si>
  <si>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</si>
  <si>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</si>
  <si>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</si>
  <si>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</si>
  <si>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</si>
  <si>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</si>
  <si>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</si>
  <si>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</si>
  <si>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</si>
  <si>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</si>
  <si>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</si>
  <si>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</si>
  <si>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</si>
  <si>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</si>
  <si>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</si>
  <si>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</si>
  <si>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</si>
  <si>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</si>
  <si>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</si>
  <si>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</si>
  <si>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</si>
  <si>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</si>
  <si>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</si>
  <si>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</si>
  <si>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</si>
  <si>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</si>
  <si>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</si>
  <si>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</si>
  <si>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</si>
  <si>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</si>
  <si>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</si>
  <si>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</si>
  <si>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</si>
  <si>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</si>
  <si>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</si>
  <si>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</si>
  <si>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</si>
  <si>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</si>
  <si>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</si>
  <si>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</si>
  <si>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</si>
  <si>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</si>
  <si>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</si>
  <si>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</si>
  <si>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</si>
  <si>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</si>
  <si>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</si>
  <si>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</si>
  <si>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</si>
  <si>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</si>
  <si>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</si>
  <si>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</si>
  <si>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</si>
  <si>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</si>
  <si>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</si>
  <si>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</si>
  <si>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</si>
  <si>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</si>
  <si>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</si>
  <si>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</si>
  <si>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</si>
  <si>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</si>
  <si>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</si>
  <si>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</si>
  <si>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</si>
  <si>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</si>
  <si>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</si>
  <si>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</si>
  <si>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</si>
  <si>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</si>
  <si>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</si>
  <si>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</si>
  <si>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</si>
  <si>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</si>
  <si>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</si>
  <si>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</si>
  <si>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</si>
  <si>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</si>
  <si>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</si>
  <si>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</si>
  <si>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</si>
  <si>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</si>
  <si>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</si>
  <si>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</si>
  <si>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</si>
  <si>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</si>
  <si>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</si>
  <si>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</si>
  <si>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</si>
  <si>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</si>
  <si>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</si>
  <si>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</si>
  <si>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</si>
  <si>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</si>
  <si>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</si>
  <si>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</si>
  <si>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</si>
  <si>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</si>
  <si>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</si>
  <si>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</si>
  <si>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</si>
  <si>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</si>
  <si>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</si>
  <si>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</si>
  <si>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</si>
  <si>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</si>
  <si>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</si>
  <si>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</si>
  <si>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</si>
  <si>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</si>
  <si>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</si>
  <si>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</si>
  <si>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</si>
  <si>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</si>
  <si>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</si>
  <si>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</si>
  <si>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</si>
  <si>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</si>
  <si>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</si>
  <si>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</si>
  <si>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</si>
  <si>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</si>
  <si>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</si>
  <si>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</si>
  <si>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</si>
  <si>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</si>
  <si>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</si>
  <si>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</si>
  <si>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</si>
  <si>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</si>
  <si>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</si>
  <si>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</si>
  <si>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</si>
  <si>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</si>
  <si>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</si>
  <si>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</si>
  <si>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</si>
  <si>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</si>
  <si>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</si>
  <si>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</si>
  <si>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</si>
  <si>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</si>
  <si>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</si>
  <si>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</si>
  <si>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</si>
  <si>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</si>
  <si>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</si>
  <si>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</si>
  <si>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</si>
  <si>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</si>
  <si>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</si>
  <si>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</si>
  <si>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</si>
  <si>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</si>
  <si>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</si>
  <si>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</si>
  <si>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</si>
  <si>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</si>
  <si>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</si>
  <si>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</si>
  <si>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</si>
  <si>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</si>
  <si>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</si>
  <si>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</si>
  <si>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</si>
  <si>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</si>
  <si>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</si>
  <si>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</si>
  <si>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</si>
  <si>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</si>
  <si>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</si>
  <si>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</si>
  <si>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</si>
  <si>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</si>
  <si>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</si>
  <si>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</si>
  <si>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</si>
  <si>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</si>
  <si>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</si>
  <si>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</si>
  <si>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</si>
  <si>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</si>
  <si>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</si>
  <si>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</si>
  <si>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</si>
  <si>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</si>
  <si>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</si>
  <si>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</si>
  <si>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</si>
  <si>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</si>
  <si>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</si>
  <si>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</si>
  <si>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</si>
  <si>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</si>
  <si>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</si>
  <si>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</si>
  <si>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</si>
  <si>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</si>
  <si>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</si>
  <si>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</si>
  <si>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</si>
  <si>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</si>
  <si>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</si>
  <si>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</si>
  <si>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</si>
  <si>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</si>
  <si>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</si>
  <si>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</si>
  <si>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</si>
  <si>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</si>
  <si>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</si>
  <si>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</si>
  <si>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</si>
  <si>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</si>
  <si>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</si>
  <si>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</si>
  <si>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</si>
  <si>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</si>
  <si>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</si>
  <si>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</si>
  <si>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</si>
  <si>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</si>
  <si>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</si>
  <si>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</si>
  <si>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</si>
  <si>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</si>
  <si>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</si>
  <si>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</si>
  <si>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</si>
  <si>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</si>
  <si>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</si>
  <si>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</si>
  <si>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</si>
  <si>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</si>
  <si>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</si>
  <si>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</si>
  <si>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</si>
  <si>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</si>
  <si>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</si>
  <si>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</si>
  <si>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</si>
  <si>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</si>
  <si>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</si>
  <si>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</si>
  <si>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</si>
  <si>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</si>
  <si>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</si>
  <si>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</si>
  <si>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</si>
  <si>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</si>
  <si>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</si>
  <si>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</si>
  <si>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</si>
  <si>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</si>
  <si>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</si>
  <si>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</si>
  <si>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</si>
  <si>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</si>
  <si>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</si>
  <si>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</si>
  <si>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</si>
  <si>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</si>
  <si>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</si>
  <si>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</si>
  <si>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</si>
  <si>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</si>
  <si>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</si>
  <si>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</si>
  <si>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</si>
  <si>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</si>
  <si>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</si>
  <si>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</si>
  <si>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</si>
  <si>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</si>
  <si>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</si>
  <si>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</si>
  <si>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</si>
  <si>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</si>
  <si>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</si>
  <si>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</si>
  <si>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</si>
  <si>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</si>
  <si>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</si>
  <si>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</si>
  <si>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</si>
  <si>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</si>
  <si>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</si>
  <si>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</si>
  <si>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</si>
  <si>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</si>
  <si>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</si>
  <si>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</si>
  <si>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</si>
  <si>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</si>
  <si>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</si>
  <si>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</si>
  <si>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</si>
  <si>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</si>
  <si>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</si>
  <si>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</si>
  <si>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</si>
  <si>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</si>
  <si>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</si>
  <si>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</si>
  <si>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</si>
  <si>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</si>
  <si>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</si>
  <si>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</si>
  <si>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</si>
  <si>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</si>
  <si>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</si>
  <si>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</si>
  <si>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</si>
  <si>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</si>
  <si>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</si>
  <si>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</si>
  <si>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</si>
  <si>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</si>
  <si>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</si>
  <si>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</si>
  <si>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</si>
  <si>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</si>
  <si>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</si>
  <si>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</si>
  <si>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</si>
  <si>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</si>
  <si>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</si>
  <si>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</si>
  <si>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</si>
  <si>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</si>
  <si>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</si>
  <si>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</si>
  <si>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</si>
  <si>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</si>
  <si>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</si>
  <si>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</si>
  <si>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</si>
  <si>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</si>
  <si>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</si>
  <si>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</si>
  <si>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</si>
  <si>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</si>
  <si>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</si>
  <si>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</si>
  <si>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</si>
  <si>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</si>
  <si>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</si>
  <si>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</si>
  <si>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</si>
  <si>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</si>
  <si>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</si>
  <si>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</si>
  <si>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</si>
  <si>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</si>
  <si>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</si>
  <si>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</si>
  <si>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</si>
  <si>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</si>
  <si>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</si>
  <si>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</si>
  <si>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</si>
  <si>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</si>
  <si>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</si>
  <si>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</si>
  <si>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</si>
  <si>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</si>
  <si>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</si>
  <si>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</si>
  <si>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</si>
  <si>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</si>
  <si>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</si>
  <si>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</si>
  <si>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</si>
  <si>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</si>
  <si>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</si>
  <si>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</si>
  <si>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</si>
  <si>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</si>
  <si>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</si>
  <si>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</si>
  <si>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</si>
  <si>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</si>
  <si>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</si>
  <si>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</si>
  <si>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</si>
  <si>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</si>
  <si>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</si>
  <si>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</si>
  <si>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</si>
  <si>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</si>
  <si>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</si>
  <si>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</si>
  <si>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</si>
  <si>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</si>
  <si>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</si>
  <si>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</si>
  <si>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</si>
  <si>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</si>
  <si>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</si>
  <si>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</si>
  <si>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</si>
  <si>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</si>
  <si>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</si>
  <si>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</si>
  <si>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</si>
  <si>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</si>
  <si>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</si>
  <si>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</si>
  <si>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</si>
  <si>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</si>
  <si>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</si>
  <si>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</si>
  <si>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</si>
  <si>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</si>
  <si>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</si>
  <si>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</si>
  <si>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</si>
  <si>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</si>
  <si>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</si>
  <si>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</si>
  <si>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</si>
  <si>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</si>
  <si>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</si>
  <si>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</si>
  <si>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</si>
  <si>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</si>
  <si>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</si>
  <si>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</si>
  <si>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</si>
  <si>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</si>
  <si>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</si>
  <si>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</si>
  <si>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</si>
  <si>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</si>
  <si>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</si>
  <si>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</si>
  <si>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</si>
  <si>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</si>
  <si>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</si>
  <si>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</si>
  <si>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</si>
  <si>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</si>
  <si>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</si>
  <si>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</si>
  <si>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</si>
  <si>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</si>
  <si>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</si>
  <si>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</si>
  <si>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</si>
  <si>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</si>
  <si>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</si>
  <si>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</si>
  <si>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</si>
  <si>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</si>
  <si>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</si>
  <si>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</si>
  <si>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</si>
  <si>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</si>
  <si>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</si>
  <si>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</si>
  <si>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</si>
  <si>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</si>
  <si>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</si>
  <si>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</si>
  <si>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</si>
  <si>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</si>
  <si>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</si>
  <si>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</si>
  <si>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</si>
  <si>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</si>
  <si>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</si>
  <si>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</si>
  <si>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</si>
  <si>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</si>
  <si>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</si>
  <si>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</si>
  <si>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</si>
  <si>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</si>
  <si>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</si>
  <si>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</si>
  <si>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</si>
  <si>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</si>
  <si>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</si>
  <si>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</si>
  <si>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</si>
  <si>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</si>
  <si>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</si>
  <si>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</si>
  <si>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</si>
  <si>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</si>
  <si>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</si>
  <si>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</si>
  <si>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</si>
  <si>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</si>
  <si>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</si>
  <si>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Decent Departmental Store</t>
  </si>
  <si>
    <t>Address: Johar Town</t>
  </si>
  <si>
    <t>Invoice No # :4651</t>
  </si>
  <si>
    <t>Shakoor</t>
  </si>
  <si>
    <t>NTN #: 0808681-8</t>
  </si>
  <si>
    <t>Address: Wahdat Road</t>
  </si>
  <si>
    <t>Invoice No # :4652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</si>
</sst>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46282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Decent Departmental Store</v>
      </c>
      <c r="T3" s="301">
        <f>+'1'!P35</f>
        <v>29019.89820470339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Decent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Decent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Decent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Decent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Decent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Decent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Decent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Decent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Decent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Decent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Decent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Decent Departmental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11</v>
      </c>
      <c r="H16" s="113">
        <f t="shared" ref="H16:M16" si="3">SUM(H7:H15)</f>
        <v>440</v>
      </c>
      <c r="I16" s="114">
        <f t="shared" si="3"/>
        <v>27926.100000000002</v>
      </c>
      <c r="J16" s="274">
        <f>SUM(J7:J15)</f>
        <v>3351.1320000000001</v>
      </c>
      <c r="K16" s="275">
        <f t="shared" si="3"/>
        <v>977.41350000000023</v>
      </c>
      <c r="L16" s="276">
        <f t="shared" si="3"/>
        <v>0</v>
      </c>
      <c r="M16" s="232">
        <f t="shared" si="3"/>
        <v>23597.554499999998</v>
      </c>
      <c r="N16" s="233">
        <f>SUM(N7:N15)</f>
        <v>5277.966101694914</v>
      </c>
      <c r="O16" s="101">
        <f>SUM(O7:O15)</f>
        <v>144.37760300847458</v>
      </c>
      <c r="P16" s="113">
        <f>SUM(P7:P15)</f>
        <v>29019.898204703393</v>
      </c>
      <c r="Q16" s="128">
        <f>SUM(Q7:Q15)</f>
        <v>0</v>
      </c>
      <c r="R16" s="313">
        <v>14</v>
      </c>
      <c r="S16" s="315" t="str">
        <f>+'14'!A6:A6</f>
        <v>Decent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Decent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Decent Departmental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27926.100000000002</v>
      </c>
      <c r="R19" s="299">
        <v>17</v>
      </c>
      <c r="S19" s="300" t="str">
        <f>+'17'!A6:A6</f>
        <v>Decent Departmental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3351.1320000000001</v>
      </c>
      <c r="R20" s="299">
        <v>18</v>
      </c>
      <c r="S20" s="300" t="str">
        <f>+'18'!A6:A6</f>
        <v>Decent Departmental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977.41350000000023</v>
      </c>
      <c r="R21" s="299">
        <v>19</v>
      </c>
      <c r="S21" s="300" t="str">
        <f>+'19'!A6:A6</f>
        <v>Decent Departmental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23597.554500000002</v>
      </c>
      <c r="R22" s="299">
        <v>20</v>
      </c>
      <c r="S22" s="300" t="str">
        <f>+'20'!A6:A6</f>
        <v>Decent Departmental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5277.966101694914</v>
      </c>
      <c r="R23" s="299">
        <v>21</v>
      </c>
      <c r="S23" s="300" t="str">
        <f>+'21'!A6:A6</f>
        <v>Decent Departmental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28875.520601694916</v>
      </c>
      <c r="R24" s="299">
        <v>22</v>
      </c>
      <c r="S24" s="300" t="str">
        <f>+'22'!A6:A6</f>
        <v>Decent Departmental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144.37760300847458</v>
      </c>
      <c r="R25" s="299">
        <v>23</v>
      </c>
      <c r="S25" s="300" t="str">
        <f>+'23'!A6:A6</f>
        <v>Decent Departmental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29019.89820470339</v>
      </c>
      <c r="R26" s="299">
        <v>24</v>
      </c>
      <c r="S26" s="300" t="str">
        <f>+'24'!A6:A6</f>
        <v>Decent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Decent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Decent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Decent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Decent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Decent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Decent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29019.89820470339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519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119">
        <f t="shared" ref="P17:P24" si="5">M17+N17+O17</f>
        <v>4361.3837656779651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119">
        <f t="shared" si="5"/>
        <v>6542.0756485169486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27926.100000000002</v>
      </c>
      <c r="J25" s="274">
        <f>SUM(J16:J24)</f>
        <v>3351.1320000000001</v>
      </c>
      <c r="K25" s="275">
        <f t="shared" si="10"/>
        <v>977.41350000000023</v>
      </c>
      <c r="L25" s="276">
        <f t="shared" si="10"/>
        <v>0</v>
      </c>
      <c r="M25" s="232">
        <f t="shared" si="10"/>
        <v>23597.554499999998</v>
      </c>
      <c r="N25" s="233">
        <f>SUM(N16:N24)</f>
        <v>5277.966101694914</v>
      </c>
      <c r="O25" s="101">
        <f>SUM(O16:O24)</f>
        <v>144.37760300847458</v>
      </c>
      <c r="P25" s="234">
        <f>SUM(P16:P24)</f>
        <v>29019.898204703393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27926.100000000002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3351.1320000000001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977.41350000000023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23597.554500000002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5277.966101694914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28875.520601694916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144.37760300847458</v>
      </c>
    </row>
    <row r="35" spans="2:16" ht="15.75" customHeight="1" thickBot="1" x14ac:dyDescent="0.4">
      <c r="N35" s="346" t="s">
        <v>88</v>
      </c>
      <c r="O35" s="347"/>
      <c r="P35" s="297">
        <f>+P33+P34</f>
        <v>29019.89820470339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46303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46302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46305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46304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2026-10-09T05:02:51Z</dcterms:modified>
</cp:coreProperties>
</file>