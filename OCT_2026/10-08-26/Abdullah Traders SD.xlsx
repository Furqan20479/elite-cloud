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9E38753-209C-4BA7-85C4-3F62965A0FE3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'1'!$A$1:$P$40</definedName>
  </definedNames>
  <calcPr calcId="191029"/>
</workbook>
</file>

<file path=xl/calcChain.xml><?xml version="1.0" encoding="utf-8"?>
<calcChain xmlns="http://schemas.openxmlformats.org/spreadsheetml/2006/main">
  <c r="P38" i="11" l="1"/>
  <c r="H3" i="62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 l="1"/>
  <c r="N5" i="64" s="1"/>
  <c r="N4" i="67"/>
  <c r="N5" i="67" s="1"/>
  <c r="N4" i="63"/>
  <c r="N5" i="63" s="1"/>
  <c r="N4" i="46"/>
  <c r="N5" i="46" s="1"/>
  <c r="N4" i="70"/>
  <c r="N5" i="70" s="1"/>
  <c r="N4" i="59"/>
  <c r="N5" i="59" s="1"/>
  <c r="N4" i="58"/>
  <c r="N5" i="58" s="1"/>
  <c r="N4" i="61"/>
  <c r="N5" i="61" s="1"/>
  <c r="N5" i="11"/>
  <c r="N4" i="51"/>
  <c r="N5" i="51" s="1"/>
  <c r="N4" i="50"/>
  <c r="N5" i="50" s="1"/>
  <c r="N4" i="57"/>
  <c r="N5" i="57" s="1"/>
  <c r="N4" i="53"/>
  <c r="N5" i="53" s="1"/>
  <c r="N4" i="45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<sst xmlns="http://schemas.openxmlformats.org/spreadsheetml/2006/main" count="3921" uniqueCount="520">
  <si>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</si>
  <si>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</si>
  <si>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</si>
  <si>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</si>
  <si>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</si>
  <si>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</si>
  <si>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</si>
  <si>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</si>
  <si>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</si>
  <si>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</si>
  <si>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</si>
  <si>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</si>
  <si>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</si>
  <si>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</si>
  <si>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</si>
  <si>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</si>
  <si>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</si>
  <si>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</si>
  <si>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</si>
  <si>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</si>
  <si>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</si>
  <si>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</si>
  <si>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</si>
  <si>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</si>
  <si>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</si>
  <si>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</si>
  <si>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</si>
  <si>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</si>
  <si>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</si>
  <si>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</si>
  <si>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</si>
  <si>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</si>
  <si>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</si>
  <si>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</si>
  <si>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</si>
  <si>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</si>
  <si>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</si>
  <si>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</si>
  <si>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</si>
  <si>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</si>
  <si>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</si>
  <si>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</si>
  <si>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</si>
  <si>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</si>
  <si>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</si>
  <si>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</si>
  <si>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</si>
  <si>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</si>
  <si>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</si>
  <si>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</si>
  <si>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</si>
  <si>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</si>
  <si>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</si>
  <si>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</si>
  <si>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</si>
  <si>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</si>
  <si>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</si>
  <si>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</si>
  <si>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</si>
  <si>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</si>
  <si>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</si>
  <si>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</si>
  <si>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</si>
  <si>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</si>
  <si>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</si>
  <si>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</si>
  <si>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</si>
  <si>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</si>
  <si>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</si>
  <si>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</si>
  <si>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</si>
  <si>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</si>
  <si>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</si>
  <si>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</si>
  <si>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</si>
  <si>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</si>
  <si>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</si>
  <si>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</si>
  <si>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</si>
  <si>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</si>
  <si>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</si>
  <si>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</si>
  <si>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</si>
  <si>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</si>
  <si>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</si>
  <si>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</si>
  <si>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</si>
  <si>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</si>
  <si>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</si>
  <si>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</si>
  <si>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</si>
  <si>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</si>
  <si>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</si>
  <si>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</si>
  <si>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</si>
  <si>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</si>
  <si>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</si>
  <si>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</si>
  <si>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</si>
  <si>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</si>
  <si>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</si>
  <si>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</si>
  <si>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</si>
  <si>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</si>
  <si>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</si>
  <si>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</si>
  <si>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</si>
  <si>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</si>
  <si>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</si>
  <si>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</si>
  <si>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</si>
  <si>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</si>
  <si>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</si>
  <si>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</si>
  <si>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</si>
  <si>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</si>
  <si>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</si>
  <si>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</si>
  <si>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</si>
  <si>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</si>
  <si>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</si>
  <si>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</si>
  <si>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</si>
  <si>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</si>
  <si>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</si>
  <si>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</si>
  <si>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</si>
  <si>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</si>
  <si>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</si>
  <si>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</si>
  <si>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</si>
  <si>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</si>
  <si>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</si>
  <si>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</si>
  <si>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</si>
  <si>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</si>
  <si>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</si>
  <si>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</si>
  <si>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</si>
  <si>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</si>
  <si>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</si>
  <si>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</si>
  <si>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</si>
  <si>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</si>
  <si>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</si>
  <si>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</si>
  <si>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</si>
  <si>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</si>
  <si>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</si>
  <si>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</si>
  <si>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</si>
  <si>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</si>
  <si>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</si>
  <si>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</si>
  <si>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</si>
  <si>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</si>
  <si>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</si>
  <si>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</si>
  <si>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</si>
  <si>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</si>
  <si>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</si>
  <si>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</si>
  <si>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</si>
  <si>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</si>
  <si>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</si>
  <si>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</si>
  <si>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</si>
  <si>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</si>
  <si>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</si>
  <si>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</si>
  <si>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</si>
  <si>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</si>
  <si>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</si>
  <si>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</si>
  <si>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</si>
  <si>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</si>
  <si>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</si>
  <si>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</si>
  <si>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</si>
  <si>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</si>
  <si>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</si>
  <si>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</si>
  <si>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</si>
  <si>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</si>
  <si>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</si>
  <si>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</si>
  <si>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</si>
  <si>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</si>
  <si>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</si>
  <si>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</si>
  <si>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</si>
  <si>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</si>
  <si>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</si>
  <si>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</si>
  <si>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</si>
  <si>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</si>
  <si>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</si>
  <si>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</si>
  <si>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</si>
  <si>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</si>
  <si>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</si>
  <si>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</si>
  <si>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</si>
  <si>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</si>
  <si>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</si>
  <si>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</si>
  <si>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</si>
  <si>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</si>
  <si>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</si>
  <si>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</si>
  <si>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</si>
  <si>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</si>
  <si>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</si>
  <si>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</si>
  <si>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</si>
  <si>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</si>
  <si>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</si>
  <si>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</si>
  <si>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</si>
  <si>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</si>
  <si>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</si>
  <si>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</si>
  <si>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</si>
  <si>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</si>
  <si>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</si>
  <si>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</si>
  <si>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</si>
  <si>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</si>
  <si>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</si>
  <si>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</si>
  <si>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</si>
  <si>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</si>
  <si>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</si>
  <si>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</si>
  <si>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</si>
  <si>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</si>
  <si>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</si>
  <si>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</si>
  <si>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</si>
  <si>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</si>
  <si>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</si>
  <si>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</si>
  <si>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</si>
  <si>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</si>
  <si>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</si>
  <si>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</si>
  <si>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</si>
  <si>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</si>
  <si>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</si>
  <si>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</si>
  <si>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</si>
  <si>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</si>
  <si>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</si>
  <si>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</si>
  <si>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</si>
  <si>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</si>
  <si>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</si>
  <si>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</si>
  <si>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</si>
  <si>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</si>
  <si>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</si>
  <si>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</si>
  <si>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</si>
  <si>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</si>
  <si>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</si>
  <si>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</si>
  <si>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</si>
  <si>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</si>
  <si>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</si>
  <si>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</si>
  <si>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</si>
  <si>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</si>
  <si>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</si>
  <si>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</si>
  <si>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</si>
  <si>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</si>
  <si>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</si>
  <si>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</si>
  <si>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</si>
  <si>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</si>
  <si>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</si>
  <si>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</si>
  <si>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</si>
  <si>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</si>
  <si>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</si>
  <si>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</si>
  <si>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</si>
  <si>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</si>
  <si>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</si>
  <si>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</si>
  <si>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</si>
  <si>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</si>
  <si>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</si>
  <si>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</si>
  <si>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</si>
  <si>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</si>
  <si>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</si>
  <si>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</si>
  <si>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</si>
  <si>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</si>
  <si>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</si>
  <si>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</si>
  <si>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</si>
  <si>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</si>
  <si>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</si>
  <si>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</si>
  <si>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</si>
  <si>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</si>
  <si>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</si>
  <si>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</si>
  <si>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</si>
  <si>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</si>
  <si>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</si>
  <si>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</si>
  <si>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</si>
  <si>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</si>
  <si>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</si>
  <si>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</si>
  <si>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</si>
  <si>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</si>
  <si>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</si>
  <si>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</si>
  <si>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</si>
  <si>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</si>
  <si>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</si>
  <si>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</si>
  <si>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</si>
  <si>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</si>
  <si>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</si>
  <si>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</si>
  <si>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</si>
  <si>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</si>
  <si>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</si>
  <si>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</si>
  <si>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</si>
  <si>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</si>
  <si>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</si>
  <si>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</si>
  <si>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</si>
  <si>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</si>
  <si>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</si>
  <si>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</si>
  <si>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</si>
  <si>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</si>
  <si>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</si>
  <si>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</si>
  <si>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</si>
  <si>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</si>
  <si>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</si>
  <si>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</si>
  <si>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</si>
  <si>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</si>
  <si>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</si>
  <si>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</si>
  <si>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</si>
  <si>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</si>
  <si>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</si>
  <si>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</si>
  <si>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</si>
  <si>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</si>
  <si>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</si>
  <si>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</si>
  <si>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</si>
  <si>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</si>
  <si>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</si>
  <si>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</si>
  <si>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</si>
  <si>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</si>
  <si>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</si>
  <si>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</si>
  <si>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</si>
  <si>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</si>
  <si>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</si>
  <si>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</si>
  <si>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</si>
  <si>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</si>
  <si>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</si>
  <si>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</si>
  <si>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</si>
  <si>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</si>
  <si>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</si>
  <si>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</si>
  <si>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</si>
  <si>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</si>
  <si>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</si>
  <si>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</si>
  <si>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</si>
  <si>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</si>
  <si>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</si>
  <si>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</si>
  <si>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</si>
  <si>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</si>
  <si>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</si>
  <si>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</si>
  <si>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</si>
  <si>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</si>
  <si>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</si>
  <si>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</si>
  <si>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</si>
  <si>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</si>
  <si>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</si>
  <si>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</si>
  <si>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</si>
  <si>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</si>
  <si>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</si>
  <si>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</si>
  <si>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</si>
  <si>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</si>
  <si>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</si>
  <si>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</si>
  <si>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</si>
  <si>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</si>
  <si>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</si>
  <si>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</si>
  <si>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</si>
  <si>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</si>
  <si>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</si>
  <si>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</si>
  <si>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</si>
  <si>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</si>
  <si>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</si>
  <si>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</si>
  <si>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</si>
  <si>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</si>
  <si>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</si>
  <si>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</si>
  <si>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</si>
  <si>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</si>
  <si>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</si>
  <si>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</si>
  <si>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</si>
  <si>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</si>
  <si>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</si>
  <si>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</si>
  <si>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</si>
  <si>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</si>
  <si>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</si>
  <si>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</si>
  <si>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</si>
  <si>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</si>
  <si>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</si>
  <si>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</si>
  <si>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</si>
  <si>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</si>
  <si>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</si>
  <si>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</si>
  <si>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</si>
  <si>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</si>
  <si>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</si>
  <si>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</si>
  <si>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</si>
  <si>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</si>
  <si>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</si>
  <si>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</si>
  <si>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</si>
  <si>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</si>
  <si>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</si>
  <si>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</si>
  <si>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</si>
  <si>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</si>
  <si>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</si>
  <si>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</si>
  <si>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</si>
  <si>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</si>
  <si>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</si>
  <si>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</si>
  <si>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</si>
  <si>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</si>
  <si>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</si>
  <si>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</si>
  <si>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</si>
  <si>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</si>
  <si>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</si>
  <si>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</si>
  <si>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</si>
  <si>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</si>
  <si>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</si>
  <si>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</si>
  <si>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</si>
  <si>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</si>
  <si>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</si>
  <si>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</si>
  <si>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</si>
  <si>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</si>
  <si>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</si>
  <si>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</si>
  <si>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</si>
  <si>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</si>
  <si>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</si>
  <si>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</si>
  <si>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</si>
  <si>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</si>
  <si>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</si>
  <si>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</si>
  <si>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</si>
  <si>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</si>
  <si>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</si>
  <si>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</si>
  <si>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</si>
  <si>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</si>
  <si>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</si>
  <si>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</si>
  <si>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</si>
  <si>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</si>
  <si>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</si>
  <si>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</si>
  <si>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</si>
  <si>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</si>
  <si>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</si>
  <si>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</si>
  <si>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</si>
  <si>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</si>
  <si>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</si>
  <si>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 xml:space="preserve">Abdullah Traders </t>
  </si>
  <si>
    <t>Address: Server Hayat Colony</t>
  </si>
  <si>
    <t>Invoice No # :0002</t>
  </si>
  <si>
    <t>CNIC #: H959818-4</t>
  </si>
  <si>
    <t>Last Payment</t>
  </si>
  <si>
    <t>Payable Amount 60%</t>
  </si>
  <si>
    <t xml:space="preserve">Total Payable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</si>
</sst>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2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18" fillId="0" borderId="58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1" fontId="18" fillId="0" borderId="59" xfId="0" applyNumberFormat="1" applyFont="1" applyBorder="1" applyAlignment="1">
      <alignment horizontal="right" wrapText="1"/>
    </xf>
    <xf numFmtId="0" fontId="20" fillId="0" borderId="1" xfId="0" applyFont="1" applyBorder="1"/>
    <xf numFmtId="0" fontId="20" fillId="3" borderId="1" xfId="0" applyFont="1" applyFill="1" applyBorder="1"/>
    <xf numFmtId="0" fontId="1" fillId="3" borderId="1" xfId="0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46302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 xml:space="preserve">Abdullah Traders </v>
      </c>
      <c r="T3" s="301">
        <f>+'1'!P35</f>
        <v>205625.45543644065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Abdullah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Abdullah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Abdullah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10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20985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2937.9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734.47500000000002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17312.625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3966.1016949152527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106.39363347457628</v>
      </c>
      <c r="P7" s="310">
        <f>M7+N7+O7</f>
        <v>21385.120328389832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Abdullah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10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20985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2937.9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734.47500000000002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17312.625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3966.1016949152527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106.39363347457628</v>
      </c>
      <c r="P8" s="311">
        <f t="shared" ref="P8:P15" si="2">M8+N8+O8</f>
        <v>21385.120328389832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Abdullah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Abdullah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6101.76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1525.44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35956.800000000003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220.97044067796611</v>
      </c>
      <c r="P10" s="311">
        <f t="shared" si="2"/>
        <v>44415.058576271185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Abdullah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20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8135.6800000000012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2033.9200000000003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47942.399999999994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294.62725423728813</v>
      </c>
      <c r="P11" s="311">
        <f t="shared" si="2"/>
        <v>59220.078101694911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Abdullah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58112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8135.6800000000012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2033.9200000000003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47942.399999999994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10983.050847457627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294.62725423728813</v>
      </c>
      <c r="P12" s="311">
        <f t="shared" si="2"/>
        <v>59220.078101694911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Abdullah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Abdullah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Abdullah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Abdullah Traders 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0</v>
      </c>
      <c r="H16" s="113">
        <f t="shared" ref="H16:M16" si="3">SUM(H7:H15)</f>
        <v>0</v>
      </c>
      <c r="I16" s="114">
        <f t="shared" si="3"/>
        <v>201778</v>
      </c>
      <c r="J16" s="274">
        <f>SUM(J7:J15)</f>
        <v>28248.920000000002</v>
      </c>
      <c r="K16" s="275">
        <f t="shared" si="3"/>
        <v>7062.2300000000005</v>
      </c>
      <c r="L16" s="276">
        <f t="shared" si="3"/>
        <v>0</v>
      </c>
      <c r="M16" s="232">
        <f t="shared" si="3"/>
        <v>166466.84999999998</v>
      </c>
      <c r="N16" s="233">
        <f>SUM(N7:N15)</f>
        <v>38135.593220338982</v>
      </c>
      <c r="O16" s="101">
        <f>SUM(O7:O15)</f>
        <v>1023.0122161016948</v>
      </c>
      <c r="P16" s="113">
        <f>SUM(P7:P15)</f>
        <v>205625.45543644065</v>
      </c>
      <c r="Q16" s="128">
        <f>SUM(Q7:Q15)</f>
        <v>0</v>
      </c>
      <c r="R16" s="313">
        <v>14</v>
      </c>
      <c r="S16" s="315" t="str">
        <f>+'14'!A6:A6</f>
        <v xml:space="preserve">Abdullah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Abdullah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Abdullah Traders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201778</v>
      </c>
      <c r="R19" s="299">
        <v>17</v>
      </c>
      <c r="S19" s="300" t="str">
        <f>+'17'!A6:A6</f>
        <v xml:space="preserve">Abdullah Traders 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28248.920000000002</v>
      </c>
      <c r="R20" s="299">
        <v>18</v>
      </c>
      <c r="S20" s="300" t="str">
        <f>+'18'!A6:A6</f>
        <v xml:space="preserve">Abdullah Traders 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7062.2300000000005</v>
      </c>
      <c r="R21" s="299">
        <v>19</v>
      </c>
      <c r="S21" s="300" t="str">
        <f>+'19'!A6:A6</f>
        <v xml:space="preserve">Abdullah Traders 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166466.84999999998</v>
      </c>
      <c r="R22" s="299">
        <v>20</v>
      </c>
      <c r="S22" s="300" t="str">
        <f>+'20'!A6:A6</f>
        <v xml:space="preserve">Abdullah Traders 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38135.593220338982</v>
      </c>
      <c r="R23" s="299">
        <v>21</v>
      </c>
      <c r="S23" s="300" t="str">
        <f>+'21'!A6:A6</f>
        <v xml:space="preserve">Abdullah Traders 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204602.44322033896</v>
      </c>
      <c r="R24" s="299">
        <v>22</v>
      </c>
      <c r="S24" s="300" t="str">
        <f>+'22'!A6:A6</f>
        <v xml:space="preserve">Abdullah Traders 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1023.0122161016948</v>
      </c>
      <c r="R25" s="299">
        <v>23</v>
      </c>
      <c r="S25" s="300" t="str">
        <f>+'23'!A6:A6</f>
        <v xml:space="preserve">Abdullah Traders 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205625.45543644065</v>
      </c>
      <c r="R26" s="299">
        <v>24</v>
      </c>
      <c r="S26" s="300" t="str">
        <f>+'24'!A6:A6</f>
        <v xml:space="preserve">Abdullah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 xml:space="preserve">Abdullah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Abdullah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Abdullah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Abdullah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Abdullah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Abdullah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205625.45543644065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5" workbookViewId="0">
      <selection activeCell="R37" sqref="R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36328125" bestFit="1" customWidth="1"/>
    <col min="10" max="11" width="7.36328125" bestFit="1" customWidth="1"/>
    <col min="12" max="12" width="4.36328125" bestFit="1" customWidth="1"/>
    <col min="13" max="13" width="8" customWidth="1"/>
    <col min="14" max="14" width="9.1796875" style="61" bestFit="1" customWidth="1"/>
    <col min="15" max="15" width="12.08984375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Summary!H3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3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10</v>
      </c>
      <c r="H16" s="112"/>
      <c r="I16" s="235">
        <f>(G16*D16)*F16+H16*F16</f>
        <v>20985</v>
      </c>
      <c r="J16" s="271">
        <f>$I16*S16</f>
        <v>2937.9</v>
      </c>
      <c r="K16" s="127">
        <f>$I16*T16</f>
        <v>734.47500000000002</v>
      </c>
      <c r="L16" s="118">
        <f>$I16*U16</f>
        <v>0</v>
      </c>
      <c r="M16" s="229">
        <f>I16-SUM(J16:L16)</f>
        <v>17312.625</v>
      </c>
      <c r="N16" s="248">
        <f>+(G16*D16+H16)*V16</f>
        <v>3966.1016949152527</v>
      </c>
      <c r="O16" s="238">
        <f>(N16+M16)*$O$15</f>
        <v>106.39363347457628</v>
      </c>
      <c r="P16" s="118">
        <f>M16+N16+O16</f>
        <v>21385.120328389832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10</v>
      </c>
      <c r="H17" s="96"/>
      <c r="I17" s="236">
        <f t="shared" ref="I17:I23" si="0">(G17*D17)*F17+H17*F17</f>
        <v>20985</v>
      </c>
      <c r="J17" s="272">
        <f t="shared" ref="J17:L24" si="1">$I17*S17</f>
        <v>2937.9</v>
      </c>
      <c r="K17" s="128">
        <f>$I17*T17</f>
        <v>734.47500000000002</v>
      </c>
      <c r="L17" s="119">
        <f>$I17*U17</f>
        <v>0</v>
      </c>
      <c r="M17" s="230">
        <f t="shared" ref="M17:M24" si="2">I17-SUM(J17:L17)</f>
        <v>17312.625</v>
      </c>
      <c r="N17" s="277">
        <f t="shared" ref="N17:N24" si="3">+(G17*D17+H17)*V17</f>
        <v>3966.1016949152527</v>
      </c>
      <c r="O17" s="239">
        <f t="shared" ref="O17:O24" si="4">(N17+M17)*$O$15</f>
        <v>106.39363347457628</v>
      </c>
      <c r="P17" s="119">
        <f t="shared" ref="P17:P24" si="5">M17+N17+O17</f>
        <v>21385.120328389832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15</v>
      </c>
      <c r="H19" s="96"/>
      <c r="I19" s="236">
        <f t="shared" si="7"/>
        <v>43584</v>
      </c>
      <c r="J19" s="272">
        <f t="shared" si="1"/>
        <v>6101.76</v>
      </c>
      <c r="K19" s="128">
        <f t="shared" si="1"/>
        <v>1525.44</v>
      </c>
      <c r="L19" s="119">
        <f t="shared" si="1"/>
        <v>0</v>
      </c>
      <c r="M19" s="230">
        <f t="shared" si="2"/>
        <v>35956.800000000003</v>
      </c>
      <c r="N19" s="277">
        <f t="shared" si="3"/>
        <v>8237.2881355932204</v>
      </c>
      <c r="O19" s="239">
        <f t="shared" si="4"/>
        <v>220.97044067796611</v>
      </c>
      <c r="P19" s="119">
        <f t="shared" si="5"/>
        <v>44415.058576271185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20</v>
      </c>
      <c r="H20" s="96"/>
      <c r="I20" s="236">
        <f t="shared" si="7"/>
        <v>58112</v>
      </c>
      <c r="J20" s="272">
        <f t="shared" si="1"/>
        <v>8135.6800000000012</v>
      </c>
      <c r="K20" s="128">
        <f t="shared" si="1"/>
        <v>2033.9200000000003</v>
      </c>
      <c r="L20" s="119">
        <f t="shared" si="1"/>
        <v>0</v>
      </c>
      <c r="M20" s="230">
        <f t="shared" si="2"/>
        <v>47942.399999999994</v>
      </c>
      <c r="N20" s="277">
        <f t="shared" si="3"/>
        <v>10983.050847457627</v>
      </c>
      <c r="O20" s="239">
        <f t="shared" si="4"/>
        <v>294.62725423728813</v>
      </c>
      <c r="P20" s="119">
        <f t="shared" si="5"/>
        <v>59220.078101694911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20</v>
      </c>
      <c r="H21" s="96"/>
      <c r="I21" s="236">
        <f t="shared" si="7"/>
        <v>58112</v>
      </c>
      <c r="J21" s="272">
        <f t="shared" si="1"/>
        <v>8135.6800000000012</v>
      </c>
      <c r="K21" s="128">
        <f t="shared" si="1"/>
        <v>2033.9200000000003</v>
      </c>
      <c r="L21" s="119">
        <f t="shared" si="1"/>
        <v>0</v>
      </c>
      <c r="M21" s="230">
        <f t="shared" si="2"/>
        <v>47942.399999999994</v>
      </c>
      <c r="N21" s="277">
        <f t="shared" si="3"/>
        <v>10983.050847457627</v>
      </c>
      <c r="O21" s="239">
        <f t="shared" si="4"/>
        <v>294.62725423728813</v>
      </c>
      <c r="P21" s="119">
        <f t="shared" si="5"/>
        <v>59220.078101694911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75</v>
      </c>
      <c r="H25" s="113">
        <f t="shared" ref="H25" si="9">SUM(H16:H24)</f>
        <v>0</v>
      </c>
      <c r="I25" s="114">
        <f t="shared" ref="I25:M25" si="10">SUM(I16:I24)</f>
        <v>201778</v>
      </c>
      <c r="J25" s="274">
        <f>SUM(J16:J24)</f>
        <v>28248.920000000002</v>
      </c>
      <c r="K25" s="275">
        <f t="shared" si="10"/>
        <v>7062.2300000000005</v>
      </c>
      <c r="L25" s="276">
        <f t="shared" si="10"/>
        <v>0</v>
      </c>
      <c r="M25" s="232">
        <f t="shared" si="10"/>
        <v>166466.84999999998</v>
      </c>
      <c r="N25" s="233">
        <f>SUM(N16:N24)</f>
        <v>38135.593220338982</v>
      </c>
      <c r="O25" s="101">
        <f>SUM(O16:O24)</f>
        <v>1023.0122161016948</v>
      </c>
      <c r="P25" s="234">
        <f>SUM(P16:P24)</f>
        <v>205625.45543644065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R27" s="223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201778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28248.920000000002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7062.2300000000005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166466.84999999998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38135.593220338982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204602.44322033896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1023.0122161016948</v>
      </c>
    </row>
    <row r="35" spans="2:16" ht="15.75" customHeight="1" thickBot="1" x14ac:dyDescent="0.4">
      <c r="N35" s="416" t="s">
        <v>88</v>
      </c>
      <c r="O35" s="417"/>
      <c r="P35" s="418">
        <f>+P33+P34</f>
        <v>205625.45543644065</v>
      </c>
    </row>
    <row r="36" spans="2:16" ht="16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  <c r="N36" s="421" t="s">
        <v>517</v>
      </c>
      <c r="O36" s="421"/>
      <c r="P36" s="420">
        <v>86311</v>
      </c>
    </row>
    <row r="37" spans="2:16" ht="15.75" customHeight="1" x14ac:dyDescent="0.35">
      <c r="N37" s="422" t="s">
        <v>518</v>
      </c>
      <c r="O37" s="421"/>
      <c r="P37" s="420">
        <v>123375</v>
      </c>
    </row>
    <row r="38" spans="2:16" ht="15.5" x14ac:dyDescent="0.35">
      <c r="N38" s="423" t="s">
        <v>519</v>
      </c>
      <c r="O38" s="423"/>
      <c r="P38" s="419">
        <f>SUM(P36:P37)</f>
        <v>209686</v>
      </c>
    </row>
  </sheetData>
  <dataConsolidate/>
  <mergeCells count="51">
    <mergeCell ref="N36:O36"/>
    <mergeCell ref="N37:O37"/>
    <mergeCell ref="N38:O38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7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'1'!N4:P5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 ca="1">'1'!N4:P4</f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 ca="1"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0.16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46303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46302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2026-10-07T07:28:01Z</dcterms:modified>
</cp:coreProperties>
</file>