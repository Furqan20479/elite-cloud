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2169E62-AB05-472A-AEA1-A610AFC81B7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53" l="1"/>
  <c r="O18" i="53" s="1"/>
  <c r="P18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<sst xmlns="http://schemas.openxmlformats.org/spreadsheetml/2006/main" count="3948" uniqueCount="528">
  <si>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</si>
  <si>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</si>
  <si>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</si>
  <si>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</si>
  <si>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</si>
  <si>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</si>
  <si>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</si>
  <si>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</si>
  <si>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</si>
  <si>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</si>
  <si>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</si>
  <si>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</si>
  <si>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</si>
  <si>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</si>
  <si>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</si>
  <si>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</si>
  <si>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</si>
  <si>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</si>
  <si>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</si>
  <si>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</si>
  <si>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</si>
  <si>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</si>
  <si>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</si>
  <si>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</si>
  <si>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</si>
  <si>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</si>
  <si>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</si>
  <si>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</si>
  <si>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</si>
  <si>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</si>
  <si>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</si>
  <si>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</si>
  <si>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</si>
  <si>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</si>
  <si>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</si>
  <si>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</si>
  <si>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</si>
  <si>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</si>
  <si>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</si>
  <si>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</si>
  <si>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</si>
  <si>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</si>
  <si>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</si>
  <si>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</si>
  <si>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</si>
  <si>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</si>
  <si>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</si>
  <si>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</si>
  <si>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</si>
  <si>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</si>
  <si>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</si>
  <si>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</si>
  <si>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</si>
  <si>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</si>
  <si>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</si>
  <si>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</si>
  <si>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</si>
  <si>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</si>
  <si>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</si>
  <si>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</si>
  <si>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</si>
  <si>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</si>
  <si>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</si>
  <si>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</si>
  <si>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</si>
  <si>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</si>
  <si>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</si>
  <si>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</si>
  <si>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</si>
  <si>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</si>
  <si>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</si>
  <si>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</si>
  <si>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</si>
  <si>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</si>
  <si>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</si>
  <si>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</si>
  <si>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</si>
  <si>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</si>
  <si>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</si>
  <si>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</si>
  <si>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</si>
  <si>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</si>
  <si>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</si>
  <si>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</si>
  <si>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</si>
  <si>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</si>
  <si>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</si>
  <si>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</si>
  <si>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</si>
  <si>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</si>
  <si>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</si>
  <si>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</si>
  <si>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</si>
  <si>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</si>
  <si>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</si>
  <si>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</si>
  <si>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</si>
  <si>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</si>
  <si>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</si>
  <si>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</si>
  <si>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</si>
  <si>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</si>
  <si>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</si>
  <si>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</si>
  <si>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</si>
  <si>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</si>
  <si>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</si>
  <si>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</si>
  <si>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</si>
  <si>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</si>
  <si>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</si>
  <si>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</si>
  <si>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</si>
  <si>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</si>
  <si>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</si>
  <si>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</si>
  <si>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</si>
  <si>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</si>
  <si>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</si>
  <si>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</si>
  <si>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</si>
  <si>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</si>
  <si>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</si>
  <si>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</si>
  <si>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</si>
  <si>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</si>
  <si>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</si>
  <si>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</si>
  <si>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</si>
  <si>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</si>
  <si>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</si>
  <si>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</si>
  <si>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</si>
  <si>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</si>
  <si>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</si>
  <si>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</si>
  <si>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</si>
  <si>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</si>
  <si>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</si>
  <si>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</si>
  <si>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</si>
  <si>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</si>
  <si>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</si>
  <si>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</si>
  <si>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</si>
  <si>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</si>
  <si>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</si>
  <si>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</si>
  <si>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</si>
  <si>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</si>
  <si>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</si>
  <si>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</si>
  <si>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</si>
  <si>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</si>
  <si>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</si>
  <si>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</si>
  <si>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</si>
  <si>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</si>
  <si>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</si>
  <si>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</si>
  <si>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</si>
  <si>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</si>
  <si>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</si>
  <si>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</si>
  <si>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</si>
  <si>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</si>
  <si>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</si>
  <si>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</si>
  <si>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</si>
  <si>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</si>
  <si>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</si>
  <si>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</si>
  <si>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</si>
  <si>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</si>
  <si>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</si>
  <si>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</si>
  <si>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</si>
  <si>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</si>
  <si>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</si>
  <si>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</si>
  <si>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</si>
  <si>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</si>
  <si>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</si>
  <si>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</si>
  <si>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</si>
  <si>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</si>
  <si>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</si>
  <si>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</si>
  <si>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</si>
  <si>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</si>
  <si>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</si>
  <si>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</si>
  <si>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</si>
  <si>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</si>
  <si>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</si>
  <si>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</si>
  <si>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</si>
  <si>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</si>
  <si>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</si>
  <si>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</si>
  <si>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</si>
  <si>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</si>
  <si>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</si>
  <si>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</si>
  <si>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</si>
  <si>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</si>
  <si>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</si>
  <si>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</si>
  <si>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</si>
  <si>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</si>
  <si>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</si>
  <si>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</si>
  <si>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</si>
  <si>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</si>
  <si>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</si>
  <si>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</si>
  <si>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</si>
  <si>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</si>
  <si>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</si>
  <si>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</si>
  <si>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</si>
  <si>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</si>
  <si>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</si>
  <si>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</si>
  <si>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</si>
  <si>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</si>
  <si>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</si>
  <si>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</si>
  <si>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</si>
  <si>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</si>
  <si>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</si>
  <si>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</si>
  <si>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</si>
  <si>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</si>
  <si>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</si>
  <si>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</si>
  <si>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</si>
  <si>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</si>
  <si>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</si>
  <si>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</si>
  <si>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</si>
  <si>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</si>
  <si>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</si>
  <si>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</si>
  <si>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</si>
  <si>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</si>
  <si>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</si>
  <si>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</si>
  <si>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</si>
  <si>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</si>
  <si>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</si>
  <si>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</si>
  <si>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</si>
  <si>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</si>
  <si>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</si>
  <si>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</si>
  <si>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</si>
  <si>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</si>
  <si>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</si>
  <si>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</si>
  <si>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</si>
  <si>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</si>
  <si>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</si>
  <si>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</si>
  <si>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</si>
  <si>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</si>
  <si>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</si>
  <si>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</si>
  <si>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</si>
  <si>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</si>
  <si>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</si>
  <si>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</si>
  <si>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</si>
  <si>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</si>
  <si>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</si>
  <si>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</si>
  <si>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</si>
  <si>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</si>
  <si>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</si>
  <si>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</si>
  <si>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</si>
  <si>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</si>
  <si>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</si>
  <si>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</si>
  <si>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</si>
  <si>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</si>
  <si>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</si>
  <si>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</si>
  <si>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</si>
  <si>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</si>
  <si>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</si>
  <si>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</si>
  <si>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</si>
  <si>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</si>
  <si>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</si>
  <si>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</si>
  <si>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</si>
  <si>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</si>
  <si>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</si>
  <si>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</si>
  <si>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</si>
  <si>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</si>
  <si>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</si>
  <si>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</si>
  <si>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</si>
  <si>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</si>
  <si>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</si>
  <si>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</si>
  <si>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</si>
  <si>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</si>
  <si>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</si>
  <si>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</si>
  <si>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</si>
  <si>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</si>
  <si>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</si>
  <si>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</si>
  <si>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</si>
  <si>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</si>
  <si>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</si>
  <si>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</si>
  <si>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</si>
  <si>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</si>
  <si>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</si>
  <si>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</si>
  <si>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</si>
  <si>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</si>
  <si>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</si>
  <si>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</si>
  <si>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</si>
  <si>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</si>
  <si>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</si>
  <si>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</si>
  <si>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</si>
  <si>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</si>
  <si>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</si>
  <si>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</si>
  <si>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</si>
  <si>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</si>
  <si>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</si>
  <si>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</si>
  <si>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</si>
  <si>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</si>
  <si>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</si>
  <si>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</si>
  <si>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</si>
  <si>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</si>
  <si>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</si>
  <si>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</si>
  <si>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</si>
  <si>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</si>
  <si>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</si>
  <si>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</si>
  <si>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</si>
  <si>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</si>
  <si>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</si>
  <si>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</si>
  <si>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</si>
  <si>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</si>
  <si>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</si>
  <si>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</si>
  <si>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</si>
  <si>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</si>
  <si>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</si>
  <si>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</si>
  <si>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</si>
  <si>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</si>
  <si>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</si>
  <si>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</si>
  <si>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</si>
  <si>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</si>
  <si>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</si>
  <si>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</si>
  <si>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</si>
  <si>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</si>
  <si>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</si>
  <si>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</si>
  <si>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</si>
  <si>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</si>
  <si>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</si>
  <si>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</si>
  <si>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</si>
  <si>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</si>
  <si>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</si>
  <si>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</si>
  <si>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</si>
  <si>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</si>
  <si>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</si>
  <si>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</si>
  <si>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</si>
  <si>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</si>
  <si>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</si>
  <si>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</si>
  <si>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</si>
  <si>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</si>
  <si>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</si>
  <si>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</si>
  <si>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</si>
  <si>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</si>
  <si>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</si>
  <si>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</si>
  <si>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</si>
  <si>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</si>
  <si>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</si>
  <si>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</si>
  <si>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</si>
  <si>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</si>
  <si>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</si>
  <si>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</si>
  <si>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</si>
  <si>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</si>
  <si>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</si>
  <si>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</si>
  <si>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</si>
  <si>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</si>
  <si>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</si>
  <si>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</si>
  <si>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</si>
  <si>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</si>
  <si>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</si>
  <si>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</si>
  <si>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</si>
  <si>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</si>
  <si>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</si>
  <si>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</si>
  <si>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</si>
  <si>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</si>
  <si>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</si>
  <si>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</si>
  <si>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</si>
  <si>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</si>
  <si>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</si>
  <si>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</si>
  <si>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</si>
  <si>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</si>
  <si>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</si>
  <si>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</si>
  <si>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</si>
  <si>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</si>
  <si>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</si>
  <si>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</si>
  <si>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</si>
  <si>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</si>
  <si>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</si>
  <si>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</si>
  <si>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</si>
  <si>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</si>
  <si>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</si>
  <si>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</si>
  <si>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</si>
  <si>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</si>
  <si>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</si>
  <si>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</si>
  <si>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</si>
  <si>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</si>
  <si>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</si>
  <si>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</si>
  <si>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</si>
  <si>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</si>
  <si>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</si>
  <si>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</si>
  <si>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</si>
  <si>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</si>
  <si>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</si>
  <si>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</si>
  <si>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</si>
  <si>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</si>
  <si>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</si>
  <si>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</si>
  <si>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</si>
  <si>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</si>
  <si>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</si>
  <si>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</si>
  <si>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</si>
  <si>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</si>
  <si>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</si>
  <si>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</si>
  <si>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</si>
  <si>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</si>
  <si>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</si>
  <si>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</si>
  <si>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</si>
  <si>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</si>
  <si>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</si>
  <si>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</si>
  <si>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</si>
  <si>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</si>
  <si>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</si>
  <si>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</si>
  <si>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</si>
  <si>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</si>
  <si>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</si>
  <si>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</si>
  <si>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</si>
  <si>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</si>
  <si>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</si>
  <si>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</si>
  <si>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</si>
  <si>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</si>
  <si>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</si>
  <si>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</si>
  <si>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</si>
  <si>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</si>
  <si>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</si>
  <si>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</si>
  <si>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</si>
  <si>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</si>
  <si>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</si>
  <si>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</si>
  <si>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</si>
  <si>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</si>
  <si>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</si>
  <si>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</si>
  <si>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</si>
  <si>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</si>
  <si>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</si>
  <si>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Address: Central Park </t>
  </si>
  <si>
    <t xml:space="preserve">Al Faisal Mart </t>
  </si>
  <si>
    <t xml:space="preserve">Bajwa Center </t>
  </si>
  <si>
    <t xml:space="preserve">Shaheen Gocerry </t>
  </si>
  <si>
    <t xml:space="preserve">Al Taj Mart </t>
  </si>
  <si>
    <t xml:space="preserve">Al Noor Bakery </t>
  </si>
  <si>
    <t xml:space="preserve">Sufiyan Mart </t>
  </si>
  <si>
    <t>Hadi Store</t>
  </si>
  <si>
    <t>Yousaf Store</t>
  </si>
  <si>
    <t>Hafiz Super Store</t>
  </si>
  <si>
    <t>Gujjar Store</t>
  </si>
  <si>
    <t>Tanveer Store</t>
  </si>
  <si>
    <t>Bajwa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</si>
</sst>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F38" sqref="F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Al Faisal Mart </v>
      </c>
      <c r="T3" s="301">
        <f>+'1'!P35</f>
        <v>10802.526335847459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Bajwa Center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Shaheen Gocerry </v>
      </c>
      <c r="T5" s="301">
        <f>+'3'!P35</f>
        <v>5401.2631679237293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Al Taj Mart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84</v>
      </c>
      <c r="I7" s="235">
        <f>(G7*D7)*F7+H7*F7</f>
        <v>4406.8499999999995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352.54799999999994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154.23975000000002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3900.0622499999995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832.88135593220295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23.664718029661017</v>
      </c>
      <c r="P7" s="310">
        <f>M7+N7+O7</f>
        <v>4756.6083239618638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Al Noor Bakery </v>
      </c>
      <c r="T7" s="301">
        <f>+'5'!P35</f>
        <v>3528.2380332203388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44</v>
      </c>
      <c r="I8" s="236">
        <f t="shared" ref="I8:I14" si="0">(G8*D8)*F8+H8*F8</f>
        <v>2308.35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184.66800000000001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80.792249999999996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2042.8897499999998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436.27118644067775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12.395804682203391</v>
      </c>
      <c r="P8" s="311">
        <f t="shared" ref="P8:P15" si="2">M8+N8+O8</f>
        <v>2491.5567411228812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Sufiyan Mart </v>
      </c>
      <c r="T8" s="301">
        <f>+'6'!P35</f>
        <v>5401.2631679237293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104</v>
      </c>
      <c r="I9" s="236">
        <f t="shared" si="0"/>
        <v>5456.0999999999995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436.488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190.96350000000001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4828.6484999999993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1031.1864406779657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29.299174703389827</v>
      </c>
      <c r="P9" s="311">
        <f t="shared" si="2"/>
        <v>5889.1341153813555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Hadi Store</v>
      </c>
      <c r="T9" s="301">
        <f>+'7'!P35</f>
        <v>339.75773742584738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27.305324745762714</v>
      </c>
      <c r="P10" s="311">
        <f t="shared" si="2"/>
        <v>5488.3702738983056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Yousaf Store</v>
      </c>
      <c r="T10" s="301">
        <f>+'8'!P35</f>
        <v>679.51547485169476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70</v>
      </c>
      <c r="I11" s="236">
        <f t="shared" si="0"/>
        <v>5084.8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406.78399999999999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177.96800000000002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4500.0480000000007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961.01694915254234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27.305324745762711</v>
      </c>
      <c r="P11" s="311">
        <f t="shared" si="2"/>
        <v>5488.3702738983056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Hafiz Super Store</v>
      </c>
      <c r="T11" s="301">
        <f>+'9'!P35</f>
        <v>339.75773742584738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145</v>
      </c>
      <c r="I12" s="236">
        <f t="shared" si="0"/>
        <v>10532.8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842.62400000000014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368.64800000000008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9321.5279999999984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1990.6779661016947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56.561029830508467</v>
      </c>
      <c r="P12" s="311">
        <f t="shared" si="2"/>
        <v>11368.766995932203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Gujjar Store</v>
      </c>
      <c r="T12" s="301">
        <f>+'10'!P35</f>
        <v>339.75773742584738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Tanveer Store</v>
      </c>
      <c r="T13" s="301">
        <f>+'11'!P35</f>
        <v>339.75773742584738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Bajwa Mart</v>
      </c>
      <c r="T14" s="301">
        <f>+'12'!P35</f>
        <v>2038.5464245550845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12.925000000000001</v>
      </c>
      <c r="H16" s="113">
        <f t="shared" ref="H16:M16" si="3">SUM(H7:H15)</f>
        <v>517</v>
      </c>
      <c r="I16" s="114">
        <f t="shared" si="3"/>
        <v>32873.699999999997</v>
      </c>
      <c r="J16" s="274">
        <f>SUM(J7:J15)</f>
        <v>2629.8960000000002</v>
      </c>
      <c r="K16" s="275">
        <f t="shared" si="3"/>
        <v>1150.5795000000003</v>
      </c>
      <c r="L16" s="276">
        <f t="shared" si="3"/>
        <v>0</v>
      </c>
      <c r="M16" s="232">
        <f t="shared" si="3"/>
        <v>29093.224499999997</v>
      </c>
      <c r="N16" s="233">
        <f>SUM(N7:N15)</f>
        <v>6213.0508474576263</v>
      </c>
      <c r="O16" s="101">
        <f>SUM(O7:O15)</f>
        <v>176.53137673728813</v>
      </c>
      <c r="P16" s="113">
        <f>SUM(P7:P15)</f>
        <v>35482.80672419491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32873.699999999997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2629.8960000000002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1150.5795000000003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29093.224499999997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6213.0508474576263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35306.275347457624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176.53137673728813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35482.80672419491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35482.806724194917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800.65599999999995</v>
      </c>
      <c r="K25" s="275">
        <f t="shared" si="10"/>
        <v>350.28700000000003</v>
      </c>
      <c r="L25" s="276">
        <f t="shared" si="10"/>
        <v>0</v>
      </c>
      <c r="M25" s="232">
        <f t="shared" si="10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10008.200000000001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800.65599999999995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350.28700000000003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8857.2570000000014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10748.782423728815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74" t="s">
        <v>88</v>
      </c>
      <c r="O35" s="375"/>
      <c r="P35" s="297">
        <f>+P33+P34</f>
        <v>10802.526335847459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45</v>
      </c>
      <c r="I25" s="114">
        <f t="shared" si="7"/>
        <v>3268.7999999999997</v>
      </c>
      <c r="J25" s="274">
        <f>SUM(J16:J24)</f>
        <v>261.50399999999996</v>
      </c>
      <c r="K25" s="275">
        <f t="shared" si="7"/>
        <v>114.40800000000002</v>
      </c>
      <c r="L25" s="276">
        <f t="shared" si="7"/>
        <v>0</v>
      </c>
      <c r="M25" s="232">
        <f t="shared" si="7"/>
        <v>2892.8879999999999</v>
      </c>
      <c r="N25" s="233">
        <f>SUM(N16:N24)</f>
        <v>617.7966101694916</v>
      </c>
      <c r="O25" s="101">
        <f>SUM(O16:O24)</f>
        <v>17.553423050847456</v>
      </c>
      <c r="P25" s="234">
        <f>SUM(P16:P24)</f>
        <v>3528.2380332203393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3268.7999999999997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261.50399999999996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114.40800000000002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2892.8879999999999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617.7966101694916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3510.6846101694914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17.553423050847456</v>
      </c>
    </row>
    <row r="35" spans="2:16" ht="15.75" customHeight="1" thickBot="1" x14ac:dyDescent="0.4">
      <c r="N35" s="374" t="s">
        <v>88</v>
      </c>
      <c r="O35" s="375"/>
      <c r="P35" s="297">
        <f>+P33+P34</f>
        <v>3528.2380332203388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1888.6499999999999</v>
      </c>
      <c r="J25" s="274">
        <f>SUM(J16:J24)</f>
        <v>151.09199999999998</v>
      </c>
      <c r="K25" s="275">
        <f t="shared" si="7"/>
        <v>66.10275</v>
      </c>
      <c r="L25" s="276">
        <f t="shared" si="7"/>
        <v>0</v>
      </c>
      <c r="M25" s="232">
        <f t="shared" si="7"/>
        <v>1671.45525</v>
      </c>
      <c r="N25" s="233">
        <f>SUM(N16:N24)</f>
        <v>356.94915254237276</v>
      </c>
      <c r="O25" s="101">
        <f>SUM(O16:O24)</f>
        <v>10.142022012711863</v>
      </c>
      <c r="P25" s="234">
        <f>SUM(P16:P24)</f>
        <v>2038.5464245550847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1888.6499999999999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151.09199999999998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66.10275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1671.45525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2028.4044025423727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74" t="s">
        <v>88</v>
      </c>
      <c r="O35" s="375"/>
      <c r="P35" s="297">
        <f>+P33+P34</f>
        <v>2038.5464245550845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2026-10-26T05:34:27Z</dcterms:modified>
</cp:coreProperties>
</file>