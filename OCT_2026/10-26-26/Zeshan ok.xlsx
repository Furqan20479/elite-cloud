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E7140F5A-0BCA-4124-89A7-3106BDC995D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M16" i="48"/>
  <c r="M20" i="47"/>
  <c r="O20" i="47" s="1"/>
  <c r="P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<sst xmlns="http://schemas.openxmlformats.org/spreadsheetml/2006/main" count="3948" uniqueCount="531">
  <si>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</si>
  <si>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</si>
  <si>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</si>
  <si>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</si>
  <si>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</si>
  <si>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</si>
  <si>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</si>
  <si>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</si>
  <si>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</si>
  <si>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</si>
  <si>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</si>
  <si>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</si>
  <si>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</si>
  <si>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</si>
  <si>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</si>
  <si>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</si>
  <si>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</si>
  <si>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</si>
  <si>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</si>
  <si>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</si>
  <si>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</si>
  <si>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</si>
  <si>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</si>
  <si>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</si>
  <si>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</si>
  <si>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</si>
  <si>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</si>
  <si>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</si>
  <si>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</si>
  <si>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</si>
  <si>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</si>
  <si>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</si>
  <si>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</si>
  <si>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</si>
  <si>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</si>
  <si>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</si>
  <si>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</si>
  <si>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</si>
  <si>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</si>
  <si>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</si>
  <si>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</si>
  <si>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</si>
  <si>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</si>
  <si>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</si>
  <si>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</si>
  <si>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</si>
  <si>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</si>
  <si>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</si>
  <si>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</si>
  <si>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</si>
  <si>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</si>
  <si>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</si>
  <si>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</si>
  <si>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</si>
  <si>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</si>
  <si>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</si>
  <si>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</si>
  <si>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</si>
  <si>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</si>
  <si>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</si>
  <si>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</si>
  <si>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</si>
  <si>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</si>
  <si>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</si>
  <si>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</si>
  <si>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</si>
  <si>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</si>
  <si>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</si>
  <si>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</si>
  <si>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</si>
  <si>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</si>
  <si>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</si>
  <si>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</si>
  <si>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</si>
  <si>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</si>
  <si>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</si>
  <si>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</si>
  <si>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</si>
  <si>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</si>
  <si>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</si>
  <si>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</si>
  <si>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</si>
  <si>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</si>
  <si>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</si>
  <si>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</si>
  <si>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</si>
  <si>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</si>
  <si>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</si>
  <si>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</si>
  <si>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</si>
  <si>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</si>
  <si>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</si>
  <si>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</si>
  <si>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</si>
  <si>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</si>
  <si>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</si>
  <si>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</si>
  <si>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</si>
  <si>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</si>
  <si>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</si>
  <si>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</si>
  <si>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</si>
  <si>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</si>
  <si>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</si>
  <si>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</si>
  <si>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</si>
  <si>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</si>
  <si>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</si>
  <si>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</si>
  <si>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</si>
  <si>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</si>
  <si>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</si>
  <si>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</si>
  <si>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</si>
  <si>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</si>
  <si>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</si>
  <si>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</si>
  <si>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</si>
  <si>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</si>
  <si>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</si>
  <si>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</si>
  <si>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</si>
  <si>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</si>
  <si>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</si>
  <si>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</si>
  <si>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</si>
  <si>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</si>
  <si>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</si>
  <si>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</si>
  <si>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</si>
  <si>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</si>
  <si>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</si>
  <si>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</si>
  <si>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</si>
  <si>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</si>
  <si>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</si>
  <si>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</si>
  <si>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</si>
  <si>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</si>
  <si>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</si>
  <si>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</si>
  <si>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</si>
  <si>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</si>
  <si>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</si>
  <si>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</si>
  <si>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</si>
  <si>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</si>
  <si>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</si>
  <si>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</si>
  <si>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</si>
  <si>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</si>
  <si>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</si>
  <si>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</si>
  <si>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</si>
  <si>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</si>
  <si>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</si>
  <si>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</si>
  <si>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</si>
  <si>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</si>
  <si>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</si>
  <si>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</si>
  <si>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</si>
  <si>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</si>
  <si>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</si>
  <si>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</si>
  <si>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</si>
  <si>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</si>
  <si>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</si>
  <si>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</si>
  <si>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</si>
  <si>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</si>
  <si>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</si>
  <si>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</si>
  <si>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</si>
  <si>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</si>
  <si>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</si>
  <si>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</si>
  <si>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</si>
  <si>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</si>
  <si>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</si>
  <si>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</si>
  <si>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</si>
  <si>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</si>
  <si>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</si>
  <si>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</si>
  <si>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</si>
  <si>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</si>
  <si>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</si>
  <si>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</si>
  <si>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</si>
  <si>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</si>
  <si>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</si>
  <si>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</si>
  <si>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</si>
  <si>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</si>
  <si>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</si>
  <si>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</si>
  <si>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</si>
  <si>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</si>
  <si>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</si>
  <si>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</si>
  <si>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</si>
  <si>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</si>
  <si>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</si>
  <si>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</si>
  <si>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</si>
  <si>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</si>
  <si>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</si>
  <si>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</si>
  <si>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</si>
  <si>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</si>
  <si>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</si>
  <si>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</si>
  <si>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</si>
  <si>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</si>
  <si>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</si>
  <si>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</si>
  <si>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</si>
  <si>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</si>
  <si>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</si>
  <si>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</si>
  <si>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</si>
  <si>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</si>
  <si>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</si>
  <si>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</si>
  <si>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</si>
  <si>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</si>
  <si>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</si>
  <si>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</si>
  <si>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</si>
  <si>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</si>
  <si>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</si>
  <si>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</si>
  <si>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</si>
  <si>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</si>
  <si>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</si>
  <si>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</si>
  <si>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</si>
  <si>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</si>
  <si>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</si>
  <si>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</si>
  <si>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</si>
  <si>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</si>
  <si>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</si>
  <si>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</si>
  <si>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</si>
  <si>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</si>
  <si>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</si>
  <si>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</si>
  <si>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</si>
  <si>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</si>
  <si>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</si>
  <si>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</si>
  <si>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</si>
  <si>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</si>
  <si>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</si>
  <si>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</si>
  <si>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</si>
  <si>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</si>
  <si>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</si>
  <si>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</si>
  <si>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</si>
  <si>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</si>
  <si>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</si>
  <si>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</si>
  <si>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</si>
  <si>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</si>
  <si>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</si>
  <si>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</si>
  <si>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</si>
  <si>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</si>
  <si>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</si>
  <si>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</si>
  <si>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</si>
  <si>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</si>
  <si>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</si>
  <si>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</si>
  <si>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</si>
  <si>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</si>
  <si>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</si>
  <si>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</si>
  <si>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</si>
  <si>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</si>
  <si>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</si>
  <si>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</si>
  <si>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</si>
  <si>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</si>
  <si>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</si>
  <si>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</si>
  <si>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</si>
  <si>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</si>
  <si>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</si>
  <si>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</si>
  <si>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</si>
  <si>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</si>
  <si>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</si>
  <si>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</si>
  <si>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</si>
  <si>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</si>
  <si>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</si>
  <si>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</si>
  <si>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</si>
  <si>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</si>
  <si>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</si>
  <si>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</si>
  <si>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</si>
  <si>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</si>
  <si>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</si>
  <si>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</si>
  <si>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</si>
  <si>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</si>
  <si>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</si>
  <si>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</si>
  <si>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</si>
  <si>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</si>
  <si>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</si>
  <si>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</si>
  <si>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</si>
  <si>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</si>
  <si>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</si>
  <si>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</si>
  <si>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</si>
  <si>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</si>
  <si>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</si>
  <si>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</si>
  <si>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</si>
  <si>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</si>
  <si>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</si>
  <si>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</si>
  <si>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</si>
  <si>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</si>
  <si>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</si>
  <si>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</si>
  <si>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</si>
  <si>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</si>
  <si>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</si>
  <si>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</si>
  <si>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</si>
  <si>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</si>
  <si>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</si>
  <si>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</si>
  <si>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</si>
  <si>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</si>
  <si>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</si>
  <si>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</si>
  <si>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</si>
  <si>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</si>
  <si>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</si>
  <si>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</si>
  <si>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</si>
  <si>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</si>
  <si>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</si>
  <si>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</si>
  <si>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</si>
  <si>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</si>
  <si>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</si>
  <si>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</si>
  <si>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</si>
  <si>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</si>
  <si>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</si>
  <si>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</si>
  <si>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</si>
  <si>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</si>
  <si>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</si>
  <si>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</si>
  <si>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</si>
  <si>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</si>
  <si>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</si>
  <si>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</si>
  <si>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</si>
  <si>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</si>
  <si>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</si>
  <si>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</si>
  <si>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</si>
  <si>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</si>
  <si>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</si>
  <si>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</si>
  <si>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</si>
  <si>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</si>
  <si>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</si>
  <si>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</si>
  <si>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</si>
  <si>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</si>
  <si>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</si>
  <si>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</si>
  <si>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</si>
  <si>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</si>
  <si>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</si>
  <si>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</si>
  <si>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</si>
  <si>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</si>
  <si>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</si>
  <si>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</si>
  <si>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</si>
  <si>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</si>
  <si>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</si>
  <si>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</si>
  <si>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</si>
  <si>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</si>
  <si>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</si>
  <si>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</si>
  <si>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</si>
  <si>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</si>
  <si>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</si>
  <si>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</si>
  <si>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</si>
  <si>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</si>
  <si>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</si>
  <si>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</si>
  <si>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</si>
  <si>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</si>
  <si>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</si>
  <si>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</si>
  <si>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</si>
  <si>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</si>
  <si>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</si>
  <si>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</si>
  <si>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</si>
  <si>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</si>
  <si>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</si>
  <si>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</si>
  <si>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</si>
  <si>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</si>
  <si>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</si>
  <si>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</si>
  <si>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</si>
  <si>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</si>
  <si>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</si>
  <si>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</si>
  <si>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</si>
  <si>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</si>
  <si>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</si>
  <si>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</si>
  <si>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</si>
  <si>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</si>
  <si>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</si>
  <si>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</si>
  <si>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</si>
  <si>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</si>
  <si>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</si>
  <si>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</si>
  <si>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</si>
  <si>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</si>
  <si>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</si>
  <si>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</si>
  <si>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</si>
  <si>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</si>
  <si>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</si>
  <si>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</si>
  <si>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</si>
  <si>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</si>
  <si>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</si>
  <si>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</si>
  <si>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</si>
  <si>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</si>
  <si>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</si>
  <si>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</si>
  <si>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</si>
  <si>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</si>
  <si>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</si>
  <si>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</si>
  <si>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</si>
  <si>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</si>
  <si>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</si>
  <si>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</si>
  <si>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</si>
  <si>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</si>
  <si>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</si>
  <si>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</si>
  <si>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</si>
  <si>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</si>
  <si>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</si>
  <si>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</si>
  <si>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</si>
  <si>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</si>
  <si>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</si>
  <si>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</si>
  <si>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</si>
  <si>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</si>
  <si>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</si>
  <si>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</si>
  <si>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</si>
  <si>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</si>
  <si>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</si>
  <si>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</si>
  <si>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</si>
  <si>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</si>
  <si>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</si>
  <si>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</si>
  <si>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</si>
  <si>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</si>
  <si>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</si>
  <si>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</si>
  <si>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</si>
  <si>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</si>
  <si>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</si>
  <si>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</si>
  <si>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</si>
  <si>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</si>
  <si>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</si>
  <si>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</si>
  <si>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</si>
  <si>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</si>
  <si>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</si>
  <si>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</si>
  <si>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</si>
  <si>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</si>
  <si>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</si>
  <si>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</si>
  <si>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</si>
  <si>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</si>
  <si>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</si>
  <si>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</si>
  <si>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</si>
  <si>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</si>
  <si>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Address: Bedian Road</t>
  </si>
  <si>
    <t>Toheed Store</t>
  </si>
  <si>
    <t>Aslam Store</t>
  </si>
  <si>
    <t>Malik Store</t>
  </si>
  <si>
    <t>Mian Store</t>
  </si>
  <si>
    <t>MS Store</t>
  </si>
  <si>
    <t xml:space="preserve">Mazz Cash &amp; carry </t>
  </si>
  <si>
    <t>Luqman Store</t>
  </si>
  <si>
    <t>Yaseen Store</t>
  </si>
  <si>
    <t>Salem Store</t>
  </si>
  <si>
    <t>Khalil Store</t>
  </si>
  <si>
    <t>Jan store</t>
  </si>
  <si>
    <t>MM store</t>
  </si>
  <si>
    <t>Irfan Store</t>
  </si>
  <si>
    <t>Rehman Store</t>
  </si>
  <si>
    <t>Fakhir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</si>
</sst>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XEX51"/>
  <sheetViews>
    <sheetView tabSelected="1" topLeftCell="A7" workbookViewId="0">
      <selection activeCell="I18" sqref="I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Toheed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Store</v>
      </c>
      <c r="T4" s="301">
        <f>+'2'!P35</f>
        <v>784.05289627118646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Malik Store</v>
      </c>
      <c r="T5" s="301">
        <f>+'3'!P35</f>
        <v>784.05289627118646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Mian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3609.42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22.013201694915253</v>
      </c>
      <c r="P7" s="310">
        <f>M7+N7+O7</f>
        <v>4424.6535406779658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50</v>
      </c>
      <c r="R7" s="313">
        <v>5</v>
      </c>
      <c r="S7" s="300" t="str">
        <f>+'5'!A6:A6</f>
        <v>MS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440.685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3609.42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22.013201694915253</v>
      </c>
      <c r="P8" s="311">
        <f t="shared" ref="P8:P15" si="2">M8+N8+O8</f>
        <v>4424.6535406779658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 xml:space="preserve">Mazz Cash &amp; carry </v>
      </c>
      <c r="T8" s="301">
        <f>+'6'!P35</f>
        <v>28590.002547457629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440.685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3609.42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22.013201694915253</v>
      </c>
      <c r="P9" s="311">
        <f t="shared" si="2"/>
        <v>4424.6535406779658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Luqman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842.6239999999998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7569.0879999999997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46.082728135593229</v>
      </c>
      <c r="P10" s="311">
        <f t="shared" si="2"/>
        <v>9262.6283552542372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Yaseen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537.53600000000006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5070.2719999999999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30.842885423728809</v>
      </c>
      <c r="P11" s="311">
        <f t="shared" si="2"/>
        <v>6199.4199701694915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Salem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842.62399999999991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7569.0879999999997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46.082728135593214</v>
      </c>
      <c r="P12" s="311">
        <f t="shared" si="2"/>
        <v>9262.6283552542372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Khalil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Jan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MM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Irfan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</v>
      </c>
      <c r="H16" s="113">
        <f t="shared" ref="H16:M16" si="3">SUM(H7:H15)</f>
        <v>560</v>
      </c>
      <c r="I16" s="114">
        <f t="shared" si="3"/>
        <v>35835.800000000003</v>
      </c>
      <c r="J16" s="274">
        <f>SUM(J7:J15)</f>
        <v>3544.8389999999999</v>
      </c>
      <c r="K16" s="275">
        <f t="shared" si="3"/>
        <v>1254.2530000000002</v>
      </c>
      <c r="L16" s="276">
        <f t="shared" si="3"/>
        <v>0</v>
      </c>
      <c r="M16" s="232">
        <f t="shared" si="3"/>
        <v>31036.707999999999</v>
      </c>
      <c r="N16" s="233">
        <f>SUM(N7:N15)</f>
        <v>6772.8813559322025</v>
      </c>
      <c r="O16" s="101">
        <f>SUM(O7:O15)</f>
        <v>189.047946779661</v>
      </c>
      <c r="P16" s="113">
        <f>SUM(P7:P15)</f>
        <v>37998.637302711868</v>
      </c>
      <c r="Q16" s="128">
        <f>SUM(Q7:Q15)</f>
        <v>250</v>
      </c>
      <c r="R16" s="313">
        <v>14</v>
      </c>
      <c r="S16" s="315" t="str">
        <f>+'14'!A6:A6</f>
        <v>Rehman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Fakhir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35835.800000000003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3544.8389999999999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1254.2530000000002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31036.708000000002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37809.589355932207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189.047946779661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37998.637302711868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37998.637302711846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opLeftCell="A11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12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12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12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12">
        <v>40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12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topLeftCell="A2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440.685</v>
      </c>
      <c r="K16" s="127">
        <f>$I16*T16</f>
        <v>146.89500000000001</v>
      </c>
      <c r="L16" s="118">
        <f>$I16*U16</f>
        <v>0</v>
      </c>
      <c r="M16" s="229">
        <f>I16-SUM(J16:L16)</f>
        <v>3609.42</v>
      </c>
      <c r="N16" s="248">
        <f>+(G16*D16+H16)*V16</f>
        <v>793.22033898305051</v>
      </c>
      <c r="O16" s="238">
        <f>(N16+M16)*$O$15</f>
        <v>22.013201694915253</v>
      </c>
      <c r="P16" s="118">
        <f>M16+N16+O16</f>
        <v>4424.6535406779658</v>
      </c>
      <c r="Q16" s="318"/>
      <c r="S16" s="269">
        <v>0.105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440.685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3609.42</v>
      </c>
      <c r="N17" s="277">
        <f t="shared" ref="N17:N24" si="3">+(G17*D17+H17)*V17</f>
        <v>793.22033898305051</v>
      </c>
      <c r="O17" s="239">
        <f t="shared" ref="O17:O24" si="4">(N17+M17)*$O$15</f>
        <v>22.013201694915253</v>
      </c>
      <c r="P17" s="119">
        <f t="shared" ref="P17:P24" si="5">M17+N17+O17</f>
        <v>4424.6535406779658</v>
      </c>
      <c r="Q17" s="319"/>
      <c r="S17" s="269">
        <v>0.105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440.685</v>
      </c>
      <c r="K18" s="128">
        <f t="shared" si="1"/>
        <v>146.89500000000001</v>
      </c>
      <c r="L18" s="119">
        <f t="shared" si="1"/>
        <v>0</v>
      </c>
      <c r="M18" s="230">
        <f t="shared" si="2"/>
        <v>3609.42</v>
      </c>
      <c r="N18" s="277">
        <f t="shared" si="3"/>
        <v>793.22033898305051</v>
      </c>
      <c r="O18" s="239">
        <f t="shared" si="4"/>
        <v>22.013201694915253</v>
      </c>
      <c r="P18" s="119">
        <f t="shared" si="5"/>
        <v>4424.6535406779658</v>
      </c>
      <c r="Q18" s="319"/>
      <c r="S18" s="269">
        <v>0.105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610.17599999999993</v>
      </c>
      <c r="K19" s="128">
        <f t="shared" si="1"/>
        <v>203.39200000000002</v>
      </c>
      <c r="L19" s="119">
        <f t="shared" si="1"/>
        <v>0</v>
      </c>
      <c r="M19" s="230">
        <f t="shared" si="2"/>
        <v>4997.6319999999996</v>
      </c>
      <c r="N19" s="277">
        <f t="shared" si="3"/>
        <v>1098.3050847457628</v>
      </c>
      <c r="O19" s="239">
        <f t="shared" si="4"/>
        <v>30.47968542372881</v>
      </c>
      <c r="P19" s="119">
        <f t="shared" si="5"/>
        <v>6126.4167701694905</v>
      </c>
      <c r="Q19" s="319"/>
      <c r="S19" s="269">
        <v>0.105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305.08799999999997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2498.8159999999998</v>
      </c>
      <c r="N20" s="277">
        <f t="shared" si="3"/>
        <v>549.15254237288138</v>
      </c>
      <c r="O20" s="239">
        <f t="shared" si="4"/>
        <v>15.239842711864405</v>
      </c>
      <c r="P20" s="119">
        <f t="shared" si="5"/>
        <v>3063.2083850847453</v>
      </c>
      <c r="Q20" s="319"/>
      <c r="S20" s="269">
        <v>0.105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610.17599999999993</v>
      </c>
      <c r="K21" s="128">
        <f t="shared" si="1"/>
        <v>203.39200000000002</v>
      </c>
      <c r="L21" s="119">
        <f t="shared" si="1"/>
        <v>0</v>
      </c>
      <c r="M21" s="230">
        <f t="shared" si="2"/>
        <v>4997.6319999999996</v>
      </c>
      <c r="N21" s="277">
        <f t="shared" si="3"/>
        <v>1098.3050847457628</v>
      </c>
      <c r="O21" s="239">
        <f t="shared" si="4"/>
        <v>30.47968542372881</v>
      </c>
      <c r="P21" s="119">
        <f t="shared" si="5"/>
        <v>6126.4167701694905</v>
      </c>
      <c r="Q21" s="319"/>
      <c r="S21" s="269">
        <v>0.105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440</v>
      </c>
      <c r="I25" s="114">
        <f t="shared" si="7"/>
        <v>27119</v>
      </c>
      <c r="J25" s="274">
        <f>SUM(J16:J24)</f>
        <v>2847.4949999999999</v>
      </c>
      <c r="K25" s="275">
        <f t="shared" si="7"/>
        <v>949.16500000000019</v>
      </c>
      <c r="L25" s="276">
        <f t="shared" si="7"/>
        <v>0</v>
      </c>
      <c r="M25" s="232">
        <f t="shared" si="7"/>
        <v>23322.339999999997</v>
      </c>
      <c r="N25" s="233">
        <f>SUM(N16:N24)</f>
        <v>5125.4237288135582</v>
      </c>
      <c r="O25" s="101">
        <f>SUM(O16:O24)</f>
        <v>142.23881864406781</v>
      </c>
      <c r="P25" s="234">
        <f>SUM(P16:P24)</f>
        <v>28590.002547457621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27119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2847.4949999999999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949.16500000000019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23322.34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5125.4237288135582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28447.763728813559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142.23881864406781</v>
      </c>
    </row>
    <row r="35" spans="2:16" ht="15.75" customHeight="1" thickBot="1" x14ac:dyDescent="0.4">
      <c r="N35" s="374" t="s">
        <v>88</v>
      </c>
      <c r="O35" s="375"/>
      <c r="P35" s="297">
        <f>+P33+P34</f>
        <v>28590.002547457629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2026-10-26T10:35:19Z</dcterms:modified>
</cp:coreProperties>
</file>