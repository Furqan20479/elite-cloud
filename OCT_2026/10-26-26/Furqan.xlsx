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FD13579-4710-4516-AE43-11304782C3E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0" l="1"/>
  <c r="O20" i="50" s="1"/>
  <c r="P20" i="50" s="1"/>
  <c r="M18" i="48"/>
  <c r="M16" i="48"/>
  <c r="K12" i="62"/>
  <c r="M21" i="47"/>
  <c r="O21" i="47" s="1"/>
  <c r="P21" i="47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<sst xmlns="http://schemas.openxmlformats.org/spreadsheetml/2006/main" count="3948" uniqueCount="531">
  <si>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</si>
  <si>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</si>
  <si>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</si>
  <si>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</si>
  <si>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</si>
  <si>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</si>
  <si>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</si>
  <si>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</si>
  <si>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</si>
  <si>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</si>
  <si>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</si>
  <si>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</si>
  <si>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</si>
  <si>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</si>
  <si>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</si>
  <si>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</si>
  <si>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</si>
  <si>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</si>
  <si>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</si>
  <si>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</si>
  <si>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</si>
  <si>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</si>
  <si>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</si>
  <si>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</si>
  <si>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</si>
  <si>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</si>
  <si>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</si>
  <si>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</si>
  <si>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</si>
  <si>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</si>
  <si>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</si>
  <si>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</si>
  <si>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</si>
  <si>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</si>
  <si>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</si>
  <si>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</si>
  <si>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</si>
  <si>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</si>
  <si>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</si>
  <si>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</si>
  <si>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</si>
  <si>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</si>
  <si>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</si>
  <si>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</si>
  <si>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</si>
  <si>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</si>
  <si>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</si>
  <si>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</si>
  <si>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</si>
  <si>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</si>
  <si>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</si>
  <si>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</si>
  <si>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</si>
  <si>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</si>
  <si>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</si>
  <si>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</si>
  <si>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</si>
  <si>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</si>
  <si>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</si>
  <si>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</si>
  <si>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</si>
  <si>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</si>
  <si>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</si>
  <si>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</si>
  <si>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</si>
  <si>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</si>
  <si>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</si>
  <si>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</si>
  <si>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</si>
  <si>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</si>
  <si>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</si>
  <si>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</si>
  <si>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</si>
  <si>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</si>
  <si>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</si>
  <si>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</si>
  <si>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</si>
  <si>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</si>
  <si>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</si>
  <si>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</si>
  <si>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</si>
  <si>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</si>
  <si>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</si>
  <si>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</si>
  <si>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</si>
  <si>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</si>
  <si>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</si>
  <si>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</si>
  <si>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</si>
  <si>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</si>
  <si>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</si>
  <si>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</si>
  <si>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</si>
  <si>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</si>
  <si>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</si>
  <si>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</si>
  <si>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</si>
  <si>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</si>
  <si>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</si>
  <si>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</si>
  <si>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</si>
  <si>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</si>
  <si>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</si>
  <si>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</si>
  <si>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</si>
  <si>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</si>
  <si>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</si>
  <si>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</si>
  <si>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</si>
  <si>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</si>
  <si>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</si>
  <si>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</si>
  <si>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</si>
  <si>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</si>
  <si>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</si>
  <si>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</si>
  <si>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</si>
  <si>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</si>
  <si>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</si>
  <si>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</si>
  <si>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</si>
  <si>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</si>
  <si>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</si>
  <si>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</si>
  <si>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</si>
  <si>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</si>
  <si>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</si>
  <si>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</si>
  <si>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</si>
  <si>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</si>
  <si>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</si>
  <si>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</si>
  <si>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</si>
  <si>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</si>
  <si>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</si>
  <si>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</si>
  <si>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</si>
  <si>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</si>
  <si>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</si>
  <si>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</si>
  <si>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</si>
  <si>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</si>
  <si>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</si>
  <si>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</si>
  <si>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</si>
  <si>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</si>
  <si>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</si>
  <si>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</si>
  <si>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</si>
  <si>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</si>
  <si>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</si>
  <si>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</si>
  <si>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</si>
  <si>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</si>
  <si>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</si>
  <si>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</si>
  <si>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</si>
  <si>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</si>
  <si>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</si>
  <si>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</si>
  <si>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</si>
  <si>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</si>
  <si>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</si>
  <si>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</si>
  <si>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</si>
  <si>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</si>
  <si>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</si>
  <si>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</si>
  <si>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</si>
  <si>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</si>
  <si>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</si>
  <si>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</si>
  <si>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</si>
  <si>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</si>
  <si>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</si>
  <si>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</si>
  <si>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</si>
  <si>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</si>
  <si>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</si>
  <si>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</si>
  <si>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</si>
  <si>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</si>
  <si>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</si>
  <si>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</si>
  <si>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</si>
  <si>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</si>
  <si>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</si>
  <si>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</si>
  <si>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</si>
  <si>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</si>
  <si>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</si>
  <si>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</si>
  <si>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</si>
  <si>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</si>
  <si>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</si>
  <si>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</si>
  <si>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</si>
  <si>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</si>
  <si>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</si>
  <si>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</si>
  <si>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</si>
  <si>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</si>
  <si>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</si>
  <si>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</si>
  <si>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</si>
  <si>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</si>
  <si>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</si>
  <si>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</si>
  <si>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</si>
  <si>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</si>
  <si>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</si>
  <si>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</si>
  <si>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</si>
  <si>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</si>
  <si>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</si>
  <si>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</si>
  <si>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</si>
  <si>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</si>
  <si>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</si>
  <si>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</si>
  <si>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</si>
  <si>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</si>
  <si>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</si>
  <si>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</si>
  <si>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</si>
  <si>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</si>
  <si>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</si>
  <si>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</si>
  <si>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</si>
  <si>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</si>
  <si>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</si>
  <si>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</si>
  <si>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</si>
  <si>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</si>
  <si>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</si>
  <si>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</si>
  <si>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</si>
  <si>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</si>
  <si>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</si>
  <si>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</si>
  <si>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</si>
  <si>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</si>
  <si>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</si>
  <si>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</si>
  <si>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</si>
  <si>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</si>
  <si>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</si>
  <si>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</si>
  <si>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</si>
  <si>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</si>
  <si>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</si>
  <si>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</si>
  <si>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</si>
  <si>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</si>
  <si>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</si>
  <si>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</si>
  <si>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</si>
  <si>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</si>
  <si>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</si>
  <si>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</si>
  <si>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</si>
  <si>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</si>
  <si>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</si>
  <si>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</si>
  <si>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</si>
  <si>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</si>
  <si>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</si>
  <si>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</si>
  <si>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</si>
  <si>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</si>
  <si>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</si>
  <si>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</si>
  <si>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</si>
  <si>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</si>
  <si>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</si>
  <si>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</si>
  <si>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</si>
  <si>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</si>
  <si>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</si>
  <si>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</si>
  <si>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</si>
  <si>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</si>
  <si>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</si>
  <si>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</si>
  <si>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</si>
  <si>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</si>
  <si>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</si>
  <si>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</si>
  <si>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</si>
  <si>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</si>
  <si>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</si>
  <si>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</si>
  <si>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</si>
  <si>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</si>
  <si>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</si>
  <si>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</si>
  <si>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</si>
  <si>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</si>
  <si>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</si>
  <si>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</si>
  <si>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</si>
  <si>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</si>
  <si>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</si>
  <si>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</si>
  <si>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</si>
  <si>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</si>
  <si>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</si>
  <si>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</si>
  <si>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</si>
  <si>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</si>
  <si>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</si>
  <si>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</si>
  <si>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</si>
  <si>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</si>
  <si>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</si>
  <si>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</si>
  <si>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</si>
  <si>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</si>
  <si>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</si>
  <si>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</si>
  <si>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</si>
  <si>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</si>
  <si>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</si>
  <si>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</si>
  <si>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</si>
  <si>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</si>
  <si>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</si>
  <si>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</si>
  <si>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</si>
  <si>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</si>
  <si>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</si>
  <si>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</si>
  <si>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</si>
  <si>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</si>
  <si>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</si>
  <si>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</si>
  <si>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</si>
  <si>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</si>
  <si>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</si>
  <si>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</si>
  <si>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</si>
  <si>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</si>
  <si>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</si>
  <si>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</si>
  <si>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</si>
  <si>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</si>
  <si>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</si>
  <si>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</si>
  <si>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</si>
  <si>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</si>
  <si>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</si>
  <si>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</si>
  <si>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</si>
  <si>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</si>
  <si>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</si>
  <si>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</si>
  <si>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</si>
  <si>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</si>
  <si>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</si>
  <si>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</si>
  <si>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</si>
  <si>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</si>
  <si>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</si>
  <si>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</si>
  <si>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</si>
  <si>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</si>
  <si>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</si>
  <si>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</si>
  <si>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</si>
  <si>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</si>
  <si>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</si>
  <si>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</si>
  <si>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</si>
  <si>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</si>
  <si>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</si>
  <si>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</si>
  <si>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</si>
  <si>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</si>
  <si>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</si>
  <si>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</si>
  <si>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</si>
  <si>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</si>
  <si>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</si>
  <si>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</si>
  <si>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</si>
  <si>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</si>
  <si>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</si>
  <si>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</si>
  <si>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</si>
  <si>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</si>
  <si>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</si>
  <si>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</si>
  <si>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</si>
  <si>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</si>
  <si>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</si>
  <si>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</si>
  <si>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</si>
  <si>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</si>
  <si>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</si>
  <si>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</si>
  <si>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</si>
  <si>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</si>
  <si>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</si>
  <si>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</si>
  <si>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</si>
  <si>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</si>
  <si>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</si>
  <si>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</si>
  <si>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</si>
  <si>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</si>
  <si>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</si>
  <si>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</si>
  <si>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</si>
  <si>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</si>
  <si>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</si>
  <si>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</si>
  <si>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</si>
  <si>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</si>
  <si>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</si>
  <si>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</si>
  <si>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</si>
  <si>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</si>
  <si>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</si>
  <si>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</si>
  <si>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</si>
  <si>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</si>
  <si>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</si>
  <si>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</si>
  <si>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</si>
  <si>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</si>
  <si>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</si>
  <si>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</si>
  <si>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</si>
  <si>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</si>
  <si>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</si>
  <si>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</si>
  <si>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</si>
  <si>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</si>
  <si>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</si>
  <si>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</si>
  <si>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</si>
  <si>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</si>
  <si>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</si>
  <si>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</si>
  <si>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</si>
  <si>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</si>
  <si>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</si>
  <si>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</si>
  <si>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</si>
  <si>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</si>
  <si>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</si>
  <si>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</si>
  <si>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</si>
  <si>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</si>
  <si>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</si>
  <si>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</si>
  <si>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</si>
  <si>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</si>
  <si>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</si>
  <si>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</si>
  <si>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</si>
  <si>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</si>
  <si>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</si>
  <si>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</si>
  <si>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</si>
  <si>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</si>
  <si>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</si>
  <si>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</si>
  <si>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</si>
  <si>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</si>
  <si>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</si>
  <si>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</si>
  <si>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</si>
  <si>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</si>
  <si>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</si>
  <si>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</si>
  <si>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</si>
  <si>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</si>
  <si>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</si>
  <si>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</si>
  <si>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</si>
  <si>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</si>
  <si>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</si>
  <si>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</si>
  <si>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</si>
  <si>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</si>
  <si>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</si>
  <si>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</si>
  <si>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</si>
  <si>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</si>
  <si>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</si>
  <si>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</si>
  <si>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</si>
  <si>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</si>
  <si>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</si>
  <si>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</si>
  <si>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</si>
  <si>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</si>
  <si>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</si>
  <si>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</si>
  <si>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</si>
  <si>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</si>
  <si>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</si>
  <si>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</si>
  <si>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</si>
  <si>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</si>
  <si>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</si>
  <si>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</si>
  <si>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</si>
  <si>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</si>
  <si>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</si>
  <si>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</si>
  <si>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</si>
  <si>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</si>
  <si>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</si>
  <si>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AB Store</t>
  </si>
  <si>
    <t>Address: Qadri Colony</t>
  </si>
  <si>
    <t>Bismillah Medical Store</t>
  </si>
  <si>
    <t>Rana Super Store</t>
  </si>
  <si>
    <t>TLP Store</t>
  </si>
  <si>
    <t>Madina Medical Store</t>
  </si>
  <si>
    <t>Address:Yasrab Cpolony</t>
  </si>
  <si>
    <t>Khan Yousaf Zai Store</t>
  </si>
  <si>
    <t>Address:Work Shp Bazar</t>
  </si>
  <si>
    <t>Ahmad Store]</t>
  </si>
  <si>
    <t>Address:Peer colony</t>
  </si>
  <si>
    <t xml:space="preserve">Walton Medical </t>
  </si>
  <si>
    <t xml:space="preserve">New Sweets &amp; Bakers </t>
  </si>
  <si>
    <t xml:space="preserve">Iftakhar Pharmacy </t>
  </si>
  <si>
    <t>Zahir Store</t>
  </si>
  <si>
    <t xml:space="preserve">Address: Bilal Colony Al noor Town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</si>
</sst>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46321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AB Store</v>
      </c>
      <c r="T3" s="301">
        <f>+'1'!P35</f>
        <v>4599.7888504576276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Bismillah Medical Store</v>
      </c>
      <c r="T4" s="301">
        <f>+'2'!P35</f>
        <v>1359.0309497033895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Rana Super Store</v>
      </c>
      <c r="T5" s="301">
        <f>+'3'!P35</f>
        <v>2265.051582838983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TLP Store</v>
      </c>
      <c r="T6" s="301">
        <f>+'4'!P35</f>
        <v>705.64760664406776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68</v>
      </c>
      <c r="I7" s="235">
        <f>(G7*D7)*F7+H7*F7</f>
        <v>3567.45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285.39599999999996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124.86075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3157.1932499999998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674.23728813559273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19.157152690677965</v>
      </c>
      <c r="P7" s="310">
        <f>M7+N7+O7</f>
        <v>3850.5876908262703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Madina Medical Store</v>
      </c>
      <c r="T7" s="301">
        <f>+'5'!P35</f>
        <v>2265.051582838983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65</v>
      </c>
      <c r="I8" s="236">
        <f t="shared" ref="I8:I14" si="0">(G8*D8)*F8+H8*F8</f>
        <v>3410.0625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272.80500000000001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119.35218749999999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3017.9053125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644.49152542372849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18.311984189618645</v>
      </c>
      <c r="P8" s="311">
        <f t="shared" ref="P8:P15" si="2">M8+N8+O8</f>
        <v>3680.7088221133472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Khan Yousaf Zai Store</v>
      </c>
      <c r="T8" s="301">
        <f>+'6'!P35</f>
        <v>5401.2631679237284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132</v>
      </c>
      <c r="I9" s="236">
        <f t="shared" si="0"/>
        <v>6925.05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554.00399999999991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242.37674999999996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6128.6692500000008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1308.8135593220331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37.187414046610165</v>
      </c>
      <c r="P9" s="311">
        <f t="shared" si="2"/>
        <v>7474.6702233686437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Ahmad Store]</v>
      </c>
      <c r="T9" s="301">
        <f>+'7'!P35</f>
        <v>5401.2631679237284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34</v>
      </c>
      <c r="I10" s="236">
        <f t="shared" si="0"/>
        <v>2469.7600000000002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197.58079999999998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86.441600000000008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2185.7376000000004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466.77966101694921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13.262586305084746</v>
      </c>
      <c r="P10" s="311">
        <f t="shared" si="2"/>
        <v>2665.7798473220346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Walton Medical </v>
      </c>
      <c r="T10" s="301">
        <f>+'8'!P35</f>
        <v>339.75773742584738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36</v>
      </c>
      <c r="I11" s="236">
        <f t="shared" si="0"/>
        <v>2615.04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209.20320000000001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91.52640000000001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2314.3103999999998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494.23728813559319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14.042738440677965</v>
      </c>
      <c r="P11" s="311">
        <f t="shared" si="2"/>
        <v>2822.5904265762711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New Sweets &amp; Bakers </v>
      </c>
      <c r="T11" s="301">
        <f>+'9'!P35</f>
        <v>405.09473759427954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46</v>
      </c>
      <c r="I12" s="236">
        <f t="shared" si="0"/>
        <v>3341.44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267.3152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116.95040000000002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2957.1743999999999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631.52542372881362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17.94349911864407</v>
      </c>
      <c r="P12" s="311">
        <f t="shared" si="2"/>
        <v>3606.6433228474575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Iftakhar Pharmacy </v>
      </c>
      <c r="T12" s="301">
        <f>+'10'!P35</f>
        <v>679.51547485169476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Zahir Store</v>
      </c>
      <c r="T13" s="301">
        <f>+'11'!P35</f>
        <v>679.51547485169476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9.5250000000000004</v>
      </c>
      <c r="H16" s="113">
        <f t="shared" ref="H16:M16" si="3">SUM(H7:H15)</f>
        <v>381</v>
      </c>
      <c r="I16" s="114">
        <f t="shared" si="3"/>
        <v>22328.802499999998</v>
      </c>
      <c r="J16" s="274">
        <f>SUM(J7:J15)</f>
        <v>1786.3041999999998</v>
      </c>
      <c r="K16" s="275">
        <f t="shared" si="3"/>
        <v>781.50808749999999</v>
      </c>
      <c r="L16" s="276">
        <f t="shared" si="3"/>
        <v>0</v>
      </c>
      <c r="M16" s="232">
        <f t="shared" si="3"/>
        <v>19760.990212500001</v>
      </c>
      <c r="N16" s="233">
        <f>SUM(N7:N15)</f>
        <v>4220.0847457627106</v>
      </c>
      <c r="O16" s="101">
        <f>SUM(O7:O15)</f>
        <v>119.90537479131356</v>
      </c>
      <c r="P16" s="113">
        <f>SUM(P7:P15)</f>
        <v>24100.980333054024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22328.802499999998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1786.3041999999998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781.50808749999999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19760.990212500001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4220.0847457627106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23981.07495826271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119.90537479131356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24100.980333054024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24100.98033305402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24</v>
      </c>
      <c r="I18" s="236">
        <f t="shared" ref="I18:I21" si="7">(G18*D18)*F18+H18*F18</f>
        <v>1259.0999999999999</v>
      </c>
      <c r="J18" s="272">
        <f t="shared" si="1"/>
        <v>100.72799999999999</v>
      </c>
      <c r="K18" s="128">
        <f t="shared" si="1"/>
        <v>44.0685</v>
      </c>
      <c r="L18" s="119">
        <f t="shared" si="1"/>
        <v>0</v>
      </c>
      <c r="M18" s="230">
        <f t="shared" si="2"/>
        <v>1114.3035</v>
      </c>
      <c r="N18" s="277">
        <f t="shared" si="3"/>
        <v>237.96610169491515</v>
      </c>
      <c r="O18" s="239">
        <f t="shared" si="4"/>
        <v>6.7613480084745756</v>
      </c>
      <c r="P18" s="119">
        <f t="shared" si="5"/>
        <v>1359.0309497033898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72</v>
      </c>
      <c r="I25" s="114">
        <f t="shared" ref="I25:M25" si="10">SUM(I16:I24)</f>
        <v>4261.5600000000004</v>
      </c>
      <c r="J25" s="274">
        <f>SUM(J16:J24)</f>
        <v>340.9248</v>
      </c>
      <c r="K25" s="275">
        <f t="shared" si="10"/>
        <v>149.15460000000002</v>
      </c>
      <c r="L25" s="276">
        <f t="shared" si="10"/>
        <v>0</v>
      </c>
      <c r="M25" s="232">
        <f t="shared" si="10"/>
        <v>3771.4805999999999</v>
      </c>
      <c r="N25" s="233">
        <f>SUM(N16:N24)</f>
        <v>805.42372881355914</v>
      </c>
      <c r="O25" s="101">
        <f>SUM(O16:O24)</f>
        <v>22.884521644067796</v>
      </c>
      <c r="P25" s="234">
        <f>SUM(P16:P24)</f>
        <v>4599.7888504576267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4261.5600000000004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340.9248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149.15460000000002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3771.4806000000008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805.42372881355914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4576.9043288135599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22.884521644067799</v>
      </c>
    </row>
    <row r="35" spans="2:16" ht="15.75" customHeight="1" thickBot="1" x14ac:dyDescent="0.4">
      <c r="N35" s="374" t="s">
        <v>88</v>
      </c>
      <c r="O35" s="375"/>
      <c r="P35" s="297">
        <f>+P33+P34</f>
        <v>4599.7888504576276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24</v>
      </c>
      <c r="I18" s="236">
        <f t="shared" si="0"/>
        <v>1259.0999999999999</v>
      </c>
      <c r="J18" s="272">
        <f t="shared" si="1"/>
        <v>100.72799999999999</v>
      </c>
      <c r="K18" s="128">
        <f t="shared" si="1"/>
        <v>44.0685</v>
      </c>
      <c r="L18" s="119">
        <f t="shared" si="1"/>
        <v>0</v>
      </c>
      <c r="M18" s="230">
        <f t="shared" si="2"/>
        <v>1114.3035</v>
      </c>
      <c r="N18" s="277">
        <f t="shared" si="3"/>
        <v>237.96610169491515</v>
      </c>
      <c r="O18" s="239">
        <f t="shared" si="4"/>
        <v>6.7613480084745756</v>
      </c>
      <c r="P18" s="119">
        <f t="shared" si="5"/>
        <v>1359.0309497033898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1259.0999999999999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100.72799999999999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44.0685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1114.3034999999998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1352.2696016949149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74" t="s">
        <v>88</v>
      </c>
      <c r="O35" s="375"/>
      <c r="P35" s="297">
        <f>+P33+P34</f>
        <v>1359.0309497033895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9</v>
      </c>
      <c r="I25" s="114">
        <f t="shared" si="7"/>
        <v>653.76</v>
      </c>
      <c r="J25" s="274">
        <f>SUM(J16:J24)</f>
        <v>52.30080000000001</v>
      </c>
      <c r="K25" s="275">
        <f t="shared" si="7"/>
        <v>22.881600000000002</v>
      </c>
      <c r="L25" s="276">
        <f t="shared" si="7"/>
        <v>0</v>
      </c>
      <c r="M25" s="232">
        <f t="shared" si="7"/>
        <v>578.57760000000007</v>
      </c>
      <c r="N25" s="233">
        <f>SUM(N16:N24)</f>
        <v>123.55932203389831</v>
      </c>
      <c r="O25" s="101">
        <f>SUM(O16:O24)</f>
        <v>3.5106846101694917</v>
      </c>
      <c r="P25" s="234">
        <f>SUM(P16:P24)</f>
        <v>705.64760664406776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653.76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52.30080000000001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22.881600000000002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578.57759999999996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123.55932203389831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702.13692203389826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3.5106846101694913</v>
      </c>
    </row>
    <row r="35" spans="2:16" ht="15.75" customHeight="1" thickBot="1" x14ac:dyDescent="0.4">
      <c r="N35" s="374" t="s">
        <v>88</v>
      </c>
      <c r="O35" s="375"/>
      <c r="P35" s="297">
        <f>+P33+P34</f>
        <v>705.64760664406776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</v>
      </c>
      <c r="I16" s="235">
        <f>(G16*D16)*F16+H16*F16</f>
        <v>52.462499999999999</v>
      </c>
      <c r="J16" s="271">
        <f>$I16*S16</f>
        <v>4.1970000000000001</v>
      </c>
      <c r="K16" s="127">
        <f>$I16*T16</f>
        <v>1.8361875000000001</v>
      </c>
      <c r="L16" s="118">
        <f>$I16*U16</f>
        <v>0</v>
      </c>
      <c r="M16" s="229">
        <f>I16-SUM(J16:L16)</f>
        <v>46.429312499999995</v>
      </c>
      <c r="N16" s="248">
        <f>+(G16*D16+H16)*V16</f>
        <v>9.9152542372881314</v>
      </c>
      <c r="O16" s="238">
        <f>(N16+M16)*$O$15</f>
        <v>0.28172283368644063</v>
      </c>
      <c r="P16" s="118">
        <f>M16+N16+O16</f>
        <v>56.626289570974564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</v>
      </c>
      <c r="I17" s="236">
        <f t="shared" ref="I17:I23" si="0">(G17*D17)*F17+H17*F17</f>
        <v>52.462499999999999</v>
      </c>
      <c r="J17" s="272">
        <f t="shared" ref="J17:L24" si="1">$I17*S17</f>
        <v>4.1970000000000001</v>
      </c>
      <c r="K17" s="128">
        <f>$I17*T17</f>
        <v>1.8361875000000001</v>
      </c>
      <c r="L17" s="119">
        <f>$I17*U17</f>
        <v>0</v>
      </c>
      <c r="M17" s="230">
        <f t="shared" ref="M17:M24" si="2">I17-SUM(J17:L17)</f>
        <v>46.429312499999995</v>
      </c>
      <c r="N17" s="277">
        <f t="shared" ref="N17:N24" si="3">+(G17*D17+H17)*V17</f>
        <v>9.9152542372881314</v>
      </c>
      <c r="O17" s="239">
        <f t="shared" ref="O17:O24" si="4">(N17+M17)*$O$15</f>
        <v>0.28172283368644063</v>
      </c>
      <c r="P17" s="119">
        <f t="shared" ref="P17:P24" si="5">M17+N17+O17</f>
        <v>56.626289570974564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</v>
      </c>
      <c r="I18" s="236">
        <f t="shared" si="0"/>
        <v>52.462499999999999</v>
      </c>
      <c r="J18" s="272">
        <f t="shared" si="1"/>
        <v>4.1970000000000001</v>
      </c>
      <c r="K18" s="128">
        <f t="shared" si="1"/>
        <v>1.8361875000000001</v>
      </c>
      <c r="L18" s="119">
        <f t="shared" si="1"/>
        <v>0</v>
      </c>
      <c r="M18" s="230">
        <f t="shared" si="2"/>
        <v>46.429312499999995</v>
      </c>
      <c r="N18" s="277">
        <f t="shared" si="3"/>
        <v>9.9152542372881314</v>
      </c>
      <c r="O18" s="239">
        <f t="shared" si="4"/>
        <v>0.28172283368644063</v>
      </c>
      <c r="P18" s="119">
        <f t="shared" si="5"/>
        <v>56.626289570974564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119">
        <f t="shared" si="5"/>
        <v>78.405289627118648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119">
        <f t="shared" si="5"/>
        <v>78.405289627118648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375.30749999999995</v>
      </c>
      <c r="J25" s="274">
        <f>SUM(J16:J24)</f>
        <v>30.0246</v>
      </c>
      <c r="K25" s="275">
        <f t="shared" si="7"/>
        <v>13.135762500000002</v>
      </c>
      <c r="L25" s="276">
        <f t="shared" si="7"/>
        <v>0</v>
      </c>
      <c r="M25" s="232">
        <f t="shared" si="7"/>
        <v>332.14713750000004</v>
      </c>
      <c r="N25" s="233">
        <f>SUM(N16:N24)</f>
        <v>70.932203389830505</v>
      </c>
      <c r="O25" s="101">
        <f>SUM(O16:O24)</f>
        <v>2.0153967044491523</v>
      </c>
      <c r="P25" s="234">
        <f>SUM(P16:P24)</f>
        <v>405.09473759427959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375.30749999999995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30.0246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13.135762500000002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332.14713749999993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70.932203389830505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403.07934088983041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2.0153967044491519</v>
      </c>
    </row>
    <row r="35" spans="2:16" ht="15.75" customHeight="1" thickBot="1" x14ac:dyDescent="0.4">
      <c r="N35" s="374" t="s">
        <v>88</v>
      </c>
      <c r="O35" s="375"/>
      <c r="P35" s="297">
        <f>+P33+P34</f>
        <v>405.09473759427954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50.363999999999997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50.363999999999997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2026-10-26T05:18:07Z</dcterms:modified>
</cp:coreProperties>
</file>