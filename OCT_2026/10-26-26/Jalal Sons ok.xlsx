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DDE6E6A-A401-46DD-A4F2-5C786B6EDBE3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3" l="1"/>
  <c r="J7" i="62"/>
  <c r="M20" i="43"/>
  <c r="O20" i="43" s="1"/>
  <c r="P20" i="43" s="1"/>
  <c r="M21" i="43"/>
  <c r="O21" i="43" s="1"/>
  <c r="P21" i="43" s="1"/>
  <c r="K12" i="62"/>
  <c r="M16" i="48"/>
  <c r="M20" i="71"/>
  <c r="O20" i="71" s="1"/>
  <c r="P20" i="71" s="1"/>
  <c r="R20" i="71" s="1"/>
  <c r="M16" i="60"/>
  <c r="O16" i="60" s="1"/>
  <c r="P16" i="60" s="1"/>
  <c r="M16" i="58"/>
  <c r="O16" i="58" s="1"/>
  <c r="P16" i="58" s="1"/>
  <c r="M16" i="59"/>
  <c r="M21" i="51"/>
  <c r="M16" i="66"/>
  <c r="O16" i="66" s="1"/>
  <c r="M16" i="44"/>
  <c r="O16" i="44" s="1"/>
  <c r="M20" i="70"/>
  <c r="O20" i="70" s="1"/>
  <c r="P20" i="70" s="1"/>
  <c r="R20" i="70" s="1"/>
  <c r="M16" i="64"/>
  <c r="M16" i="65"/>
  <c r="M16" i="72"/>
  <c r="O16" i="72" s="1"/>
  <c r="P16" i="72" s="1"/>
  <c r="M18" i="67"/>
  <c r="O18" i="67" s="1"/>
  <c r="P18" i="67" s="1"/>
  <c r="M21" i="68"/>
  <c r="O21" i="68" s="1"/>
  <c r="P21" i="68" s="1"/>
  <c r="M17" i="60"/>
  <c r="O17" i="60" s="1"/>
  <c r="P17" i="60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O25" i="48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<sst xmlns="http://schemas.openxmlformats.org/spreadsheetml/2006/main" count="3976" uniqueCount="519">
  <si>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</si>
  <si>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</si>
  <si>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</si>
  <si>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</si>
  <si>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</si>
  <si>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</si>
  <si>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</si>
  <si>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</si>
  <si>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</si>
  <si>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</si>
  <si>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</si>
  <si>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</si>
  <si>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</si>
  <si>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</si>
  <si>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</si>
  <si>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</si>
  <si>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</si>
  <si>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</si>
  <si>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</si>
  <si>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</si>
  <si>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</si>
  <si>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</si>
  <si>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</si>
  <si>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</si>
  <si>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</si>
  <si>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</si>
  <si>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</si>
  <si>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</si>
  <si>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</si>
  <si>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</si>
  <si>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</si>
  <si>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</si>
  <si>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</si>
  <si>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</si>
  <si>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</si>
  <si>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</si>
  <si>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</si>
  <si>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</si>
  <si>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</si>
  <si>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</si>
  <si>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</si>
  <si>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</si>
  <si>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</si>
  <si>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</si>
  <si>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</si>
  <si>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</si>
  <si>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</si>
  <si>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</si>
  <si>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</si>
  <si>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</si>
  <si>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</si>
  <si>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</si>
  <si>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</si>
  <si>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</si>
  <si>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</si>
  <si>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</si>
  <si>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</si>
  <si>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</si>
  <si>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</si>
  <si>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</si>
  <si>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</si>
  <si>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</si>
  <si>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</si>
  <si>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</si>
  <si>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</si>
  <si>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</si>
  <si>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</si>
  <si>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</si>
  <si>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</si>
  <si>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</si>
  <si>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</si>
  <si>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</si>
  <si>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</si>
  <si>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</si>
  <si>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</si>
  <si>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</si>
  <si>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</si>
  <si>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</si>
  <si>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</si>
  <si>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</si>
  <si>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</si>
  <si>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</si>
  <si>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</si>
  <si>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</si>
  <si>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</si>
  <si>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</si>
  <si>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</si>
  <si>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</si>
  <si>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</si>
  <si>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</si>
  <si>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</si>
  <si>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</si>
  <si>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</si>
  <si>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</si>
  <si>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</si>
  <si>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</si>
  <si>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</si>
  <si>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</si>
  <si>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</si>
  <si>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</si>
  <si>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</si>
  <si>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</si>
  <si>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</si>
  <si>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</si>
  <si>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</si>
  <si>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</si>
  <si>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</si>
  <si>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</si>
  <si>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</si>
  <si>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</si>
  <si>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</si>
  <si>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</si>
  <si>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</si>
  <si>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</si>
  <si>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</si>
  <si>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</si>
  <si>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</si>
  <si>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</si>
  <si>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</si>
  <si>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</si>
  <si>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</si>
  <si>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</si>
  <si>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</si>
  <si>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</si>
  <si>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</si>
  <si>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</si>
  <si>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</si>
  <si>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</si>
  <si>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</si>
  <si>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</si>
  <si>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</si>
  <si>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</si>
  <si>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</si>
  <si>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</si>
  <si>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</si>
  <si>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</si>
  <si>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</si>
  <si>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</si>
  <si>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</si>
  <si>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</si>
  <si>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</si>
  <si>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</si>
  <si>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</si>
  <si>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</si>
  <si>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</si>
  <si>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</si>
  <si>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</si>
  <si>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</si>
  <si>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</si>
  <si>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</si>
  <si>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</si>
  <si>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</si>
  <si>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</si>
  <si>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</si>
  <si>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</si>
  <si>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</si>
  <si>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</si>
  <si>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</si>
  <si>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</si>
  <si>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</si>
  <si>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</si>
  <si>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</si>
  <si>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</si>
  <si>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</si>
  <si>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</si>
  <si>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</si>
  <si>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</si>
  <si>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</si>
  <si>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</si>
  <si>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</si>
  <si>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</si>
  <si>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</si>
  <si>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</si>
  <si>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</si>
  <si>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</si>
  <si>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</si>
  <si>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</si>
  <si>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</si>
  <si>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</si>
  <si>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</si>
  <si>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</si>
  <si>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</si>
  <si>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</si>
  <si>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</si>
  <si>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</si>
  <si>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</si>
  <si>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</si>
  <si>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</si>
  <si>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</si>
  <si>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</si>
  <si>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</si>
  <si>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</si>
  <si>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</si>
  <si>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</si>
  <si>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</si>
  <si>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</si>
  <si>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</si>
  <si>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</si>
  <si>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</si>
  <si>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</si>
  <si>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</si>
  <si>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</si>
  <si>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</si>
  <si>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</si>
  <si>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</si>
  <si>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</si>
  <si>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</si>
  <si>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</si>
  <si>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</si>
  <si>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</si>
  <si>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</si>
  <si>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</si>
  <si>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</si>
  <si>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</si>
  <si>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</si>
  <si>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</si>
  <si>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</si>
  <si>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</si>
  <si>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</si>
  <si>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</si>
  <si>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</si>
  <si>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</si>
  <si>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</si>
  <si>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</si>
  <si>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</si>
  <si>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</si>
  <si>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</si>
  <si>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</si>
  <si>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</si>
  <si>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</si>
  <si>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</si>
  <si>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</si>
  <si>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</si>
  <si>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</si>
  <si>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</si>
  <si>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</si>
  <si>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</si>
  <si>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</si>
  <si>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</si>
  <si>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</si>
  <si>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</si>
  <si>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</si>
  <si>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</si>
  <si>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</si>
  <si>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</si>
  <si>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</si>
  <si>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</si>
  <si>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</si>
  <si>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</si>
  <si>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</si>
  <si>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</si>
  <si>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</si>
  <si>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</si>
  <si>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</si>
  <si>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</si>
  <si>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</si>
  <si>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</si>
  <si>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</si>
  <si>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</si>
  <si>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</si>
  <si>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</si>
  <si>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</si>
  <si>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</si>
  <si>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</si>
  <si>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</si>
  <si>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</si>
  <si>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</si>
  <si>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</si>
  <si>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</si>
  <si>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</si>
  <si>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</si>
  <si>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</si>
  <si>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</si>
  <si>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</si>
  <si>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</si>
  <si>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</si>
  <si>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</si>
  <si>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</si>
  <si>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</si>
  <si>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</si>
  <si>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</si>
  <si>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</si>
  <si>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</si>
  <si>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</si>
  <si>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</si>
  <si>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</si>
  <si>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</si>
  <si>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</si>
  <si>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</si>
  <si>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</si>
  <si>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</si>
  <si>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</si>
  <si>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</si>
  <si>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</si>
  <si>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</si>
  <si>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</si>
  <si>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</si>
  <si>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</si>
  <si>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</si>
  <si>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</si>
  <si>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</si>
  <si>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</si>
  <si>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</si>
  <si>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</si>
  <si>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</si>
  <si>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</si>
  <si>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</si>
  <si>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</si>
  <si>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</si>
  <si>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</si>
  <si>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</si>
  <si>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</si>
  <si>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</si>
  <si>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</si>
  <si>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</si>
  <si>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</si>
  <si>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</si>
  <si>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</si>
  <si>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</si>
  <si>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</si>
  <si>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</si>
  <si>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</si>
  <si>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</si>
  <si>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</si>
  <si>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</si>
  <si>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</si>
  <si>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</si>
  <si>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</si>
  <si>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</si>
  <si>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</si>
  <si>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</si>
  <si>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</si>
  <si>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</si>
  <si>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</si>
  <si>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</si>
  <si>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</si>
  <si>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</si>
  <si>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</si>
  <si>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</si>
  <si>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</si>
  <si>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</si>
  <si>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</si>
  <si>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</si>
  <si>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</si>
  <si>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</si>
  <si>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</si>
  <si>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</si>
  <si>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</si>
  <si>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</si>
  <si>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</si>
  <si>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</si>
  <si>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</si>
  <si>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</si>
  <si>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</si>
  <si>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</si>
  <si>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</si>
  <si>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</si>
  <si>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</si>
  <si>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</si>
  <si>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</si>
  <si>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</si>
  <si>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</si>
  <si>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</si>
  <si>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</si>
  <si>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</si>
  <si>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</si>
  <si>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</si>
  <si>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</si>
  <si>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</si>
  <si>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</si>
  <si>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</si>
  <si>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</si>
  <si>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</si>
  <si>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</si>
  <si>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</si>
  <si>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</si>
  <si>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</si>
  <si>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</si>
  <si>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</si>
  <si>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</si>
  <si>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</si>
  <si>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</si>
  <si>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</si>
  <si>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</si>
  <si>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</si>
  <si>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</si>
  <si>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</si>
  <si>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</si>
  <si>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</si>
  <si>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</si>
  <si>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</si>
  <si>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</si>
  <si>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</si>
  <si>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</si>
  <si>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</si>
  <si>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</si>
  <si>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</si>
  <si>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</si>
  <si>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</si>
  <si>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</si>
  <si>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</si>
  <si>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</si>
  <si>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</si>
  <si>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</si>
  <si>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</si>
  <si>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</si>
  <si>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</si>
  <si>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</si>
  <si>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</si>
  <si>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</si>
  <si>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</si>
  <si>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</si>
  <si>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</si>
  <si>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</si>
  <si>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</si>
  <si>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</si>
  <si>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</si>
  <si>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</si>
  <si>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</si>
  <si>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</si>
  <si>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</si>
  <si>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</si>
  <si>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</si>
  <si>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</si>
  <si>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</si>
  <si>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</si>
  <si>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</si>
  <si>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</si>
  <si>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</si>
  <si>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</si>
  <si>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</si>
  <si>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</si>
  <si>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</si>
  <si>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</si>
  <si>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</si>
  <si>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</si>
  <si>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</si>
  <si>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</si>
  <si>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</si>
  <si>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</si>
  <si>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</si>
  <si>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</si>
  <si>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</si>
  <si>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</si>
  <si>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</si>
  <si>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</si>
  <si>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</si>
  <si>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</si>
  <si>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</si>
  <si>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</si>
  <si>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</si>
  <si>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</si>
  <si>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</si>
  <si>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</si>
  <si>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</si>
  <si>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</si>
  <si>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</si>
  <si>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</si>
  <si>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</si>
  <si>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</si>
  <si>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</si>
  <si>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</si>
  <si>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</si>
  <si>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</si>
  <si>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</si>
  <si>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</si>
  <si>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</si>
  <si>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</si>
  <si>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</si>
  <si>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</si>
  <si>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</si>
  <si>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</si>
  <si>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</si>
  <si>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</si>
  <si>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</si>
  <si>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</si>
  <si>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</si>
  <si>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</si>
  <si>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</si>
  <si>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</si>
  <si>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</si>
  <si>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</si>
  <si>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</si>
  <si>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</si>
  <si>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</si>
  <si>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</si>
  <si>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</si>
  <si>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</si>
  <si>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</si>
  <si>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</si>
  <si>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</si>
  <si>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</si>
  <si>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</si>
  <si>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</si>
  <si>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</si>
  <si>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</si>
  <si>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</si>
  <si>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</si>
  <si>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</si>
  <si>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</si>
  <si>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</si>
  <si>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</si>
  <si>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</si>
  <si>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</si>
  <si>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</si>
  <si>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</si>
  <si>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</si>
  <si>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</si>
  <si>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</si>
  <si>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</si>
  <si>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</si>
  <si>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</si>
  <si>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1010737-1</t>
  </si>
  <si>
    <t xml:space="preserve">Jalal Sons </t>
  </si>
  <si>
    <t>Address:  Main Market</t>
  </si>
  <si>
    <t>Invoice No # :124</t>
  </si>
  <si>
    <t xml:space="preserve">Address: Chatri Chowk </t>
  </si>
  <si>
    <t>Address: Asakri 10</t>
  </si>
  <si>
    <t>Invoice No # : 154545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</si>
</sst>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6" sqref="H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/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f ca="1">TODAY()</f>
        <v>46321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Jalal Sons </v>
      </c>
      <c r="T3" s="301">
        <f>+'1'!P35</f>
        <v>13484.495005932204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Jalal Sons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Jalal Sons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Jalal Sons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314.77499999999998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1783.7249999999999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10.901675847457625</v>
      </c>
      <c r="P7" s="310">
        <f>M7+N7+O7</f>
        <v>2191.2368453389827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Jalal Sons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314.77499999999998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1783.7249999999999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10.901675847457625</v>
      </c>
      <c r="P8" s="311">
        <f t="shared" ref="P8:P15" si="2">M8+N8+O8</f>
        <v>2191.2368453389827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Jalal Sons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Jalal Sons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435.84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2469.7599999999998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15.094562711864405</v>
      </c>
      <c r="P10" s="311">
        <f t="shared" si="2"/>
        <v>3034.0071050847455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Jalal Sons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435.84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2469.7599999999998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15.094562711864405</v>
      </c>
      <c r="P11" s="311">
        <f t="shared" si="2"/>
        <v>3034.0071050847455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Jalal Sons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40</v>
      </c>
      <c r="I12" s="236">
        <f t="shared" si="0"/>
        <v>2905.6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435.84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2469.7599999999998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549.15254237288138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15.094562711864405</v>
      </c>
      <c r="P12" s="311">
        <f t="shared" si="2"/>
        <v>3034.0071050847455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Jalal Sons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Jalal Sons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Jalal Sons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Jalal Sons 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5</v>
      </c>
      <c r="H16" s="113">
        <f t="shared" ref="H16:M16" si="3">SUM(H7:H15)</f>
        <v>200</v>
      </c>
      <c r="I16" s="114">
        <f t="shared" si="3"/>
        <v>12913.800000000001</v>
      </c>
      <c r="J16" s="274">
        <f>SUM(J7:J15)</f>
        <v>1937.0699999999997</v>
      </c>
      <c r="K16" s="275">
        <f t="shared" si="3"/>
        <v>0</v>
      </c>
      <c r="L16" s="276">
        <f t="shared" si="3"/>
        <v>0</v>
      </c>
      <c r="M16" s="232">
        <f t="shared" si="3"/>
        <v>10976.73</v>
      </c>
      <c r="N16" s="233">
        <f>SUM(N7:N15)</f>
        <v>2440.6779661016944</v>
      </c>
      <c r="O16" s="101">
        <f>SUM(O7:O15)</f>
        <v>67.087039830508473</v>
      </c>
      <c r="P16" s="113">
        <f>SUM(P7:P15)</f>
        <v>13484.495005932202</v>
      </c>
      <c r="Q16" s="128">
        <f>SUM(Q7:Q15)</f>
        <v>0</v>
      </c>
      <c r="R16" s="314">
        <v>14</v>
      </c>
      <c r="S16" s="300" t="str">
        <f>+'14'!A6:A6</f>
        <v xml:space="preserve">Jalal Sons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Jalal Sons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Jalal Sons 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12913.800000000001</v>
      </c>
      <c r="R19" s="299">
        <v>17</v>
      </c>
      <c r="S19" s="300" t="str">
        <f>+'17'!A6:A6</f>
        <v xml:space="preserve">Jalal Sons 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1937.0699999999997</v>
      </c>
      <c r="R20" s="299">
        <v>18</v>
      </c>
      <c r="S20" s="300" t="str">
        <f>+'18'!A6:A6</f>
        <v xml:space="preserve">Jalal Sons 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0</v>
      </c>
      <c r="R21" s="299">
        <v>19</v>
      </c>
      <c r="S21" s="300" t="str">
        <f>+'19'!A6:A6</f>
        <v xml:space="preserve">Jalal Sons 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10976.730000000001</v>
      </c>
      <c r="R22" s="299">
        <v>20</v>
      </c>
      <c r="S22" s="300" t="str">
        <f>+'20'!A6:A6</f>
        <v xml:space="preserve">Jalal Sons 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2440.6779661016944</v>
      </c>
      <c r="R23" s="299">
        <v>21</v>
      </c>
      <c r="S23" s="300" t="str">
        <f>+'21'!A6:A6</f>
        <v xml:space="preserve">Jalal Sons 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13417.407966101695</v>
      </c>
      <c r="R24" s="299">
        <v>22</v>
      </c>
      <c r="S24" s="300" t="str">
        <f>+'22'!A6:A6</f>
        <v xml:space="preserve">Jalal Sons 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67.087039830508473</v>
      </c>
      <c r="R25" s="299">
        <v>23</v>
      </c>
      <c r="S25" s="300" t="str">
        <f>+'23'!A6:A6</f>
        <v xml:space="preserve">Jalal Sons 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13484.495005932204</v>
      </c>
      <c r="R26" s="299">
        <v>24</v>
      </c>
      <c r="S26" s="300" t="str">
        <f>+'24'!A6:A6</f>
        <v xml:space="preserve">Jalal Sons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 xml:space="preserve">Jalal Sons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Jalal Sons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Jalal Sons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Jalal Sons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Jalal Sons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Jalal Sons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13484.495005932204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E6" sqref="E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518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46321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46320</v>
      </c>
      <c r="O5" s="394"/>
      <c r="P5" s="394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500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517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415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4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314.77499999999998</v>
      </c>
      <c r="K16" s="127">
        <f>$I16*T16</f>
        <v>0</v>
      </c>
      <c r="L16" s="118">
        <f>$I16*U16</f>
        <v>0</v>
      </c>
      <c r="M16" s="229">
        <f>I16-SUM(J16:L16)</f>
        <v>1783.7249999999999</v>
      </c>
      <c r="N16" s="248">
        <f>+(G16*D16+H16)*V16</f>
        <v>396.61016949152526</v>
      </c>
      <c r="O16" s="238">
        <f>(N16+M16)*$O$15</f>
        <v>10.901675847457625</v>
      </c>
      <c r="P16" s="118">
        <f>M16+N16+O16</f>
        <v>2191.2368453389827</v>
      </c>
      <c r="Q16" s="319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0</v>
      </c>
      <c r="L17" s="119">
        <f>$I17*U17</f>
        <v>0</v>
      </c>
      <c r="M17" s="230">
        <f t="shared" ref="M17:M24" si="2">I17-SUM(J17:L17)</f>
        <v>1783.7249999999999</v>
      </c>
      <c r="N17" s="277">
        <f t="shared" ref="N17:N24" si="3">+(G17*D17+H17)*V17</f>
        <v>396.61016949152526</v>
      </c>
      <c r="O17" s="239">
        <f t="shared" ref="O17:O24" si="4">(N17+M17)*$O$15</f>
        <v>10.901675847457625</v>
      </c>
      <c r="P17" s="119">
        <f t="shared" ref="P17:P24" si="5">M17+N17+O17</f>
        <v>2191.2368453389827</v>
      </c>
      <c r="Q17" s="320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0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435.84</v>
      </c>
      <c r="K19" s="128">
        <f t="shared" si="1"/>
        <v>0</v>
      </c>
      <c r="L19" s="119">
        <f t="shared" si="1"/>
        <v>0</v>
      </c>
      <c r="M19" s="230">
        <f t="shared" si="2"/>
        <v>2469.7599999999998</v>
      </c>
      <c r="N19" s="277">
        <f t="shared" si="3"/>
        <v>549.15254237288138</v>
      </c>
      <c r="O19" s="239">
        <f t="shared" si="4"/>
        <v>15.094562711864405</v>
      </c>
      <c r="P19" s="119">
        <f t="shared" si="5"/>
        <v>3034.0071050847455</v>
      </c>
      <c r="Q19" s="320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435.84</v>
      </c>
      <c r="K20" s="128">
        <f t="shared" si="1"/>
        <v>0</v>
      </c>
      <c r="L20" s="119">
        <f t="shared" si="1"/>
        <v>0</v>
      </c>
      <c r="M20" s="230">
        <f t="shared" si="2"/>
        <v>2469.7599999999998</v>
      </c>
      <c r="N20" s="277">
        <f t="shared" si="3"/>
        <v>549.15254237288138</v>
      </c>
      <c r="O20" s="239">
        <f t="shared" si="4"/>
        <v>15.094562711864405</v>
      </c>
      <c r="P20" s="119">
        <f t="shared" si="5"/>
        <v>3034.0071050847455</v>
      </c>
      <c r="Q20" s="320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435.84</v>
      </c>
      <c r="K21" s="128">
        <f t="shared" si="1"/>
        <v>0</v>
      </c>
      <c r="L21" s="119">
        <f t="shared" si="1"/>
        <v>0</v>
      </c>
      <c r="M21" s="230">
        <f t="shared" si="2"/>
        <v>2469.7599999999998</v>
      </c>
      <c r="N21" s="277">
        <f t="shared" si="3"/>
        <v>549.15254237288138</v>
      </c>
      <c r="O21" s="239">
        <f t="shared" si="4"/>
        <v>15.094562711864405</v>
      </c>
      <c r="P21" s="119">
        <f t="shared" si="5"/>
        <v>3034.0071050847455</v>
      </c>
      <c r="Q21" s="320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12913.800000000001</v>
      </c>
      <c r="J25" s="274">
        <f>SUM(J16:J24)</f>
        <v>1937.0699999999997</v>
      </c>
      <c r="K25" s="275">
        <f t="shared" si="10"/>
        <v>0</v>
      </c>
      <c r="L25" s="276">
        <f t="shared" si="10"/>
        <v>0</v>
      </c>
      <c r="M25" s="232">
        <f t="shared" si="10"/>
        <v>10976.73</v>
      </c>
      <c r="N25" s="233">
        <f>SUM(N16:N24)</f>
        <v>2440.6779661016944</v>
      </c>
      <c r="O25" s="101">
        <f>SUM(O16:O24)</f>
        <v>67.087039830508473</v>
      </c>
      <c r="P25" s="234">
        <f>SUM(P16:P24)</f>
        <v>13484.495005932202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12913.800000000001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1937.0699999999997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10976.730000000001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13417.407966101695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67.087039830508473</v>
      </c>
    </row>
    <row r="35" spans="2:16" ht="15.75" customHeight="1" thickBot="1" x14ac:dyDescent="0.4">
      <c r="N35" s="374" t="s">
        <v>88</v>
      </c>
      <c r="O35" s="375"/>
      <c r="P35" s="297">
        <f>+P33+P34</f>
        <v>13484.495005932204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10" width="8.36328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46317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46316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502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8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317">
        <v>0.15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8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9"/>
      <c r="S16" s="269">
        <v>0.15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20"/>
      <c r="S17" s="269">
        <f>+S16</f>
        <v>0.15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0"/>
      <c r="S18" s="269">
        <f>+S17</f>
        <v>0.15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20"/>
      <c r="S19" s="269">
        <f>+S18</f>
        <v>0.15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20"/>
      <c r="S20" s="269">
        <f>+S19</f>
        <v>0.15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20"/>
      <c r="S21" s="269">
        <f>+S20</f>
        <v>0.15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0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0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0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5:P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v>46252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46251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512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0.12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0.12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0.12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0.12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0.12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0.12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46322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46321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2026-10-26T05:41:06Z</dcterms:modified>
</cp:coreProperties>
</file>