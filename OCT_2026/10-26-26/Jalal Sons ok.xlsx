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9226A6-7355-4B26-9667-C83DC02E126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<sst xmlns="http://schemas.openxmlformats.org/spreadsheetml/2006/main" count="3976" uniqueCount="519">
  <si>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</si>
  <si>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</si>
  <si>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</si>
  <si>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</si>
  <si>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</si>
  <si>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</si>
  <si>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</si>
  <si>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</si>
  <si>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</si>
  <si>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</si>
  <si>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</si>
  <si>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</si>
  <si>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</si>
  <si>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</si>
  <si>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</si>
  <si>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</si>
  <si>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</si>
  <si>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</si>
  <si>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</si>
  <si>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</si>
  <si>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</si>
  <si>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</si>
  <si>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</si>
  <si>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</si>
  <si>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</si>
  <si>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</si>
  <si>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</si>
  <si>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</si>
  <si>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</si>
  <si>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</si>
  <si>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</si>
  <si>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</si>
  <si>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</si>
  <si>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</si>
  <si>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</si>
  <si>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</si>
  <si>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</si>
  <si>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</si>
  <si>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</si>
  <si>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</si>
  <si>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</si>
  <si>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</si>
  <si>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</si>
  <si>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</si>
  <si>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</si>
  <si>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</si>
  <si>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</si>
  <si>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</si>
  <si>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</si>
  <si>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</si>
  <si>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</si>
  <si>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</si>
  <si>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</si>
  <si>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</si>
  <si>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</si>
  <si>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</si>
  <si>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</si>
  <si>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</si>
  <si>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</si>
  <si>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</si>
  <si>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</si>
  <si>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</si>
  <si>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</si>
  <si>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</si>
  <si>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</si>
  <si>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</si>
  <si>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</si>
  <si>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</si>
  <si>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</si>
  <si>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</si>
  <si>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</si>
  <si>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</si>
  <si>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</si>
  <si>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</si>
  <si>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</si>
  <si>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</si>
  <si>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</si>
  <si>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</si>
  <si>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</si>
  <si>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</si>
  <si>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</si>
  <si>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</si>
  <si>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</si>
  <si>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</si>
  <si>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</si>
  <si>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</si>
  <si>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</si>
  <si>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</si>
  <si>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</si>
  <si>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</si>
  <si>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</si>
  <si>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</si>
  <si>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</si>
  <si>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</si>
  <si>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</si>
  <si>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</si>
  <si>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</si>
  <si>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</si>
  <si>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</si>
  <si>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</si>
  <si>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</si>
  <si>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</si>
  <si>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</si>
  <si>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</si>
  <si>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</si>
  <si>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</si>
  <si>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</si>
  <si>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</si>
  <si>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</si>
  <si>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</si>
  <si>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</si>
  <si>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</si>
  <si>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</si>
  <si>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</si>
  <si>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</si>
  <si>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</si>
  <si>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</si>
  <si>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</si>
  <si>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</si>
  <si>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</si>
  <si>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</si>
  <si>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</si>
  <si>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</si>
  <si>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</si>
  <si>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</si>
  <si>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</si>
  <si>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</si>
  <si>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</si>
  <si>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</si>
  <si>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</si>
  <si>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</si>
  <si>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</si>
  <si>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</si>
  <si>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</si>
  <si>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</si>
  <si>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</si>
  <si>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</si>
  <si>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</si>
  <si>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</si>
  <si>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</si>
  <si>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</si>
  <si>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</si>
  <si>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</si>
  <si>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</si>
  <si>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</si>
  <si>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</si>
  <si>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</si>
  <si>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</si>
  <si>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</si>
  <si>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</si>
  <si>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</si>
  <si>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</si>
  <si>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</si>
  <si>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</si>
  <si>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</si>
  <si>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</si>
  <si>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</si>
  <si>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</si>
  <si>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</si>
  <si>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</si>
  <si>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</si>
  <si>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</si>
  <si>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</si>
  <si>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</si>
  <si>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</si>
  <si>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</si>
  <si>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</si>
  <si>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</si>
  <si>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</si>
  <si>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</si>
  <si>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</si>
  <si>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</si>
  <si>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</si>
  <si>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</si>
  <si>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</si>
  <si>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</si>
  <si>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</si>
  <si>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</si>
  <si>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</si>
  <si>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</si>
  <si>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</si>
  <si>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</si>
  <si>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</si>
  <si>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</si>
  <si>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</si>
  <si>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</si>
  <si>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</si>
  <si>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</si>
  <si>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</si>
  <si>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</si>
  <si>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</si>
  <si>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</si>
  <si>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</si>
  <si>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</si>
  <si>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</si>
  <si>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</si>
  <si>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</si>
  <si>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</si>
  <si>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</si>
  <si>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</si>
  <si>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</si>
  <si>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</si>
  <si>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</si>
  <si>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</si>
  <si>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</si>
  <si>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</si>
  <si>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</si>
  <si>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</si>
  <si>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</si>
  <si>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</si>
  <si>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</si>
  <si>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</si>
  <si>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</si>
  <si>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</si>
  <si>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</si>
  <si>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</si>
  <si>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</si>
  <si>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</si>
  <si>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</si>
  <si>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</si>
  <si>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</si>
  <si>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</si>
  <si>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</si>
  <si>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</si>
  <si>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</si>
  <si>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</si>
  <si>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</si>
  <si>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</si>
  <si>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</si>
  <si>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</si>
  <si>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</si>
  <si>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</si>
  <si>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</si>
  <si>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</si>
  <si>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</si>
  <si>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</si>
  <si>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</si>
  <si>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</si>
  <si>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</si>
  <si>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</si>
  <si>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</si>
  <si>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</si>
  <si>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</si>
  <si>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</si>
  <si>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</si>
  <si>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</si>
  <si>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</si>
  <si>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</si>
  <si>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</si>
  <si>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</si>
  <si>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</si>
  <si>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</si>
  <si>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</si>
  <si>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</si>
  <si>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</si>
  <si>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</si>
  <si>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</si>
  <si>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</si>
  <si>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</si>
  <si>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</si>
  <si>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</si>
  <si>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</si>
  <si>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</si>
  <si>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</si>
  <si>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</si>
  <si>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</si>
  <si>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</si>
  <si>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</si>
  <si>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</si>
  <si>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</si>
  <si>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</si>
  <si>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</si>
  <si>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</si>
  <si>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</si>
  <si>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</si>
  <si>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</si>
  <si>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</si>
  <si>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</si>
  <si>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</si>
  <si>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</si>
  <si>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</si>
  <si>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</si>
  <si>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</si>
  <si>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</si>
  <si>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</si>
  <si>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</si>
  <si>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</si>
  <si>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</si>
  <si>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</si>
  <si>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</si>
  <si>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</si>
  <si>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</si>
  <si>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</si>
  <si>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</si>
  <si>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</si>
  <si>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</si>
  <si>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</si>
  <si>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</si>
  <si>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</si>
  <si>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</si>
  <si>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</si>
  <si>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</si>
  <si>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</si>
  <si>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</si>
  <si>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</si>
  <si>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</si>
  <si>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</si>
  <si>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</si>
  <si>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</si>
  <si>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</si>
  <si>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</si>
  <si>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</si>
  <si>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</si>
  <si>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</si>
  <si>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</si>
  <si>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</si>
  <si>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</si>
  <si>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</si>
  <si>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</si>
  <si>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</si>
  <si>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</si>
  <si>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</si>
  <si>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</si>
  <si>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</si>
  <si>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</si>
  <si>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</si>
  <si>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</si>
  <si>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</si>
  <si>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</si>
  <si>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</si>
  <si>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</si>
  <si>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</si>
  <si>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</si>
  <si>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</si>
  <si>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</si>
  <si>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</si>
  <si>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</si>
  <si>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</si>
  <si>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</si>
  <si>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</si>
  <si>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</si>
  <si>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</si>
  <si>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</si>
  <si>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</si>
  <si>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</si>
  <si>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</si>
  <si>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</si>
  <si>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</si>
  <si>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</si>
  <si>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</si>
  <si>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</si>
  <si>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</si>
  <si>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</si>
  <si>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</si>
  <si>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</si>
  <si>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</si>
  <si>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</si>
  <si>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</si>
  <si>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</si>
  <si>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</si>
  <si>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</si>
  <si>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</si>
  <si>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</si>
  <si>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</si>
  <si>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</si>
  <si>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</si>
  <si>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</si>
  <si>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</si>
  <si>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</si>
  <si>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</si>
  <si>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</si>
  <si>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</si>
  <si>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</si>
  <si>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</si>
  <si>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</si>
  <si>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</si>
  <si>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</si>
  <si>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</si>
  <si>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</si>
  <si>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</si>
  <si>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</si>
  <si>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</si>
  <si>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</si>
  <si>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</si>
  <si>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</si>
  <si>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</si>
  <si>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</si>
  <si>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</si>
  <si>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</si>
  <si>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</si>
  <si>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</si>
  <si>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</si>
  <si>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</si>
  <si>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</si>
  <si>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</si>
  <si>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</si>
  <si>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</si>
  <si>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</si>
  <si>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</si>
  <si>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</si>
  <si>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</si>
  <si>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</si>
  <si>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</si>
  <si>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</si>
  <si>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</si>
  <si>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</si>
  <si>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</si>
  <si>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</si>
  <si>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</si>
  <si>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</si>
  <si>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</si>
  <si>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</si>
  <si>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</si>
  <si>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</si>
  <si>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</si>
  <si>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</si>
  <si>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</si>
  <si>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</si>
  <si>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</si>
  <si>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</si>
  <si>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</si>
  <si>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</si>
  <si>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</si>
  <si>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</si>
  <si>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</si>
  <si>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</si>
  <si>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</si>
  <si>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</si>
  <si>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</si>
  <si>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</si>
  <si>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</si>
  <si>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</si>
  <si>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</si>
  <si>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</si>
  <si>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</si>
  <si>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</si>
  <si>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</si>
  <si>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</si>
  <si>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</si>
  <si>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</si>
  <si>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</si>
  <si>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</si>
  <si>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</si>
  <si>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</si>
  <si>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</si>
  <si>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</si>
  <si>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</si>
  <si>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</si>
  <si>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</si>
  <si>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</si>
  <si>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</si>
  <si>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</si>
  <si>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</si>
  <si>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</si>
  <si>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</si>
  <si>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</si>
  <si>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</si>
  <si>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</si>
  <si>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</si>
  <si>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</si>
  <si>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</si>
  <si>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</si>
  <si>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</si>
  <si>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</si>
  <si>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</si>
  <si>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</si>
  <si>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</si>
  <si>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</si>
  <si>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</si>
  <si>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</si>
  <si>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</si>
  <si>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</si>
  <si>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</si>
  <si>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</si>
  <si>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</si>
  <si>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</si>
  <si>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</si>
  <si>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</si>
  <si>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</si>
  <si>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</si>
  <si>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</si>
  <si>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</si>
  <si>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</si>
  <si>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</si>
  <si>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</si>
  <si>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</si>
  <si>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</si>
  <si>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</si>
  <si>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</si>
  <si>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</si>
  <si>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</si>
  <si>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</si>
  <si>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</si>
  <si>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</si>
  <si>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</si>
  <si>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</si>
  <si>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</si>
  <si>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</si>
  <si>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</si>
  <si>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</si>
  <si>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</si>
  <si>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</si>
  <si>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</si>
  <si>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</si>
  <si>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</si>
  <si>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</si>
  <si>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</si>
  <si>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</si>
  <si>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</si>
  <si>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</si>
  <si>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</si>
  <si>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</si>
  <si>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</si>
  <si>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</si>
  <si>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</si>
  <si>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>Invoice No # :124</t>
  </si>
  <si>
    <t xml:space="preserve">Address: Chatri Chowk </t>
  </si>
  <si>
    <t>Address: Asakri 10</t>
  </si>
  <si>
    <t>Invoice No # : 154545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</si>
</sst>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/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46322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Jalal Sons </v>
      </c>
      <c r="T3" s="301">
        <f>+'1'!P35</f>
        <v>13484.495005932204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5</v>
      </c>
      <c r="H16" s="113">
        <f t="shared" ref="H16:M16" si="3">SUM(H7:H15)</f>
        <v>200</v>
      </c>
      <c r="I16" s="114">
        <f t="shared" si="3"/>
        <v>12913.800000000001</v>
      </c>
      <c r="J16" s="274">
        <f>SUM(J7:J15)</f>
        <v>1937.0699999999997</v>
      </c>
      <c r="K16" s="275">
        <f t="shared" si="3"/>
        <v>0</v>
      </c>
      <c r="L16" s="276">
        <f t="shared" si="3"/>
        <v>0</v>
      </c>
      <c r="M16" s="232">
        <f t="shared" si="3"/>
        <v>10976.73</v>
      </c>
      <c r="N16" s="233">
        <f>SUM(N7:N15)</f>
        <v>2440.6779661016944</v>
      </c>
      <c r="O16" s="101">
        <f>SUM(O7:O15)</f>
        <v>67.087039830508473</v>
      </c>
      <c r="P16" s="113">
        <f>SUM(P7:P15)</f>
        <v>13484.495005932202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12913.800000000001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1937.0699999999997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10976.730000000001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13417.407966101695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67.087039830508473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13484.495005932204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13484.495005932204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46321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46320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1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1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118">
        <f>M16+N16+O16</f>
        <v>2191.2368453389827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119">
        <f t="shared" ref="P17:P24" si="5">M17+N17+O17</f>
        <v>2191.2368453389827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119">
        <f t="shared" si="5"/>
        <v>3034.0071050847455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119">
        <f t="shared" si="5"/>
        <v>3034.0071050847455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119">
        <f t="shared" si="5"/>
        <v>3034.0071050847455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1937.0699999999997</v>
      </c>
      <c r="K25" s="275">
        <f t="shared" si="10"/>
        <v>0</v>
      </c>
      <c r="L25" s="276">
        <f t="shared" si="10"/>
        <v>0</v>
      </c>
      <c r="M25" s="232">
        <f t="shared" si="10"/>
        <v>10976.73</v>
      </c>
      <c r="N25" s="233">
        <f>SUM(N16:N24)</f>
        <v>2440.6779661016944</v>
      </c>
      <c r="O25" s="101">
        <f>SUM(O16:O24)</f>
        <v>67.087039830508473</v>
      </c>
      <c r="P25" s="234">
        <f>SUM(P16:P24)</f>
        <v>13484.495005932202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12913.800000000001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1937.0699999999997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10976.730000000001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13417.407966101695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67.087039830508473</v>
      </c>
    </row>
    <row r="35" spans="2:16" ht="15.75" customHeight="1" thickBot="1" x14ac:dyDescent="0.4">
      <c r="N35" s="346" t="s">
        <v>88</v>
      </c>
      <c r="O35" s="347"/>
      <c r="P35" s="297">
        <f>+P33+P34</f>
        <v>13484.495005932204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46317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46316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7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46323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46322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2026-10-27T05:03:45Z</dcterms:modified>
</cp:coreProperties>
</file>