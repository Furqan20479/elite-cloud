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7F52C9-2E54-4786-9886-B7B47DDCFF4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53" l="1"/>
  <c r="O18" i="53" s="1"/>
  <c r="P18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<sst xmlns="http://schemas.openxmlformats.org/spreadsheetml/2006/main" count="3948" uniqueCount="528">
  <si>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</si>
  <si>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</si>
  <si>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</si>
  <si>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</si>
  <si>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</si>
  <si>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</si>
  <si>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</si>
  <si>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</si>
  <si>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</si>
  <si>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</si>
  <si>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</si>
  <si>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</si>
  <si>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</si>
  <si>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</si>
  <si>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</si>
  <si>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</si>
  <si>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</si>
  <si>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</si>
  <si>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</si>
  <si>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</si>
  <si>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</si>
  <si>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</si>
  <si>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</si>
  <si>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</si>
  <si>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</si>
  <si>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</si>
  <si>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</si>
  <si>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</si>
  <si>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</si>
  <si>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</si>
  <si>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</si>
  <si>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</si>
  <si>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</si>
  <si>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</si>
  <si>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</si>
  <si>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</si>
  <si>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</si>
  <si>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</si>
  <si>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</si>
  <si>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</si>
  <si>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</si>
  <si>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</si>
  <si>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</si>
  <si>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</si>
  <si>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</si>
  <si>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</si>
  <si>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</si>
  <si>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</si>
  <si>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</si>
  <si>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</si>
  <si>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</si>
  <si>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</si>
  <si>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</si>
  <si>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</si>
  <si>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</si>
  <si>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</si>
  <si>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</si>
  <si>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</si>
  <si>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</si>
  <si>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</si>
  <si>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</si>
  <si>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</si>
  <si>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</si>
  <si>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</si>
  <si>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</si>
  <si>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</si>
  <si>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</si>
  <si>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</si>
  <si>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</si>
  <si>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</si>
  <si>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</si>
  <si>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</si>
  <si>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</si>
  <si>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</si>
  <si>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</si>
  <si>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</si>
  <si>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</si>
  <si>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</si>
  <si>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</si>
  <si>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</si>
  <si>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</si>
  <si>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</si>
  <si>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</si>
  <si>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</si>
  <si>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</si>
  <si>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</si>
  <si>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</si>
  <si>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</si>
  <si>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</si>
  <si>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</si>
  <si>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</si>
  <si>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</si>
  <si>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</si>
  <si>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</si>
  <si>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</si>
  <si>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</si>
  <si>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</si>
  <si>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</si>
  <si>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</si>
  <si>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</si>
  <si>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</si>
  <si>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</si>
  <si>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</si>
  <si>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</si>
  <si>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</si>
  <si>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</si>
  <si>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</si>
  <si>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</si>
  <si>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</si>
  <si>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</si>
  <si>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</si>
  <si>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</si>
  <si>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</si>
  <si>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</si>
  <si>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</si>
  <si>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</si>
  <si>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</si>
  <si>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</si>
  <si>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</si>
  <si>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</si>
  <si>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</si>
  <si>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</si>
  <si>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</si>
  <si>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</si>
  <si>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</si>
  <si>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</si>
  <si>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</si>
  <si>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</si>
  <si>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</si>
  <si>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</si>
  <si>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</si>
  <si>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</si>
  <si>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</si>
  <si>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</si>
  <si>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</si>
  <si>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</si>
  <si>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</si>
  <si>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</si>
  <si>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</si>
  <si>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</si>
  <si>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</si>
  <si>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</si>
  <si>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</si>
  <si>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</si>
  <si>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</si>
  <si>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</si>
  <si>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</si>
  <si>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</si>
  <si>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</si>
  <si>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</si>
  <si>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</si>
  <si>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</si>
  <si>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</si>
  <si>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</si>
  <si>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</si>
  <si>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</si>
  <si>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</si>
  <si>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</si>
  <si>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</si>
  <si>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</si>
  <si>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</si>
  <si>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</si>
  <si>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</si>
  <si>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</si>
  <si>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</si>
  <si>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</si>
  <si>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</si>
  <si>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</si>
  <si>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</si>
  <si>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</si>
  <si>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</si>
  <si>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</si>
  <si>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</si>
  <si>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</si>
  <si>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</si>
  <si>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</si>
  <si>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</si>
  <si>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</si>
  <si>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</si>
  <si>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</si>
  <si>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</si>
  <si>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</si>
  <si>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</si>
  <si>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</si>
  <si>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</si>
  <si>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</si>
  <si>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</si>
  <si>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</si>
  <si>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</si>
  <si>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</si>
  <si>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</si>
  <si>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</si>
  <si>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</si>
  <si>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</si>
  <si>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</si>
  <si>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</si>
  <si>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</si>
  <si>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</si>
  <si>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</si>
  <si>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</si>
  <si>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</si>
  <si>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</si>
  <si>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</si>
  <si>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</si>
  <si>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</si>
  <si>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</si>
  <si>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</si>
  <si>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</si>
  <si>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</si>
  <si>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</si>
  <si>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</si>
  <si>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</si>
  <si>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</si>
  <si>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</si>
  <si>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</si>
  <si>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</si>
  <si>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</si>
  <si>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</si>
  <si>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</si>
  <si>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</si>
  <si>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</si>
  <si>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</si>
  <si>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</si>
  <si>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</si>
  <si>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</si>
  <si>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</si>
  <si>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</si>
  <si>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</si>
  <si>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</si>
  <si>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</si>
  <si>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</si>
  <si>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</si>
  <si>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</si>
  <si>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</si>
  <si>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</si>
  <si>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</si>
  <si>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</si>
  <si>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</si>
  <si>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</si>
  <si>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</si>
  <si>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</si>
  <si>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</si>
  <si>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</si>
  <si>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</si>
  <si>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</si>
  <si>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</si>
  <si>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</si>
  <si>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</si>
  <si>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</si>
  <si>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</si>
  <si>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</si>
  <si>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</si>
  <si>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</si>
  <si>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</si>
  <si>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</si>
  <si>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</si>
  <si>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</si>
  <si>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</si>
  <si>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</si>
  <si>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</si>
  <si>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</si>
  <si>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</si>
  <si>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</si>
  <si>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</si>
  <si>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</si>
  <si>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</si>
  <si>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</si>
  <si>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</si>
  <si>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</si>
  <si>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</si>
  <si>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</si>
  <si>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</si>
  <si>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</si>
  <si>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</si>
  <si>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</si>
  <si>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</si>
  <si>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</si>
  <si>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</si>
  <si>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</si>
  <si>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</si>
  <si>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</si>
  <si>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</si>
  <si>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</si>
  <si>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</si>
  <si>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</si>
  <si>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</si>
  <si>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</si>
  <si>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</si>
  <si>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</si>
  <si>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</si>
  <si>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</si>
  <si>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</si>
  <si>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</si>
  <si>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</si>
  <si>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</si>
  <si>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</si>
  <si>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</si>
  <si>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</si>
  <si>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</si>
  <si>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</si>
  <si>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</si>
  <si>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</si>
  <si>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</si>
  <si>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</si>
  <si>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</si>
  <si>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</si>
  <si>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</si>
  <si>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</si>
  <si>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</si>
  <si>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</si>
  <si>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</si>
  <si>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</si>
  <si>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</si>
  <si>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</si>
  <si>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</si>
  <si>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</si>
  <si>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</si>
  <si>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</si>
  <si>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</si>
  <si>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</si>
  <si>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</si>
  <si>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</si>
  <si>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</si>
  <si>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</si>
  <si>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</si>
  <si>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</si>
  <si>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</si>
  <si>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</si>
  <si>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</si>
  <si>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</si>
  <si>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</si>
  <si>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</si>
  <si>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</si>
  <si>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</si>
  <si>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</si>
  <si>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</si>
  <si>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</si>
  <si>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</si>
  <si>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</si>
  <si>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</si>
  <si>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</si>
  <si>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</si>
  <si>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</si>
  <si>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</si>
  <si>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</si>
  <si>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</si>
  <si>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</si>
  <si>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</si>
  <si>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</si>
  <si>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</si>
  <si>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</si>
  <si>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</si>
  <si>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</si>
  <si>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</si>
  <si>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</si>
  <si>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</si>
  <si>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</si>
  <si>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</si>
  <si>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</si>
  <si>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</si>
  <si>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</si>
  <si>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</si>
  <si>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</si>
  <si>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</si>
  <si>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</si>
  <si>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</si>
  <si>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</si>
  <si>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</si>
  <si>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</si>
  <si>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</si>
  <si>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</si>
  <si>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</si>
  <si>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</si>
  <si>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</si>
  <si>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</si>
  <si>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</si>
  <si>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</si>
  <si>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</si>
  <si>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</si>
  <si>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</si>
  <si>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</si>
  <si>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</si>
  <si>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</si>
  <si>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</si>
  <si>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</si>
  <si>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</si>
  <si>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</si>
  <si>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</si>
  <si>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</si>
  <si>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</si>
  <si>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</si>
  <si>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</si>
  <si>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</si>
  <si>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</si>
  <si>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</si>
  <si>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</si>
  <si>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</si>
  <si>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</si>
  <si>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</si>
  <si>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</si>
  <si>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</si>
  <si>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</si>
  <si>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</si>
  <si>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</si>
  <si>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</si>
  <si>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</si>
  <si>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</si>
  <si>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</si>
  <si>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</si>
  <si>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</si>
  <si>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</si>
  <si>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</si>
  <si>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</si>
  <si>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</si>
  <si>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</si>
  <si>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</si>
  <si>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</si>
  <si>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</si>
  <si>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</si>
  <si>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</si>
  <si>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</si>
  <si>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</si>
  <si>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</si>
  <si>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</si>
  <si>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</si>
  <si>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</si>
  <si>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</si>
  <si>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</si>
  <si>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</si>
  <si>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</si>
  <si>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</si>
  <si>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</si>
  <si>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</si>
  <si>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</si>
  <si>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</si>
  <si>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</si>
  <si>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</si>
  <si>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</si>
  <si>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</si>
  <si>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</si>
  <si>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</si>
  <si>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</si>
  <si>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</si>
  <si>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</si>
  <si>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</si>
  <si>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</si>
  <si>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</si>
  <si>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</si>
  <si>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</si>
  <si>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</si>
  <si>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</si>
  <si>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</si>
  <si>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</si>
  <si>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</si>
  <si>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</si>
  <si>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</si>
  <si>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</si>
  <si>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</si>
  <si>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</si>
  <si>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</si>
  <si>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</si>
  <si>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</si>
  <si>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</si>
  <si>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</si>
  <si>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</si>
  <si>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</si>
  <si>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</si>
  <si>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</si>
  <si>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</si>
  <si>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</si>
  <si>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</si>
  <si>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</si>
  <si>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</si>
  <si>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</si>
  <si>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</si>
  <si>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</si>
  <si>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</si>
  <si>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</si>
  <si>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</si>
  <si>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</si>
  <si>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</si>
  <si>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</si>
  <si>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</si>
  <si>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</si>
  <si>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</si>
  <si>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</si>
  <si>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</si>
  <si>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</si>
  <si>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</si>
  <si>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</si>
  <si>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</si>
  <si>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</si>
  <si>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</si>
  <si>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</si>
  <si>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</si>
  <si>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</si>
  <si>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</si>
  <si>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</si>
  <si>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</si>
  <si>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</si>
  <si>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</si>
  <si>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</si>
  <si>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</si>
  <si>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</si>
  <si>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</si>
  <si>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</si>
  <si>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</si>
  <si>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</si>
  <si>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</si>
  <si>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</si>
  <si>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</si>
  <si>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</si>
  <si>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</si>
  <si>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</si>
  <si>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</si>
  <si>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Central Park </t>
  </si>
  <si>
    <t xml:space="preserve">Al Faisal Mart </t>
  </si>
  <si>
    <t xml:space="preserve">Bajwa Center </t>
  </si>
  <si>
    <t xml:space="preserve">Shaheen Gocerry </t>
  </si>
  <si>
    <t xml:space="preserve">Al Taj Mart </t>
  </si>
  <si>
    <t xml:space="preserve">Al Noor Bakery </t>
  </si>
  <si>
    <t xml:space="preserve">Sufiyan Mart </t>
  </si>
  <si>
    <t>Hadi Store</t>
  </si>
  <si>
    <t>Yousaf Store</t>
  </si>
  <si>
    <t>Hafiz Super Store</t>
  </si>
  <si>
    <t>Gujjar Store</t>
  </si>
  <si>
    <t>Tanveer Store</t>
  </si>
  <si>
    <t>Bajwa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</si>
</sst>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 Faisal Mart </v>
      </c>
      <c r="T3" s="301">
        <f>+'1'!P35</f>
        <v>8537.4747530084751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Bajwa Center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Shaheen Gocerry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 Taj Mart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72</v>
      </c>
      <c r="I7" s="235">
        <f>(G7*D7)*F7+H7*F7</f>
        <v>3777.2999999999997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302.18399999999997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132.20550000000003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3342.9105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713.8983050847454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20.284044025423729</v>
      </c>
      <c r="P7" s="310">
        <f>M7+N7+O7</f>
        <v>4077.092849110169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 xml:space="preserve">Al Noor Bakery </v>
      </c>
      <c r="T7" s="301">
        <f>+'5'!P35</f>
        <v>3528.2380332203388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58.758000000000003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 xml:space="preserve">Sufiyan Mart </v>
      </c>
      <c r="T8" s="301">
        <f>+'6'!P35</f>
        <v>5401.2631679237293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52</v>
      </c>
      <c r="I9" s="236">
        <f t="shared" si="0"/>
        <v>2728.0499999999997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218.244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95.481750000000005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2414.3242499999997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515.59322033898286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14.649587351694915</v>
      </c>
      <c r="P9" s="311">
        <f t="shared" si="2"/>
        <v>2944.5670576906778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52</v>
      </c>
      <c r="R9" s="313">
        <v>7</v>
      </c>
      <c r="S9" s="300" t="str">
        <f>+'7'!A6:A6</f>
        <v>Hadi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Yousaf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406.78399999999999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4500.0480000000007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5488.3702738983056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Hafiz Super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145</v>
      </c>
      <c r="I12" s="236">
        <f t="shared" si="0"/>
        <v>10532.8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842.62400000000014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368.64800000000008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9321.5279999999984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1990.6779661016947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56.561029830508467</v>
      </c>
      <c r="P12" s="311">
        <f t="shared" si="2"/>
        <v>11368.766995932203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Gujjar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Tanveer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Bajwa Mart</v>
      </c>
      <c r="T14" s="301">
        <f>+'12'!P35</f>
        <v>2038.5464245550845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11.025</v>
      </c>
      <c r="H16" s="113">
        <f t="shared" ref="H16:M16" si="3">SUM(H7:H15)</f>
        <v>441</v>
      </c>
      <c r="I16" s="114">
        <f t="shared" si="3"/>
        <v>28886.55</v>
      </c>
      <c r="J16" s="274">
        <f>SUM(J7:J15)</f>
        <v>2310.9240000000004</v>
      </c>
      <c r="K16" s="275">
        <f t="shared" si="3"/>
        <v>1011.0292500000003</v>
      </c>
      <c r="L16" s="276">
        <f t="shared" si="3"/>
        <v>0</v>
      </c>
      <c r="M16" s="232">
        <f t="shared" si="3"/>
        <v>25564.596749999997</v>
      </c>
      <c r="N16" s="233">
        <f>SUM(N7:N15)</f>
        <v>5459.4915254237276</v>
      </c>
      <c r="O16" s="101">
        <f>SUM(O7:O15)</f>
        <v>155.12044137711862</v>
      </c>
      <c r="P16" s="113">
        <f>SUM(P7:P15)</f>
        <v>31179.208716800844</v>
      </c>
      <c r="Q16" s="128">
        <f>SUM(Q7:Q15)</f>
        <v>76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28886.55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2310.9240000000004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1011.0292500000003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25564.596750000001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5459.4915254237276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31024.088275423728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155.12044137711862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31179.208716800847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31179.208716800851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7909.7000000000007</v>
      </c>
      <c r="J25" s="274">
        <f>SUM(J16:J24)</f>
        <v>632.77599999999995</v>
      </c>
      <c r="K25" s="275">
        <f t="shared" si="10"/>
        <v>276.83950000000004</v>
      </c>
      <c r="L25" s="276">
        <f t="shared" si="10"/>
        <v>0</v>
      </c>
      <c r="M25" s="232">
        <f t="shared" si="10"/>
        <v>7000.0845000000008</v>
      </c>
      <c r="N25" s="233">
        <f>SUM(N16:N24)</f>
        <v>1494.9152542372881</v>
      </c>
      <c r="O25" s="101">
        <f>SUM(O16:O24)</f>
        <v>42.474998771186435</v>
      </c>
      <c r="P25" s="234">
        <f>SUM(P16:P24)</f>
        <v>8537.4747530084751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7909.7000000000007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632.77599999999995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7000.0845000000008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8494.9997542372894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4" t="s">
        <v>88</v>
      </c>
      <c r="O35" s="375"/>
      <c r="P35" s="297">
        <f>+P33+P34</f>
        <v>8537.4747530084751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45</v>
      </c>
      <c r="I25" s="114">
        <f t="shared" si="7"/>
        <v>3268.7999999999997</v>
      </c>
      <c r="J25" s="274">
        <f>SUM(J16:J24)</f>
        <v>261.50399999999996</v>
      </c>
      <c r="K25" s="275">
        <f t="shared" si="7"/>
        <v>114.40800000000002</v>
      </c>
      <c r="L25" s="276">
        <f t="shared" si="7"/>
        <v>0</v>
      </c>
      <c r="M25" s="232">
        <f t="shared" si="7"/>
        <v>2892.8879999999999</v>
      </c>
      <c r="N25" s="233">
        <f>SUM(N16:N24)</f>
        <v>617.7966101694916</v>
      </c>
      <c r="O25" s="101">
        <f>SUM(O16:O24)</f>
        <v>17.553423050847456</v>
      </c>
      <c r="P25" s="234">
        <f>SUM(P16:P24)</f>
        <v>3528.2380332203393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3268.7999999999997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261.50399999999996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114.40800000000002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2892.8879999999999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617.7966101694916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3510.6846101694914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17.553423050847456</v>
      </c>
    </row>
    <row r="35" spans="2:16" ht="15.75" customHeight="1" thickBot="1" x14ac:dyDescent="0.4">
      <c r="N35" s="374" t="s">
        <v>88</v>
      </c>
      <c r="O35" s="375"/>
      <c r="P35" s="297">
        <f>+P33+P34</f>
        <v>3528.2380332203388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2026-10-27T05:04:20Z</dcterms:modified>
</cp:coreProperties>
</file>