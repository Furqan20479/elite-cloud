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76DA7DB-420B-4AC6-8A00-4DFFFF7DE02A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5" i="52" l="1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<sst xmlns="http://schemas.openxmlformats.org/spreadsheetml/2006/main" count="3948" uniqueCount="522">
  <si>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</si>
  <si>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</si>
  <si>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</si>
  <si>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</si>
  <si>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</si>
  <si>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</si>
  <si>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</si>
  <si>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</si>
  <si>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</si>
  <si>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</si>
  <si>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</si>
  <si>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</si>
  <si>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</si>
  <si>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</si>
  <si>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</si>
  <si>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</si>
  <si>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</si>
  <si>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</si>
  <si>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</si>
  <si>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</si>
  <si>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</si>
  <si>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</si>
  <si>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</si>
  <si>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</si>
  <si>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</si>
  <si>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</si>
  <si>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</si>
  <si>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</si>
  <si>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</si>
  <si>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</si>
  <si>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</si>
  <si>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</si>
  <si>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</si>
  <si>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</si>
  <si>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</si>
  <si>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</si>
  <si>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</si>
  <si>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</si>
  <si>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</si>
  <si>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</si>
  <si>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</si>
  <si>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</si>
  <si>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</si>
  <si>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</si>
  <si>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</si>
  <si>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</si>
  <si>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</si>
  <si>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</si>
  <si>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</si>
  <si>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</si>
  <si>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</si>
  <si>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</si>
  <si>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</si>
  <si>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</si>
  <si>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</si>
  <si>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</si>
  <si>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</si>
  <si>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</si>
  <si>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</si>
  <si>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</si>
  <si>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</si>
  <si>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</si>
  <si>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</si>
  <si>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</si>
  <si>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</si>
  <si>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</si>
  <si>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</si>
  <si>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</si>
  <si>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</si>
  <si>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</si>
  <si>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</si>
  <si>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</si>
  <si>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</si>
  <si>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</si>
  <si>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</si>
  <si>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</si>
  <si>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</si>
  <si>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</si>
  <si>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</si>
  <si>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</si>
  <si>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</si>
  <si>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</si>
  <si>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</si>
  <si>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</si>
  <si>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</si>
  <si>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</si>
  <si>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</si>
  <si>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</si>
  <si>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</si>
  <si>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</si>
  <si>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</si>
  <si>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</si>
  <si>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</si>
  <si>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</si>
  <si>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</si>
  <si>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</si>
  <si>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</si>
  <si>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</si>
  <si>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</si>
  <si>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</si>
  <si>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</si>
  <si>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</si>
  <si>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</si>
  <si>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</si>
  <si>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</si>
  <si>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</si>
  <si>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</si>
  <si>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</si>
  <si>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</si>
  <si>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</si>
  <si>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</si>
  <si>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</si>
  <si>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</si>
  <si>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</si>
  <si>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</si>
  <si>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</si>
  <si>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</si>
  <si>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</si>
  <si>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</si>
  <si>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</si>
  <si>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</si>
  <si>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</si>
  <si>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</si>
  <si>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</si>
  <si>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</si>
  <si>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</si>
  <si>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</si>
  <si>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</si>
  <si>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</si>
  <si>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</si>
  <si>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</si>
  <si>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</si>
  <si>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</si>
  <si>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</si>
  <si>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</si>
  <si>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</si>
  <si>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</si>
  <si>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</si>
  <si>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</si>
  <si>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</si>
  <si>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</si>
  <si>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</si>
  <si>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</si>
  <si>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</si>
  <si>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</si>
  <si>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</si>
  <si>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</si>
  <si>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</si>
  <si>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</si>
  <si>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</si>
  <si>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</si>
  <si>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</si>
  <si>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</si>
  <si>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</si>
  <si>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</si>
  <si>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</si>
  <si>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</si>
  <si>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</si>
  <si>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</si>
  <si>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</si>
  <si>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</si>
  <si>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</si>
  <si>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</si>
  <si>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</si>
  <si>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</si>
  <si>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</si>
  <si>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</si>
  <si>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</si>
  <si>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</si>
  <si>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</si>
  <si>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</si>
  <si>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</si>
  <si>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</si>
  <si>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</si>
  <si>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</si>
  <si>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</si>
  <si>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</si>
  <si>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</si>
  <si>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</si>
  <si>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</si>
  <si>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</si>
  <si>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</si>
  <si>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</si>
  <si>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</si>
  <si>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</si>
  <si>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</si>
  <si>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</si>
  <si>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</si>
  <si>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</si>
  <si>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</si>
  <si>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</si>
  <si>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</si>
  <si>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</si>
  <si>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</si>
  <si>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</si>
  <si>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</si>
  <si>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</si>
  <si>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</si>
  <si>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</si>
  <si>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</si>
  <si>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</si>
  <si>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</si>
  <si>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</si>
  <si>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</si>
  <si>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</si>
  <si>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</si>
  <si>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</si>
  <si>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</si>
  <si>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</si>
  <si>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</si>
  <si>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</si>
  <si>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</si>
  <si>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</si>
  <si>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</si>
  <si>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</si>
  <si>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</si>
  <si>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</si>
  <si>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</si>
  <si>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</si>
  <si>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</si>
  <si>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</si>
  <si>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</si>
  <si>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</si>
  <si>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</si>
  <si>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</si>
  <si>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</si>
  <si>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</si>
  <si>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</si>
  <si>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</si>
  <si>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</si>
  <si>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</si>
  <si>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</si>
  <si>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</si>
  <si>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</si>
  <si>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</si>
  <si>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</si>
  <si>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</si>
  <si>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</si>
  <si>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</si>
  <si>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</si>
  <si>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</si>
  <si>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</si>
  <si>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</si>
  <si>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</si>
  <si>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</si>
  <si>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</si>
  <si>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</si>
  <si>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</si>
  <si>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</si>
  <si>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</si>
  <si>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</si>
  <si>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</si>
  <si>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</si>
  <si>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</si>
  <si>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</si>
  <si>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</si>
  <si>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</si>
  <si>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</si>
  <si>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</si>
  <si>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</si>
  <si>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</si>
  <si>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</si>
  <si>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</si>
  <si>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</si>
  <si>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</si>
  <si>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</si>
  <si>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</si>
  <si>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</si>
  <si>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</si>
  <si>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</si>
  <si>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</si>
  <si>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</si>
  <si>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</si>
  <si>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</si>
  <si>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</si>
  <si>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</si>
  <si>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</si>
  <si>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</si>
  <si>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</si>
  <si>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</si>
  <si>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</si>
  <si>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</si>
  <si>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</si>
  <si>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</si>
  <si>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</si>
  <si>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</si>
  <si>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</si>
  <si>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</si>
  <si>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</si>
  <si>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</si>
  <si>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</si>
  <si>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</si>
  <si>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</si>
  <si>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</si>
  <si>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</si>
  <si>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</si>
  <si>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</si>
  <si>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</si>
  <si>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</si>
  <si>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</si>
  <si>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</si>
  <si>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</si>
  <si>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</si>
  <si>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</si>
  <si>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</si>
  <si>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</si>
  <si>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</si>
  <si>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</si>
  <si>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</si>
  <si>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</si>
  <si>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</si>
  <si>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</si>
  <si>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</si>
  <si>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</si>
  <si>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</si>
  <si>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</si>
  <si>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</si>
  <si>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</si>
  <si>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</si>
  <si>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</si>
  <si>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</si>
  <si>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</si>
  <si>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</si>
  <si>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</si>
  <si>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</si>
  <si>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</si>
  <si>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</si>
  <si>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</si>
  <si>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</si>
  <si>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</si>
  <si>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</si>
  <si>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</si>
  <si>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</si>
  <si>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</si>
  <si>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</si>
  <si>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</si>
  <si>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</si>
  <si>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</si>
  <si>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</si>
  <si>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</si>
  <si>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</si>
  <si>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</si>
  <si>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</si>
  <si>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</si>
  <si>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</si>
  <si>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</si>
  <si>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</si>
  <si>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</si>
  <si>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</si>
  <si>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</si>
  <si>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</si>
  <si>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</si>
  <si>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</si>
  <si>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</si>
  <si>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</si>
  <si>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</si>
  <si>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</si>
  <si>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</si>
  <si>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</si>
  <si>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</si>
  <si>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</si>
  <si>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</si>
  <si>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</si>
  <si>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</si>
  <si>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</si>
  <si>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</si>
  <si>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</si>
  <si>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</si>
  <si>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</si>
  <si>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</si>
  <si>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</si>
  <si>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</si>
  <si>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</si>
  <si>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</si>
  <si>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</si>
  <si>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</si>
  <si>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</si>
  <si>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</si>
  <si>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</si>
  <si>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</si>
  <si>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</si>
  <si>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</si>
  <si>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</si>
  <si>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</si>
  <si>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</si>
  <si>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</si>
  <si>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</si>
  <si>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</si>
  <si>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</si>
  <si>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</si>
  <si>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</si>
  <si>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</si>
  <si>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</si>
  <si>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</si>
  <si>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</si>
  <si>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</si>
  <si>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</si>
  <si>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</si>
  <si>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</si>
  <si>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</si>
  <si>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</si>
  <si>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</si>
  <si>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</si>
  <si>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</si>
  <si>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</si>
  <si>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</si>
  <si>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</si>
  <si>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</si>
  <si>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</si>
  <si>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</si>
  <si>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</si>
  <si>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</si>
  <si>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</si>
  <si>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</si>
  <si>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</si>
  <si>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</si>
  <si>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</si>
  <si>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</si>
  <si>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</si>
  <si>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</si>
  <si>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</si>
  <si>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</si>
  <si>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</si>
  <si>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</si>
  <si>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</si>
  <si>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</si>
  <si>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</si>
  <si>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</si>
  <si>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</si>
  <si>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</si>
  <si>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</si>
  <si>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</si>
  <si>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</si>
  <si>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</si>
  <si>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</si>
  <si>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</si>
  <si>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</si>
  <si>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</si>
  <si>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</si>
  <si>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</si>
  <si>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</si>
  <si>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</si>
  <si>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</si>
  <si>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</si>
  <si>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</si>
  <si>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</si>
  <si>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</si>
  <si>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</si>
  <si>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</si>
  <si>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</si>
  <si>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</si>
  <si>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</si>
  <si>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</si>
  <si>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</si>
  <si>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</si>
  <si>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</si>
  <si>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</si>
  <si>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</si>
  <si>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</si>
  <si>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</si>
  <si>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</si>
  <si>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</si>
  <si>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</si>
  <si>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</si>
  <si>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</si>
  <si>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</si>
  <si>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</si>
  <si>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</si>
  <si>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</si>
  <si>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</si>
  <si>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</si>
  <si>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</si>
  <si>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</si>
  <si>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</si>
  <si>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</si>
  <si>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</si>
  <si>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</si>
  <si>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</si>
  <si>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</si>
  <si>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</si>
  <si>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</si>
  <si>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</si>
  <si>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</si>
  <si>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</si>
  <si>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</si>
  <si>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</si>
  <si>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</si>
  <si>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</si>
  <si>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</si>
  <si>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</si>
  <si>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</si>
  <si>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</si>
  <si>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</si>
  <si>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</si>
  <si>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</si>
  <si>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</si>
  <si>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</si>
  <si>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</si>
  <si>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</si>
  <si>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</si>
  <si>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</si>
  <si>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</si>
  <si>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</si>
  <si>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</si>
  <si>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</si>
  <si>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</si>
  <si>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</si>
  <si>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</si>
  <si>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</si>
  <si>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</si>
  <si>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</si>
  <si>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</si>
  <si>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</si>
  <si>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</si>
  <si>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Jabbar</t>
  </si>
  <si>
    <t xml:space="preserve">MK Foods </t>
  </si>
  <si>
    <t>Address: Mozang</t>
  </si>
  <si>
    <t xml:space="preserve">Noor Pharmacy </t>
  </si>
  <si>
    <t xml:space="preserve">Hashim Mart </t>
  </si>
  <si>
    <t xml:space="preserve">Helt Mart </t>
  </si>
  <si>
    <t xml:space="preserve">Shell Pump </t>
  </si>
  <si>
    <t>Bilal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</si>
</sst>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H7" sqref="H7:H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46321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 xml:space="preserve">MK Foods </v>
      </c>
      <c r="T3" s="301">
        <f>+'1'!P35</f>
        <v>13938.737920932204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Noor Pharmacy </v>
      </c>
      <c r="T4" s="301">
        <f>+'2'!P35</f>
        <v>705.64760664406776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Hashim Mart </v>
      </c>
      <c r="T5" s="301">
        <f>+'3'!P35</f>
        <v>3136.2115850847463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Helt Mart </v>
      </c>
      <c r="T6" s="301">
        <f>+'4'!P35</f>
        <v>679.51547485169476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44</v>
      </c>
      <c r="I7" s="235">
        <f>(G7*D7)*F7+H7*F7</f>
        <v>2308.35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184.66800000000001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80.79225000000001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2042.8897499999998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436.27118644067775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12.395804682203389</v>
      </c>
      <c r="P7" s="310">
        <f>M7+N7+O7</f>
        <v>2491.5567411228812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12</v>
      </c>
      <c r="R7" s="313">
        <v>5</v>
      </c>
      <c r="S7" s="300" t="str">
        <f>+'5'!A6:A6</f>
        <v xml:space="preserve">Shell Pump </v>
      </c>
      <c r="T7" s="301">
        <f>+'5'!P35</f>
        <v>5401.2631679237293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84</v>
      </c>
      <c r="I8" s="236">
        <f t="shared" ref="I8:I14" si="0">(G8*D8)*F8+H8*F8</f>
        <v>4406.8499999999995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352.548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154.23975000000002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3900.0622499999995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832.88135593220295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23.664718029661017</v>
      </c>
      <c r="P8" s="311">
        <f t="shared" ref="P8:P15" si="2">M8+N8+O8</f>
        <v>4756.6083239618638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12</v>
      </c>
      <c r="R8" s="313">
        <v>6</v>
      </c>
      <c r="S8" s="300" t="str">
        <f>+'6'!A6:A6</f>
        <v>Bilal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</v>
      </c>
      <c r="I9" s="236">
        <f t="shared" si="0"/>
        <v>209.85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16.788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7.3447500000000003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185.71724999999998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39.661016949152526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1.1268913347457625</v>
      </c>
      <c r="P9" s="311">
        <f t="shared" si="2"/>
        <v>226.50515828389825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54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56</v>
      </c>
      <c r="I10" s="236">
        <f t="shared" si="0"/>
        <v>4067.84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325.42720000000003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142.37440000000001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3600.0384000000004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768.81355932203383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21.844259796610171</v>
      </c>
      <c r="P10" s="311">
        <f t="shared" si="2"/>
        <v>4390.6962191186449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12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96</v>
      </c>
      <c r="I11" s="236">
        <f t="shared" si="0"/>
        <v>6973.4400000000005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557.87520000000006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244.07040000000001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6171.4944000000005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1317.9661016949153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37.447302508474579</v>
      </c>
      <c r="P11" s="311">
        <f t="shared" si="2"/>
        <v>7526.9078042033898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12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57</v>
      </c>
      <c r="I12" s="236">
        <f t="shared" si="0"/>
        <v>4140.4800000000005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331.23840000000001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144.91680000000002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3664.3248000000003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782.54237288135596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22.234335864406781</v>
      </c>
      <c r="P12" s="311">
        <f t="shared" si="2"/>
        <v>4469.1015087457627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14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8.5250000000000004</v>
      </c>
      <c r="H16" s="113">
        <f t="shared" ref="H16:M16" si="3">SUM(H7:H15)</f>
        <v>341</v>
      </c>
      <c r="I16" s="114">
        <f t="shared" si="3"/>
        <v>22106.81</v>
      </c>
      <c r="J16" s="274">
        <f>SUM(J7:J15)</f>
        <v>1768.5447999999999</v>
      </c>
      <c r="K16" s="275">
        <f t="shared" si="3"/>
        <v>773.73835000000008</v>
      </c>
      <c r="L16" s="276">
        <f t="shared" si="3"/>
        <v>0</v>
      </c>
      <c r="M16" s="232">
        <f t="shared" si="3"/>
        <v>19564.526850000002</v>
      </c>
      <c r="N16" s="233">
        <f>SUM(N7:N15)</f>
        <v>4178.1355932203387</v>
      </c>
      <c r="O16" s="101">
        <f>SUM(O7:O15)</f>
        <v>118.71331221610171</v>
      </c>
      <c r="P16" s="113">
        <f>SUM(P7:P15)</f>
        <v>23861.375755436442</v>
      </c>
      <c r="Q16" s="128">
        <f>SUM(Q7:Q15)</f>
        <v>116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22106.81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1768.5447999999999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773.73835000000008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19564.526850000002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4178.1355932203387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23742.662443220339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118.71331221610171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23861.375755436442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23861.375755436442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1" workbookViewId="0">
      <selection activeCell="Q19" sqref="Q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46321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46320</v>
      </c>
      <c r="O5" s="370"/>
      <c r="P5" s="370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>
        <v>40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200</v>
      </c>
      <c r="I25" s="114">
        <f t="shared" ref="I25:M25" si="10">SUM(I16:I24)</f>
        <v>12913.800000000001</v>
      </c>
      <c r="J25" s="274">
        <f>SUM(J16:J24)</f>
        <v>1033.104</v>
      </c>
      <c r="K25" s="275">
        <f t="shared" si="10"/>
        <v>451.98300000000006</v>
      </c>
      <c r="L25" s="276">
        <f t="shared" si="10"/>
        <v>0</v>
      </c>
      <c r="M25" s="232">
        <f t="shared" si="10"/>
        <v>11428.713000000002</v>
      </c>
      <c r="N25" s="233">
        <f>SUM(N16:N24)</f>
        <v>2440.6779661016944</v>
      </c>
      <c r="O25" s="101">
        <f>SUM(O16:O24)</f>
        <v>69.346954830508466</v>
      </c>
      <c r="P25" s="234">
        <f>SUM(P16:P24)</f>
        <v>13938.737920932204</v>
      </c>
      <c r="Q25" s="239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12913.800000000001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1033.104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451.98300000000006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11428.713000000002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2440.6779661016944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13869.390966101695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69.34695483050848</v>
      </c>
    </row>
    <row r="35" spans="2:16" ht="15.75" customHeight="1" thickBot="1" x14ac:dyDescent="0.4">
      <c r="N35" s="345" t="s">
        <v>88</v>
      </c>
      <c r="O35" s="346"/>
      <c r="P35" s="297">
        <f>+P33+P34</f>
        <v>13938.737920932204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46320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119">
        <f t="shared" si="5"/>
        <v>235.21586888135593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</v>
      </c>
      <c r="I20" s="236">
        <f t="shared" si="0"/>
        <v>217.92000000000002</v>
      </c>
      <c r="J20" s="272">
        <f t="shared" si="1"/>
        <v>17.433600000000002</v>
      </c>
      <c r="K20" s="128">
        <f t="shared" si="1"/>
        <v>7.6272000000000011</v>
      </c>
      <c r="L20" s="119">
        <f t="shared" si="1"/>
        <v>0</v>
      </c>
      <c r="M20" s="230">
        <f t="shared" si="2"/>
        <v>192.85920000000002</v>
      </c>
      <c r="N20" s="277">
        <f t="shared" si="3"/>
        <v>41.186440677966104</v>
      </c>
      <c r="O20" s="239">
        <f t="shared" si="4"/>
        <v>1.1702282033898306</v>
      </c>
      <c r="P20" s="119">
        <f t="shared" si="5"/>
        <v>235.21586888135593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0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119">
        <f t="shared" si="5"/>
        <v>235.21586888135593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9</v>
      </c>
      <c r="I25" s="114">
        <f t="shared" si="7"/>
        <v>653.76</v>
      </c>
      <c r="J25" s="274">
        <f>SUM(J16:J24)</f>
        <v>52.30080000000001</v>
      </c>
      <c r="K25" s="275">
        <f t="shared" si="7"/>
        <v>22.881600000000002</v>
      </c>
      <c r="L25" s="276">
        <f t="shared" si="7"/>
        <v>0</v>
      </c>
      <c r="M25" s="232">
        <f t="shared" si="7"/>
        <v>578.57760000000007</v>
      </c>
      <c r="N25" s="233">
        <f>SUM(N16:N24)</f>
        <v>123.55932203389831</v>
      </c>
      <c r="O25" s="101">
        <f>SUM(O16:O24)</f>
        <v>3.5106846101694917</v>
      </c>
      <c r="P25" s="234">
        <f>SUM(P16:P24)</f>
        <v>705.64760664406776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653.76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52.30080000000001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22.881600000000002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578.57759999999996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123.55932203389831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702.13692203389826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3.5106846101694913</v>
      </c>
    </row>
    <row r="35" spans="2:16" ht="15.75" customHeight="1" thickBot="1" x14ac:dyDescent="0.4">
      <c r="N35" s="345" t="s">
        <v>88</v>
      </c>
      <c r="O35" s="346"/>
      <c r="P35" s="297">
        <f>+P33+P34</f>
        <v>705.64760664406776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46320</v>
      </c>
      <c r="O5" s="370"/>
      <c r="P5" s="370"/>
      <c r="R5" s="85"/>
      <c r="S5" s="266"/>
    </row>
    <row r="6" spans="1:22 16383:16384" ht="18.7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13</v>
      </c>
      <c r="I19" s="236">
        <f t="shared" si="0"/>
        <v>944.32</v>
      </c>
      <c r="J19" s="272">
        <f t="shared" si="1"/>
        <v>75.545600000000007</v>
      </c>
      <c r="K19" s="128">
        <f t="shared" si="1"/>
        <v>33.051200000000001</v>
      </c>
      <c r="L19" s="119">
        <f t="shared" si="1"/>
        <v>0</v>
      </c>
      <c r="M19" s="230">
        <f t="shared" si="2"/>
        <v>835.72320000000002</v>
      </c>
      <c r="N19" s="277">
        <f t="shared" si="3"/>
        <v>178.47457627118644</v>
      </c>
      <c r="O19" s="239">
        <f t="shared" si="4"/>
        <v>5.070988881355933</v>
      </c>
      <c r="P19" s="119">
        <f t="shared" si="5"/>
        <v>1019.2687651525424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13</v>
      </c>
      <c r="I20" s="236">
        <f t="shared" si="0"/>
        <v>944.32</v>
      </c>
      <c r="J20" s="272">
        <f t="shared" si="1"/>
        <v>75.545600000000007</v>
      </c>
      <c r="K20" s="128">
        <f t="shared" si="1"/>
        <v>33.051200000000001</v>
      </c>
      <c r="L20" s="119">
        <f t="shared" si="1"/>
        <v>0</v>
      </c>
      <c r="M20" s="230">
        <f t="shared" si="2"/>
        <v>835.72320000000002</v>
      </c>
      <c r="N20" s="277">
        <f t="shared" si="3"/>
        <v>178.47457627118644</v>
      </c>
      <c r="O20" s="239">
        <f t="shared" si="4"/>
        <v>5.070988881355933</v>
      </c>
      <c r="P20" s="119">
        <f t="shared" si="5"/>
        <v>1019.2687651525424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14</v>
      </c>
      <c r="I21" s="236">
        <f t="shared" si="0"/>
        <v>1016.96</v>
      </c>
      <c r="J21" s="272">
        <f t="shared" si="1"/>
        <v>81.356800000000007</v>
      </c>
      <c r="K21" s="128">
        <f t="shared" si="1"/>
        <v>35.593600000000002</v>
      </c>
      <c r="L21" s="119">
        <f t="shared" si="1"/>
        <v>0</v>
      </c>
      <c r="M21" s="230">
        <f t="shared" si="2"/>
        <v>900.00960000000009</v>
      </c>
      <c r="N21" s="277">
        <f t="shared" si="3"/>
        <v>192.20338983050848</v>
      </c>
      <c r="O21" s="239">
        <f t="shared" si="4"/>
        <v>5.4610649491525427</v>
      </c>
      <c r="P21" s="119">
        <f t="shared" si="5"/>
        <v>1097.6740547796612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2905.6000000000004</v>
      </c>
      <c r="J25" s="274">
        <f>SUM(J16:J24)</f>
        <v>232.44800000000004</v>
      </c>
      <c r="K25" s="275">
        <f t="shared" si="7"/>
        <v>101.696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2905.6000000000004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2571.4560000000006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15.603042711864409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3136.2115850847463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46320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</v>
      </c>
      <c r="I16" s="235">
        <f>(G16*D16)*F16+H16*F16</f>
        <v>209.85</v>
      </c>
      <c r="J16" s="271">
        <f>$I16*S16</f>
        <v>16.788</v>
      </c>
      <c r="K16" s="127">
        <f>$I16*T16</f>
        <v>7.3447500000000003</v>
      </c>
      <c r="L16" s="118">
        <f>$I16*U16</f>
        <v>0</v>
      </c>
      <c r="M16" s="229">
        <f>I16-SUM(J16:L16)</f>
        <v>185.71724999999998</v>
      </c>
      <c r="N16" s="248">
        <f>+(G16*D16+H16)*V16</f>
        <v>39.661016949152526</v>
      </c>
      <c r="O16" s="238">
        <f>(N16+M16)*$O$15</f>
        <v>1.1268913347457625</v>
      </c>
      <c r="P16" s="118">
        <f>M16+N16+O16</f>
        <v>226.50515828389825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</v>
      </c>
      <c r="I17" s="236">
        <f t="shared" ref="I17:I23" si="0">(G17*D17)*F17+H17*F17</f>
        <v>209.85</v>
      </c>
      <c r="J17" s="272">
        <f t="shared" ref="J17:L24" si="1">$I17*S17</f>
        <v>16.788</v>
      </c>
      <c r="K17" s="128">
        <f>$I17*T17</f>
        <v>7.3447500000000003</v>
      </c>
      <c r="L17" s="119">
        <f>$I17*U17</f>
        <v>0</v>
      </c>
      <c r="M17" s="230">
        <f t="shared" ref="M17:M24" si="2">I17-SUM(J17:L17)</f>
        <v>185.71724999999998</v>
      </c>
      <c r="N17" s="277">
        <f t="shared" ref="N17:N24" si="3">+(G17*D17+H17)*V17</f>
        <v>39.661016949152526</v>
      </c>
      <c r="O17" s="239">
        <f t="shared" ref="O17:O24" si="4">(N17+M17)*$O$15</f>
        <v>1.1268913347457625</v>
      </c>
      <c r="P17" s="119">
        <f t="shared" ref="P17:P24" si="5">M17+N17+O17</f>
        <v>226.50515828389825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si="0"/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119">
        <f t="shared" si="5"/>
        <v>226.50515828389825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</v>
      </c>
      <c r="I25" s="114">
        <f t="shared" si="7"/>
        <v>629.54999999999995</v>
      </c>
      <c r="J25" s="274">
        <f>SUM(J16:J24)</f>
        <v>50.364000000000004</v>
      </c>
      <c r="K25" s="275">
        <f t="shared" si="7"/>
        <v>22.03425</v>
      </c>
      <c r="L25" s="276">
        <f t="shared" si="7"/>
        <v>0</v>
      </c>
      <c r="M25" s="232">
        <f t="shared" si="7"/>
        <v>557.15174999999999</v>
      </c>
      <c r="N25" s="233">
        <f>SUM(N16:N24)</f>
        <v>118.98305084745758</v>
      </c>
      <c r="O25" s="101">
        <f>SUM(O16:O24)</f>
        <v>3.3806740042372878</v>
      </c>
      <c r="P25" s="234">
        <f>SUM(P16:P24)</f>
        <v>679.51547485169476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629.54999999999995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50.364000000000004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22.03425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557.15174999999988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118.98305084745758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676.13480084745743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3.3806740042372874</v>
      </c>
    </row>
    <row r="35" spans="2:16" ht="15.75" customHeight="1" thickBot="1" x14ac:dyDescent="0.4">
      <c r="N35" s="345" t="s">
        <v>88</v>
      </c>
      <c r="O35" s="346"/>
      <c r="P35" s="297">
        <f>+P33+P34</f>
        <v>679.51547485169476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7" workbookViewId="0">
      <selection activeCell="H20" sqref="H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46320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400.32799999999997</v>
      </c>
      <c r="K25" s="275">
        <f t="shared" si="7"/>
        <v>175.14350000000002</v>
      </c>
      <c r="L25" s="276">
        <f t="shared" si="7"/>
        <v>0</v>
      </c>
      <c r="M25" s="232">
        <f t="shared" si="7"/>
        <v>4428.6285000000007</v>
      </c>
      <c r="N25" s="233">
        <f>SUM(N16:N24)</f>
        <v>945.76271186440658</v>
      </c>
      <c r="O25" s="101">
        <f>SUM(O16:O24)</f>
        <v>26.871956059322034</v>
      </c>
      <c r="P25" s="234">
        <f>SUM(P16:P24)</f>
        <v>5401.2631679237293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5004.1000000000004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400.32799999999997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175.14350000000002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4428.6285000000007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5374.3912118644075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26.871956059322038</v>
      </c>
    </row>
    <row r="35" spans="2:16" ht="15.75" customHeight="1" thickBot="1" x14ac:dyDescent="0.4">
      <c r="N35" s="345" t="s">
        <v>88</v>
      </c>
      <c r="O35" s="346"/>
      <c r="P35" s="297">
        <f>+P33+P34</f>
        <v>5401.2631679237293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7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46321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46320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12">
        <v>12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96">
        <v>12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96">
        <v>14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96">
        <v>12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96">
        <v>12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96">
        <v>14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76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46320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46323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46322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2026-10-27T05:02:58Z</dcterms:modified>
</cp:coreProperties>
</file>