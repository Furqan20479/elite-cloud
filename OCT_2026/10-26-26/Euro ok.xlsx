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33B172B-1295-4519-8BB2-2F075C9D265D}" xr6:coauthVersionLast="47" xr6:coauthVersionMax="47" xr10:uidLastSave="{00000000-0000-0000-0000-000000000000}"/>
  <bookViews>
    <workbookView xWindow="-110" yWindow="-110" windowWidth="19420" windowHeight="10420" tabRatio="871" firstSheet="3" activeTab="20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6" i="58" l="1"/>
  <c r="M20" i="53"/>
  <c r="O20" i="53" s="1"/>
  <c r="P20" i="53" s="1"/>
  <c r="R20" i="53" s="1"/>
  <c r="M21" i="52"/>
  <c r="O21" i="52" s="1"/>
  <c r="P21" i="52" s="1"/>
  <c r="J25" i="61"/>
  <c r="P29" i="61" s="1"/>
  <c r="M17" i="56"/>
  <c r="O17" i="56" s="1"/>
  <c r="P17" i="56" s="1"/>
  <c r="M20" i="57"/>
  <c r="O20" i="57" s="1"/>
  <c r="P20" i="57" s="1"/>
  <c r="R20" i="57" s="1"/>
  <c r="M16" i="59"/>
  <c r="M20" i="43"/>
  <c r="O20" i="43" s="1"/>
  <c r="P20" i="43" s="1"/>
  <c r="J7" i="62"/>
  <c r="M17" i="44"/>
  <c r="O17" i="44" s="1"/>
  <c r="P17" i="44" s="1"/>
  <c r="M21" i="44"/>
  <c r="O21" i="44" s="1"/>
  <c r="P21" i="44" s="1"/>
  <c r="K12" i="62"/>
  <c r="M16" i="44"/>
  <c r="O16" i="44" s="1"/>
  <c r="M17" i="60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O21" i="50"/>
  <c r="M12" i="62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P34" i="43"/>
  <c r="P35" i="43" s="1"/>
  <c r="T4" i="62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<sst xmlns="http://schemas.openxmlformats.org/spreadsheetml/2006/main" count="3978" uniqueCount="522">
  <si>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</si>
  <si>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</si>
  <si>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</si>
  <si>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</si>
  <si>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</si>
  <si>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</si>
  <si>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</si>
  <si>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</si>
  <si>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</si>
  <si>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</si>
  <si>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</si>
  <si>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</si>
  <si>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</si>
  <si>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</si>
  <si>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</si>
  <si>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</si>
  <si>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</si>
  <si>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</si>
  <si>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</si>
  <si>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</si>
  <si>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</si>
  <si>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</si>
  <si>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</si>
  <si>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</si>
  <si>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</si>
  <si>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</si>
  <si>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</si>
  <si>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</si>
  <si>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</si>
  <si>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</si>
  <si>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</si>
  <si>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</si>
  <si>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</si>
  <si>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</si>
  <si>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</si>
  <si>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</si>
  <si>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</si>
  <si>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</si>
  <si>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</si>
  <si>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</si>
  <si>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</si>
  <si>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</si>
  <si>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</si>
  <si>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</si>
  <si>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</si>
  <si>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</si>
  <si>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</si>
  <si>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</si>
  <si>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</si>
  <si>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</si>
  <si>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</si>
  <si>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</si>
  <si>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</si>
  <si>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</si>
  <si>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</si>
  <si>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</si>
  <si>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</si>
  <si>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</si>
  <si>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</si>
  <si>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</si>
  <si>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</si>
  <si>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</si>
  <si>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</si>
  <si>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</si>
  <si>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</si>
  <si>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</si>
  <si>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</si>
  <si>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</si>
  <si>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</si>
  <si>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</si>
  <si>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</si>
  <si>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</si>
  <si>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</si>
  <si>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</si>
  <si>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</si>
  <si>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</si>
  <si>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</si>
  <si>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</si>
  <si>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</si>
  <si>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</si>
  <si>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</si>
  <si>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</si>
  <si>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</si>
  <si>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</si>
  <si>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</si>
  <si>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</si>
  <si>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</si>
  <si>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</si>
  <si>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</si>
  <si>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</si>
  <si>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</si>
  <si>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</si>
  <si>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</si>
  <si>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</si>
  <si>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</si>
  <si>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</si>
  <si>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</si>
  <si>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</si>
  <si>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</si>
  <si>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</si>
  <si>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</si>
  <si>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</si>
  <si>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</si>
  <si>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</si>
  <si>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</si>
  <si>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</si>
  <si>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</si>
  <si>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</si>
  <si>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</si>
  <si>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</si>
  <si>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</si>
  <si>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</si>
  <si>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</si>
  <si>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</si>
  <si>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</si>
  <si>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</si>
  <si>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</si>
  <si>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</si>
  <si>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</si>
  <si>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</si>
  <si>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</si>
  <si>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</si>
  <si>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</si>
  <si>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</si>
  <si>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</si>
  <si>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</si>
  <si>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</si>
  <si>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</si>
  <si>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</si>
  <si>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</si>
  <si>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</si>
  <si>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</si>
  <si>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</si>
  <si>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</si>
  <si>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</si>
  <si>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</si>
  <si>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</si>
  <si>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</si>
  <si>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</si>
  <si>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</si>
  <si>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</si>
  <si>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</si>
  <si>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</si>
  <si>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</si>
  <si>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</si>
  <si>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</si>
  <si>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</si>
  <si>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</si>
  <si>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</si>
  <si>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</si>
  <si>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</si>
  <si>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</si>
  <si>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</si>
  <si>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</si>
  <si>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</si>
  <si>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</si>
  <si>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</si>
  <si>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</si>
  <si>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</si>
  <si>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</si>
  <si>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</si>
  <si>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</si>
  <si>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</si>
  <si>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</si>
  <si>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</si>
  <si>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</si>
  <si>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</si>
  <si>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</si>
  <si>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</si>
  <si>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</si>
  <si>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</si>
  <si>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</si>
  <si>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</si>
  <si>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</si>
  <si>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</si>
  <si>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</si>
  <si>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</si>
  <si>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</si>
  <si>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</si>
  <si>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</si>
  <si>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</si>
  <si>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</si>
  <si>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</si>
  <si>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</si>
  <si>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</si>
  <si>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</si>
  <si>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</si>
  <si>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</si>
  <si>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</si>
  <si>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</si>
  <si>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</si>
  <si>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</si>
  <si>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</si>
  <si>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</si>
  <si>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</si>
  <si>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</si>
  <si>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</si>
  <si>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</si>
  <si>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</si>
  <si>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</si>
  <si>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</si>
  <si>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</si>
  <si>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</si>
  <si>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</si>
  <si>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</si>
  <si>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</si>
  <si>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</si>
  <si>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</si>
  <si>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</si>
  <si>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</si>
  <si>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</si>
  <si>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</si>
  <si>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</si>
  <si>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</si>
  <si>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</si>
  <si>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</si>
  <si>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</si>
  <si>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</si>
  <si>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</si>
  <si>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</si>
  <si>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</si>
  <si>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</si>
  <si>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</si>
  <si>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</si>
  <si>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</si>
  <si>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</si>
  <si>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</si>
  <si>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</si>
  <si>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</si>
  <si>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</si>
  <si>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</si>
  <si>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</si>
  <si>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</si>
  <si>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</si>
  <si>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</si>
  <si>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</si>
  <si>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</si>
  <si>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</si>
  <si>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</si>
  <si>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</si>
  <si>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</si>
  <si>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</si>
  <si>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</si>
  <si>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</si>
  <si>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</si>
  <si>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</si>
  <si>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</si>
  <si>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</si>
  <si>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</si>
  <si>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</si>
  <si>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</si>
  <si>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</si>
  <si>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</si>
  <si>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</si>
  <si>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</si>
  <si>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</si>
  <si>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</si>
  <si>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</si>
  <si>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</si>
  <si>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</si>
  <si>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</si>
  <si>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</si>
  <si>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</si>
  <si>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</si>
  <si>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</si>
  <si>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</si>
  <si>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</si>
  <si>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</si>
  <si>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</si>
  <si>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</si>
  <si>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</si>
  <si>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</si>
  <si>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</si>
  <si>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</si>
  <si>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</si>
  <si>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</si>
  <si>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</si>
  <si>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</si>
  <si>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</si>
  <si>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</si>
  <si>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</si>
  <si>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</si>
  <si>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</si>
  <si>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</si>
  <si>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</si>
  <si>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</si>
  <si>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</si>
  <si>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</si>
  <si>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</si>
  <si>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</si>
  <si>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</si>
  <si>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</si>
  <si>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</si>
  <si>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</si>
  <si>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</si>
  <si>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</si>
  <si>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</si>
  <si>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</si>
  <si>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</si>
  <si>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</si>
  <si>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</si>
  <si>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</si>
  <si>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</si>
  <si>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</si>
  <si>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</si>
  <si>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</si>
  <si>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</si>
  <si>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</si>
  <si>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</si>
  <si>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</si>
  <si>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</si>
  <si>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</si>
  <si>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</si>
  <si>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</si>
  <si>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</si>
  <si>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</si>
  <si>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</si>
  <si>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</si>
  <si>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</si>
  <si>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</si>
  <si>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</si>
  <si>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</si>
  <si>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</si>
  <si>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</si>
  <si>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</si>
  <si>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</si>
  <si>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</si>
  <si>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</si>
  <si>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</si>
  <si>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</si>
  <si>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</si>
  <si>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</si>
  <si>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</si>
  <si>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</si>
  <si>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</si>
  <si>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</si>
  <si>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</si>
  <si>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</si>
  <si>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</si>
  <si>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</si>
  <si>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</si>
  <si>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</si>
  <si>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</si>
  <si>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</si>
  <si>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</si>
  <si>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</si>
  <si>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</si>
  <si>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</si>
  <si>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</si>
  <si>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</si>
  <si>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</si>
  <si>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</si>
  <si>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</si>
  <si>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</si>
  <si>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</si>
  <si>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</si>
  <si>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</si>
  <si>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</si>
  <si>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</si>
  <si>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</si>
  <si>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</si>
  <si>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</si>
  <si>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</si>
  <si>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</si>
  <si>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</si>
  <si>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</si>
  <si>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</si>
  <si>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</si>
  <si>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</si>
  <si>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</si>
  <si>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</si>
  <si>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</si>
  <si>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</si>
  <si>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</si>
  <si>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</si>
  <si>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</si>
  <si>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</si>
  <si>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</si>
  <si>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</si>
  <si>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</si>
  <si>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</si>
  <si>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</si>
  <si>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</si>
  <si>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</si>
  <si>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</si>
  <si>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</si>
  <si>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</si>
  <si>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</si>
  <si>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</si>
  <si>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</si>
  <si>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</si>
  <si>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</si>
  <si>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</si>
  <si>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</si>
  <si>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</si>
  <si>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</si>
  <si>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</si>
  <si>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</si>
  <si>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</si>
  <si>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</si>
  <si>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</si>
  <si>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</si>
  <si>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</si>
  <si>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</si>
  <si>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</si>
  <si>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</si>
  <si>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</si>
  <si>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</si>
  <si>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</si>
  <si>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</si>
  <si>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</si>
  <si>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</si>
  <si>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</si>
  <si>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</si>
  <si>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</si>
  <si>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</si>
  <si>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</si>
  <si>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</si>
  <si>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</si>
  <si>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</si>
  <si>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</si>
  <si>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</si>
  <si>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</si>
  <si>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</si>
  <si>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</si>
  <si>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</si>
  <si>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</si>
  <si>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</si>
  <si>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</si>
  <si>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</si>
  <si>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</si>
  <si>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</si>
  <si>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</si>
  <si>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</si>
  <si>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</si>
  <si>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</si>
  <si>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</si>
  <si>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</si>
  <si>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</si>
  <si>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</si>
  <si>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</si>
  <si>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</si>
  <si>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</si>
  <si>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</si>
  <si>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</si>
  <si>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</si>
  <si>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</si>
  <si>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</si>
  <si>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</si>
  <si>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</si>
  <si>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</si>
  <si>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</si>
  <si>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</si>
  <si>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</si>
  <si>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</si>
  <si>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</si>
  <si>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</si>
  <si>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</si>
  <si>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</si>
  <si>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</si>
  <si>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</si>
  <si>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</si>
  <si>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</si>
  <si>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</si>
  <si>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</si>
  <si>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</si>
  <si>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</si>
  <si>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</si>
  <si>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</si>
  <si>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</si>
  <si>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</si>
  <si>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</si>
  <si>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</si>
  <si>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</si>
  <si>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</si>
  <si>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</si>
  <si>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</si>
  <si>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</si>
  <si>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</si>
  <si>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</si>
  <si>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</si>
  <si>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</si>
  <si>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</si>
  <si>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</si>
  <si>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</si>
  <si>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</si>
  <si>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</si>
  <si>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</si>
  <si>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</si>
  <si>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</si>
  <si>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</si>
  <si>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</si>
  <si>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</si>
  <si>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</si>
  <si>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</si>
  <si>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</si>
  <si>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</si>
  <si>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</si>
  <si>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</si>
  <si>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</si>
  <si>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</si>
  <si>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</si>
  <si>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</si>
  <si>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</si>
  <si>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</si>
  <si>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</si>
  <si>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</si>
  <si>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</si>
  <si>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</si>
  <si>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</si>
  <si>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</si>
  <si>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</si>
  <si>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</si>
  <si>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 xml:space="preserve">Address: Johar Town </t>
  </si>
  <si>
    <t>Invoice No # :165156</t>
  </si>
  <si>
    <t xml:space="preserve">Address: Model Town </t>
  </si>
  <si>
    <t>Address: Ghari Shahu</t>
  </si>
  <si>
    <t>ok</t>
  </si>
  <si>
    <t>Invoice No # :45154</t>
  </si>
  <si>
    <t>Address: DHA Phase 8</t>
  </si>
  <si>
    <t>EURO MEGA STORE</t>
  </si>
  <si>
    <t>NTN #: i755995-4 STRN #:3277876165245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</si>
</sst>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3" fontId="17" fillId="0" borderId="55" xfId="0" applyNumberFormat="1" applyFont="1" applyBorder="1" applyAlignment="1">
      <alignment horizontal="center" vertical="top" shrinkToFit="1"/>
    </xf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3" fontId="17" fillId="6" borderId="46" xfId="0" applyNumberFormat="1" applyFont="1" applyFill="1" applyBorder="1" applyAlignment="1">
      <alignment horizontal="center" vertical="top" shrinkToFit="1"/>
    </xf>
    <xf numFmtId="3" fontId="17" fillId="6" borderId="2" xfId="0" applyNumberFormat="1" applyFont="1" applyFill="1" applyBorder="1" applyAlignment="1">
      <alignment horizontal="center" vertical="top" shrinkToFit="1"/>
    </xf>
    <xf numFmtId="3" fontId="17" fillId="6" borderId="2" xfId="0" applyNumberFormat="1" applyFont="1" applyFill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512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f ca="1">TODAY()</f>
        <v>46321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EURO MEGA STORE</v>
      </c>
      <c r="T3" s="301">
        <f>+'1'!P35</f>
        <v>22043.047496186442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MEGA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EURO MEGA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EURO MEGA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50</v>
      </c>
      <c r="I7" s="235">
        <f>(G7*D7)*F7+H7*F7</f>
        <v>2623.125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367.23750000000001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91.809375000000003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2164.078125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495.76271186440658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13.299204184322033</v>
      </c>
      <c r="P7" s="309">
        <f>M7+N7+O7</f>
        <v>2673.140041048729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EURO MEGA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440.68500000000006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2596.8937500000002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15.959045021186441</v>
      </c>
      <c r="P8" s="310">
        <f t="shared" ref="P8:P15" si="2">M8+N8+O8</f>
        <v>3207.7680492584741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EURO MEGA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30</v>
      </c>
      <c r="I9" s="236">
        <f t="shared" si="0"/>
        <v>1573.875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220.34250000000003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55.085625000000007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1298.4468750000001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297.45762711864393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7.9795225105932195</v>
      </c>
      <c r="P9" s="310">
        <f t="shared" si="2"/>
        <v>1603.884024629237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EURO MEGA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130</v>
      </c>
      <c r="I10" s="236">
        <f t="shared" si="0"/>
        <v>9443.2000000000007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1322.0480000000002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330.51200000000006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7790.64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1784.7457627118645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47.876928813559317</v>
      </c>
      <c r="P10" s="310">
        <f t="shared" si="2"/>
        <v>9623.2626915254241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EURO MEGA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305.08800000000002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7191.3599999999988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44.194088135593219</v>
      </c>
      <c r="P11" s="310">
        <f t="shared" si="2"/>
        <v>8883.0117152542352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EURO MEGA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140</v>
      </c>
      <c r="I12" s="236">
        <f t="shared" si="0"/>
        <v>10169.6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1423.7440000000001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355.93600000000004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8389.92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1922.0338983050849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51.559769491525415</v>
      </c>
      <c r="P12" s="310">
        <f t="shared" si="2"/>
        <v>10363.513667796609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EURO MEGA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EURO MEGA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EURO MEGA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EURO MEGA STORE</v>
      </c>
      <c r="T15" s="301">
        <f>+'13'!P35</f>
        <v>0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13.25</v>
      </c>
      <c r="H16" s="113">
        <f t="shared" ref="H16:M16" si="3">SUM(H7:H15)</f>
        <v>530</v>
      </c>
      <c r="I16" s="114">
        <f t="shared" si="3"/>
        <v>35674.35</v>
      </c>
      <c r="J16" s="274">
        <f>SUM(J7:J15)</f>
        <v>4994.4089999999997</v>
      </c>
      <c r="K16" s="275">
        <f t="shared" si="3"/>
        <v>1248.6022499999999</v>
      </c>
      <c r="L16" s="276">
        <f t="shared" si="3"/>
        <v>0</v>
      </c>
      <c r="M16" s="232">
        <f t="shared" si="3"/>
        <v>29431.338749999995</v>
      </c>
      <c r="N16" s="233">
        <f>SUM(N7:N15)</f>
        <v>6742.3728813559319</v>
      </c>
      <c r="O16" s="101">
        <f>SUM(O7:O15)</f>
        <v>180.86855815677961</v>
      </c>
      <c r="P16" s="113">
        <f>SUM(P7:P15)</f>
        <v>36354.580189512708</v>
      </c>
      <c r="Q16" s="128">
        <f>SUM(Q7:Q15)</f>
        <v>0</v>
      </c>
      <c r="R16" s="313">
        <v>14</v>
      </c>
      <c r="S16" s="300" t="str">
        <f>+'14'!A6:A6</f>
        <v>EURO MEGA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MEGA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MEGA STORE</v>
      </c>
      <c r="T18" s="301">
        <f>+'16'!P35</f>
        <v>0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35674.35</v>
      </c>
      <c r="R19" s="299">
        <v>17</v>
      </c>
      <c r="S19" s="300" t="str">
        <f>+'17'!A6:A6</f>
        <v>EURO MEGA STORE</v>
      </c>
      <c r="T19" s="301">
        <f>+'17'!P35</f>
        <v>14311.532693326271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4994.4089999999997</v>
      </c>
      <c r="R20" s="299">
        <v>18</v>
      </c>
      <c r="S20" s="300" t="str">
        <f>+'18'!A6:A6</f>
        <v>EURO MEGA STORE</v>
      </c>
      <c r="T20" s="301">
        <f>+'18'!P35</f>
        <v>0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1248.6022499999999</v>
      </c>
      <c r="R21" s="299">
        <v>19</v>
      </c>
      <c r="S21" s="300" t="str">
        <f>+'19'!A6:A6</f>
        <v>EURO MEGA STORE</v>
      </c>
      <c r="T21" s="301">
        <f>+'19'!P35</f>
        <v>0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29431.338749999999</v>
      </c>
      <c r="R22" s="299">
        <v>20</v>
      </c>
      <c r="S22" s="300" t="str">
        <f>+'20'!A6:A6</f>
        <v>EURO MEGA STORE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6742.3728813559319</v>
      </c>
      <c r="R23" s="299">
        <v>21</v>
      </c>
      <c r="S23" s="300" t="str">
        <f>+'21'!A6:A6</f>
        <v>EURO MEGA STORE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36173.711631355931</v>
      </c>
      <c r="R24" s="299">
        <v>22</v>
      </c>
      <c r="S24" s="300" t="str">
        <f>+'22'!A6:A6</f>
        <v>EURO MEGA STORE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180.86855815677961</v>
      </c>
      <c r="R25" s="299">
        <v>23</v>
      </c>
      <c r="S25" s="300" t="str">
        <f>+'23'!A6:A6</f>
        <v>EURO MEGA STORE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36354.580189512708</v>
      </c>
      <c r="R26" s="299">
        <v>24</v>
      </c>
      <c r="S26" s="300" t="str">
        <f>+'24'!A6:A6</f>
        <v>EURO MEGA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EURO MEGA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MEGA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MEGA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MEGA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MEGA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MEGA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36354.580189512715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518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46321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46320</v>
      </c>
      <c r="O5" s="369"/>
      <c r="P5" s="369"/>
      <c r="R5" s="85"/>
      <c r="S5" s="266"/>
    </row>
    <row r="6" spans="1:22 16383:16384" ht="17.2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500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519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316">
        <v>0.14000000000000001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73.447500000000005</v>
      </c>
      <c r="L16" s="118">
        <f>$I16*U16</f>
        <v>0</v>
      </c>
      <c r="M16" s="229">
        <f>I16-SUM(J16:L16)</f>
        <v>1731.2625</v>
      </c>
      <c r="N16" s="248">
        <f>+(G16*D16+H16)*V16</f>
        <v>396.61016949152526</v>
      </c>
      <c r="O16" s="238">
        <f>(N16+M16)*$O$15</f>
        <v>10.639363347457627</v>
      </c>
      <c r="P16" s="118">
        <f>M16+N16+O16</f>
        <v>2138.512032838983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293.79000000000002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1731.2625</v>
      </c>
      <c r="N17" s="277">
        <f t="shared" ref="N17:N24" si="3">+(G17*D17+H17)*V17</f>
        <v>396.61016949152526</v>
      </c>
      <c r="O17" s="239">
        <f t="shared" ref="O17:O24" si="4">(N17+M17)*$O$15</f>
        <v>10.639363347457627</v>
      </c>
      <c r="P17" s="119">
        <f t="shared" ref="P17:P24" si="5">M17+N17+O17</f>
        <v>2138.512032838983</v>
      </c>
      <c r="Q17" s="318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8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</v>
      </c>
      <c r="I19" s="236">
        <f t="shared" si="7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Q19" s="318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18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8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320</v>
      </c>
      <c r="I25" s="114">
        <f t="shared" ref="I25:M25" si="10">SUM(I16:I24)</f>
        <v>21630.600000000002</v>
      </c>
      <c r="J25" s="274">
        <f>SUM(J16:J24)</f>
        <v>3028.2840000000006</v>
      </c>
      <c r="K25" s="275">
        <f t="shared" si="10"/>
        <v>757.07100000000014</v>
      </c>
      <c r="L25" s="276">
        <f t="shared" si="10"/>
        <v>0</v>
      </c>
      <c r="M25" s="232">
        <f t="shared" si="10"/>
        <v>17845.244999999999</v>
      </c>
      <c r="N25" s="233">
        <f>SUM(N16:N24)</f>
        <v>4088.1355932203387</v>
      </c>
      <c r="O25" s="101">
        <f>SUM(O16:O24)</f>
        <v>109.66690296610169</v>
      </c>
      <c r="P25" s="234">
        <f>SUM(P16:P24)</f>
        <v>22043.047496186438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21630.600000000002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3028.2840000000006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757.07100000000014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17845.245000000003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4088.1355932203387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21933.38059322034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109.6669029661017</v>
      </c>
    </row>
    <row r="35" spans="2:16" ht="15.75" customHeight="1" thickBot="1" x14ac:dyDescent="0.4">
      <c r="N35" s="344" t="s">
        <v>88</v>
      </c>
      <c r="O35" s="345"/>
      <c r="P35" s="297">
        <f>+P33+P34</f>
        <v>22043.047496186442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514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46316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502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516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XFD38"/>
  <sheetViews>
    <sheetView topLeftCell="A10"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1" spans="1:22 16383:16384" x14ac:dyDescent="0.35">
      <c r="J1" t="s">
        <v>517</v>
      </c>
    </row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46317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46316</v>
      </c>
      <c r="O5" s="369"/>
      <c r="P5" s="369"/>
      <c r="R5" s="85"/>
      <c r="S5" s="266"/>
    </row>
    <row r="6" spans="1:22 16383:16384" ht="18.7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515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abSelected="1" topLeftCell="A9" workbookViewId="0">
      <selection activeCell="H12" sqref="H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9.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6.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414">
        <v>10</v>
      </c>
      <c r="I16" s="235">
        <f>(G16*D16)*F16+H16*F16</f>
        <v>524.625</v>
      </c>
      <c r="J16" s="271">
        <f>$I16*S16</f>
        <v>73.447500000000005</v>
      </c>
      <c r="K16" s="127">
        <f>$I16*T16</f>
        <v>18.361875000000001</v>
      </c>
      <c r="L16" s="118">
        <f>$I16*U16</f>
        <v>0</v>
      </c>
      <c r="M16" s="229">
        <f>I16-SUM(J16:L16)</f>
        <v>432.81562500000001</v>
      </c>
      <c r="N16" s="248">
        <f>+(G16*D16+H16)*V16</f>
        <v>99.152542372881314</v>
      </c>
      <c r="O16" s="238">
        <f>(N16+M16)*$O$15</f>
        <v>2.6598408368644066</v>
      </c>
      <c r="P16" s="309">
        <f>M16+N16+O16</f>
        <v>534.62800820974576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415">
        <v>20</v>
      </c>
      <c r="I17" s="236">
        <f t="shared" ref="I17:I23" si="0">(G17*D17)*F17+H17*F17</f>
        <v>1049.25</v>
      </c>
      <c r="J17" s="272">
        <f t="shared" ref="J17:L24" si="1">$I17*S17</f>
        <v>146.89500000000001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865.63125000000002</v>
      </c>
      <c r="N17" s="277">
        <f t="shared" ref="N17:N24" si="3">+(G17*D17+H17)*V17</f>
        <v>198.30508474576263</v>
      </c>
      <c r="O17" s="239">
        <f t="shared" ref="O17:O24" si="4">(N17+M17)*$O$15</f>
        <v>5.3196816737288133</v>
      </c>
      <c r="P17" s="310">
        <f t="shared" ref="P17:P24" si="5">M17+N17+O17</f>
        <v>1069.2560164194915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415">
        <v>30</v>
      </c>
      <c r="I18" s="236">
        <f t="shared" si="0"/>
        <v>1573.875</v>
      </c>
      <c r="J18" s="272">
        <f t="shared" si="1"/>
        <v>220.34250000000003</v>
      </c>
      <c r="K18" s="128">
        <f t="shared" si="1"/>
        <v>55.085625000000007</v>
      </c>
      <c r="L18" s="119">
        <f t="shared" si="1"/>
        <v>0</v>
      </c>
      <c r="M18" s="230">
        <f t="shared" si="2"/>
        <v>1298.4468750000001</v>
      </c>
      <c r="N18" s="277">
        <f t="shared" si="3"/>
        <v>297.45762711864393</v>
      </c>
      <c r="O18" s="239">
        <f t="shared" si="4"/>
        <v>7.9795225105932195</v>
      </c>
      <c r="P18" s="310">
        <f t="shared" si="5"/>
        <v>1603.884024629237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415">
        <v>50</v>
      </c>
      <c r="I19" s="236">
        <f t="shared" si="0"/>
        <v>3632</v>
      </c>
      <c r="J19" s="272">
        <f t="shared" si="1"/>
        <v>508.48000000000008</v>
      </c>
      <c r="K19" s="128">
        <f t="shared" si="1"/>
        <v>127.12000000000002</v>
      </c>
      <c r="L19" s="119">
        <f t="shared" si="1"/>
        <v>0</v>
      </c>
      <c r="M19" s="230">
        <f t="shared" si="2"/>
        <v>2996.3999999999996</v>
      </c>
      <c r="N19" s="277">
        <f t="shared" si="3"/>
        <v>686.4406779661017</v>
      </c>
      <c r="O19" s="239">
        <f t="shared" si="4"/>
        <v>18.414203389830508</v>
      </c>
      <c r="P19" s="310">
        <f t="shared" si="5"/>
        <v>3701.254881355932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415">
        <v>40</v>
      </c>
      <c r="I20" s="236">
        <f t="shared" si="0"/>
        <v>2905.6</v>
      </c>
      <c r="J20" s="272">
        <f t="shared" si="1"/>
        <v>406.78400000000005</v>
      </c>
      <c r="K20" s="128">
        <f t="shared" si="1"/>
        <v>101.69600000000001</v>
      </c>
      <c r="L20" s="119">
        <f t="shared" si="1"/>
        <v>0</v>
      </c>
      <c r="M20" s="230">
        <f t="shared" si="2"/>
        <v>2397.12</v>
      </c>
      <c r="N20" s="277">
        <f t="shared" si="3"/>
        <v>549.15254237288138</v>
      </c>
      <c r="O20" s="239">
        <f t="shared" si="4"/>
        <v>14.731362711864406</v>
      </c>
      <c r="P20" s="310">
        <f t="shared" si="5"/>
        <v>2961.0039050847454</v>
      </c>
      <c r="Q20" s="156"/>
      <c r="R20">
        <f>P20/21</f>
        <v>141.00018595641646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416">
        <v>60</v>
      </c>
      <c r="I21" s="236">
        <f t="shared" si="0"/>
        <v>4358.3999999999996</v>
      </c>
      <c r="J21" s="272">
        <f t="shared" si="1"/>
        <v>610.17600000000004</v>
      </c>
      <c r="K21" s="128">
        <f t="shared" si="1"/>
        <v>152.54400000000001</v>
      </c>
      <c r="L21" s="119">
        <f t="shared" si="1"/>
        <v>0</v>
      </c>
      <c r="M21" s="230">
        <f t="shared" si="2"/>
        <v>3595.6799999999994</v>
      </c>
      <c r="N21" s="277">
        <f t="shared" si="3"/>
        <v>823.72881355932213</v>
      </c>
      <c r="O21" s="239">
        <f t="shared" si="4"/>
        <v>22.097044067796606</v>
      </c>
      <c r="P21" s="310">
        <f t="shared" si="5"/>
        <v>4441.5058576271176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210</v>
      </c>
      <c r="I25" s="114">
        <f t="shared" si="7"/>
        <v>14043.75</v>
      </c>
      <c r="J25" s="274">
        <f>SUM(J16:J24)</f>
        <v>1966.1250000000005</v>
      </c>
      <c r="K25" s="275">
        <f t="shared" si="7"/>
        <v>491.53125000000011</v>
      </c>
      <c r="L25" s="276">
        <f t="shared" si="7"/>
        <v>0</v>
      </c>
      <c r="M25" s="232">
        <f t="shared" si="7"/>
        <v>11586.09375</v>
      </c>
      <c r="N25" s="233">
        <f>SUM(N16:N24)</f>
        <v>2654.2372881355932</v>
      </c>
      <c r="O25" s="101">
        <f>SUM(O16:O24)</f>
        <v>71.201655190677954</v>
      </c>
      <c r="P25" s="113">
        <f>SUM(P16:P24)</f>
        <v>14311.53269332627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14043.75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1966.1250000000005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491.53125000000011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11586.09375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2654.2372881355932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14240.331038135593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71.201655190677968</v>
      </c>
    </row>
    <row r="35" spans="2:16" ht="15.75" customHeight="1" thickBot="1" x14ac:dyDescent="0.4">
      <c r="N35" s="344" t="s">
        <v>88</v>
      </c>
      <c r="O35" s="345"/>
      <c r="P35" s="297">
        <f>+P33+P34</f>
        <v>14311.532693326271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8.7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T17" sqref="T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v>46245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46244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">
        <v>62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521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513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46322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46321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2026-10-26T08:39:41Z</dcterms:modified>
</cp:coreProperties>
</file>