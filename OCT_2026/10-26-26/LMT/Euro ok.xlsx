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75D83A1-5304-460E-A412-40F23857803B}" xr6:coauthVersionLast="47" xr6:coauthVersionMax="47" xr10:uidLastSave="{00000000-0000-0000-0000-000000000000}"/>
  <bookViews>
    <workbookView xWindow="-110" yWindow="-110" windowWidth="19420" windowHeight="10420" tabRatio="871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0" i="53"/>
  <c r="O20" i="53" s="1"/>
  <c r="P20" i="53" s="1"/>
  <c r="R20" i="53" s="1"/>
  <c r="M21" i="52"/>
  <c r="O21" i="52" s="1"/>
  <c r="P21" i="52" s="1"/>
  <c r="J25" i="61"/>
  <c r="P29" i="61" s="1"/>
  <c r="M17" i="56"/>
  <c r="O17" i="56" s="1"/>
  <c r="P17" i="56" s="1"/>
  <c r="M20" i="57"/>
  <c r="O20" i="57" s="1"/>
  <c r="P20" i="57" s="1"/>
  <c r="R20" i="57" s="1"/>
  <c r="M16" i="59"/>
  <c r="M20" i="43"/>
  <c r="O20" i="43" s="1"/>
  <c r="P20" i="43" s="1"/>
  <c r="J7" i="62"/>
  <c r="M17" i="44"/>
  <c r="O17" i="44" s="1"/>
  <c r="P17" i="44" s="1"/>
  <c r="M21" i="44"/>
  <c r="O21" i="44" s="1"/>
  <c r="P21" i="44" s="1"/>
  <c r="K12" i="62"/>
  <c r="M16" i="44"/>
  <c r="O16" i="44" s="1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O21" i="50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P34" i="43"/>
  <c r="P35" i="43" s="1"/>
  <c r="T4" i="62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<sst xmlns="http://schemas.openxmlformats.org/spreadsheetml/2006/main" count="3978" uniqueCount="522">
  <si>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</si>
  <si>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</si>
  <si>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</si>
  <si>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</si>
  <si>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</si>
  <si>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</si>
  <si>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</si>
  <si>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</si>
  <si>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</si>
  <si>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</si>
  <si>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</si>
  <si>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</si>
  <si>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</si>
  <si>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</si>
  <si>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</si>
  <si>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</si>
  <si>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</si>
  <si>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</si>
  <si>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</si>
  <si>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</si>
  <si>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</si>
  <si>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</si>
  <si>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</si>
  <si>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</si>
  <si>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</si>
  <si>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</si>
  <si>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</si>
  <si>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</si>
  <si>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</si>
  <si>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</si>
  <si>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</si>
  <si>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</si>
  <si>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</si>
  <si>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</si>
  <si>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</si>
  <si>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</si>
  <si>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</si>
  <si>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</si>
  <si>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</si>
  <si>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</si>
  <si>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</si>
  <si>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</si>
  <si>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</si>
  <si>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</si>
  <si>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</si>
  <si>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</si>
  <si>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</si>
  <si>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</si>
  <si>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</si>
  <si>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</si>
  <si>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</si>
  <si>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</si>
  <si>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</si>
  <si>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</si>
  <si>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</si>
  <si>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</si>
  <si>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</si>
  <si>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</si>
  <si>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</si>
  <si>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</si>
  <si>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</si>
  <si>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</si>
  <si>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</si>
  <si>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</si>
  <si>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</si>
  <si>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</si>
  <si>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</si>
  <si>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</si>
  <si>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</si>
  <si>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</si>
  <si>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</si>
  <si>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</si>
  <si>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</si>
  <si>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</si>
  <si>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</si>
  <si>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</si>
  <si>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</si>
  <si>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</si>
  <si>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</si>
  <si>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</si>
  <si>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</si>
  <si>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</si>
  <si>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</si>
  <si>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</si>
  <si>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</si>
  <si>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</si>
  <si>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</si>
  <si>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</si>
  <si>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</si>
  <si>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</si>
  <si>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</si>
  <si>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</si>
  <si>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</si>
  <si>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</si>
  <si>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</si>
  <si>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</si>
  <si>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</si>
  <si>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</si>
  <si>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</si>
  <si>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</si>
  <si>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</si>
  <si>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</si>
  <si>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</si>
  <si>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</si>
  <si>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</si>
  <si>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</si>
  <si>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</si>
  <si>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</si>
  <si>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</si>
  <si>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</si>
  <si>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</si>
  <si>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</si>
  <si>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</si>
  <si>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</si>
  <si>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</si>
  <si>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</si>
  <si>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</si>
  <si>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</si>
  <si>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</si>
  <si>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</si>
  <si>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</si>
  <si>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</si>
  <si>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</si>
  <si>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</si>
  <si>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</si>
  <si>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</si>
  <si>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</si>
  <si>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</si>
  <si>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</si>
  <si>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</si>
  <si>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</si>
  <si>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</si>
  <si>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</si>
  <si>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</si>
  <si>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</si>
  <si>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</si>
  <si>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</si>
  <si>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</si>
  <si>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</si>
  <si>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</si>
  <si>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</si>
  <si>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</si>
  <si>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</si>
  <si>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</si>
  <si>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</si>
  <si>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</si>
  <si>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</si>
  <si>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</si>
  <si>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</si>
  <si>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</si>
  <si>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</si>
  <si>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</si>
  <si>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</si>
  <si>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</si>
  <si>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</si>
  <si>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</si>
  <si>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</si>
  <si>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</si>
  <si>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</si>
  <si>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</si>
  <si>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</si>
  <si>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</si>
  <si>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</si>
  <si>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</si>
  <si>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</si>
  <si>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</si>
  <si>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</si>
  <si>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</si>
  <si>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</si>
  <si>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</si>
  <si>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</si>
  <si>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</si>
  <si>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</si>
  <si>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</si>
  <si>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</si>
  <si>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</si>
  <si>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</si>
  <si>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</si>
  <si>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</si>
  <si>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</si>
  <si>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</si>
  <si>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</si>
  <si>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</si>
  <si>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</si>
  <si>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</si>
  <si>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</si>
  <si>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</si>
  <si>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</si>
  <si>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</si>
  <si>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</si>
  <si>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</si>
  <si>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</si>
  <si>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</si>
  <si>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</si>
  <si>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</si>
  <si>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</si>
  <si>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</si>
  <si>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</si>
  <si>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</si>
  <si>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</si>
  <si>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</si>
  <si>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</si>
  <si>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</si>
  <si>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</si>
  <si>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</si>
  <si>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</si>
  <si>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</si>
  <si>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</si>
  <si>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</si>
  <si>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</si>
  <si>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</si>
  <si>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</si>
  <si>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</si>
  <si>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</si>
  <si>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</si>
  <si>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</si>
  <si>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</si>
  <si>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</si>
  <si>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</si>
  <si>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</si>
  <si>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</si>
  <si>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</si>
  <si>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</si>
  <si>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</si>
  <si>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</si>
  <si>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</si>
  <si>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</si>
  <si>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</si>
  <si>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</si>
  <si>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</si>
  <si>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</si>
  <si>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</si>
  <si>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</si>
  <si>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</si>
  <si>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</si>
  <si>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</si>
  <si>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</si>
  <si>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</si>
  <si>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</si>
  <si>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</si>
  <si>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</si>
  <si>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</si>
  <si>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</si>
  <si>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</si>
  <si>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</si>
  <si>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</si>
  <si>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</si>
  <si>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</si>
  <si>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</si>
  <si>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</si>
  <si>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</si>
  <si>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</si>
  <si>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</si>
  <si>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</si>
  <si>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</si>
  <si>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</si>
  <si>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</si>
  <si>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</si>
  <si>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</si>
  <si>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</si>
  <si>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</si>
  <si>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</si>
  <si>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</si>
  <si>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</si>
  <si>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</si>
  <si>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</si>
  <si>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</si>
  <si>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</si>
  <si>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</si>
  <si>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</si>
  <si>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</si>
  <si>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</si>
  <si>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</si>
  <si>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</si>
  <si>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</si>
  <si>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</si>
  <si>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</si>
  <si>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</si>
  <si>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</si>
  <si>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</si>
  <si>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</si>
  <si>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</si>
  <si>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</si>
  <si>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</si>
  <si>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</si>
  <si>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</si>
  <si>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</si>
  <si>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</si>
  <si>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</si>
  <si>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</si>
  <si>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</si>
  <si>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</si>
  <si>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</si>
  <si>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</si>
  <si>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</si>
  <si>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</si>
  <si>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</si>
  <si>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</si>
  <si>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</si>
  <si>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</si>
  <si>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</si>
  <si>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</si>
  <si>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</si>
  <si>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</si>
  <si>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</si>
  <si>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</si>
  <si>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</si>
  <si>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</si>
  <si>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</si>
  <si>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</si>
  <si>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</si>
  <si>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</si>
  <si>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</si>
  <si>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</si>
  <si>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</si>
  <si>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</si>
  <si>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</si>
  <si>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</si>
  <si>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</si>
  <si>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</si>
  <si>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</si>
  <si>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</si>
  <si>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</si>
  <si>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</si>
  <si>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</si>
  <si>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</si>
  <si>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</si>
  <si>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</si>
  <si>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</si>
  <si>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</si>
  <si>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</si>
  <si>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</si>
  <si>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</si>
  <si>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</si>
  <si>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</si>
  <si>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</si>
  <si>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</si>
  <si>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</si>
  <si>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</si>
  <si>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</si>
  <si>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</si>
  <si>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</si>
  <si>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</si>
  <si>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</si>
  <si>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</si>
  <si>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</si>
  <si>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</si>
  <si>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</si>
  <si>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</si>
  <si>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</si>
  <si>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</si>
  <si>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</si>
  <si>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</si>
  <si>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</si>
  <si>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</si>
  <si>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</si>
  <si>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</si>
  <si>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</si>
  <si>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</si>
  <si>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</si>
  <si>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</si>
  <si>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</si>
  <si>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</si>
  <si>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</si>
  <si>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</si>
  <si>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</si>
  <si>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</si>
  <si>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</si>
  <si>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</si>
  <si>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</si>
  <si>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</si>
  <si>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</si>
  <si>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</si>
  <si>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</si>
  <si>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</si>
  <si>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</si>
  <si>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</si>
  <si>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</si>
  <si>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</si>
  <si>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</si>
  <si>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</si>
  <si>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</si>
  <si>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</si>
  <si>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</si>
  <si>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</si>
  <si>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</si>
  <si>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</si>
  <si>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</si>
  <si>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</si>
  <si>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</si>
  <si>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</si>
  <si>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</si>
  <si>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</si>
  <si>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</si>
  <si>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</si>
  <si>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</si>
  <si>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</si>
  <si>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</si>
  <si>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</si>
  <si>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</si>
  <si>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</si>
  <si>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</si>
  <si>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</si>
  <si>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</si>
  <si>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</si>
  <si>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</si>
  <si>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</si>
  <si>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</si>
  <si>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</si>
  <si>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</si>
  <si>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</si>
  <si>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</si>
  <si>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</si>
  <si>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</si>
  <si>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</si>
  <si>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</si>
  <si>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</si>
  <si>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</si>
  <si>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</si>
  <si>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</si>
  <si>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</si>
  <si>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</si>
  <si>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</si>
  <si>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</si>
  <si>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</si>
  <si>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</si>
  <si>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</si>
  <si>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</si>
  <si>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</si>
  <si>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</si>
  <si>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</si>
  <si>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</si>
  <si>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</si>
  <si>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</si>
  <si>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</si>
  <si>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</si>
  <si>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</si>
  <si>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</si>
  <si>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</si>
  <si>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</si>
  <si>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</si>
  <si>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</si>
  <si>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</si>
  <si>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</si>
  <si>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</si>
  <si>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</si>
  <si>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</si>
  <si>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</si>
  <si>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</si>
  <si>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</si>
  <si>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</si>
  <si>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</si>
  <si>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</si>
  <si>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</si>
  <si>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</si>
  <si>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</si>
  <si>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</si>
  <si>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</si>
  <si>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</si>
  <si>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</si>
  <si>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</si>
  <si>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</si>
  <si>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</si>
  <si>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</si>
  <si>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</si>
  <si>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</si>
  <si>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</si>
  <si>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</si>
  <si>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</si>
  <si>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</si>
  <si>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</si>
  <si>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</si>
  <si>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</si>
  <si>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</si>
  <si>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</si>
  <si>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</si>
  <si>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</si>
  <si>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</si>
  <si>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</si>
  <si>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</si>
  <si>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</si>
  <si>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</si>
  <si>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</si>
  <si>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</si>
  <si>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</si>
  <si>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</si>
  <si>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</si>
  <si>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</si>
  <si>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</si>
  <si>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</si>
  <si>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</si>
  <si>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</si>
  <si>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</si>
  <si>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</si>
  <si>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</si>
  <si>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</si>
  <si>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</si>
  <si>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</si>
  <si>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</si>
  <si>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</si>
  <si>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</si>
  <si>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</si>
  <si>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</si>
  <si>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</si>
  <si>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</si>
  <si>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</si>
  <si>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</si>
  <si>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</si>
  <si>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</si>
  <si>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</si>
  <si>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</si>
  <si>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</si>
  <si>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</si>
  <si>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 xml:space="preserve">Address: Johar Town </t>
  </si>
  <si>
    <t>Invoice No # :165156</t>
  </si>
  <si>
    <t xml:space="preserve">Address: Model Town </t>
  </si>
  <si>
    <t>Address: Ghari Shahu</t>
  </si>
  <si>
    <t>ok</t>
  </si>
  <si>
    <t>Invoice No # :45154</t>
  </si>
  <si>
    <t>Address: DHA Phase 8</t>
  </si>
  <si>
    <t>EURO MEGA STORE</t>
  </si>
  <si>
    <t>NTN #: i755995-4 STRN #:3277876165245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</si>
</sst>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3" fontId="17" fillId="0" borderId="55" xfId="0" applyNumberFormat="1" applyFont="1" applyBorder="1" applyAlignment="1">
      <alignment horizontal="center" vertical="top" shrinkToFit="1"/>
    </xf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3" fontId="17" fillId="0" borderId="46" xfId="0" applyNumberFormat="1" applyFont="1" applyFill="1" applyBorder="1" applyAlignment="1">
      <alignment horizontal="center" vertical="top" shrinkToFit="1"/>
    </xf>
    <xf numFmtId="3" fontId="17" fillId="0" borderId="2" xfId="0" applyNumberFormat="1" applyFont="1" applyFill="1" applyBorder="1" applyAlignment="1">
      <alignment horizontal="center" vertical="top" shrinkToFit="1"/>
    </xf>
    <xf numFmtId="3" fontId="17" fillId="0" borderId="2" xfId="0" applyNumberFormat="1" applyFont="1" applyFill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512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46322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EURO MEGA STORE</v>
      </c>
      <c r="T3" s="301">
        <f>+'1'!P35</f>
        <v>22043.047496186442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MEGA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EURO MEGA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EURO MEGA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309">
        <f>M7+N7+O7</f>
        <v>2138.512032838983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EURO MEGA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0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EURO MEGA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0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EURO MEGA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310">
        <f t="shared" si="2"/>
        <v>5922.0078101694908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EURO MEGA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0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EURO MEGA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0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EURO MEGA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EURO MEGA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EURO MEGA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EURO MEGA STORE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8</v>
      </c>
      <c r="H16" s="113">
        <f t="shared" ref="H16:M16" si="3">SUM(H7:H15)</f>
        <v>320</v>
      </c>
      <c r="I16" s="114">
        <f t="shared" si="3"/>
        <v>21630.600000000002</v>
      </c>
      <c r="J16" s="274">
        <f>SUM(J7:J15)</f>
        <v>3028.2840000000006</v>
      </c>
      <c r="K16" s="275">
        <f t="shared" si="3"/>
        <v>757.07100000000014</v>
      </c>
      <c r="L16" s="276">
        <f t="shared" si="3"/>
        <v>0</v>
      </c>
      <c r="M16" s="232">
        <f t="shared" si="3"/>
        <v>17845.244999999999</v>
      </c>
      <c r="N16" s="233">
        <f>SUM(N7:N15)</f>
        <v>4088.1355932203387</v>
      </c>
      <c r="O16" s="101">
        <f>SUM(O7:O15)</f>
        <v>109.66690296610169</v>
      </c>
      <c r="P16" s="113">
        <f>SUM(P7:P15)</f>
        <v>22043.047496186438</v>
      </c>
      <c r="Q16" s="128">
        <f>SUM(Q7:Q15)</f>
        <v>0</v>
      </c>
      <c r="R16" s="313">
        <v>14</v>
      </c>
      <c r="S16" s="300" t="str">
        <f>+'14'!A6:A6</f>
        <v>EURO MEGA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MEGA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MEGA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21630.600000000002</v>
      </c>
      <c r="R19" s="299">
        <v>17</v>
      </c>
      <c r="S19" s="300" t="str">
        <f>+'17'!A6:A6</f>
        <v>EURO MEGA STORE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3028.2840000000006</v>
      </c>
      <c r="R20" s="299">
        <v>18</v>
      </c>
      <c r="S20" s="300" t="str">
        <f>+'18'!A6:A6</f>
        <v>EURO MEGA STORE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757.07100000000014</v>
      </c>
      <c r="R21" s="299">
        <v>19</v>
      </c>
      <c r="S21" s="300" t="str">
        <f>+'19'!A6:A6</f>
        <v>EURO MEGA STORE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17845.245000000003</v>
      </c>
      <c r="R22" s="299">
        <v>20</v>
      </c>
      <c r="S22" s="300" t="str">
        <f>+'20'!A6:A6</f>
        <v>EURO MEGA STORE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4088.1355932203387</v>
      </c>
      <c r="R23" s="299">
        <v>21</v>
      </c>
      <c r="S23" s="300" t="str">
        <f>+'21'!A6:A6</f>
        <v>EURO MEGA STORE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21933.38059322034</v>
      </c>
      <c r="R24" s="299">
        <v>22</v>
      </c>
      <c r="S24" s="300" t="str">
        <f>+'22'!A6:A6</f>
        <v>EURO MEGA STORE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109.66690296610169</v>
      </c>
      <c r="R25" s="299">
        <v>23</v>
      </c>
      <c r="S25" s="300" t="str">
        <f>+'23'!A6:A6</f>
        <v>EURO MEGA STORE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22043.047496186442</v>
      </c>
      <c r="R26" s="299">
        <v>24</v>
      </c>
      <c r="S26" s="300" t="str">
        <f>+'24'!A6:A6</f>
        <v>EURO MEGA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EURO MEGA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MEGA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MEGA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MEGA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MEGA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MEGA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22043.047496186442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46321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46320</v>
      </c>
      <c r="O5" s="393"/>
      <c r="P5" s="393"/>
      <c r="R5" s="85"/>
      <c r="S5" s="266"/>
    </row>
    <row r="6" spans="1:22 16383:16384" ht="17.2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Q17" s="318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8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Q19" s="318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18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8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21630.600000000002</v>
      </c>
      <c r="J25" s="274">
        <f>SUM(J16:J24)</f>
        <v>3028.2840000000006</v>
      </c>
      <c r="K25" s="275">
        <f t="shared" si="10"/>
        <v>757.07100000000014</v>
      </c>
      <c r="L25" s="276">
        <f t="shared" si="10"/>
        <v>0</v>
      </c>
      <c r="M25" s="232">
        <f t="shared" si="10"/>
        <v>17845.244999999999</v>
      </c>
      <c r="N25" s="233">
        <f>SUM(N16:N24)</f>
        <v>4088.1355932203387</v>
      </c>
      <c r="O25" s="101">
        <f>SUM(O16:O24)</f>
        <v>109.66690296610169</v>
      </c>
      <c r="P25" s="234">
        <f>SUM(P16:P24)</f>
        <v>22043.047496186438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21630.600000000002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3028.2840000000006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757.07100000000014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17845.245000000003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4088.1355932203387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21933.38059322034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109.6669029661017</v>
      </c>
    </row>
    <row r="35" spans="2:16" ht="15.75" customHeight="1" thickBot="1" x14ac:dyDescent="0.4">
      <c r="N35" s="373" t="s">
        <v>88</v>
      </c>
      <c r="O35" s="374"/>
      <c r="P35" s="297">
        <f>+P33+P34</f>
        <v>22043.047496186442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46316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topLeftCell="A10"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517</v>
      </c>
    </row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46316</v>
      </c>
      <c r="O5" s="393"/>
      <c r="P5" s="393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9.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6.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414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415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415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415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415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41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415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46245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46244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521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46323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46322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2026-10-27T05:02:28Z</dcterms:modified>
</cp:coreProperties>
</file>