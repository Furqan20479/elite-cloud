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20FE074-6E97-4F1B-BAAE-9D09F73ACD74}" xr6:coauthVersionLast="47" xr6:coauthVersionMax="47" xr10:uidLastSave="{00000000-0000-0000-0000-000000000000}"/>
  <bookViews>
    <workbookView xWindow="-110" yWindow="-110" windowWidth="19420" windowHeight="10420" tabRatio="948" firstSheet="3" activeTab="8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<sst xmlns="http://schemas.openxmlformats.org/spreadsheetml/2006/main" count="3948" uniqueCount="522">
  <si>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</si>
  <si>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</si>
  <si>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</si>
  <si>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</si>
  <si>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</si>
  <si>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</si>
  <si>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</si>
  <si>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</si>
  <si>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</si>
  <si>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</si>
  <si>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</si>
  <si>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</si>
  <si>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</si>
  <si>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</si>
  <si>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</si>
  <si>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</si>
  <si>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</si>
  <si>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</si>
  <si>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</si>
  <si>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</si>
  <si>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</si>
  <si>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</si>
  <si>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</si>
  <si>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</si>
  <si>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</si>
  <si>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</si>
  <si>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</si>
  <si>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</si>
  <si>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</si>
  <si>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</si>
  <si>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</si>
  <si>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</si>
  <si>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</si>
  <si>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</si>
  <si>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</si>
  <si>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</si>
  <si>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</si>
  <si>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</si>
  <si>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</si>
  <si>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</si>
  <si>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</si>
  <si>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</si>
  <si>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</si>
  <si>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</si>
  <si>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</si>
  <si>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</si>
  <si>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</si>
  <si>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</si>
  <si>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</si>
  <si>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</si>
  <si>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</si>
  <si>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</si>
  <si>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</si>
  <si>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</si>
  <si>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</si>
  <si>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</si>
  <si>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</si>
  <si>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</si>
  <si>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</si>
  <si>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</si>
  <si>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</si>
  <si>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</si>
  <si>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</si>
  <si>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</si>
  <si>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</si>
  <si>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</si>
  <si>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</si>
  <si>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</si>
  <si>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</si>
  <si>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</si>
  <si>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</si>
  <si>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</si>
  <si>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</si>
  <si>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</si>
  <si>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</si>
  <si>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</si>
  <si>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</si>
  <si>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</si>
  <si>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</si>
  <si>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</si>
  <si>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</si>
  <si>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</si>
  <si>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</si>
  <si>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</si>
  <si>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</si>
  <si>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</si>
  <si>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</si>
  <si>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</si>
  <si>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</si>
  <si>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</si>
  <si>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</si>
  <si>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</si>
  <si>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</si>
  <si>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</si>
  <si>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</si>
  <si>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</si>
  <si>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</si>
  <si>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</si>
  <si>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</si>
  <si>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</si>
  <si>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</si>
  <si>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</si>
  <si>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</si>
  <si>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</si>
  <si>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</si>
  <si>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</si>
  <si>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</si>
  <si>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</si>
  <si>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</si>
  <si>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</si>
  <si>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</si>
  <si>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</si>
  <si>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</si>
  <si>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</si>
  <si>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</si>
  <si>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</si>
  <si>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</si>
  <si>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</si>
  <si>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</si>
  <si>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</si>
  <si>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</si>
  <si>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</si>
  <si>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</si>
  <si>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</si>
  <si>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</si>
  <si>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</si>
  <si>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</si>
  <si>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</si>
  <si>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</si>
  <si>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</si>
  <si>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</si>
  <si>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</si>
  <si>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</si>
  <si>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</si>
  <si>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</si>
  <si>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</si>
  <si>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</si>
  <si>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</si>
  <si>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</si>
  <si>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</si>
  <si>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</si>
  <si>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</si>
  <si>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</si>
  <si>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</si>
  <si>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</si>
  <si>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</si>
  <si>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</si>
  <si>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</si>
  <si>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</si>
  <si>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</si>
  <si>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</si>
  <si>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</si>
  <si>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</si>
  <si>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</si>
  <si>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</si>
  <si>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</si>
  <si>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</si>
  <si>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</si>
  <si>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</si>
  <si>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</si>
  <si>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</si>
  <si>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</si>
  <si>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</si>
  <si>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</si>
  <si>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</si>
  <si>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</si>
  <si>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</si>
  <si>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</si>
  <si>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</si>
  <si>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</si>
  <si>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</si>
  <si>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</si>
  <si>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</si>
  <si>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</si>
  <si>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</si>
  <si>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</si>
  <si>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</si>
  <si>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</si>
  <si>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</si>
  <si>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</si>
  <si>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</si>
  <si>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</si>
  <si>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</si>
  <si>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</si>
  <si>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</si>
  <si>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</si>
  <si>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</si>
  <si>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</si>
  <si>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</si>
  <si>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</si>
  <si>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</si>
  <si>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</si>
  <si>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</si>
  <si>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</si>
  <si>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</si>
  <si>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</si>
  <si>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</si>
  <si>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</si>
  <si>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</si>
  <si>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</si>
  <si>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</si>
  <si>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</si>
  <si>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</si>
  <si>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</si>
  <si>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</si>
  <si>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</si>
  <si>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</si>
  <si>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</si>
  <si>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</si>
  <si>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</si>
  <si>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</si>
  <si>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</si>
  <si>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</si>
  <si>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</si>
  <si>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</si>
  <si>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</si>
  <si>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</si>
  <si>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</si>
  <si>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</si>
  <si>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</si>
  <si>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</si>
  <si>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</si>
  <si>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</si>
  <si>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</si>
  <si>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</si>
  <si>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</si>
  <si>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</si>
  <si>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</si>
  <si>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</si>
  <si>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</si>
  <si>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</si>
  <si>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</si>
  <si>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</si>
  <si>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</si>
  <si>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</si>
  <si>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</si>
  <si>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</si>
  <si>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</si>
  <si>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</si>
  <si>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</si>
  <si>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</si>
  <si>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</si>
  <si>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</si>
  <si>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</si>
  <si>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</si>
  <si>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</si>
  <si>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</si>
  <si>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</si>
  <si>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</si>
  <si>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</si>
  <si>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</si>
  <si>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</si>
  <si>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</si>
  <si>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</si>
  <si>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</si>
  <si>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</si>
  <si>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</si>
  <si>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</si>
  <si>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</si>
  <si>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</si>
  <si>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</si>
  <si>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</si>
  <si>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</si>
  <si>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</si>
  <si>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</si>
  <si>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</si>
  <si>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</si>
  <si>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</si>
  <si>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</si>
  <si>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</si>
  <si>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</si>
  <si>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</si>
  <si>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</si>
  <si>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</si>
  <si>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</si>
  <si>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</si>
  <si>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</si>
  <si>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</si>
  <si>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</si>
  <si>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</si>
  <si>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</si>
  <si>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</si>
  <si>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</si>
  <si>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</si>
  <si>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</si>
  <si>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</si>
  <si>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</si>
  <si>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</si>
  <si>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</si>
  <si>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</si>
  <si>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</si>
  <si>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</si>
  <si>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</si>
  <si>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</si>
  <si>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</si>
  <si>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</si>
  <si>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</si>
  <si>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</si>
  <si>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</si>
  <si>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</si>
  <si>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</si>
  <si>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</si>
  <si>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</si>
  <si>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</si>
  <si>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</si>
  <si>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</si>
  <si>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</si>
  <si>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</si>
  <si>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</si>
  <si>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</si>
  <si>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</si>
  <si>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</si>
  <si>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</si>
  <si>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</si>
  <si>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</si>
  <si>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</si>
  <si>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</si>
  <si>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</si>
  <si>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</si>
  <si>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</si>
  <si>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</si>
  <si>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</si>
  <si>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</si>
  <si>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</si>
  <si>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</si>
  <si>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</si>
  <si>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</si>
  <si>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</si>
  <si>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</si>
  <si>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</si>
  <si>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</si>
  <si>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</si>
  <si>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</si>
  <si>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</si>
  <si>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</si>
  <si>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</si>
  <si>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</si>
  <si>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</si>
  <si>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</si>
  <si>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</si>
  <si>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</si>
  <si>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</si>
  <si>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</si>
  <si>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</si>
  <si>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</si>
  <si>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</si>
  <si>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</si>
  <si>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</si>
  <si>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</si>
  <si>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</si>
  <si>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</si>
  <si>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</si>
  <si>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</si>
  <si>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</si>
  <si>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</si>
  <si>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</si>
  <si>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</si>
  <si>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</si>
  <si>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</si>
  <si>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</si>
  <si>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</si>
  <si>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</si>
  <si>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</si>
  <si>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</si>
  <si>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</si>
  <si>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</si>
  <si>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</si>
  <si>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</si>
  <si>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</si>
  <si>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</si>
  <si>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</si>
  <si>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</si>
  <si>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</si>
  <si>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</si>
  <si>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</si>
  <si>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</si>
  <si>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</si>
  <si>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</si>
  <si>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</si>
  <si>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</si>
  <si>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</si>
  <si>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</si>
  <si>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</si>
  <si>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</si>
  <si>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</si>
  <si>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</si>
  <si>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</si>
  <si>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</si>
  <si>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</si>
  <si>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</si>
  <si>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</si>
  <si>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</si>
  <si>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</si>
  <si>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</si>
  <si>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</si>
  <si>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</si>
  <si>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</si>
  <si>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</si>
  <si>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</si>
  <si>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</si>
  <si>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</si>
  <si>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</si>
  <si>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</si>
  <si>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</si>
  <si>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</si>
  <si>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</si>
  <si>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</si>
  <si>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</si>
  <si>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</si>
  <si>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</si>
  <si>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</si>
  <si>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</si>
  <si>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</si>
  <si>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</si>
  <si>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</si>
  <si>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</si>
  <si>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</si>
  <si>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</si>
  <si>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</si>
  <si>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</si>
  <si>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</si>
  <si>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</si>
  <si>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</si>
  <si>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</si>
  <si>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</si>
  <si>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</si>
  <si>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</si>
  <si>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</si>
  <si>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</si>
  <si>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</si>
  <si>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</si>
  <si>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</si>
  <si>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</si>
  <si>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</si>
  <si>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</si>
  <si>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</si>
  <si>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</si>
  <si>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</si>
  <si>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</si>
  <si>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</si>
  <si>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</si>
  <si>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</si>
  <si>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</si>
  <si>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</si>
  <si>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</si>
  <si>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</si>
  <si>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</si>
  <si>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</si>
  <si>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</si>
  <si>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</si>
  <si>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</si>
  <si>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</si>
  <si>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</si>
  <si>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</si>
  <si>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</si>
  <si>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</si>
  <si>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</si>
  <si>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</si>
  <si>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</si>
  <si>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</si>
  <si>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</si>
  <si>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</si>
  <si>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</si>
  <si>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</si>
  <si>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</si>
  <si>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</si>
  <si>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</si>
  <si>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</si>
  <si>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</si>
  <si>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</si>
  <si>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</si>
  <si>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</si>
  <si>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</si>
  <si>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</si>
  <si>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</si>
  <si>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</si>
  <si>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</si>
  <si>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</si>
  <si>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</si>
  <si>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</si>
  <si>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</si>
  <si>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</si>
  <si>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</si>
  <si>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</si>
  <si>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</si>
  <si>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</si>
  <si>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</si>
  <si>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</si>
  <si>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</si>
  <si>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</si>
  <si>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</si>
  <si>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</si>
  <si>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</si>
  <si>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</si>
  <si>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</si>
  <si>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</si>
  <si>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</si>
  <si>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</si>
  <si>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</si>
  <si>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</si>
  <si>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</si>
  <si>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</si>
  <si>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</si>
  <si>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</si>
  <si>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</si>
  <si>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</si>
  <si>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</si>
  <si>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</si>
  <si>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</si>
  <si>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</si>
  <si>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</si>
  <si>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</si>
  <si>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</si>
  <si>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</si>
  <si>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</si>
  <si>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MK Foods </t>
  </si>
  <si>
    <t>Address: Mozang</t>
  </si>
  <si>
    <t xml:space="preserve">Noor Pharmacy </t>
  </si>
  <si>
    <t xml:space="preserve">Hashim Mart </t>
  </si>
  <si>
    <t xml:space="preserve">Helt Mart </t>
  </si>
  <si>
    <t xml:space="preserve">Shell Pump </t>
  </si>
  <si>
    <t>Bilal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</si>
</sst>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7" sqref="S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46321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MK Foods </v>
      </c>
      <c r="T3" s="301">
        <f>+'1'!P35</f>
        <v>16203.789503771184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Noor Pharmacy </v>
      </c>
      <c r="T4" s="301">
        <f>+'2'!P35</f>
        <v>705.64760664406776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Hashim Mart </v>
      </c>
      <c r="T5" s="301">
        <f>+'3'!P35</f>
        <v>3136.2115850847463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Helt Mart </v>
      </c>
      <c r="T6" s="301">
        <f>+'4'!P35</f>
        <v>679.51547485169476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56</v>
      </c>
      <c r="I7" s="235">
        <f>(G7*D7)*F7+H7*F7</f>
        <v>2937.9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235.03200000000001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102.82650000000001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2600.0415000000003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555.2542372881353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15.776478686440676</v>
      </c>
      <c r="P7" s="310">
        <f>M7+N7+O7</f>
        <v>3171.0722159745765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Shell Pump </v>
      </c>
      <c r="T7" s="301">
        <f>+'5'!P35</f>
        <v>5401.2631679237293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96</v>
      </c>
      <c r="I8" s="236">
        <f t="shared" ref="I8:I14" si="0">(G8*D8)*F8+H8*F8</f>
        <v>5036.3999999999996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402.91199999999998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176.274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4457.2139999999999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951.8644067796605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27.045392033898306</v>
      </c>
      <c r="P8" s="311">
        <f t="shared" ref="P8:P15" si="2">M8+N8+O8</f>
        <v>5436.123798813559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Bilal Store</v>
      </c>
      <c r="T8" s="301">
        <f>+'6'!P35</f>
        <v>5131.2000095275425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58</v>
      </c>
      <c r="I9" s="236">
        <f t="shared" si="0"/>
        <v>3042.8249999999998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243.42600000000002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106.49887500000001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2692.9001249999997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575.08474576271158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16.339924353813558</v>
      </c>
      <c r="P9" s="311">
        <f t="shared" si="2"/>
        <v>3284.3247951165249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68</v>
      </c>
      <c r="I10" s="236">
        <f t="shared" si="0"/>
        <v>4939.5200000000004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395.16160000000002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172.88320000000002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4371.4752000000008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933.5593220338983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26.525172610169491</v>
      </c>
      <c r="P10" s="311">
        <f t="shared" si="2"/>
        <v>5331.5596946440683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108</v>
      </c>
      <c r="I11" s="236">
        <f t="shared" si="0"/>
        <v>7845.12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627.60960000000011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274.57920000000001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6942.9312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1482.7118644067798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42.128215322033903</v>
      </c>
      <c r="P11" s="311">
        <f t="shared" si="2"/>
        <v>8467.771279728815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71</v>
      </c>
      <c r="I12" s="236">
        <f t="shared" si="0"/>
        <v>5157.4399999999996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412.59520000000003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180.51040000000003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4564.3343999999997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974.74576271186447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27.695400813559324</v>
      </c>
      <c r="P12" s="311">
        <f t="shared" si="2"/>
        <v>5566.7755635254234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11.425000000000001</v>
      </c>
      <c r="H16" s="113">
        <f t="shared" ref="H16:M16" si="3">SUM(H7:H15)</f>
        <v>457</v>
      </c>
      <c r="I16" s="114">
        <f t="shared" si="3"/>
        <v>28959.204999999998</v>
      </c>
      <c r="J16" s="274">
        <f>SUM(J7:J15)</f>
        <v>2316.7364000000002</v>
      </c>
      <c r="K16" s="275">
        <f t="shared" si="3"/>
        <v>1013.572175</v>
      </c>
      <c r="L16" s="276">
        <f t="shared" si="3"/>
        <v>0</v>
      </c>
      <c r="M16" s="232">
        <f t="shared" si="3"/>
        <v>25628.896424999999</v>
      </c>
      <c r="N16" s="233">
        <f>SUM(N7:N15)</f>
        <v>5473.2203389830502</v>
      </c>
      <c r="O16" s="101">
        <f>SUM(O7:O15)</f>
        <v>155.51058381991527</v>
      </c>
      <c r="P16" s="113">
        <f>SUM(P7:P15)</f>
        <v>31257.627347802969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28959.204999999998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2316.7364000000002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1013.572175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25628.896424999995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5473.2203389830502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31102.116763983046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155.51058381991527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31257.627347802962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31257.627347802969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1200.9839999999999</v>
      </c>
      <c r="K25" s="275">
        <f t="shared" si="10"/>
        <v>525.43050000000005</v>
      </c>
      <c r="L25" s="276">
        <f t="shared" si="10"/>
        <v>0</v>
      </c>
      <c r="M25" s="232">
        <f t="shared" si="10"/>
        <v>13285.8855</v>
      </c>
      <c r="N25" s="233">
        <f>SUM(N16:N24)</f>
        <v>2837.2881355932195</v>
      </c>
      <c r="O25" s="101">
        <f>SUM(O16:O24)</f>
        <v>80.615868177966092</v>
      </c>
      <c r="P25" s="234">
        <f>SUM(P16:P24)</f>
        <v>16203.789503771186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1200.9839999999999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525.43050000000005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13285.8855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16123.173635593219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80.615868177966092</v>
      </c>
    </row>
    <row r="35" spans="2:16" ht="15.75" customHeight="1" thickBot="1" x14ac:dyDescent="0.4">
      <c r="N35" s="345" t="s">
        <v>88</v>
      </c>
      <c r="O35" s="346"/>
      <c r="P35" s="297">
        <f>+P33+P34</f>
        <v>16203.789503771184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9</v>
      </c>
      <c r="I25" s="114">
        <f t="shared" si="7"/>
        <v>653.76</v>
      </c>
      <c r="J25" s="274">
        <f>SUM(J16:J24)</f>
        <v>52.30080000000001</v>
      </c>
      <c r="K25" s="275">
        <f t="shared" si="7"/>
        <v>22.881600000000002</v>
      </c>
      <c r="L25" s="276">
        <f t="shared" si="7"/>
        <v>0</v>
      </c>
      <c r="M25" s="232">
        <f t="shared" si="7"/>
        <v>578.57760000000007</v>
      </c>
      <c r="N25" s="233">
        <f>SUM(N16:N24)</f>
        <v>123.55932203389831</v>
      </c>
      <c r="O25" s="101">
        <f>SUM(O16:O24)</f>
        <v>3.5106846101694917</v>
      </c>
      <c r="P25" s="234">
        <f>SUM(P16:P24)</f>
        <v>705.64760664406776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653.76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52.30080000000001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22.881600000000002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578.57759999999996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123.55932203389831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702.13692203389826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3.5106846101694913</v>
      </c>
    </row>
    <row r="35" spans="2:16" ht="15.75" customHeight="1" thickBot="1" x14ac:dyDescent="0.4">
      <c r="N35" s="345" t="s">
        <v>88</v>
      </c>
      <c r="O35" s="346"/>
      <c r="P35" s="297">
        <f>+P33+P34</f>
        <v>705.64760664406776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629.54999999999995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50.364000000000004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22.03425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557.15174999999988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676.13480084745743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5" t="s">
        <v>88</v>
      </c>
      <c r="O35" s="346"/>
      <c r="P35" s="297">
        <f>+P33+P34</f>
        <v>679.51547485169476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topLeftCell="A19" workbookViewId="0">
      <selection activeCell="K27" sqref="K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76</v>
      </c>
      <c r="I25" s="114">
        <f t="shared" si="7"/>
        <v>4753.8950000000004</v>
      </c>
      <c r="J25" s="274">
        <f>SUM(J16:J24)</f>
        <v>380.3116</v>
      </c>
      <c r="K25" s="275">
        <f t="shared" si="7"/>
        <v>166.38632500000003</v>
      </c>
      <c r="L25" s="276">
        <f t="shared" si="7"/>
        <v>0</v>
      </c>
      <c r="M25" s="232">
        <f t="shared" si="7"/>
        <v>4207.197075</v>
      </c>
      <c r="N25" s="233">
        <f>SUM(N16:N24)</f>
        <v>898.47457627118638</v>
      </c>
      <c r="O25" s="101">
        <f>SUM(O16:O24)</f>
        <v>25.528358256355933</v>
      </c>
      <c r="P25" s="234">
        <f>SUM(P16:P24)</f>
        <v>5131.2000095275434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4753.8950000000004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380.3116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166.38632500000003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4207.197075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898.47457627118638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5105.6716512711864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25.528358256355933</v>
      </c>
    </row>
    <row r="35" spans="2:16" ht="15.75" customHeight="1" thickBot="1" x14ac:dyDescent="0.4">
      <c r="N35" s="345" t="s">
        <v>88</v>
      </c>
      <c r="O35" s="346"/>
      <c r="P35" s="297">
        <f>+P33+P34</f>
        <v>5131.2000095275425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2026-10-26T07:33:34Z</dcterms:modified>
</cp:coreProperties>
</file>