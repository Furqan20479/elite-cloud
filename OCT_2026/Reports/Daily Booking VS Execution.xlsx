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191EA1A0-EE1D-4DC2-8AC8-2CC6BB7E6438}" xr6:coauthVersionLast="47" xr6:coauthVersionMax="47" xr10:uidLastSave="{00000000-0000-0000-0000-000000000000}"/>
  <bookViews>
    <workbookView xWindow="-110" yWindow="-110" windowWidth="19420" windowHeight="10420" tabRatio="927" activeTab="4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4" l="1"/>
  <c r="J17" i="6"/>
  <c r="J17" i="12"/>
  <c r="J17" i="13"/>
  <c r="J17" i="14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19" i="11" l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Y10" i="9"/>
  <c r="Y11" i="9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9" l="1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<sst xmlns="http://schemas.openxmlformats.org/spreadsheetml/2006/main" count="1705" uniqueCount="45">
  <si>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</si>
  <si>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</si>
  <si>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</si>
  <si>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</si>
  <si>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</si>
  <si>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</si>
  <si>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</si>
  <si>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</si>
  <si>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</si>
  <si>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</si>
  <si>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</si>
  <si>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</si>
  <si>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</si>
  <si>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</si>
  <si>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</si>
  <si>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</si>
  <si>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</si>
  <si>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</si>
  <si>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</si>
  <si>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</si>
  <si>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</si>
  <si>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</si>
  <si>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</si>
  <si>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</si>
  <si>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</si>
  <si>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</si>
  <si>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</si>
  <si>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</si>
  <si>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</si>
  <si>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</si>
  <si>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</si>
  <si>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</si>
  <si>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</si>
  <si>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</si>
  <si>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</si>
  <si>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</si>
  <si>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</si>
  <si>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</si>
  <si>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</si>
  <si>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</si>
  <si>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</si>
  <si>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</si>
  <si>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</si>
  <si>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Aqib</t>
  </si>
  <si>
    <t xml:space="preserve">Aqib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</si>
</sst>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8" sqref="P8:U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321</v>
      </c>
      <c r="Q18" s="25">
        <f t="shared" si="6"/>
        <v>263</v>
      </c>
      <c r="R18" s="25">
        <f t="shared" si="6"/>
        <v>356</v>
      </c>
      <c r="S18" s="25">
        <f t="shared" si="6"/>
        <v>407</v>
      </c>
      <c r="T18" s="25">
        <f t="shared" si="6"/>
        <v>295</v>
      </c>
      <c r="U18" s="25">
        <f t="shared" si="6"/>
        <v>493</v>
      </c>
      <c r="V18" s="26">
        <f>SUM(O18:U18)</f>
        <v>2135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8.0250000000000004</v>
      </c>
      <c r="Q19" s="21">
        <f t="shared" si="8"/>
        <v>6.5750000000000002</v>
      </c>
      <c r="R19" s="21">
        <f t="shared" si="8"/>
        <v>8.9</v>
      </c>
      <c r="S19" s="21">
        <f t="shared" si="8"/>
        <v>10.175000000000001</v>
      </c>
      <c r="T19" s="21">
        <f t="shared" si="8"/>
        <v>7.375</v>
      </c>
      <c r="U19" s="21">
        <f t="shared" si="8"/>
        <v>12.324999999999999</v>
      </c>
      <c r="V19" s="22">
        <f t="shared" si="8"/>
        <v>53.375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tabSelected="1" workbookViewId="0">
      <selection activeCell="K3" sqref="K3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44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3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6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6</v>
      </c>
      <c r="Z10" s="37">
        <f t="shared" si="3"/>
        <v>0</v>
      </c>
      <c r="AA10" s="38">
        <f t="shared" si="4"/>
        <v>6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v>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5</v>
      </c>
      <c r="Z12" s="37">
        <f t="shared" si="3"/>
        <v>0</v>
      </c>
      <c r="AA12" s="38">
        <f t="shared" si="4"/>
        <v>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12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20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5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5</v>
      </c>
      <c r="Z17" s="37">
        <f t="shared" si="3"/>
        <v>0</v>
      </c>
      <c r="AA17" s="38">
        <f t="shared" si="4"/>
        <v>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>SUM(O8:O16)</f>
        <v>0</v>
      </c>
      <c r="P18" s="25">
        <f t="shared" ref="P18:U18" si="6">SUM(P8:P16)</f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16</v>
      </c>
      <c r="Z18" s="34">
        <f>SUM(Z8:Z17)</f>
        <v>0</v>
      </c>
      <c r="AA18" s="35">
        <f>SUM(AA8:AA17)</f>
        <v>16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48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</v>
      </c>
      <c r="Z19" s="40">
        <f>Z18/40</f>
        <v>0</v>
      </c>
      <c r="AA19" s="41">
        <f>AA18/40</f>
        <v>0.4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120</v>
      </c>
      <c r="P8" s="11"/>
      <c r="Q8" s="11"/>
      <c r="R8" s="11"/>
      <c r="S8" s="11"/>
      <c r="T8" s="11"/>
      <c r="U8" s="11"/>
      <c r="V8" s="15">
        <f>SUM(O8:U8)/40</f>
        <v>3</v>
      </c>
      <c r="W8" s="12">
        <v>11</v>
      </c>
      <c r="Y8" s="36">
        <f>J8</f>
        <v>0</v>
      </c>
      <c r="Z8" s="37">
        <f>V8</f>
        <v>3</v>
      </c>
      <c r="AA8" s="38">
        <f>Y8-Z8</f>
        <v>-3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3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11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13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6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11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11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11</v>
      </c>
      <c r="Z17" s="37">
        <f t="shared" si="3"/>
        <v>0</v>
      </c>
      <c r="AA17" s="38">
        <f t="shared" si="4"/>
        <v>11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120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120</v>
      </c>
      <c r="W18" s="28"/>
      <c r="Y18" s="33">
        <f>SUM(Y8:Y17)</f>
        <v>11</v>
      </c>
      <c r="Z18" s="34">
        <f>SUM(Z8:Z17)</f>
        <v>3</v>
      </c>
      <c r="AA18" s="35">
        <f>SUM(AA8:AA17)</f>
        <v>8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30</v>
      </c>
      <c r="K19" s="23"/>
      <c r="M19" s="1"/>
      <c r="N19" s="20" t="s">
        <v>18</v>
      </c>
      <c r="O19" s="21">
        <f t="shared" ref="O19:V19" si="8">O18/40</f>
        <v>3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</v>
      </c>
      <c r="W19" s="23"/>
      <c r="Y19" s="39">
        <f>Y18/40</f>
        <v>0.27500000000000002</v>
      </c>
      <c r="Z19" s="40">
        <f>Z18/40</f>
        <v>7.4999999999999997E-2</v>
      </c>
      <c r="AA19" s="41">
        <f>AA18/40</f>
        <v>0.2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50</v>
      </c>
      <c r="P8" s="11"/>
      <c r="Q8" s="11"/>
      <c r="R8" s="11"/>
      <c r="S8" s="11"/>
      <c r="T8" s="11"/>
      <c r="U8" s="11"/>
      <c r="V8" s="15">
        <f>SUM(O8:U8)/40</f>
        <v>1.25</v>
      </c>
      <c r="W8" s="12">
        <v>19</v>
      </c>
      <c r="Y8" s="36">
        <f>J8</f>
        <v>0</v>
      </c>
      <c r="Z8" s="37">
        <f>V8</f>
        <v>1.25</v>
      </c>
      <c r="AA8" s="38">
        <f>Y8-Z8</f>
        <v>-1.25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20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192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12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50</v>
      </c>
      <c r="W18" s="28"/>
      <c r="Y18" s="33">
        <f>SUM(Y8:Y17)</f>
        <v>6</v>
      </c>
      <c r="Z18" s="34">
        <f>SUM(Z8:Z17)</f>
        <v>1.25</v>
      </c>
      <c r="AA18" s="35">
        <f>SUM(AA8:AA17)</f>
        <v>4.75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220</v>
      </c>
      <c r="K19" s="23"/>
      <c r="M19" s="1"/>
      <c r="N19" s="20" t="s">
        <v>18</v>
      </c>
      <c r="O19" s="21">
        <f t="shared" ref="O19:V19" si="8">O18/40</f>
        <v>1.25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1.25</v>
      </c>
      <c r="W19" s="23"/>
      <c r="Y19" s="39">
        <f>Y18/40</f>
        <v>0.15</v>
      </c>
      <c r="Z19" s="40">
        <f>Z18/40</f>
        <v>3.125E-2</v>
      </c>
      <c r="AA19" s="41">
        <f>AA18/40</f>
        <v>0.11874999999999999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/>
      <c r="Q8" s="11"/>
      <c r="R8" s="11"/>
      <c r="S8" s="11"/>
      <c r="T8" s="11"/>
      <c r="U8" s="11"/>
      <c r="V8" s="15">
        <f>SUM(O8:U8)/40</f>
        <v>0.25</v>
      </c>
      <c r="W8" s="12">
        <v>14</v>
      </c>
      <c r="Y8" s="36">
        <f>J8</f>
        <v>13</v>
      </c>
      <c r="Z8" s="37">
        <f>V8</f>
        <v>0.25</v>
      </c>
      <c r="AA8" s="38">
        <f>Y8-Z8</f>
        <v>12.75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21</v>
      </c>
      <c r="Y9" s="36">
        <f t="shared" ref="Y9:Y17" si="2">J9</f>
        <v>12</v>
      </c>
      <c r="Z9" s="37">
        <f t="shared" ref="Z9:Z17" si="3">V9</f>
        <v>0</v>
      </c>
      <c r="AA9" s="38">
        <f t="shared" ref="AA9:AA17" si="4">Y9-Z9</f>
        <v>12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4</v>
      </c>
      <c r="Y10" s="36">
        <f t="shared" si="2"/>
        <v>13.25</v>
      </c>
      <c r="Z10" s="37">
        <f t="shared" si="3"/>
        <v>0</v>
      </c>
      <c r="AA10" s="38">
        <f t="shared" si="4"/>
        <v>13.25</v>
      </c>
    </row>
    <row r="11" spans="1:27" x14ac:dyDescent="0.35">
      <c r="A11" s="16"/>
      <c r="B11" s="17" t="s">
        <v>29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9.0250000000000004</v>
      </c>
      <c r="Z11" s="37">
        <f t="shared" si="3"/>
        <v>0</v>
      </c>
      <c r="AA11" s="38">
        <f t="shared" si="4"/>
        <v>9.0250000000000004</v>
      </c>
    </row>
    <row r="12" spans="1:27" x14ac:dyDescent="0.35">
      <c r="A12" s="16"/>
      <c r="B12" s="17" t="s">
        <v>28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9</v>
      </c>
      <c r="Y12" s="36">
        <f t="shared" si="2"/>
        <v>6.15</v>
      </c>
      <c r="Z12" s="37">
        <f t="shared" si="3"/>
        <v>0</v>
      </c>
      <c r="AA12" s="38">
        <f t="shared" si="4"/>
        <v>6.15</v>
      </c>
    </row>
    <row r="13" spans="1:27" x14ac:dyDescent="0.35">
      <c r="A13" s="16"/>
      <c r="B13" s="17" t="s">
        <v>44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10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10</v>
      </c>
      <c r="W18" s="28"/>
      <c r="Y18" s="33">
        <f>SUM(Y8:Y17)</f>
        <v>59.424999999999997</v>
      </c>
      <c r="Z18" s="34">
        <f>SUM(Z8:Z17)</f>
        <v>0.25</v>
      </c>
      <c r="AA18" s="35">
        <f>SUM(AA8:AA17)</f>
        <v>59.174999999999997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0.25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0.25</v>
      </c>
      <c r="W19" s="23"/>
      <c r="Y19" s="39">
        <f>Y18/40</f>
        <v>1.485625</v>
      </c>
      <c r="Z19" s="40">
        <f>Z18/40</f>
        <v>6.2500000000000003E-3</v>
      </c>
      <c r="AA19" s="41">
        <f>AA18/40</f>
        <v>1.4793749999999999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15</v>
      </c>
      <c r="Y9" s="36">
        <f t="shared" ref="Y9:Y17" si="2">J9</f>
        <v>8</v>
      </c>
      <c r="Z9" s="37">
        <f t="shared" ref="Z9:Z17" si="3">V9</f>
        <v>0</v>
      </c>
      <c r="AA9" s="38">
        <f t="shared" ref="AA9:AA17" si="4">Y9-Z9</f>
        <v>8</v>
      </c>
    </row>
    <row r="10" spans="1:27" ht="15.5" x14ac:dyDescent="0.35">
      <c r="A10" s="14"/>
      <c r="B10" s="7" t="s">
        <v>15</v>
      </c>
      <c r="C10" s="84" t="s">
        <v>40</v>
      </c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11.2</v>
      </c>
      <c r="Z11" s="37">
        <f t="shared" si="3"/>
        <v>0</v>
      </c>
      <c r="AA11" s="38">
        <f t="shared" si="4"/>
        <v>11.2</v>
      </c>
    </row>
    <row r="12" spans="1:27" x14ac:dyDescent="0.35">
      <c r="A12" s="16"/>
      <c r="B12" s="17" t="s">
        <v>28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6.75</v>
      </c>
      <c r="Z12" s="37">
        <f t="shared" si="3"/>
        <v>0</v>
      </c>
      <c r="AA12" s="38">
        <f t="shared" si="4"/>
        <v>6.75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36.950000000000003</v>
      </c>
      <c r="Z18" s="34">
        <f>SUM(Z8:Z17)</f>
        <v>0</v>
      </c>
      <c r="AA18" s="35">
        <f>SUM(AA8:AA17)</f>
        <v>36.950000000000003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0.92375000000000007</v>
      </c>
      <c r="Z19" s="40">
        <f>Z18/40</f>
        <v>0</v>
      </c>
      <c r="AA19" s="41">
        <f>AA18/40</f>
        <v>0.92375000000000007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/>
      <c r="Q8" s="11"/>
      <c r="R8" s="11"/>
      <c r="S8" s="11"/>
      <c r="T8" s="11"/>
      <c r="U8" s="11"/>
      <c r="V8" s="15">
        <f>SUM(O8:U8)/40</f>
        <v>2</v>
      </c>
      <c r="W8" s="12">
        <v>13</v>
      </c>
      <c r="Y8" s="36">
        <f>J8</f>
        <v>15</v>
      </c>
      <c r="Z8" s="37">
        <f>V8</f>
        <v>2</v>
      </c>
      <c r="AA8" s="38">
        <f>Y8-Z8</f>
        <v>13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9</v>
      </c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9</v>
      </c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29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11</v>
      </c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28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44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80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80</v>
      </c>
      <c r="W18" s="28"/>
      <c r="Y18" s="33">
        <f>SUM(Y8:Y17)</f>
        <v>51.625000000000007</v>
      </c>
      <c r="Z18" s="34">
        <f>SUM(Z8:Z17)</f>
        <v>2</v>
      </c>
      <c r="AA18" s="35">
        <f>SUM(AA8:AA17)</f>
        <v>49.625000000000007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</v>
      </c>
      <c r="W19" s="23"/>
      <c r="Y19" s="39">
        <f>Y18/40</f>
        <v>1.2906250000000001</v>
      </c>
      <c r="Z19" s="40">
        <f>Z18/40</f>
        <v>0.05</v>
      </c>
      <c r="AA19" s="41">
        <f>AA18/40</f>
        <v>1.2406250000000001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41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29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28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44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29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28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29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28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29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28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44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44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44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44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43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2026-10-05T13:13:21Z</dcterms:modified>
</cp:coreProperties>
</file>